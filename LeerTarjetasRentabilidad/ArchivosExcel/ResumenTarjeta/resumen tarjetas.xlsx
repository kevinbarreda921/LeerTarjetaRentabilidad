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source\repos\LeerTarjetasRentabilidad\LeerTarjetasRentabilidad\ArchivosExcel\ResumenTarjeta\"/>
    </mc:Choice>
  </mc:AlternateContent>
  <xr:revisionPtr revIDLastSave="0" documentId="13_ncr:1_{6BCD4818-868B-4561-BA66-B4A5FC433A9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Lou" sheetId="3" r:id="rId1"/>
    <sheet name="Coco" sheetId="6" r:id="rId2"/>
    <sheet name="Jeaneth" sheetId="1" r:id="rId3"/>
    <sheet name="Mavel completo" sheetId="5" r:id="rId4"/>
    <sheet name="Juan Carl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2" i="3" l="1"/>
  <c r="U83" i="3"/>
  <c r="U84" i="3"/>
  <c r="U85" i="3"/>
  <c r="U86" i="3"/>
  <c r="U87" i="3"/>
  <c r="U95" i="3"/>
  <c r="U96" i="3"/>
  <c r="U97" i="3"/>
  <c r="U98" i="3"/>
  <c r="U99" i="3"/>
  <c r="U100" i="3"/>
  <c r="U101" i="3"/>
  <c r="U102" i="3"/>
  <c r="U103" i="3"/>
  <c r="U104" i="3"/>
  <c r="L234" i="1" l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CK264" i="1"/>
  <c r="CK263" i="1"/>
  <c r="CK262" i="1"/>
  <c r="CK261" i="1"/>
  <c r="CK260" i="1"/>
  <c r="CK259" i="1"/>
  <c r="CK258" i="1"/>
  <c r="CK257" i="1"/>
  <c r="CK256" i="1"/>
  <c r="CK255" i="1"/>
  <c r="CK254" i="1"/>
  <c r="CK253" i="1"/>
  <c r="CK252" i="1"/>
  <c r="CK251" i="1"/>
  <c r="CK250" i="1"/>
  <c r="CK249" i="1"/>
  <c r="CK248" i="1"/>
  <c r="CK247" i="1"/>
  <c r="CK246" i="1"/>
  <c r="CK245" i="1"/>
  <c r="CK244" i="1"/>
  <c r="CK243" i="1"/>
  <c r="CK242" i="1"/>
  <c r="CK241" i="1"/>
  <c r="CK240" i="1"/>
  <c r="CK239" i="1"/>
  <c r="CK238" i="1"/>
  <c r="CK237" i="1"/>
  <c r="CK236" i="1"/>
  <c r="CK235" i="1"/>
  <c r="CK234" i="1"/>
  <c r="DR264" i="1"/>
  <c r="DR263" i="1"/>
  <c r="DR262" i="1"/>
  <c r="DR261" i="1"/>
  <c r="DR260" i="1"/>
  <c r="DR259" i="1"/>
  <c r="DR258" i="1"/>
  <c r="DR257" i="1"/>
  <c r="DR256" i="1"/>
  <c r="DR255" i="1"/>
  <c r="DR254" i="1"/>
  <c r="DR253" i="1"/>
  <c r="DR252" i="1"/>
  <c r="DR251" i="1"/>
  <c r="DR250" i="1"/>
  <c r="DR249" i="1"/>
  <c r="DR248" i="1"/>
  <c r="DR247" i="1"/>
  <c r="DR246" i="1"/>
  <c r="DR245" i="1"/>
  <c r="DR244" i="1"/>
  <c r="DR243" i="1"/>
  <c r="DR242" i="1"/>
  <c r="DR241" i="1"/>
  <c r="DR240" i="1"/>
  <c r="DR239" i="1"/>
  <c r="DR238" i="1"/>
  <c r="DR237" i="1"/>
  <c r="DR236" i="1"/>
  <c r="DR235" i="1"/>
  <c r="DR234" i="1"/>
  <c r="EY264" i="1"/>
  <c r="EY263" i="1"/>
  <c r="EY262" i="1"/>
  <c r="EY261" i="1"/>
  <c r="EY260" i="1"/>
  <c r="EY259" i="1"/>
  <c r="EY258" i="1"/>
  <c r="EY257" i="1"/>
  <c r="EY256" i="1"/>
  <c r="EY255" i="1"/>
  <c r="EY254" i="1"/>
  <c r="EY253" i="1"/>
  <c r="EY252" i="1"/>
  <c r="EY251" i="1"/>
  <c r="EY250" i="1"/>
  <c r="EY249" i="1"/>
  <c r="EY248" i="1"/>
  <c r="EY247" i="1"/>
  <c r="EY246" i="1"/>
  <c r="EY245" i="1"/>
  <c r="EY244" i="1"/>
  <c r="EY243" i="1"/>
  <c r="EY242" i="1"/>
  <c r="EY241" i="1"/>
  <c r="EY240" i="1"/>
  <c r="EY239" i="1"/>
  <c r="EY238" i="1"/>
  <c r="EY237" i="1"/>
  <c r="EY236" i="1"/>
  <c r="EY235" i="1"/>
  <c r="EY234" i="1"/>
  <c r="EN236" i="1"/>
  <c r="EN237" i="1"/>
  <c r="EN238" i="1"/>
  <c r="EN239" i="1"/>
  <c r="EN240" i="1"/>
  <c r="EN241" i="1"/>
  <c r="EN242" i="1"/>
  <c r="EN243" i="1"/>
  <c r="EN244" i="1"/>
  <c r="EN245" i="1"/>
  <c r="EN246" i="1"/>
  <c r="EN247" i="1"/>
  <c r="EN248" i="1"/>
  <c r="EN249" i="1"/>
  <c r="EN250" i="1"/>
  <c r="EN251" i="1"/>
  <c r="EN252" i="1"/>
  <c r="EN253" i="1"/>
  <c r="EN254" i="1"/>
  <c r="EN255" i="1"/>
  <c r="EN256" i="1"/>
  <c r="EN257" i="1"/>
  <c r="EN258" i="1"/>
  <c r="EN259" i="1"/>
  <c r="EN260" i="1"/>
  <c r="EN261" i="1"/>
  <c r="EN262" i="1"/>
  <c r="EN263" i="1"/>
  <c r="EN264" i="1"/>
  <c r="EY301" i="1"/>
  <c r="EY300" i="1"/>
  <c r="EY299" i="1"/>
  <c r="EY298" i="1"/>
  <c r="EY297" i="1"/>
  <c r="EY296" i="1"/>
  <c r="EY295" i="1"/>
  <c r="EY294" i="1"/>
  <c r="EY293" i="1"/>
  <c r="EY292" i="1"/>
  <c r="EY291" i="1"/>
  <c r="EY290" i="1"/>
  <c r="EY289" i="1"/>
  <c r="EY288" i="1"/>
  <c r="EY287" i="1"/>
  <c r="EY286" i="1"/>
  <c r="EY285" i="1"/>
  <c r="EY284" i="1"/>
  <c r="EY283" i="1"/>
  <c r="EY282" i="1"/>
  <c r="EY281" i="1"/>
  <c r="EY280" i="1"/>
  <c r="EY279" i="1"/>
  <c r="EY278" i="1"/>
  <c r="EY277" i="1"/>
  <c r="EY276" i="1"/>
  <c r="EY275" i="1"/>
  <c r="EY274" i="1"/>
  <c r="EY273" i="1"/>
  <c r="EY272" i="1"/>
  <c r="CK301" i="1"/>
  <c r="CK300" i="1"/>
  <c r="CK299" i="1"/>
  <c r="CK298" i="1"/>
  <c r="CK297" i="1"/>
  <c r="CK296" i="1"/>
  <c r="CK295" i="1"/>
  <c r="CK294" i="1"/>
  <c r="CK293" i="1"/>
  <c r="CK292" i="1"/>
  <c r="CK291" i="1"/>
  <c r="CK290" i="1"/>
  <c r="CK289" i="1"/>
  <c r="CK288" i="1"/>
  <c r="CK287" i="1"/>
  <c r="CK286" i="1"/>
  <c r="CK285" i="1"/>
  <c r="CK284" i="1"/>
  <c r="CK283" i="1"/>
  <c r="CK282" i="1"/>
  <c r="CK281" i="1"/>
  <c r="CK280" i="1"/>
  <c r="CK279" i="1"/>
  <c r="CK278" i="1"/>
  <c r="CK277" i="1"/>
  <c r="CK276" i="1"/>
  <c r="CK275" i="1"/>
  <c r="CK274" i="1"/>
  <c r="CK273" i="1"/>
  <c r="CK272" i="1"/>
  <c r="CK302" i="1" s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302" i="1" s="1"/>
  <c r="BO278" i="1"/>
  <c r="BO277" i="1"/>
  <c r="BO276" i="1"/>
  <c r="BO275" i="1"/>
  <c r="BO274" i="1"/>
  <c r="BO273" i="1"/>
  <c r="BO272" i="1"/>
  <c r="BD301" i="1"/>
  <c r="BD300" i="1"/>
  <c r="BD299" i="1"/>
  <c r="BD298" i="1"/>
  <c r="BD297" i="1"/>
  <c r="BD296" i="1"/>
  <c r="BD295" i="1"/>
  <c r="BD294" i="1"/>
  <c r="BD293" i="1"/>
  <c r="BD292" i="1"/>
  <c r="BD291" i="1"/>
  <c r="BD290" i="1"/>
  <c r="BD289" i="1"/>
  <c r="BD288" i="1"/>
  <c r="BD287" i="1"/>
  <c r="BD286" i="1"/>
  <c r="BD285" i="1"/>
  <c r="BD28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302" i="1" s="1"/>
  <c r="AS281" i="1"/>
  <c r="AS280" i="1"/>
  <c r="AS279" i="1"/>
  <c r="AS278" i="1"/>
  <c r="AS277" i="1"/>
  <c r="AS276" i="1"/>
  <c r="AS275" i="1"/>
  <c r="AS274" i="1"/>
  <c r="AS273" i="1"/>
  <c r="AS27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7" i="1"/>
  <c r="AH276" i="1"/>
  <c r="AH275" i="1"/>
  <c r="AH274" i="1"/>
  <c r="AH273" i="1"/>
  <c r="AH27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L292" i="1"/>
  <c r="L293" i="1"/>
  <c r="L294" i="1"/>
  <c r="L295" i="1"/>
  <c r="L296" i="1"/>
  <c r="L297" i="1"/>
  <c r="L298" i="1"/>
  <c r="L299" i="1"/>
  <c r="L300" i="1"/>
  <c r="L301" i="1"/>
  <c r="AQ148" i="3"/>
  <c r="AQ147" i="3"/>
  <c r="AQ146" i="3"/>
  <c r="AQ145" i="3"/>
  <c r="AQ144" i="3"/>
  <c r="AQ143" i="3"/>
  <c r="AQ142" i="3"/>
  <c r="BB148" i="3"/>
  <c r="BB147" i="3"/>
  <c r="BB146" i="3"/>
  <c r="BB145" i="3"/>
  <c r="BB144" i="3"/>
  <c r="BB143" i="3"/>
  <c r="BM148" i="3"/>
  <c r="BM147" i="3"/>
  <c r="BM146" i="3"/>
  <c r="BM145" i="3"/>
  <c r="BM144" i="3"/>
  <c r="BM143" i="3"/>
  <c r="BM142" i="3"/>
  <c r="BY140" i="3"/>
  <c r="BY141" i="3"/>
  <c r="BY142" i="3"/>
  <c r="BY143" i="3"/>
  <c r="BY144" i="3"/>
  <c r="BY145" i="3"/>
  <c r="BY146" i="3"/>
  <c r="BY147" i="3"/>
  <c r="BY148" i="3"/>
  <c r="CI140" i="3"/>
  <c r="CI141" i="3"/>
  <c r="CI142" i="3"/>
  <c r="CI143" i="3"/>
  <c r="CI144" i="3"/>
  <c r="CI145" i="3"/>
  <c r="CI146" i="3"/>
  <c r="CI147" i="3"/>
  <c r="CI148" i="3"/>
  <c r="CS135" i="3"/>
  <c r="CS136" i="3"/>
  <c r="CS137" i="3"/>
  <c r="CS138" i="3"/>
  <c r="CS139" i="3"/>
  <c r="CS140" i="3"/>
  <c r="CS141" i="3"/>
  <c r="CS142" i="3"/>
  <c r="CS143" i="3"/>
  <c r="CS144" i="3"/>
  <c r="CS145" i="3"/>
  <c r="CS146" i="3"/>
  <c r="CS147" i="3"/>
  <c r="DD135" i="3"/>
  <c r="DD136" i="3"/>
  <c r="DD137" i="3"/>
  <c r="DD138" i="3"/>
  <c r="DD139" i="3"/>
  <c r="DD140" i="3"/>
  <c r="DD141" i="3"/>
  <c r="DD142" i="3"/>
  <c r="DD143" i="3"/>
  <c r="DD144" i="3"/>
  <c r="DD145" i="3"/>
  <c r="DD146" i="3"/>
  <c r="DD147" i="3"/>
  <c r="DD148" i="3"/>
  <c r="DW137" i="3"/>
  <c r="DW138" i="3"/>
  <c r="DW139" i="3"/>
  <c r="DW140" i="3"/>
  <c r="DW141" i="3"/>
  <c r="DW142" i="3"/>
  <c r="DW143" i="3"/>
  <c r="DW144" i="3"/>
  <c r="DW145" i="3"/>
  <c r="DW146" i="3"/>
  <c r="DW147" i="3"/>
  <c r="DW148" i="3"/>
  <c r="EF140" i="3"/>
  <c r="EF141" i="3"/>
  <c r="EF142" i="3"/>
  <c r="EF143" i="3"/>
  <c r="EF144" i="3"/>
  <c r="EF145" i="3"/>
  <c r="EF146" i="3"/>
  <c r="EF147" i="3"/>
  <c r="EF148" i="3"/>
  <c r="EO135" i="3"/>
  <c r="EO136" i="3"/>
  <c r="EO137" i="3"/>
  <c r="EO138" i="3"/>
  <c r="EO139" i="3"/>
  <c r="EO140" i="3"/>
  <c r="EO141" i="3"/>
  <c r="EO142" i="3"/>
  <c r="EO143" i="3"/>
  <c r="EO144" i="3"/>
  <c r="EO145" i="3"/>
  <c r="EO146" i="3"/>
  <c r="EO147" i="3"/>
  <c r="EO148" i="3"/>
  <c r="EX138" i="3"/>
  <c r="EX139" i="3"/>
  <c r="EX140" i="3"/>
  <c r="EX141" i="3"/>
  <c r="EX142" i="3"/>
  <c r="EX143" i="3"/>
  <c r="EX144" i="3"/>
  <c r="EX145" i="3"/>
  <c r="EX146" i="3"/>
  <c r="EX147" i="3"/>
  <c r="EX148" i="3"/>
  <c r="EX103" i="3"/>
  <c r="EX104" i="3"/>
  <c r="EX105" i="3"/>
  <c r="EX106" i="3"/>
  <c r="EX107" i="3"/>
  <c r="EX108" i="3"/>
  <c r="EX109" i="3"/>
  <c r="EX110" i="3"/>
  <c r="EO103" i="3"/>
  <c r="EO104" i="3"/>
  <c r="EO105" i="3"/>
  <c r="EO106" i="3"/>
  <c r="EO107" i="3"/>
  <c r="EO108" i="3"/>
  <c r="EO109" i="3"/>
  <c r="EO110" i="3"/>
  <c r="EF103" i="3"/>
  <c r="EF104" i="3"/>
  <c r="EF105" i="3"/>
  <c r="EF106" i="3"/>
  <c r="EF107" i="3"/>
  <c r="EF108" i="3"/>
  <c r="EF109" i="3"/>
  <c r="EF110" i="3"/>
  <c r="DW101" i="3"/>
  <c r="DW102" i="3"/>
  <c r="DW103" i="3"/>
  <c r="DW104" i="3"/>
  <c r="DW105" i="3"/>
  <c r="DW106" i="3"/>
  <c r="DW107" i="3"/>
  <c r="DW108" i="3"/>
  <c r="DW109" i="3"/>
  <c r="DW110" i="3"/>
  <c r="DN102" i="3"/>
  <c r="DN103" i="3"/>
  <c r="DN104" i="3"/>
  <c r="DN105" i="3"/>
  <c r="DN106" i="3"/>
  <c r="DN107" i="3"/>
  <c r="DN108" i="3"/>
  <c r="DN109" i="3"/>
  <c r="DN110" i="3"/>
  <c r="AD94" i="3"/>
  <c r="AD93" i="3"/>
  <c r="AD92" i="3"/>
  <c r="AD91" i="3"/>
  <c r="AD90" i="3"/>
  <c r="AD89" i="3"/>
  <c r="AD88" i="3"/>
  <c r="AZ92" i="3"/>
  <c r="S172" i="4"/>
  <c r="CT245" i="1"/>
  <c r="BU310" i="5"/>
  <c r="J110" i="3"/>
  <c r="J109" i="3"/>
  <c r="J108" i="3"/>
  <c r="J107" i="3"/>
  <c r="J106" i="3"/>
  <c r="J105" i="3"/>
  <c r="J104" i="3"/>
  <c r="J103" i="3"/>
  <c r="BB110" i="3"/>
  <c r="BB109" i="3"/>
  <c r="BB108" i="3"/>
  <c r="BB107" i="3"/>
  <c r="BB106" i="3"/>
  <c r="BB105" i="3"/>
  <c r="BB104" i="3"/>
  <c r="BB103" i="3"/>
  <c r="BB102" i="3"/>
  <c r="CI110" i="3"/>
  <c r="CI109" i="3"/>
  <c r="CI108" i="3"/>
  <c r="CI107" i="3"/>
  <c r="CI106" i="3"/>
  <c r="CI105" i="3"/>
  <c r="CI104" i="3"/>
  <c r="CI103" i="3"/>
  <c r="CI102" i="3"/>
  <c r="CI101" i="3"/>
  <c r="CI100" i="3"/>
  <c r="CI99" i="3"/>
  <c r="CI98" i="3"/>
  <c r="CI97" i="3"/>
  <c r="CI96" i="3"/>
  <c r="CI95" i="3"/>
  <c r="CI94" i="3"/>
  <c r="CI93" i="3"/>
  <c r="BM110" i="3"/>
  <c r="BM109" i="3"/>
  <c r="BM108" i="3"/>
  <c r="BM107" i="3"/>
  <c r="BM106" i="3"/>
  <c r="BM105" i="3"/>
  <c r="BM104" i="3"/>
  <c r="BM103" i="3"/>
  <c r="BM102" i="3"/>
  <c r="BM101" i="3"/>
  <c r="BY103" i="3"/>
  <c r="BY102" i="3"/>
  <c r="BY101" i="3"/>
  <c r="BY100" i="3"/>
  <c r="BW110" i="3"/>
  <c r="BY110" i="3" s="1"/>
  <c r="BW109" i="3"/>
  <c r="BY109" i="3" s="1"/>
  <c r="BW108" i="3"/>
  <c r="BY108" i="3" s="1"/>
  <c r="BW107" i="3"/>
  <c r="BY107" i="3" s="1"/>
  <c r="BW106" i="3"/>
  <c r="BY106" i="3" s="1"/>
  <c r="BW105" i="3"/>
  <c r="BY105" i="3" s="1"/>
  <c r="BW104" i="3"/>
  <c r="BW111" i="3" s="1"/>
  <c r="BW103" i="3"/>
  <c r="BW102" i="3"/>
  <c r="S110" i="3"/>
  <c r="S109" i="3"/>
  <c r="U109" i="3" s="1"/>
  <c r="S108" i="3"/>
  <c r="U108" i="3" s="1"/>
  <c r="S107" i="3"/>
  <c r="U107" i="3" s="1"/>
  <c r="S106" i="3"/>
  <c r="U106" i="3" s="1"/>
  <c r="S105" i="3"/>
  <c r="U105" i="3" s="1"/>
  <c r="S94" i="3"/>
  <c r="U94" i="3" s="1"/>
  <c r="S93" i="3"/>
  <c r="U93" i="3" s="1"/>
  <c r="S92" i="3"/>
  <c r="U92" i="3" s="1"/>
  <c r="S91" i="3"/>
  <c r="U91" i="3" s="1"/>
  <c r="S90" i="3"/>
  <c r="U90" i="3" s="1"/>
  <c r="S89" i="3"/>
  <c r="U89" i="3" s="1"/>
  <c r="S88" i="3"/>
  <c r="U88" i="3" s="1"/>
  <c r="BV95" i="3"/>
  <c r="BQ228" i="4"/>
  <c r="BR228" i="4"/>
  <c r="BQ191" i="4"/>
  <c r="BR191" i="4"/>
  <c r="BS191" i="4"/>
  <c r="AN149" i="3"/>
  <c r="AO149" i="3"/>
  <c r="AO111" i="3"/>
  <c r="AN111" i="3"/>
  <c r="DB365" i="5"/>
  <c r="DC365" i="5"/>
  <c r="DB329" i="5"/>
  <c r="DC329" i="5"/>
  <c r="DD329" i="5"/>
  <c r="EO363" i="5"/>
  <c r="EL365" i="5"/>
  <c r="EO328" i="5"/>
  <c r="EL329" i="5"/>
  <c r="R228" i="4"/>
  <c r="S228" i="4"/>
  <c r="T228" i="4"/>
  <c r="R191" i="4"/>
  <c r="S191" i="4"/>
  <c r="BD302" i="1" l="1"/>
  <c r="BY104" i="3"/>
  <c r="S111" i="3"/>
  <c r="BZ302" i="1"/>
  <c r="EY302" i="1"/>
  <c r="J140" i="3"/>
  <c r="J141" i="3"/>
  <c r="J142" i="3"/>
  <c r="J143" i="3"/>
  <c r="J144" i="3"/>
  <c r="J145" i="3"/>
  <c r="J146" i="3"/>
  <c r="J147" i="3"/>
  <c r="J148" i="3"/>
  <c r="U138" i="3"/>
  <c r="U139" i="3"/>
  <c r="U140" i="3"/>
  <c r="U141" i="3"/>
  <c r="U142" i="3"/>
  <c r="U143" i="3"/>
  <c r="U144" i="3"/>
  <c r="U145" i="3"/>
  <c r="U146" i="3"/>
  <c r="U147" i="3"/>
  <c r="U148" i="3"/>
  <c r="DN127" i="3"/>
  <c r="DN128" i="3"/>
  <c r="DN129" i="3"/>
  <c r="DN130" i="3"/>
  <c r="DN131" i="3"/>
  <c r="DN132" i="3"/>
  <c r="DN133" i="3"/>
  <c r="DN134" i="3"/>
  <c r="DN135" i="3"/>
  <c r="DN136" i="3"/>
  <c r="DN137" i="3"/>
  <c r="DN138" i="3"/>
  <c r="DN139" i="3"/>
  <c r="DN140" i="3"/>
  <c r="DN141" i="3"/>
  <c r="DN142" i="3"/>
  <c r="DN143" i="3"/>
  <c r="DN144" i="3"/>
  <c r="DN145" i="3"/>
  <c r="DN146" i="3"/>
  <c r="DN147" i="3"/>
  <c r="DN148" i="3"/>
  <c r="CV292" i="1" l="1"/>
  <c r="CV293" i="1"/>
  <c r="CV294" i="1"/>
  <c r="CV295" i="1"/>
  <c r="CV296" i="1"/>
  <c r="CV297" i="1"/>
  <c r="CV298" i="1"/>
  <c r="CV299" i="1"/>
  <c r="CV300" i="1"/>
  <c r="CV301" i="1"/>
  <c r="DG295" i="1"/>
  <c r="DG296" i="1"/>
  <c r="DG297" i="1"/>
  <c r="DG298" i="1"/>
  <c r="DG299" i="1"/>
  <c r="DG300" i="1"/>
  <c r="DG301" i="1"/>
  <c r="CV250" i="1"/>
  <c r="CV251" i="1"/>
  <c r="CV252" i="1"/>
  <c r="CV253" i="1"/>
  <c r="CV254" i="1"/>
  <c r="CV255" i="1"/>
  <c r="CV256" i="1"/>
  <c r="CV257" i="1"/>
  <c r="CV258" i="1"/>
  <c r="CV259" i="1"/>
  <c r="CV260" i="1"/>
  <c r="CV261" i="1"/>
  <c r="CV262" i="1"/>
  <c r="CV263" i="1"/>
  <c r="CV264" i="1"/>
  <c r="DG256" i="1"/>
  <c r="DG257" i="1"/>
  <c r="DG258" i="1"/>
  <c r="DG259" i="1"/>
  <c r="DG260" i="1"/>
  <c r="DG261" i="1"/>
  <c r="DG262" i="1"/>
  <c r="DG263" i="1"/>
  <c r="DG264" i="1"/>
  <c r="EC257" i="1"/>
  <c r="EC258" i="1"/>
  <c r="EC259" i="1"/>
  <c r="EC260" i="1"/>
  <c r="EC261" i="1"/>
  <c r="EC262" i="1"/>
  <c r="EC263" i="1"/>
  <c r="EC264" i="1"/>
  <c r="AF110" i="3" l="1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09" i="3"/>
  <c r="AF108" i="3"/>
  <c r="AF107" i="3"/>
  <c r="AF106" i="3"/>
  <c r="AF105" i="3"/>
  <c r="AF104" i="3"/>
  <c r="AF103" i="3"/>
  <c r="AF102" i="3"/>
  <c r="AF101" i="3"/>
  <c r="AF100" i="3"/>
  <c r="AF99" i="3"/>
  <c r="AF98" i="3"/>
  <c r="AF97" i="3"/>
  <c r="AF96" i="3"/>
  <c r="AF95" i="3"/>
  <c r="AF94" i="3"/>
  <c r="AF93" i="3"/>
  <c r="AF92" i="3"/>
  <c r="AF91" i="3"/>
  <c r="AF90" i="3"/>
  <c r="AF89" i="3"/>
  <c r="AF88" i="3"/>
  <c r="AF87" i="3"/>
  <c r="AF86" i="3"/>
  <c r="AF85" i="3"/>
  <c r="AF84" i="3"/>
  <c r="AF83" i="3"/>
  <c r="AF82" i="3"/>
  <c r="AF81" i="3"/>
  <c r="AF80" i="3"/>
  <c r="X365" i="5"/>
  <c r="AA365" i="5"/>
  <c r="Z365" i="5"/>
  <c r="Y365" i="5"/>
  <c r="CS148" i="3"/>
  <c r="DD100" i="3"/>
  <c r="DD101" i="3"/>
  <c r="DD102" i="3"/>
  <c r="DD103" i="3"/>
  <c r="DD104" i="3"/>
  <c r="DD105" i="3"/>
  <c r="DD106" i="3"/>
  <c r="DD107" i="3"/>
  <c r="DD108" i="3"/>
  <c r="DD109" i="3"/>
  <c r="DD110" i="3"/>
  <c r="CS102" i="3"/>
  <c r="CS103" i="3"/>
  <c r="CS104" i="3"/>
  <c r="CS105" i="3"/>
  <c r="CS106" i="3"/>
  <c r="CS107" i="3"/>
  <c r="CS108" i="3"/>
  <c r="CS109" i="3"/>
  <c r="CS110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U110" i="3"/>
  <c r="AF111" i="3" l="1"/>
  <c r="EC295" i="1"/>
  <c r="EC296" i="1"/>
  <c r="EC297" i="1"/>
  <c r="EC298" i="1"/>
  <c r="EC299" i="1"/>
  <c r="EC300" i="1"/>
  <c r="EC301" i="1"/>
  <c r="EN288" i="1"/>
  <c r="EN289" i="1"/>
  <c r="EN290" i="1"/>
  <c r="EN291" i="1"/>
  <c r="EN292" i="1"/>
  <c r="EN293" i="1"/>
  <c r="EN294" i="1"/>
  <c r="EN295" i="1"/>
  <c r="EN296" i="1"/>
  <c r="EN297" i="1"/>
  <c r="EN298" i="1"/>
  <c r="EN299" i="1"/>
  <c r="EN300" i="1"/>
  <c r="EN301" i="1"/>
  <c r="EN287" i="1"/>
  <c r="EN286" i="1"/>
  <c r="EN285" i="1"/>
  <c r="EN284" i="1"/>
  <c r="EN283" i="1"/>
  <c r="EN282" i="1"/>
  <c r="EN281" i="1"/>
  <c r="EN280" i="1"/>
  <c r="EN279" i="1"/>
  <c r="EN278" i="1"/>
  <c r="EN277" i="1"/>
  <c r="EN276" i="1"/>
  <c r="EN275" i="1"/>
  <c r="EN274" i="1"/>
  <c r="EN273" i="1"/>
  <c r="EN272" i="1"/>
  <c r="CB148" i="6"/>
  <c r="CA148" i="6"/>
  <c r="BZ148" i="6"/>
  <c r="BX148" i="6"/>
  <c r="BW148" i="6"/>
  <c r="BS148" i="6"/>
  <c r="BR148" i="6"/>
  <c r="BQ148" i="6"/>
  <c r="BO148" i="6"/>
  <c r="BN148" i="6"/>
  <c r="BJ148" i="6"/>
  <c r="BI148" i="6"/>
  <c r="BH148" i="6"/>
  <c r="BF148" i="6"/>
  <c r="BE148" i="6"/>
  <c r="BA148" i="6"/>
  <c r="AZ148" i="6"/>
  <c r="AY148" i="6"/>
  <c r="AW148" i="6"/>
  <c r="AU148" i="6"/>
  <c r="AT148" i="6"/>
  <c r="AS148" i="6"/>
  <c r="AR148" i="6"/>
  <c r="AN148" i="6"/>
  <c r="AM148" i="6"/>
  <c r="AL148" i="6"/>
  <c r="AI148" i="6"/>
  <c r="AE148" i="6"/>
  <c r="AD148" i="6"/>
  <c r="AC148" i="6"/>
  <c r="AA148" i="6"/>
  <c r="Z148" i="6"/>
  <c r="V148" i="6"/>
  <c r="U148" i="6"/>
  <c r="T148" i="6"/>
  <c r="R148" i="6"/>
  <c r="Q148" i="6"/>
  <c r="P148" i="6"/>
  <c r="O148" i="6"/>
  <c r="J148" i="6"/>
  <c r="I148" i="6"/>
  <c r="H148" i="6"/>
  <c r="F148" i="6"/>
  <c r="E148" i="6"/>
  <c r="D148" i="6"/>
  <c r="C148" i="6"/>
  <c r="CC147" i="6"/>
  <c r="BT147" i="6"/>
  <c r="BM147" i="6"/>
  <c r="BV147" i="6" s="1"/>
  <c r="BK147" i="6"/>
  <c r="BB147" i="6"/>
  <c r="AO147" i="6"/>
  <c r="AF147" i="6"/>
  <c r="W147" i="6"/>
  <c r="M147" i="6"/>
  <c r="AH147" i="6" s="1"/>
  <c r="K147" i="6"/>
  <c r="CC146" i="6"/>
  <c r="BT146" i="6"/>
  <c r="BM146" i="6"/>
  <c r="BV146" i="6" s="1"/>
  <c r="BK146" i="6"/>
  <c r="BB146" i="6"/>
  <c r="AO146" i="6"/>
  <c r="AF146" i="6"/>
  <c r="W146" i="6"/>
  <c r="M146" i="6"/>
  <c r="AH146" i="6" s="1"/>
  <c r="K146" i="6"/>
  <c r="CC145" i="6"/>
  <c r="BT145" i="6"/>
  <c r="BM145" i="6"/>
  <c r="BV145" i="6" s="1"/>
  <c r="BK145" i="6"/>
  <c r="BB145" i="6"/>
  <c r="AO145" i="6"/>
  <c r="AH145" i="6"/>
  <c r="AF145" i="6"/>
  <c r="W145" i="6"/>
  <c r="M145" i="6"/>
  <c r="Y145" i="6" s="1"/>
  <c r="K145" i="6"/>
  <c r="CC144" i="6"/>
  <c r="BT144" i="6"/>
  <c r="BM144" i="6"/>
  <c r="BV144" i="6" s="1"/>
  <c r="BK144" i="6"/>
  <c r="BB144" i="6"/>
  <c r="AO144" i="6"/>
  <c r="AF144" i="6"/>
  <c r="W144" i="6"/>
  <c r="M144" i="6"/>
  <c r="AH144" i="6" s="1"/>
  <c r="K144" i="6"/>
  <c r="CC143" i="6"/>
  <c r="BT143" i="6"/>
  <c r="BM143" i="6"/>
  <c r="BV143" i="6" s="1"/>
  <c r="BK143" i="6"/>
  <c r="BB143" i="6"/>
  <c r="AO143" i="6"/>
  <c r="AF143" i="6"/>
  <c r="W143" i="6"/>
  <c r="M143" i="6"/>
  <c r="Y143" i="6" s="1"/>
  <c r="K143" i="6"/>
  <c r="CC142" i="6"/>
  <c r="BT142" i="6"/>
  <c r="BM142" i="6"/>
  <c r="BV142" i="6" s="1"/>
  <c r="BK142" i="6"/>
  <c r="BB142" i="6"/>
  <c r="AO142" i="6"/>
  <c r="AH142" i="6"/>
  <c r="AF142" i="6"/>
  <c r="W142" i="6"/>
  <c r="M142" i="6"/>
  <c r="Y142" i="6" s="1"/>
  <c r="K142" i="6"/>
  <c r="CC141" i="6"/>
  <c r="BT141" i="6"/>
  <c r="BM141" i="6"/>
  <c r="BV141" i="6" s="1"/>
  <c r="BK141" i="6"/>
  <c r="BB141" i="6"/>
  <c r="AO141" i="6"/>
  <c r="AF141" i="6"/>
  <c r="W141" i="6"/>
  <c r="M141" i="6"/>
  <c r="AH141" i="6" s="1"/>
  <c r="K141" i="6"/>
  <c r="CC140" i="6"/>
  <c r="BT140" i="6"/>
  <c r="BM140" i="6"/>
  <c r="BV140" i="6" s="1"/>
  <c r="BK140" i="6"/>
  <c r="BB140" i="6"/>
  <c r="AO140" i="6"/>
  <c r="AF140" i="6"/>
  <c r="W140" i="6"/>
  <c r="M140" i="6"/>
  <c r="Y140" i="6" s="1"/>
  <c r="K140" i="6"/>
  <c r="CC139" i="6"/>
  <c r="BT139" i="6"/>
  <c r="BM139" i="6"/>
  <c r="BV139" i="6" s="1"/>
  <c r="BK139" i="6"/>
  <c r="BB139" i="6"/>
  <c r="AO139" i="6"/>
  <c r="AF139" i="6"/>
  <c r="W139" i="6"/>
  <c r="M139" i="6"/>
  <c r="AH139" i="6" s="1"/>
  <c r="K139" i="6"/>
  <c r="CC138" i="6"/>
  <c r="BT138" i="6"/>
  <c r="BM138" i="6"/>
  <c r="BV138" i="6" s="1"/>
  <c r="BK138" i="6"/>
  <c r="BB138" i="6"/>
  <c r="AO138" i="6"/>
  <c r="AF138" i="6"/>
  <c r="W138" i="6"/>
  <c r="M138" i="6"/>
  <c r="AH138" i="6" s="1"/>
  <c r="K138" i="6"/>
  <c r="CC137" i="6"/>
  <c r="BT137" i="6"/>
  <c r="BM137" i="6"/>
  <c r="BV137" i="6" s="1"/>
  <c r="BK137" i="6"/>
  <c r="BB137" i="6"/>
  <c r="AO137" i="6"/>
  <c r="AF137" i="6"/>
  <c r="W137" i="6"/>
  <c r="M137" i="6"/>
  <c r="Y137" i="6" s="1"/>
  <c r="K137" i="6"/>
  <c r="CC136" i="6"/>
  <c r="BT136" i="6"/>
  <c r="BM136" i="6"/>
  <c r="BV136" i="6" s="1"/>
  <c r="BK136" i="6"/>
  <c r="BB136" i="6"/>
  <c r="AO136" i="6"/>
  <c r="AF136" i="6"/>
  <c r="W136" i="6"/>
  <c r="M136" i="6"/>
  <c r="AH136" i="6" s="1"/>
  <c r="K136" i="6"/>
  <c r="CC135" i="6"/>
  <c r="BT135" i="6"/>
  <c r="BM135" i="6"/>
  <c r="BV135" i="6" s="1"/>
  <c r="BK135" i="6"/>
  <c r="BB135" i="6"/>
  <c r="AO135" i="6"/>
  <c r="AF135" i="6"/>
  <c r="W135" i="6"/>
  <c r="M135" i="6"/>
  <c r="AH135" i="6" s="1"/>
  <c r="K135" i="6"/>
  <c r="CC134" i="6"/>
  <c r="BT134" i="6"/>
  <c r="BM134" i="6"/>
  <c r="BV134" i="6" s="1"/>
  <c r="BK134" i="6"/>
  <c r="BB134" i="6"/>
  <c r="AO134" i="6"/>
  <c r="AF134" i="6"/>
  <c r="W134" i="6"/>
  <c r="M134" i="6"/>
  <c r="Y134" i="6" s="1"/>
  <c r="K134" i="6"/>
  <c r="CC133" i="6"/>
  <c r="BT133" i="6"/>
  <c r="BM133" i="6"/>
  <c r="BV133" i="6" s="1"/>
  <c r="BK133" i="6"/>
  <c r="BB133" i="6"/>
  <c r="AO133" i="6"/>
  <c r="AH133" i="6"/>
  <c r="AF133" i="6"/>
  <c r="Y133" i="6"/>
  <c r="W133" i="6"/>
  <c r="M133" i="6"/>
  <c r="K133" i="6"/>
  <c r="CC132" i="6"/>
  <c r="BT132" i="6"/>
  <c r="BM132" i="6"/>
  <c r="BV132" i="6" s="1"/>
  <c r="BK132" i="6"/>
  <c r="BB132" i="6"/>
  <c r="AO132" i="6"/>
  <c r="AF132" i="6"/>
  <c r="W132" i="6"/>
  <c r="M132" i="6"/>
  <c r="Y132" i="6" s="1"/>
  <c r="K132" i="6"/>
  <c r="CC131" i="6"/>
  <c r="BT131" i="6"/>
  <c r="BM131" i="6"/>
  <c r="BV131" i="6" s="1"/>
  <c r="BK131" i="6"/>
  <c r="BB131" i="6"/>
  <c r="AO131" i="6"/>
  <c r="AF131" i="6"/>
  <c r="W131" i="6"/>
  <c r="M131" i="6"/>
  <c r="Y131" i="6" s="1"/>
  <c r="K131" i="6"/>
  <c r="CC130" i="6"/>
  <c r="BT130" i="6"/>
  <c r="BM130" i="6"/>
  <c r="BV130" i="6" s="1"/>
  <c r="BK130" i="6"/>
  <c r="BB130" i="6"/>
  <c r="AO130" i="6"/>
  <c r="AH130" i="6"/>
  <c r="AF130" i="6"/>
  <c r="W130" i="6"/>
  <c r="M130" i="6"/>
  <c r="Y130" i="6" s="1"/>
  <c r="K130" i="6"/>
  <c r="CC129" i="6"/>
  <c r="BT129" i="6"/>
  <c r="BM129" i="6"/>
  <c r="BV129" i="6" s="1"/>
  <c r="BK129" i="6"/>
  <c r="BB129" i="6"/>
  <c r="AO129" i="6"/>
  <c r="AF129" i="6"/>
  <c r="W129" i="6"/>
  <c r="M129" i="6"/>
  <c r="AH129" i="6" s="1"/>
  <c r="K129" i="6"/>
  <c r="CC128" i="6"/>
  <c r="BT128" i="6"/>
  <c r="BM128" i="6"/>
  <c r="BV128" i="6" s="1"/>
  <c r="BK128" i="6"/>
  <c r="BB128" i="6"/>
  <c r="AO128" i="6"/>
  <c r="AF128" i="6"/>
  <c r="W128" i="6"/>
  <c r="M128" i="6"/>
  <c r="AH128" i="6" s="1"/>
  <c r="K128" i="6"/>
  <c r="CC127" i="6"/>
  <c r="BT127" i="6"/>
  <c r="BM127" i="6"/>
  <c r="BV127" i="6" s="1"/>
  <c r="BK127" i="6"/>
  <c r="BB127" i="6"/>
  <c r="AO127" i="6"/>
  <c r="AF127" i="6"/>
  <c r="W127" i="6"/>
  <c r="M127" i="6"/>
  <c r="Y127" i="6" s="1"/>
  <c r="K127" i="6"/>
  <c r="CC126" i="6"/>
  <c r="BT126" i="6"/>
  <c r="BM126" i="6"/>
  <c r="BV126" i="6" s="1"/>
  <c r="BK126" i="6"/>
  <c r="BB126" i="6"/>
  <c r="AO126" i="6"/>
  <c r="AH126" i="6"/>
  <c r="AF126" i="6"/>
  <c r="W126" i="6"/>
  <c r="M126" i="6"/>
  <c r="Y126" i="6" s="1"/>
  <c r="K126" i="6"/>
  <c r="CC125" i="6"/>
  <c r="BT125" i="6"/>
  <c r="BM125" i="6"/>
  <c r="BV125" i="6" s="1"/>
  <c r="BK125" i="6"/>
  <c r="BB125" i="6"/>
  <c r="AO125" i="6"/>
  <c r="AF125" i="6"/>
  <c r="W125" i="6"/>
  <c r="M125" i="6"/>
  <c r="Y125" i="6" s="1"/>
  <c r="K125" i="6"/>
  <c r="CC124" i="6"/>
  <c r="BT124" i="6"/>
  <c r="BM124" i="6"/>
  <c r="BV124" i="6" s="1"/>
  <c r="BK124" i="6"/>
  <c r="BB124" i="6"/>
  <c r="AO124" i="6"/>
  <c r="AF124" i="6"/>
  <c r="W124" i="6"/>
  <c r="M124" i="6"/>
  <c r="Y124" i="6" s="1"/>
  <c r="K124" i="6"/>
  <c r="CC123" i="6"/>
  <c r="BT123" i="6"/>
  <c r="BM123" i="6"/>
  <c r="BV123" i="6" s="1"/>
  <c r="BK123" i="6"/>
  <c r="BB123" i="6"/>
  <c r="AO123" i="6"/>
  <c r="AF123" i="6"/>
  <c r="W123" i="6"/>
  <c r="M123" i="6"/>
  <c r="AH123" i="6" s="1"/>
  <c r="K123" i="6"/>
  <c r="CC122" i="6"/>
  <c r="BT122" i="6"/>
  <c r="BM122" i="6"/>
  <c r="BV122" i="6" s="1"/>
  <c r="BK122" i="6"/>
  <c r="BB122" i="6"/>
  <c r="AO122" i="6"/>
  <c r="AF122" i="6"/>
  <c r="W122" i="6"/>
  <c r="M122" i="6"/>
  <c r="AH122" i="6" s="1"/>
  <c r="K122" i="6"/>
  <c r="CC121" i="6"/>
  <c r="BT121" i="6"/>
  <c r="BM121" i="6"/>
  <c r="BV121" i="6" s="1"/>
  <c r="BK121" i="6"/>
  <c r="BB121" i="6"/>
  <c r="AO121" i="6"/>
  <c r="AF121" i="6"/>
  <c r="W121" i="6"/>
  <c r="M121" i="6"/>
  <c r="AH121" i="6" s="1"/>
  <c r="K121" i="6"/>
  <c r="CC120" i="6"/>
  <c r="BT120" i="6"/>
  <c r="BM120" i="6"/>
  <c r="BV120" i="6" s="1"/>
  <c r="BK120" i="6"/>
  <c r="BB120" i="6"/>
  <c r="AO120" i="6"/>
  <c r="AF120" i="6"/>
  <c r="W120" i="6"/>
  <c r="M120" i="6"/>
  <c r="AH120" i="6" s="1"/>
  <c r="K120" i="6"/>
  <c r="CC119" i="6"/>
  <c r="BT119" i="6"/>
  <c r="BM119" i="6"/>
  <c r="BV119" i="6" s="1"/>
  <c r="BK119" i="6"/>
  <c r="BB119" i="6"/>
  <c r="AO119" i="6"/>
  <c r="AF119" i="6"/>
  <c r="W119" i="6"/>
  <c r="M119" i="6"/>
  <c r="Y119" i="6" s="1"/>
  <c r="K119" i="6"/>
  <c r="CC118" i="6"/>
  <c r="BT118" i="6"/>
  <c r="BM118" i="6"/>
  <c r="BV118" i="6" s="1"/>
  <c r="BK118" i="6"/>
  <c r="BB118" i="6"/>
  <c r="AO118" i="6"/>
  <c r="AF118" i="6"/>
  <c r="W118" i="6"/>
  <c r="M118" i="6"/>
  <c r="AH118" i="6" s="1"/>
  <c r="K118" i="6"/>
  <c r="CB111" i="6"/>
  <c r="CA111" i="6"/>
  <c r="BZ111" i="6"/>
  <c r="BX111" i="6"/>
  <c r="BW111" i="6"/>
  <c r="BS111" i="6"/>
  <c r="BR111" i="6"/>
  <c r="BQ111" i="6"/>
  <c r="BO111" i="6"/>
  <c r="BN111" i="6"/>
  <c r="BJ111" i="6"/>
  <c r="BI111" i="6"/>
  <c r="BH111" i="6"/>
  <c r="BF111" i="6"/>
  <c r="BE111" i="6"/>
  <c r="BA111" i="6"/>
  <c r="AZ111" i="6"/>
  <c r="AY111" i="6"/>
  <c r="AW111" i="6"/>
  <c r="AV111" i="6"/>
  <c r="AU111" i="6"/>
  <c r="AT111" i="6"/>
  <c r="AS111" i="6"/>
  <c r="AR111" i="6"/>
  <c r="AN111" i="6"/>
  <c r="AM111" i="6"/>
  <c r="AL111" i="6"/>
  <c r="AJ111" i="6"/>
  <c r="AI111" i="6"/>
  <c r="AE111" i="6"/>
  <c r="AD111" i="6"/>
  <c r="AC111" i="6"/>
  <c r="AA111" i="6"/>
  <c r="Z111" i="6"/>
  <c r="V111" i="6"/>
  <c r="U111" i="6"/>
  <c r="T111" i="6"/>
  <c r="R111" i="6"/>
  <c r="Q111" i="6"/>
  <c r="P111" i="6"/>
  <c r="O111" i="6"/>
  <c r="N111" i="6"/>
  <c r="J111" i="6"/>
  <c r="I111" i="6"/>
  <c r="H111" i="6"/>
  <c r="F111" i="6"/>
  <c r="E111" i="6"/>
  <c r="D111" i="6"/>
  <c r="C111" i="6"/>
  <c r="CC110" i="6"/>
  <c r="BT110" i="6"/>
  <c r="BK110" i="6"/>
  <c r="BB110" i="6"/>
  <c r="AO110" i="6"/>
  <c r="AF110" i="6"/>
  <c r="W110" i="6"/>
  <c r="K110" i="6"/>
  <c r="CC109" i="6"/>
  <c r="BT109" i="6"/>
  <c r="BK109" i="6"/>
  <c r="BB109" i="6"/>
  <c r="AO109" i="6"/>
  <c r="AF109" i="6"/>
  <c r="W109" i="6"/>
  <c r="K109" i="6"/>
  <c r="CC108" i="6"/>
  <c r="BT108" i="6"/>
  <c r="BK108" i="6"/>
  <c r="BB108" i="6"/>
  <c r="AO108" i="6"/>
  <c r="AF108" i="6"/>
  <c r="W108" i="6"/>
  <c r="K108" i="6"/>
  <c r="CC107" i="6"/>
  <c r="BT107" i="6"/>
  <c r="BK107" i="6"/>
  <c r="BB107" i="6"/>
  <c r="AO107" i="6"/>
  <c r="AF107" i="6"/>
  <c r="W107" i="6"/>
  <c r="K107" i="6"/>
  <c r="CC106" i="6"/>
  <c r="BT106" i="6"/>
  <c r="BK106" i="6"/>
  <c r="BB106" i="6"/>
  <c r="AO106" i="6"/>
  <c r="AF106" i="6"/>
  <c r="W106" i="6"/>
  <c r="K106" i="6"/>
  <c r="CC105" i="6"/>
  <c r="BT105" i="6"/>
  <c r="BK105" i="6"/>
  <c r="BB105" i="6"/>
  <c r="AO105" i="6"/>
  <c r="AF105" i="6"/>
  <c r="W105" i="6"/>
  <c r="K105" i="6"/>
  <c r="CC104" i="6"/>
  <c r="BT104" i="6"/>
  <c r="BK104" i="6"/>
  <c r="BB104" i="6"/>
  <c r="AO104" i="6"/>
  <c r="AF104" i="6"/>
  <c r="W104" i="6"/>
  <c r="K104" i="6"/>
  <c r="CC103" i="6"/>
  <c r="BT103" i="6"/>
  <c r="BK103" i="6"/>
  <c r="BB103" i="6"/>
  <c r="AO103" i="6"/>
  <c r="AF103" i="6"/>
  <c r="W103" i="6"/>
  <c r="K103" i="6"/>
  <c r="CC102" i="6"/>
  <c r="BT102" i="6"/>
  <c r="BK102" i="6"/>
  <c r="BB102" i="6"/>
  <c r="AO102" i="6"/>
  <c r="AF102" i="6"/>
  <c r="W102" i="6"/>
  <c r="K102" i="6"/>
  <c r="CC101" i="6"/>
  <c r="BT101" i="6"/>
  <c r="BK101" i="6"/>
  <c r="BB101" i="6"/>
  <c r="AO101" i="6"/>
  <c r="AF101" i="6"/>
  <c r="W101" i="6"/>
  <c r="K101" i="6"/>
  <c r="CC100" i="6"/>
  <c r="BT100" i="6"/>
  <c r="BK100" i="6"/>
  <c r="BB100" i="6"/>
  <c r="AO100" i="6"/>
  <c r="AF100" i="6"/>
  <c r="W100" i="6"/>
  <c r="K100" i="6"/>
  <c r="CC99" i="6"/>
  <c r="BT99" i="6"/>
  <c r="BK99" i="6"/>
  <c r="BB99" i="6"/>
  <c r="AO99" i="6"/>
  <c r="AF99" i="6"/>
  <c r="W99" i="6"/>
  <c r="K99" i="6"/>
  <c r="CC98" i="6"/>
  <c r="BT98" i="6"/>
  <c r="BK98" i="6"/>
  <c r="BB98" i="6"/>
  <c r="AO98" i="6"/>
  <c r="AF98" i="6"/>
  <c r="W98" i="6"/>
  <c r="K98" i="6"/>
  <c r="CC97" i="6"/>
  <c r="BT97" i="6"/>
  <c r="BK97" i="6"/>
  <c r="BB97" i="6"/>
  <c r="AO97" i="6"/>
  <c r="AF97" i="6"/>
  <c r="W97" i="6"/>
  <c r="K97" i="6"/>
  <c r="CC96" i="6"/>
  <c r="BT96" i="6"/>
  <c r="BK96" i="6"/>
  <c r="BB96" i="6"/>
  <c r="AO96" i="6"/>
  <c r="AF96" i="6"/>
  <c r="W96" i="6"/>
  <c r="K96" i="6"/>
  <c r="CC95" i="6"/>
  <c r="BT95" i="6"/>
  <c r="BK95" i="6"/>
  <c r="BB95" i="6"/>
  <c r="AO95" i="6"/>
  <c r="AF95" i="6"/>
  <c r="W95" i="6"/>
  <c r="K95" i="6"/>
  <c r="CC94" i="6"/>
  <c r="BT94" i="6"/>
  <c r="BK94" i="6"/>
  <c r="BB94" i="6"/>
  <c r="AO94" i="6"/>
  <c r="AF94" i="6"/>
  <c r="W94" i="6"/>
  <c r="K94" i="6"/>
  <c r="CC93" i="6"/>
  <c r="BT93" i="6"/>
  <c r="BK93" i="6"/>
  <c r="BB93" i="6"/>
  <c r="AO93" i="6"/>
  <c r="AF93" i="6"/>
  <c r="W93" i="6"/>
  <c r="K93" i="6"/>
  <c r="CC92" i="6"/>
  <c r="BT92" i="6"/>
  <c r="BK92" i="6"/>
  <c r="BB92" i="6"/>
  <c r="AO92" i="6"/>
  <c r="AF92" i="6"/>
  <c r="W92" i="6"/>
  <c r="K92" i="6"/>
  <c r="CC91" i="6"/>
  <c r="BT91" i="6"/>
  <c r="BK91" i="6"/>
  <c r="BB91" i="6"/>
  <c r="AO91" i="6"/>
  <c r="AF91" i="6"/>
  <c r="W91" i="6"/>
  <c r="K91" i="6"/>
  <c r="CC90" i="6"/>
  <c r="BT90" i="6"/>
  <c r="BK90" i="6"/>
  <c r="BB90" i="6"/>
  <c r="AO90" i="6"/>
  <c r="AF90" i="6"/>
  <c r="W90" i="6"/>
  <c r="K90" i="6"/>
  <c r="CC89" i="6"/>
  <c r="BT89" i="6"/>
  <c r="BK89" i="6"/>
  <c r="BB89" i="6"/>
  <c r="AO89" i="6"/>
  <c r="AF89" i="6"/>
  <c r="W89" i="6"/>
  <c r="K89" i="6"/>
  <c r="CC88" i="6"/>
  <c r="BT88" i="6"/>
  <c r="BK88" i="6"/>
  <c r="BB88" i="6"/>
  <c r="AO88" i="6"/>
  <c r="AF88" i="6"/>
  <c r="W88" i="6"/>
  <c r="K88" i="6"/>
  <c r="CC87" i="6"/>
  <c r="BT87" i="6"/>
  <c r="BK87" i="6"/>
  <c r="BB87" i="6"/>
  <c r="AO87" i="6"/>
  <c r="AF87" i="6"/>
  <c r="W87" i="6"/>
  <c r="K87" i="6"/>
  <c r="CC86" i="6"/>
  <c r="BT86" i="6"/>
  <c r="BK86" i="6"/>
  <c r="BB86" i="6"/>
  <c r="AO86" i="6"/>
  <c r="AF86" i="6"/>
  <c r="W86" i="6"/>
  <c r="K86" i="6"/>
  <c r="CC85" i="6"/>
  <c r="BT85" i="6"/>
  <c r="BK85" i="6"/>
  <c r="BB85" i="6"/>
  <c r="AO85" i="6"/>
  <c r="AF85" i="6"/>
  <c r="W85" i="6"/>
  <c r="K85" i="6"/>
  <c r="CC84" i="6"/>
  <c r="BT84" i="6"/>
  <c r="BK84" i="6"/>
  <c r="BB84" i="6"/>
  <c r="AO84" i="6"/>
  <c r="AF84" i="6"/>
  <c r="W84" i="6"/>
  <c r="K84" i="6"/>
  <c r="CC83" i="6"/>
  <c r="BT83" i="6"/>
  <c r="BK83" i="6"/>
  <c r="BB83" i="6"/>
  <c r="AO83" i="6"/>
  <c r="AF83" i="6"/>
  <c r="W83" i="6"/>
  <c r="K83" i="6"/>
  <c r="CC82" i="6"/>
  <c r="BT82" i="6"/>
  <c r="BK82" i="6"/>
  <c r="BB82" i="6"/>
  <c r="AO82" i="6"/>
  <c r="AF82" i="6"/>
  <c r="W82" i="6"/>
  <c r="K82" i="6"/>
  <c r="CC81" i="6"/>
  <c r="BT81" i="6"/>
  <c r="BK81" i="6"/>
  <c r="BB81" i="6"/>
  <c r="AO81" i="6"/>
  <c r="AF81" i="6"/>
  <c r="W81" i="6"/>
  <c r="K81" i="6"/>
  <c r="CC80" i="6"/>
  <c r="BT80" i="6"/>
  <c r="BK80" i="6"/>
  <c r="BB80" i="6"/>
  <c r="AO80" i="6"/>
  <c r="AF80" i="6"/>
  <c r="W80" i="6"/>
  <c r="K80" i="6"/>
  <c r="AH134" i="6" l="1"/>
  <c r="K111" i="6"/>
  <c r="EN302" i="1"/>
  <c r="BT148" i="6"/>
  <c r="W148" i="6"/>
  <c r="Y118" i="6"/>
  <c r="AO148" i="6"/>
  <c r="AH132" i="6"/>
  <c r="BK148" i="6"/>
  <c r="Y139" i="6"/>
  <c r="Y120" i="6"/>
  <c r="AH124" i="6"/>
  <c r="Y135" i="6"/>
  <c r="BT111" i="6"/>
  <c r="Y138" i="6"/>
  <c r="Y122" i="6"/>
  <c r="Y141" i="6"/>
  <c r="Y121" i="6"/>
  <c r="Y128" i="6"/>
  <c r="AH140" i="6"/>
  <c r="BB111" i="6"/>
  <c r="CC148" i="6"/>
  <c r="AF148" i="6"/>
  <c r="AH127" i="6"/>
  <c r="Y146" i="6"/>
  <c r="BB148" i="6"/>
  <c r="Y144" i="6"/>
  <c r="Y136" i="6"/>
  <c r="W111" i="6"/>
  <c r="AF111" i="6"/>
  <c r="AO111" i="6"/>
  <c r="BK111" i="6"/>
  <c r="CC111" i="6"/>
  <c r="K148" i="6"/>
  <c r="AH119" i="6"/>
  <c r="AH125" i="6"/>
  <c r="AH131" i="6"/>
  <c r="AH137" i="6"/>
  <c r="AH143" i="6"/>
  <c r="Y123" i="6"/>
  <c r="Y129" i="6"/>
  <c r="Y147" i="6"/>
  <c r="N148" i="6"/>
  <c r="J160" i="4" l="1"/>
  <c r="BG149" i="3"/>
  <c r="CX228" i="4" l="1"/>
  <c r="CW228" i="4"/>
  <c r="CV228" i="4"/>
  <c r="CT228" i="4"/>
  <c r="CS228" i="4"/>
  <c r="CR228" i="4"/>
  <c r="CQ228" i="4"/>
  <c r="CP228" i="4"/>
  <c r="CM228" i="4"/>
  <c r="CL228" i="4"/>
  <c r="CK228" i="4"/>
  <c r="CI228" i="4"/>
  <c r="CH228" i="4"/>
  <c r="CG228" i="4"/>
  <c r="CF228" i="4"/>
  <c r="CC228" i="4"/>
  <c r="CB228" i="4"/>
  <c r="CA228" i="4"/>
  <c r="BY228" i="4"/>
  <c r="BX228" i="4"/>
  <c r="BW228" i="4"/>
  <c r="BV228" i="4"/>
  <c r="BS228" i="4"/>
  <c r="BP228" i="4"/>
  <c r="BN228" i="4"/>
  <c r="BM228" i="4"/>
  <c r="BL228" i="4"/>
  <c r="BK228" i="4"/>
  <c r="BH228" i="4"/>
  <c r="BG228" i="4"/>
  <c r="BF228" i="4"/>
  <c r="BD228" i="4"/>
  <c r="BC228" i="4"/>
  <c r="BB228" i="4"/>
  <c r="BA228" i="4"/>
  <c r="AX228" i="4"/>
  <c r="AW228" i="4"/>
  <c r="AV228" i="4"/>
  <c r="AT228" i="4"/>
  <c r="AS228" i="4"/>
  <c r="AR228" i="4"/>
  <c r="AQ228" i="4"/>
  <c r="AN228" i="4"/>
  <c r="AM228" i="4"/>
  <c r="AL228" i="4"/>
  <c r="AJ228" i="4"/>
  <c r="AI228" i="4"/>
  <c r="AH228" i="4"/>
  <c r="AG228" i="4"/>
  <c r="AD228" i="4"/>
  <c r="AC228" i="4"/>
  <c r="AB228" i="4"/>
  <c r="Z228" i="4"/>
  <c r="Y228" i="4"/>
  <c r="X228" i="4"/>
  <c r="W228" i="4"/>
  <c r="Q228" i="4"/>
  <c r="O228" i="4"/>
  <c r="N228" i="4"/>
  <c r="M228" i="4"/>
  <c r="L228" i="4"/>
  <c r="I228" i="4"/>
  <c r="H228" i="4"/>
  <c r="G228" i="4"/>
  <c r="E228" i="4"/>
  <c r="D228" i="4"/>
  <c r="C228" i="4"/>
  <c r="B228" i="4"/>
  <c r="CY227" i="4"/>
  <c r="CN227" i="4"/>
  <c r="CD227" i="4"/>
  <c r="BT227" i="4"/>
  <c r="BI227" i="4"/>
  <c r="AY227" i="4"/>
  <c r="AO227" i="4"/>
  <c r="AE227" i="4"/>
  <c r="U227" i="4"/>
  <c r="J227" i="4"/>
  <c r="CY226" i="4"/>
  <c r="CN226" i="4"/>
  <c r="CD226" i="4"/>
  <c r="BT226" i="4"/>
  <c r="BI226" i="4"/>
  <c r="AY226" i="4"/>
  <c r="AO226" i="4"/>
  <c r="AE226" i="4"/>
  <c r="U226" i="4"/>
  <c r="J226" i="4"/>
  <c r="CY225" i="4"/>
  <c r="CN225" i="4"/>
  <c r="CD225" i="4"/>
  <c r="BT225" i="4"/>
  <c r="BI225" i="4"/>
  <c r="AY225" i="4"/>
  <c r="AO225" i="4"/>
  <c r="AE225" i="4"/>
  <c r="U225" i="4"/>
  <c r="J225" i="4"/>
  <c r="CY224" i="4"/>
  <c r="CN224" i="4"/>
  <c r="CD224" i="4"/>
  <c r="BT224" i="4"/>
  <c r="BI224" i="4"/>
  <c r="AY224" i="4"/>
  <c r="AO224" i="4"/>
  <c r="AE224" i="4"/>
  <c r="U224" i="4"/>
  <c r="J224" i="4"/>
  <c r="CY223" i="4"/>
  <c r="CN223" i="4"/>
  <c r="CD223" i="4"/>
  <c r="BT223" i="4"/>
  <c r="BI223" i="4"/>
  <c r="AY223" i="4"/>
  <c r="AO223" i="4"/>
  <c r="AE223" i="4"/>
  <c r="U223" i="4"/>
  <c r="J223" i="4"/>
  <c r="CY222" i="4"/>
  <c r="CN222" i="4"/>
  <c r="CD222" i="4"/>
  <c r="BT222" i="4"/>
  <c r="BI222" i="4"/>
  <c r="AY222" i="4"/>
  <c r="AO222" i="4"/>
  <c r="AE222" i="4"/>
  <c r="U222" i="4"/>
  <c r="J222" i="4"/>
  <c r="CY221" i="4"/>
  <c r="CN221" i="4"/>
  <c r="CD221" i="4"/>
  <c r="BT221" i="4"/>
  <c r="BI221" i="4"/>
  <c r="AY221" i="4"/>
  <c r="AO221" i="4"/>
  <c r="AE221" i="4"/>
  <c r="U221" i="4"/>
  <c r="J221" i="4"/>
  <c r="CY220" i="4"/>
  <c r="CN220" i="4"/>
  <c r="CD220" i="4"/>
  <c r="BT220" i="4"/>
  <c r="BI220" i="4"/>
  <c r="AY220" i="4"/>
  <c r="AO220" i="4"/>
  <c r="AE220" i="4"/>
  <c r="U220" i="4"/>
  <c r="J220" i="4"/>
  <c r="CY219" i="4"/>
  <c r="CN219" i="4"/>
  <c r="CD219" i="4"/>
  <c r="BT219" i="4"/>
  <c r="BI219" i="4"/>
  <c r="AY219" i="4"/>
  <c r="AO219" i="4"/>
  <c r="AE219" i="4"/>
  <c r="U219" i="4"/>
  <c r="J219" i="4"/>
  <c r="CY218" i="4"/>
  <c r="CN218" i="4"/>
  <c r="CD218" i="4"/>
  <c r="BT218" i="4"/>
  <c r="BI218" i="4"/>
  <c r="AY218" i="4"/>
  <c r="AO218" i="4"/>
  <c r="AE218" i="4"/>
  <c r="U218" i="4"/>
  <c r="J218" i="4"/>
  <c r="CY217" i="4"/>
  <c r="CN217" i="4"/>
  <c r="CD217" i="4"/>
  <c r="BT217" i="4"/>
  <c r="BI217" i="4"/>
  <c r="AY217" i="4"/>
  <c r="AO217" i="4"/>
  <c r="AE217" i="4"/>
  <c r="U217" i="4"/>
  <c r="J217" i="4"/>
  <c r="CY216" i="4"/>
  <c r="CN216" i="4"/>
  <c r="CD216" i="4"/>
  <c r="BT216" i="4"/>
  <c r="BI216" i="4"/>
  <c r="AY216" i="4"/>
  <c r="AO216" i="4"/>
  <c r="AE216" i="4"/>
  <c r="U216" i="4"/>
  <c r="J216" i="4"/>
  <c r="CY215" i="4"/>
  <c r="CN215" i="4"/>
  <c r="CD215" i="4"/>
  <c r="BT215" i="4"/>
  <c r="BI215" i="4"/>
  <c r="AY215" i="4"/>
  <c r="AO215" i="4"/>
  <c r="AE215" i="4"/>
  <c r="U215" i="4"/>
  <c r="J215" i="4"/>
  <c r="CY214" i="4"/>
  <c r="CN214" i="4"/>
  <c r="CD214" i="4"/>
  <c r="BT214" i="4"/>
  <c r="BI214" i="4"/>
  <c r="AY214" i="4"/>
  <c r="AO214" i="4"/>
  <c r="AE214" i="4"/>
  <c r="U214" i="4"/>
  <c r="J214" i="4"/>
  <c r="CY213" i="4"/>
  <c r="CN213" i="4"/>
  <c r="CD213" i="4"/>
  <c r="BT213" i="4"/>
  <c r="BI213" i="4"/>
  <c r="AY213" i="4"/>
  <c r="AO213" i="4"/>
  <c r="AE213" i="4"/>
  <c r="U213" i="4"/>
  <c r="J213" i="4"/>
  <c r="CY212" i="4"/>
  <c r="CN212" i="4"/>
  <c r="CD212" i="4"/>
  <c r="BT212" i="4"/>
  <c r="BI212" i="4"/>
  <c r="AY212" i="4"/>
  <c r="AO212" i="4"/>
  <c r="AE212" i="4"/>
  <c r="U212" i="4"/>
  <c r="J212" i="4"/>
  <c r="CY211" i="4"/>
  <c r="CN211" i="4"/>
  <c r="CD211" i="4"/>
  <c r="BT211" i="4"/>
  <c r="BI211" i="4"/>
  <c r="AY211" i="4"/>
  <c r="AO211" i="4"/>
  <c r="AE211" i="4"/>
  <c r="U211" i="4"/>
  <c r="J211" i="4"/>
  <c r="CY210" i="4"/>
  <c r="CN210" i="4"/>
  <c r="CD210" i="4"/>
  <c r="BT210" i="4"/>
  <c r="BI210" i="4"/>
  <c r="AY210" i="4"/>
  <c r="AO210" i="4"/>
  <c r="AE210" i="4"/>
  <c r="U210" i="4"/>
  <c r="J210" i="4"/>
  <c r="CY209" i="4"/>
  <c r="CN209" i="4"/>
  <c r="CD209" i="4"/>
  <c r="BT209" i="4"/>
  <c r="BI209" i="4"/>
  <c r="AY209" i="4"/>
  <c r="AO209" i="4"/>
  <c r="AE209" i="4"/>
  <c r="U209" i="4"/>
  <c r="J209" i="4"/>
  <c r="CY208" i="4"/>
  <c r="CN208" i="4"/>
  <c r="CD208" i="4"/>
  <c r="BT208" i="4"/>
  <c r="BI208" i="4"/>
  <c r="AY208" i="4"/>
  <c r="AO208" i="4"/>
  <c r="AE208" i="4"/>
  <c r="U208" i="4"/>
  <c r="J208" i="4"/>
  <c r="CY207" i="4"/>
  <c r="CN207" i="4"/>
  <c r="CD207" i="4"/>
  <c r="BT207" i="4"/>
  <c r="BI207" i="4"/>
  <c r="AY207" i="4"/>
  <c r="AO207" i="4"/>
  <c r="AE207" i="4"/>
  <c r="U207" i="4"/>
  <c r="J207" i="4"/>
  <c r="CY206" i="4"/>
  <c r="CN206" i="4"/>
  <c r="CD206" i="4"/>
  <c r="BT206" i="4"/>
  <c r="BI206" i="4"/>
  <c r="AY206" i="4"/>
  <c r="AO206" i="4"/>
  <c r="AE206" i="4"/>
  <c r="U206" i="4"/>
  <c r="J206" i="4"/>
  <c r="CY205" i="4"/>
  <c r="CN205" i="4"/>
  <c r="CD205" i="4"/>
  <c r="BT205" i="4"/>
  <c r="BI205" i="4"/>
  <c r="AY205" i="4"/>
  <c r="AO205" i="4"/>
  <c r="AE205" i="4"/>
  <c r="U205" i="4"/>
  <c r="J205" i="4"/>
  <c r="CY204" i="4"/>
  <c r="CN204" i="4"/>
  <c r="CD204" i="4"/>
  <c r="BT204" i="4"/>
  <c r="BI204" i="4"/>
  <c r="AY204" i="4"/>
  <c r="AO204" i="4"/>
  <c r="AE204" i="4"/>
  <c r="U204" i="4"/>
  <c r="J204" i="4"/>
  <c r="CY203" i="4"/>
  <c r="CN203" i="4"/>
  <c r="CD203" i="4"/>
  <c r="BT203" i="4"/>
  <c r="BI203" i="4"/>
  <c r="AY203" i="4"/>
  <c r="AO203" i="4"/>
  <c r="AE203" i="4"/>
  <c r="U203" i="4"/>
  <c r="J203" i="4"/>
  <c r="CY202" i="4"/>
  <c r="CN202" i="4"/>
  <c r="CD202" i="4"/>
  <c r="BT202" i="4"/>
  <c r="BI202" i="4"/>
  <c r="AY202" i="4"/>
  <c r="AO202" i="4"/>
  <c r="AE202" i="4"/>
  <c r="U202" i="4"/>
  <c r="J202" i="4"/>
  <c r="CY201" i="4"/>
  <c r="CN201" i="4"/>
  <c r="CD201" i="4"/>
  <c r="BT201" i="4"/>
  <c r="BI201" i="4"/>
  <c r="AY201" i="4"/>
  <c r="AO201" i="4"/>
  <c r="AE201" i="4"/>
  <c r="U201" i="4"/>
  <c r="J201" i="4"/>
  <c r="CY200" i="4"/>
  <c r="CN200" i="4"/>
  <c r="CD200" i="4"/>
  <c r="BT200" i="4"/>
  <c r="BI200" i="4"/>
  <c r="AY200" i="4"/>
  <c r="AO200" i="4"/>
  <c r="AE200" i="4"/>
  <c r="U200" i="4"/>
  <c r="J200" i="4"/>
  <c r="CY199" i="4"/>
  <c r="CN199" i="4"/>
  <c r="CD199" i="4"/>
  <c r="BT199" i="4"/>
  <c r="BI199" i="4"/>
  <c r="AY199" i="4"/>
  <c r="AO199" i="4"/>
  <c r="AE199" i="4"/>
  <c r="U199" i="4"/>
  <c r="J199" i="4"/>
  <c r="CY198" i="4"/>
  <c r="CN198" i="4"/>
  <c r="CD198" i="4"/>
  <c r="BT198" i="4"/>
  <c r="BI198" i="4"/>
  <c r="AY198" i="4"/>
  <c r="AO198" i="4"/>
  <c r="AE198" i="4"/>
  <c r="U198" i="4"/>
  <c r="J198" i="4"/>
  <c r="CY228" i="4" l="1"/>
  <c r="AY228" i="4"/>
  <c r="CD228" i="4"/>
  <c r="CN228" i="4"/>
  <c r="J228" i="4"/>
  <c r="AO228" i="4"/>
  <c r="BT228" i="4"/>
  <c r="BI228" i="4"/>
  <c r="AE228" i="4"/>
  <c r="U228" i="4"/>
  <c r="CX191" i="4"/>
  <c r="CW191" i="4"/>
  <c r="CV191" i="4"/>
  <c r="CT191" i="4"/>
  <c r="CS191" i="4"/>
  <c r="CR191" i="4"/>
  <c r="CQ191" i="4"/>
  <c r="CP191" i="4"/>
  <c r="CM191" i="4"/>
  <c r="CL191" i="4"/>
  <c r="CK191" i="4"/>
  <c r="CI191" i="4"/>
  <c r="CH191" i="4"/>
  <c r="CG191" i="4"/>
  <c r="CF191" i="4"/>
  <c r="CC191" i="4"/>
  <c r="CB191" i="4"/>
  <c r="CA191" i="4"/>
  <c r="BY191" i="4"/>
  <c r="BX191" i="4"/>
  <c r="BW191" i="4"/>
  <c r="BV191" i="4"/>
  <c r="BP191" i="4"/>
  <c r="BN191" i="4"/>
  <c r="BM191" i="4"/>
  <c r="BL191" i="4"/>
  <c r="BK191" i="4"/>
  <c r="BH191" i="4"/>
  <c r="BG191" i="4"/>
  <c r="BF191" i="4"/>
  <c r="BD191" i="4"/>
  <c r="BC191" i="4"/>
  <c r="BB191" i="4"/>
  <c r="BA191" i="4"/>
  <c r="AX191" i="4"/>
  <c r="AW191" i="4"/>
  <c r="AV191" i="4"/>
  <c r="AT191" i="4"/>
  <c r="AS191" i="4"/>
  <c r="AR191" i="4"/>
  <c r="AQ191" i="4"/>
  <c r="AN191" i="4"/>
  <c r="AM191" i="4"/>
  <c r="AL191" i="4"/>
  <c r="AJ191" i="4"/>
  <c r="AI191" i="4"/>
  <c r="AH191" i="4"/>
  <c r="AG191" i="4"/>
  <c r="AD191" i="4"/>
  <c r="AC191" i="4"/>
  <c r="AB191" i="4"/>
  <c r="Z191" i="4"/>
  <c r="Y191" i="4"/>
  <c r="X191" i="4"/>
  <c r="W191" i="4"/>
  <c r="T191" i="4"/>
  <c r="Q191" i="4"/>
  <c r="O191" i="4"/>
  <c r="N191" i="4"/>
  <c r="M191" i="4"/>
  <c r="L191" i="4"/>
  <c r="I191" i="4"/>
  <c r="H191" i="4"/>
  <c r="G191" i="4"/>
  <c r="E191" i="4"/>
  <c r="D191" i="4"/>
  <c r="C191" i="4"/>
  <c r="B191" i="4"/>
  <c r="CY190" i="4"/>
  <c r="CN190" i="4"/>
  <c r="CD190" i="4"/>
  <c r="BT190" i="4"/>
  <c r="BI190" i="4"/>
  <c r="AY190" i="4"/>
  <c r="AO190" i="4"/>
  <c r="AE190" i="4"/>
  <c r="U190" i="4"/>
  <c r="J190" i="4"/>
  <c r="CY189" i="4"/>
  <c r="CN189" i="4"/>
  <c r="CD189" i="4"/>
  <c r="BT189" i="4"/>
  <c r="BI189" i="4"/>
  <c r="AY189" i="4"/>
  <c r="AO189" i="4"/>
  <c r="AE189" i="4"/>
  <c r="U189" i="4"/>
  <c r="J189" i="4"/>
  <c r="CY188" i="4"/>
  <c r="CN188" i="4"/>
  <c r="CD188" i="4"/>
  <c r="BT188" i="4"/>
  <c r="BI188" i="4"/>
  <c r="AY188" i="4"/>
  <c r="AO188" i="4"/>
  <c r="AE188" i="4"/>
  <c r="U188" i="4"/>
  <c r="J188" i="4"/>
  <c r="CY187" i="4"/>
  <c r="CN187" i="4"/>
  <c r="CD187" i="4"/>
  <c r="BT187" i="4"/>
  <c r="BI187" i="4"/>
  <c r="AY187" i="4"/>
  <c r="AO187" i="4"/>
  <c r="AE187" i="4"/>
  <c r="U187" i="4"/>
  <c r="J187" i="4"/>
  <c r="CY186" i="4"/>
  <c r="CN186" i="4"/>
  <c r="CD186" i="4"/>
  <c r="BT186" i="4"/>
  <c r="BI186" i="4"/>
  <c r="AY186" i="4"/>
  <c r="AO186" i="4"/>
  <c r="AE186" i="4"/>
  <c r="U186" i="4"/>
  <c r="J186" i="4"/>
  <c r="CY185" i="4"/>
  <c r="CN185" i="4"/>
  <c r="CD185" i="4"/>
  <c r="BT185" i="4"/>
  <c r="BI185" i="4"/>
  <c r="AY185" i="4"/>
  <c r="AO185" i="4"/>
  <c r="AE185" i="4"/>
  <c r="U185" i="4"/>
  <c r="J185" i="4"/>
  <c r="CY184" i="4"/>
  <c r="CN184" i="4"/>
  <c r="CD184" i="4"/>
  <c r="BT184" i="4"/>
  <c r="BI184" i="4"/>
  <c r="AY184" i="4"/>
  <c r="AO184" i="4"/>
  <c r="AE184" i="4"/>
  <c r="U184" i="4"/>
  <c r="J184" i="4"/>
  <c r="CY183" i="4"/>
  <c r="CN183" i="4"/>
  <c r="CD183" i="4"/>
  <c r="BT183" i="4"/>
  <c r="BI183" i="4"/>
  <c r="AY183" i="4"/>
  <c r="AO183" i="4"/>
  <c r="AE183" i="4"/>
  <c r="U183" i="4"/>
  <c r="J183" i="4"/>
  <c r="CY182" i="4"/>
  <c r="CN182" i="4"/>
  <c r="CD182" i="4"/>
  <c r="BT182" i="4"/>
  <c r="BI182" i="4"/>
  <c r="AY182" i="4"/>
  <c r="AO182" i="4"/>
  <c r="AE182" i="4"/>
  <c r="U182" i="4"/>
  <c r="J182" i="4"/>
  <c r="CY181" i="4"/>
  <c r="CN181" i="4"/>
  <c r="CD181" i="4"/>
  <c r="BT181" i="4"/>
  <c r="BI181" i="4"/>
  <c r="AY181" i="4"/>
  <c r="AO181" i="4"/>
  <c r="AE181" i="4"/>
  <c r="U181" i="4"/>
  <c r="J181" i="4"/>
  <c r="CY180" i="4"/>
  <c r="CN180" i="4"/>
  <c r="CD180" i="4"/>
  <c r="BT180" i="4"/>
  <c r="BI180" i="4"/>
  <c r="AY180" i="4"/>
  <c r="AO180" i="4"/>
  <c r="AE180" i="4"/>
  <c r="U180" i="4"/>
  <c r="J180" i="4"/>
  <c r="CY179" i="4"/>
  <c r="CN179" i="4"/>
  <c r="CD179" i="4"/>
  <c r="BT179" i="4"/>
  <c r="BI179" i="4"/>
  <c r="AY179" i="4"/>
  <c r="AO179" i="4"/>
  <c r="AE179" i="4"/>
  <c r="U179" i="4"/>
  <c r="J179" i="4"/>
  <c r="CY178" i="4"/>
  <c r="CN178" i="4"/>
  <c r="CD178" i="4"/>
  <c r="BT178" i="4"/>
  <c r="BI178" i="4"/>
  <c r="AY178" i="4"/>
  <c r="AO178" i="4"/>
  <c r="AE178" i="4"/>
  <c r="U178" i="4"/>
  <c r="J178" i="4"/>
  <c r="CY177" i="4"/>
  <c r="CN177" i="4"/>
  <c r="CD177" i="4"/>
  <c r="BT177" i="4"/>
  <c r="BI177" i="4"/>
  <c r="AY177" i="4"/>
  <c r="AO177" i="4"/>
  <c r="AE177" i="4"/>
  <c r="U177" i="4"/>
  <c r="J177" i="4"/>
  <c r="CY176" i="4"/>
  <c r="CN176" i="4"/>
  <c r="CD176" i="4"/>
  <c r="BT176" i="4"/>
  <c r="BI176" i="4"/>
  <c r="AY176" i="4"/>
  <c r="AO176" i="4"/>
  <c r="AE176" i="4"/>
  <c r="U176" i="4"/>
  <c r="J176" i="4"/>
  <c r="CY175" i="4"/>
  <c r="CN175" i="4"/>
  <c r="CD175" i="4"/>
  <c r="BT175" i="4"/>
  <c r="BI175" i="4"/>
  <c r="AY175" i="4"/>
  <c r="AO175" i="4"/>
  <c r="AE175" i="4"/>
  <c r="U175" i="4"/>
  <c r="J175" i="4"/>
  <c r="CY174" i="4"/>
  <c r="CN174" i="4"/>
  <c r="CD174" i="4"/>
  <c r="BT174" i="4"/>
  <c r="BI174" i="4"/>
  <c r="AY174" i="4"/>
  <c r="AO174" i="4"/>
  <c r="AE174" i="4"/>
  <c r="U174" i="4"/>
  <c r="J174" i="4"/>
  <c r="CY173" i="4"/>
  <c r="CN173" i="4"/>
  <c r="CD173" i="4"/>
  <c r="BT173" i="4"/>
  <c r="BI173" i="4"/>
  <c r="AY173" i="4"/>
  <c r="AO173" i="4"/>
  <c r="AE173" i="4"/>
  <c r="U173" i="4"/>
  <c r="J173" i="4"/>
  <c r="CY172" i="4"/>
  <c r="CN172" i="4"/>
  <c r="CD172" i="4"/>
  <c r="BT172" i="4"/>
  <c r="BI172" i="4"/>
  <c r="AY172" i="4"/>
  <c r="AO172" i="4"/>
  <c r="AE172" i="4"/>
  <c r="U172" i="4"/>
  <c r="J172" i="4"/>
  <c r="CY171" i="4"/>
  <c r="CN171" i="4"/>
  <c r="CD171" i="4"/>
  <c r="BT171" i="4"/>
  <c r="BI171" i="4"/>
  <c r="AY171" i="4"/>
  <c r="AO171" i="4"/>
  <c r="AE171" i="4"/>
  <c r="U171" i="4"/>
  <c r="J171" i="4"/>
  <c r="CY170" i="4"/>
  <c r="CN170" i="4"/>
  <c r="CD170" i="4"/>
  <c r="BT170" i="4"/>
  <c r="BI170" i="4"/>
  <c r="AY170" i="4"/>
  <c r="AO170" i="4"/>
  <c r="AE170" i="4"/>
  <c r="U170" i="4"/>
  <c r="J170" i="4"/>
  <c r="CY169" i="4"/>
  <c r="CN169" i="4"/>
  <c r="CD169" i="4"/>
  <c r="BT169" i="4"/>
  <c r="BI169" i="4"/>
  <c r="AY169" i="4"/>
  <c r="AO169" i="4"/>
  <c r="AE169" i="4"/>
  <c r="U169" i="4"/>
  <c r="J169" i="4"/>
  <c r="CY168" i="4"/>
  <c r="CN168" i="4"/>
  <c r="CD168" i="4"/>
  <c r="BT168" i="4"/>
  <c r="BI168" i="4"/>
  <c r="AY168" i="4"/>
  <c r="AO168" i="4"/>
  <c r="AE168" i="4"/>
  <c r="U168" i="4"/>
  <c r="J168" i="4"/>
  <c r="CY167" i="4"/>
  <c r="CN167" i="4"/>
  <c r="CD167" i="4"/>
  <c r="BT167" i="4"/>
  <c r="BI167" i="4"/>
  <c r="AY167" i="4"/>
  <c r="AO167" i="4"/>
  <c r="AE167" i="4"/>
  <c r="U167" i="4"/>
  <c r="J167" i="4"/>
  <c r="CY166" i="4"/>
  <c r="CN166" i="4"/>
  <c r="CD166" i="4"/>
  <c r="BT166" i="4"/>
  <c r="BI166" i="4"/>
  <c r="AY166" i="4"/>
  <c r="AO166" i="4"/>
  <c r="AE166" i="4"/>
  <c r="U166" i="4"/>
  <c r="J166" i="4"/>
  <c r="CY165" i="4"/>
  <c r="CN165" i="4"/>
  <c r="CD165" i="4"/>
  <c r="BT165" i="4"/>
  <c r="BI165" i="4"/>
  <c r="AY165" i="4"/>
  <c r="AO165" i="4"/>
  <c r="AE165" i="4"/>
  <c r="U165" i="4"/>
  <c r="J165" i="4"/>
  <c r="CY164" i="4"/>
  <c r="CN164" i="4"/>
  <c r="CD164" i="4"/>
  <c r="BT164" i="4"/>
  <c r="BI164" i="4"/>
  <c r="AY164" i="4"/>
  <c r="AO164" i="4"/>
  <c r="AE164" i="4"/>
  <c r="U164" i="4"/>
  <c r="J164" i="4"/>
  <c r="CY163" i="4"/>
  <c r="CN163" i="4"/>
  <c r="CD163" i="4"/>
  <c r="BT163" i="4"/>
  <c r="BI163" i="4"/>
  <c r="AY163" i="4"/>
  <c r="AO163" i="4"/>
  <c r="AE163" i="4"/>
  <c r="U163" i="4"/>
  <c r="J163" i="4"/>
  <c r="CY162" i="4"/>
  <c r="CN162" i="4"/>
  <c r="CD162" i="4"/>
  <c r="BT162" i="4"/>
  <c r="BI162" i="4"/>
  <c r="AY162" i="4"/>
  <c r="AO162" i="4"/>
  <c r="AE162" i="4"/>
  <c r="U162" i="4"/>
  <c r="J162" i="4"/>
  <c r="CY161" i="4"/>
  <c r="CN161" i="4"/>
  <c r="CD161" i="4"/>
  <c r="BT161" i="4"/>
  <c r="BI161" i="4"/>
  <c r="AY161" i="4"/>
  <c r="AO161" i="4"/>
  <c r="AE161" i="4"/>
  <c r="U161" i="4"/>
  <c r="J161" i="4"/>
  <c r="CY160" i="4"/>
  <c r="CN160" i="4"/>
  <c r="CD160" i="4"/>
  <c r="BT160" i="4"/>
  <c r="BI160" i="4"/>
  <c r="AY160" i="4"/>
  <c r="AO160" i="4"/>
  <c r="AE160" i="4"/>
  <c r="U160" i="4"/>
  <c r="CY191" i="4" l="1"/>
  <c r="J191" i="4"/>
  <c r="AO191" i="4"/>
  <c r="U191" i="4"/>
  <c r="CN191" i="4"/>
  <c r="BI191" i="4"/>
  <c r="CD191" i="4"/>
  <c r="BT191" i="4"/>
  <c r="AY191" i="4"/>
  <c r="AE191" i="4"/>
  <c r="EX302" i="1"/>
  <c r="EW302" i="1"/>
  <c r="EV302" i="1"/>
  <c r="ET302" i="1"/>
  <c r="ES302" i="1"/>
  <c r="ER302" i="1"/>
  <c r="EQ302" i="1"/>
  <c r="EM302" i="1"/>
  <c r="EL302" i="1"/>
  <c r="EK302" i="1"/>
  <c r="EI302" i="1"/>
  <c r="EH302" i="1"/>
  <c r="EG302" i="1"/>
  <c r="EF302" i="1"/>
  <c r="EB302" i="1"/>
  <c r="EA302" i="1"/>
  <c r="DZ302" i="1"/>
  <c r="DX302" i="1"/>
  <c r="DW302" i="1"/>
  <c r="DV302" i="1"/>
  <c r="DU302" i="1"/>
  <c r="DQ302" i="1"/>
  <c r="DP302" i="1"/>
  <c r="DO302" i="1"/>
  <c r="DM302" i="1"/>
  <c r="DL302" i="1"/>
  <c r="DK302" i="1"/>
  <c r="DJ302" i="1"/>
  <c r="DF302" i="1"/>
  <c r="DE302" i="1"/>
  <c r="DD302" i="1"/>
  <c r="DB302" i="1"/>
  <c r="DA302" i="1"/>
  <c r="CZ302" i="1"/>
  <c r="CY302" i="1"/>
  <c r="CU302" i="1"/>
  <c r="CT302" i="1"/>
  <c r="CS302" i="1"/>
  <c r="CQ302" i="1"/>
  <c r="CP302" i="1"/>
  <c r="CO302" i="1"/>
  <c r="CN302" i="1"/>
  <c r="CJ302" i="1"/>
  <c r="CI302" i="1"/>
  <c r="CH302" i="1"/>
  <c r="CF302" i="1"/>
  <c r="CE302" i="1"/>
  <c r="CD302" i="1"/>
  <c r="CC302" i="1"/>
  <c r="BY302" i="1"/>
  <c r="BX302" i="1"/>
  <c r="BW302" i="1"/>
  <c r="BU302" i="1"/>
  <c r="BT302" i="1"/>
  <c r="BS302" i="1"/>
  <c r="BR302" i="1"/>
  <c r="BN302" i="1"/>
  <c r="BM302" i="1"/>
  <c r="BL302" i="1"/>
  <c r="BJ302" i="1"/>
  <c r="BI302" i="1"/>
  <c r="BH302" i="1"/>
  <c r="BG302" i="1"/>
  <c r="BC302" i="1"/>
  <c r="BB302" i="1"/>
  <c r="BA302" i="1"/>
  <c r="AY302" i="1"/>
  <c r="AX302" i="1"/>
  <c r="AV302" i="1"/>
  <c r="AR302" i="1"/>
  <c r="AQ302" i="1"/>
  <c r="AP302" i="1"/>
  <c r="AN302" i="1"/>
  <c r="AM302" i="1"/>
  <c r="AL302" i="1"/>
  <c r="AK302" i="1"/>
  <c r="AG302" i="1"/>
  <c r="AF302" i="1"/>
  <c r="AE302" i="1"/>
  <c r="AC302" i="1"/>
  <c r="AB302" i="1"/>
  <c r="AA302" i="1"/>
  <c r="Z302" i="1"/>
  <c r="V302" i="1"/>
  <c r="U302" i="1"/>
  <c r="T302" i="1"/>
  <c r="R302" i="1"/>
  <c r="Q302" i="1"/>
  <c r="K302" i="1"/>
  <c r="J302" i="1"/>
  <c r="I302" i="1"/>
  <c r="E302" i="1"/>
  <c r="D302" i="1"/>
  <c r="C302" i="1"/>
  <c r="N301" i="1"/>
  <c r="Y301" i="1" s="1"/>
  <c r="AJ301" i="1" s="1"/>
  <c r="AU301" i="1" s="1"/>
  <c r="BF301" i="1" s="1"/>
  <c r="BQ301" i="1" s="1"/>
  <c r="CB301" i="1" s="1"/>
  <c r="CM301" i="1" s="1"/>
  <c r="CX301" i="1" s="1"/>
  <c r="DI301" i="1" s="1"/>
  <c r="DT301" i="1" s="1"/>
  <c r="EE301" i="1" s="1"/>
  <c r="EP301" i="1" s="1"/>
  <c r="DR300" i="1"/>
  <c r="N300" i="1"/>
  <c r="Y300" i="1" s="1"/>
  <c r="AJ300" i="1" s="1"/>
  <c r="AU300" i="1" s="1"/>
  <c r="BF300" i="1" s="1"/>
  <c r="BQ300" i="1" s="1"/>
  <c r="CB300" i="1" s="1"/>
  <c r="CM300" i="1" s="1"/>
  <c r="CX300" i="1" s="1"/>
  <c r="DI300" i="1" s="1"/>
  <c r="DT300" i="1" s="1"/>
  <c r="EE300" i="1" s="1"/>
  <c r="EP300" i="1" s="1"/>
  <c r="N299" i="1"/>
  <c r="Y299" i="1" s="1"/>
  <c r="AJ299" i="1" s="1"/>
  <c r="AU299" i="1" s="1"/>
  <c r="BF299" i="1" s="1"/>
  <c r="BQ299" i="1" s="1"/>
  <c r="CB299" i="1" s="1"/>
  <c r="CM299" i="1" s="1"/>
  <c r="CX299" i="1" s="1"/>
  <c r="DI299" i="1" s="1"/>
  <c r="DT299" i="1" s="1"/>
  <c r="EE299" i="1" s="1"/>
  <c r="EP299" i="1" s="1"/>
  <c r="N298" i="1"/>
  <c r="Y298" i="1" s="1"/>
  <c r="AJ298" i="1" s="1"/>
  <c r="AU298" i="1" s="1"/>
  <c r="BF298" i="1" s="1"/>
  <c r="BQ298" i="1" s="1"/>
  <c r="CB298" i="1" s="1"/>
  <c r="CM298" i="1" s="1"/>
  <c r="CX298" i="1" s="1"/>
  <c r="DI298" i="1" s="1"/>
  <c r="DT298" i="1" s="1"/>
  <c r="EE298" i="1" s="1"/>
  <c r="EP298" i="1" s="1"/>
  <c r="DR297" i="1"/>
  <c r="N297" i="1"/>
  <c r="Y297" i="1" s="1"/>
  <c r="AJ297" i="1" s="1"/>
  <c r="AU297" i="1" s="1"/>
  <c r="BF297" i="1" s="1"/>
  <c r="BQ297" i="1" s="1"/>
  <c r="CB297" i="1" s="1"/>
  <c r="CM297" i="1" s="1"/>
  <c r="CX297" i="1" s="1"/>
  <c r="DI297" i="1" s="1"/>
  <c r="DT297" i="1" s="1"/>
  <c r="EE297" i="1" s="1"/>
  <c r="EP297" i="1" s="1"/>
  <c r="DR296" i="1"/>
  <c r="N296" i="1"/>
  <c r="Y296" i="1" s="1"/>
  <c r="AJ296" i="1" s="1"/>
  <c r="AU296" i="1" s="1"/>
  <c r="BF296" i="1" s="1"/>
  <c r="BQ296" i="1" s="1"/>
  <c r="CB296" i="1" s="1"/>
  <c r="CM296" i="1" s="1"/>
  <c r="CX296" i="1" s="1"/>
  <c r="DI296" i="1" s="1"/>
  <c r="DT296" i="1" s="1"/>
  <c r="EE296" i="1" s="1"/>
  <c r="EP296" i="1" s="1"/>
  <c r="DR295" i="1"/>
  <c r="P295" i="1"/>
  <c r="P302" i="1" s="1"/>
  <c r="O295" i="1"/>
  <c r="O302" i="1" s="1"/>
  <c r="N295" i="1"/>
  <c r="Y295" i="1" s="1"/>
  <c r="AJ295" i="1" s="1"/>
  <c r="AU295" i="1" s="1"/>
  <c r="BF295" i="1" s="1"/>
  <c r="BQ295" i="1" s="1"/>
  <c r="CB295" i="1" s="1"/>
  <c r="CM295" i="1" s="1"/>
  <c r="CX295" i="1" s="1"/>
  <c r="DI295" i="1" s="1"/>
  <c r="DT295" i="1" s="1"/>
  <c r="EE295" i="1" s="1"/>
  <c r="EP295" i="1" s="1"/>
  <c r="EC294" i="1"/>
  <c r="DR294" i="1"/>
  <c r="DG294" i="1"/>
  <c r="N294" i="1"/>
  <c r="Y294" i="1" s="1"/>
  <c r="AJ294" i="1" s="1"/>
  <c r="AU294" i="1" s="1"/>
  <c r="BF294" i="1" s="1"/>
  <c r="BQ294" i="1" s="1"/>
  <c r="CB294" i="1" s="1"/>
  <c r="CM294" i="1" s="1"/>
  <c r="CX294" i="1" s="1"/>
  <c r="DI294" i="1" s="1"/>
  <c r="DT294" i="1" s="1"/>
  <c r="EE294" i="1" s="1"/>
  <c r="EP294" i="1" s="1"/>
  <c r="EC293" i="1"/>
  <c r="DR293" i="1"/>
  <c r="DG293" i="1"/>
  <c r="N293" i="1"/>
  <c r="Y293" i="1" s="1"/>
  <c r="AJ293" i="1" s="1"/>
  <c r="AU293" i="1" s="1"/>
  <c r="BF293" i="1" s="1"/>
  <c r="BQ293" i="1" s="1"/>
  <c r="CB293" i="1" s="1"/>
  <c r="CM293" i="1" s="1"/>
  <c r="CX293" i="1" s="1"/>
  <c r="DI293" i="1" s="1"/>
  <c r="DT293" i="1" s="1"/>
  <c r="EE293" i="1" s="1"/>
  <c r="EP293" i="1" s="1"/>
  <c r="EC292" i="1"/>
  <c r="DR292" i="1"/>
  <c r="DG292" i="1"/>
  <c r="N292" i="1"/>
  <c r="Y292" i="1" s="1"/>
  <c r="AJ292" i="1" s="1"/>
  <c r="AU292" i="1" s="1"/>
  <c r="BF292" i="1" s="1"/>
  <c r="BQ292" i="1" s="1"/>
  <c r="CB292" i="1" s="1"/>
  <c r="CM292" i="1" s="1"/>
  <c r="CX292" i="1" s="1"/>
  <c r="DI292" i="1" s="1"/>
  <c r="DT292" i="1" s="1"/>
  <c r="EE292" i="1" s="1"/>
  <c r="EP292" i="1" s="1"/>
  <c r="F292" i="1"/>
  <c r="EC291" i="1"/>
  <c r="DR291" i="1"/>
  <c r="DG291" i="1"/>
  <c r="CV291" i="1"/>
  <c r="N291" i="1"/>
  <c r="Y291" i="1" s="1"/>
  <c r="AJ291" i="1" s="1"/>
  <c r="AU291" i="1" s="1"/>
  <c r="BF291" i="1" s="1"/>
  <c r="BQ291" i="1" s="1"/>
  <c r="CB291" i="1" s="1"/>
  <c r="CM291" i="1" s="1"/>
  <c r="CX291" i="1" s="1"/>
  <c r="DI291" i="1" s="1"/>
  <c r="DT291" i="1" s="1"/>
  <c r="EE291" i="1" s="1"/>
  <c r="EP291" i="1" s="1"/>
  <c r="L291" i="1"/>
  <c r="F291" i="1"/>
  <c r="EC290" i="1"/>
  <c r="DR290" i="1"/>
  <c r="DG290" i="1"/>
  <c r="CV290" i="1"/>
  <c r="N290" i="1"/>
  <c r="Y290" i="1" s="1"/>
  <c r="AJ290" i="1" s="1"/>
  <c r="AU290" i="1" s="1"/>
  <c r="BF290" i="1" s="1"/>
  <c r="BQ290" i="1" s="1"/>
  <c r="CB290" i="1" s="1"/>
  <c r="CM290" i="1" s="1"/>
  <c r="CX290" i="1" s="1"/>
  <c r="DI290" i="1" s="1"/>
  <c r="DT290" i="1" s="1"/>
  <c r="EE290" i="1" s="1"/>
  <c r="EP290" i="1" s="1"/>
  <c r="L290" i="1"/>
  <c r="F290" i="1"/>
  <c r="EC289" i="1"/>
  <c r="DR289" i="1"/>
  <c r="DG289" i="1"/>
  <c r="CV289" i="1"/>
  <c r="N289" i="1"/>
  <c r="Y289" i="1" s="1"/>
  <c r="AJ289" i="1" s="1"/>
  <c r="AU289" i="1" s="1"/>
  <c r="BF289" i="1" s="1"/>
  <c r="BQ289" i="1" s="1"/>
  <c r="CB289" i="1" s="1"/>
  <c r="CM289" i="1" s="1"/>
  <c r="CX289" i="1" s="1"/>
  <c r="DI289" i="1" s="1"/>
  <c r="DT289" i="1" s="1"/>
  <c r="EE289" i="1" s="1"/>
  <c r="EP289" i="1" s="1"/>
  <c r="L289" i="1"/>
  <c r="F289" i="1"/>
  <c r="EC288" i="1"/>
  <c r="DR288" i="1"/>
  <c r="DG288" i="1"/>
  <c r="CV288" i="1"/>
  <c r="N288" i="1"/>
  <c r="Y288" i="1" s="1"/>
  <c r="AJ288" i="1" s="1"/>
  <c r="AU288" i="1" s="1"/>
  <c r="BF288" i="1" s="1"/>
  <c r="BQ288" i="1" s="1"/>
  <c r="CB288" i="1" s="1"/>
  <c r="CM288" i="1" s="1"/>
  <c r="CX288" i="1" s="1"/>
  <c r="DI288" i="1" s="1"/>
  <c r="DT288" i="1" s="1"/>
  <c r="EE288" i="1" s="1"/>
  <c r="EP288" i="1" s="1"/>
  <c r="L288" i="1"/>
  <c r="F288" i="1"/>
  <c r="EC287" i="1"/>
  <c r="DR287" i="1"/>
  <c r="DG287" i="1"/>
  <c r="CV287" i="1"/>
  <c r="BQ287" i="1"/>
  <c r="CB287" i="1" s="1"/>
  <c r="CM287" i="1" s="1"/>
  <c r="CX287" i="1" s="1"/>
  <c r="DI287" i="1" s="1"/>
  <c r="DT287" i="1" s="1"/>
  <c r="EE287" i="1" s="1"/>
  <c r="EP287" i="1" s="1"/>
  <c r="N287" i="1"/>
  <c r="Y287" i="1" s="1"/>
  <c r="AJ287" i="1" s="1"/>
  <c r="AU287" i="1" s="1"/>
  <c r="BF287" i="1" s="1"/>
  <c r="L287" i="1"/>
  <c r="F287" i="1"/>
  <c r="EC286" i="1"/>
  <c r="DR286" i="1"/>
  <c r="DG286" i="1"/>
  <c r="CV286" i="1"/>
  <c r="N286" i="1"/>
  <c r="Y286" i="1" s="1"/>
  <c r="AJ286" i="1" s="1"/>
  <c r="AU286" i="1" s="1"/>
  <c r="BF286" i="1" s="1"/>
  <c r="BQ286" i="1" s="1"/>
  <c r="CB286" i="1" s="1"/>
  <c r="CM286" i="1" s="1"/>
  <c r="CX286" i="1" s="1"/>
  <c r="DI286" i="1" s="1"/>
  <c r="DT286" i="1" s="1"/>
  <c r="EE286" i="1" s="1"/>
  <c r="EP286" i="1" s="1"/>
  <c r="L286" i="1"/>
  <c r="F286" i="1"/>
  <c r="EC285" i="1"/>
  <c r="DR285" i="1"/>
  <c r="DG285" i="1"/>
  <c r="CV285" i="1"/>
  <c r="Y285" i="1"/>
  <c r="AJ285" i="1" s="1"/>
  <c r="AU285" i="1" s="1"/>
  <c r="BF285" i="1" s="1"/>
  <c r="BQ285" i="1" s="1"/>
  <c r="CB285" i="1" s="1"/>
  <c r="CM285" i="1" s="1"/>
  <c r="CX285" i="1" s="1"/>
  <c r="DI285" i="1" s="1"/>
  <c r="DT285" i="1" s="1"/>
  <c r="EE285" i="1" s="1"/>
  <c r="EP285" i="1" s="1"/>
  <c r="N285" i="1"/>
  <c r="L285" i="1"/>
  <c r="F285" i="1"/>
  <c r="EC284" i="1"/>
  <c r="DR284" i="1"/>
  <c r="DG284" i="1"/>
  <c r="CV284" i="1"/>
  <c r="N284" i="1"/>
  <c r="Y284" i="1" s="1"/>
  <c r="AJ284" i="1" s="1"/>
  <c r="AU284" i="1" s="1"/>
  <c r="BF284" i="1" s="1"/>
  <c r="BQ284" i="1" s="1"/>
  <c r="CB284" i="1" s="1"/>
  <c r="CM284" i="1" s="1"/>
  <c r="CX284" i="1" s="1"/>
  <c r="DI284" i="1" s="1"/>
  <c r="DT284" i="1" s="1"/>
  <c r="EE284" i="1" s="1"/>
  <c r="EP284" i="1" s="1"/>
  <c r="L284" i="1"/>
  <c r="F284" i="1"/>
  <c r="EC283" i="1"/>
  <c r="DR283" i="1"/>
  <c r="DG283" i="1"/>
  <c r="CV283" i="1"/>
  <c r="N283" i="1"/>
  <c r="Y283" i="1" s="1"/>
  <c r="AJ283" i="1" s="1"/>
  <c r="AU283" i="1" s="1"/>
  <c r="BF283" i="1" s="1"/>
  <c r="BQ283" i="1" s="1"/>
  <c r="CB283" i="1" s="1"/>
  <c r="CM283" i="1" s="1"/>
  <c r="CX283" i="1" s="1"/>
  <c r="DI283" i="1" s="1"/>
  <c r="DT283" i="1" s="1"/>
  <c r="EE283" i="1" s="1"/>
  <c r="EP283" i="1" s="1"/>
  <c r="L283" i="1"/>
  <c r="EC282" i="1"/>
  <c r="DR282" i="1"/>
  <c r="DG282" i="1"/>
  <c r="CV282" i="1"/>
  <c r="Y282" i="1"/>
  <c r="AJ282" i="1" s="1"/>
  <c r="AU282" i="1" s="1"/>
  <c r="BF282" i="1" s="1"/>
  <c r="BQ282" i="1" s="1"/>
  <c r="CB282" i="1" s="1"/>
  <c r="CM282" i="1" s="1"/>
  <c r="CX282" i="1" s="1"/>
  <c r="DI282" i="1" s="1"/>
  <c r="DT282" i="1" s="1"/>
  <c r="EE282" i="1" s="1"/>
  <c r="EP282" i="1" s="1"/>
  <c r="N282" i="1"/>
  <c r="L282" i="1"/>
  <c r="EC281" i="1"/>
  <c r="DR281" i="1"/>
  <c r="DG281" i="1"/>
  <c r="CV281" i="1"/>
  <c r="N281" i="1"/>
  <c r="Y281" i="1" s="1"/>
  <c r="AJ281" i="1" s="1"/>
  <c r="AU281" i="1" s="1"/>
  <c r="BF281" i="1" s="1"/>
  <c r="BQ281" i="1" s="1"/>
  <c r="CB281" i="1" s="1"/>
  <c r="CM281" i="1" s="1"/>
  <c r="CX281" i="1" s="1"/>
  <c r="DI281" i="1" s="1"/>
  <c r="DT281" i="1" s="1"/>
  <c r="EE281" i="1" s="1"/>
  <c r="EP281" i="1" s="1"/>
  <c r="L281" i="1"/>
  <c r="EC280" i="1"/>
  <c r="DR280" i="1"/>
  <c r="DG280" i="1"/>
  <c r="CV280" i="1"/>
  <c r="N280" i="1"/>
  <c r="Y280" i="1" s="1"/>
  <c r="AJ280" i="1" s="1"/>
  <c r="AU280" i="1" s="1"/>
  <c r="BF280" i="1" s="1"/>
  <c r="BQ280" i="1" s="1"/>
  <c r="CB280" i="1" s="1"/>
  <c r="CM280" i="1" s="1"/>
  <c r="CX280" i="1" s="1"/>
  <c r="DI280" i="1" s="1"/>
  <c r="DT280" i="1" s="1"/>
  <c r="EE280" i="1" s="1"/>
  <c r="EP280" i="1" s="1"/>
  <c r="L280" i="1"/>
  <c r="EC279" i="1"/>
  <c r="DR279" i="1"/>
  <c r="DG279" i="1"/>
  <c r="CV279" i="1"/>
  <c r="AW279" i="1"/>
  <c r="AW302" i="1" s="1"/>
  <c r="N279" i="1"/>
  <c r="Y279" i="1" s="1"/>
  <c r="AJ279" i="1" s="1"/>
  <c r="AU279" i="1" s="1"/>
  <c r="BF279" i="1" s="1"/>
  <c r="BQ279" i="1" s="1"/>
  <c r="CB279" i="1" s="1"/>
  <c r="CM279" i="1" s="1"/>
  <c r="CX279" i="1" s="1"/>
  <c r="DI279" i="1" s="1"/>
  <c r="DT279" i="1" s="1"/>
  <c r="EE279" i="1" s="1"/>
  <c r="EP279" i="1" s="1"/>
  <c r="L279" i="1"/>
  <c r="EC278" i="1"/>
  <c r="DR278" i="1"/>
  <c r="DG278" i="1"/>
  <c r="CV278" i="1"/>
  <c r="AC278" i="1"/>
  <c r="AH278" i="1" s="1"/>
  <c r="AH302" i="1" s="1"/>
  <c r="N278" i="1"/>
  <c r="Y278" i="1" s="1"/>
  <c r="AJ278" i="1" s="1"/>
  <c r="AU278" i="1" s="1"/>
  <c r="BF278" i="1" s="1"/>
  <c r="BQ278" i="1" s="1"/>
  <c r="CB278" i="1" s="1"/>
  <c r="CM278" i="1" s="1"/>
  <c r="CX278" i="1" s="1"/>
  <c r="DI278" i="1" s="1"/>
  <c r="DT278" i="1" s="1"/>
  <c r="EE278" i="1" s="1"/>
  <c r="EP278" i="1" s="1"/>
  <c r="L278" i="1"/>
  <c r="EC277" i="1"/>
  <c r="DR277" i="1"/>
  <c r="DG277" i="1"/>
  <c r="CV277" i="1"/>
  <c r="N277" i="1"/>
  <c r="Y277" i="1" s="1"/>
  <c r="AJ277" i="1" s="1"/>
  <c r="AU277" i="1" s="1"/>
  <c r="BF277" i="1" s="1"/>
  <c r="BQ277" i="1" s="1"/>
  <c r="CB277" i="1" s="1"/>
  <c r="CM277" i="1" s="1"/>
  <c r="CX277" i="1" s="1"/>
  <c r="DI277" i="1" s="1"/>
  <c r="DT277" i="1" s="1"/>
  <c r="EE277" i="1" s="1"/>
  <c r="EP277" i="1" s="1"/>
  <c r="L277" i="1"/>
  <c r="EC276" i="1"/>
  <c r="DR276" i="1"/>
  <c r="DG276" i="1"/>
  <c r="CV276" i="1"/>
  <c r="N276" i="1"/>
  <c r="Y276" i="1" s="1"/>
  <c r="AJ276" i="1" s="1"/>
  <c r="AU276" i="1" s="1"/>
  <c r="BF276" i="1" s="1"/>
  <c r="BQ276" i="1" s="1"/>
  <c r="CB276" i="1" s="1"/>
  <c r="CM276" i="1" s="1"/>
  <c r="CX276" i="1" s="1"/>
  <c r="DI276" i="1" s="1"/>
  <c r="DT276" i="1" s="1"/>
  <c r="EE276" i="1" s="1"/>
  <c r="EP276" i="1" s="1"/>
  <c r="L276" i="1"/>
  <c r="EC275" i="1"/>
  <c r="DR275" i="1"/>
  <c r="DG275" i="1"/>
  <c r="CV275" i="1"/>
  <c r="N275" i="1"/>
  <c r="Y275" i="1" s="1"/>
  <c r="AJ275" i="1" s="1"/>
  <c r="AU275" i="1" s="1"/>
  <c r="BF275" i="1" s="1"/>
  <c r="BQ275" i="1" s="1"/>
  <c r="CB275" i="1" s="1"/>
  <c r="CM275" i="1" s="1"/>
  <c r="CX275" i="1" s="1"/>
  <c r="DI275" i="1" s="1"/>
  <c r="DT275" i="1" s="1"/>
  <c r="EE275" i="1" s="1"/>
  <c r="EP275" i="1" s="1"/>
  <c r="L275" i="1"/>
  <c r="EC274" i="1"/>
  <c r="DR274" i="1"/>
  <c r="DG274" i="1"/>
  <c r="CV274" i="1"/>
  <c r="N274" i="1"/>
  <c r="Y274" i="1" s="1"/>
  <c r="AJ274" i="1" s="1"/>
  <c r="AU274" i="1" s="1"/>
  <c r="BF274" i="1" s="1"/>
  <c r="BQ274" i="1" s="1"/>
  <c r="CB274" i="1" s="1"/>
  <c r="CM274" i="1" s="1"/>
  <c r="CX274" i="1" s="1"/>
  <c r="DI274" i="1" s="1"/>
  <c r="DT274" i="1" s="1"/>
  <c r="EE274" i="1" s="1"/>
  <c r="EP274" i="1" s="1"/>
  <c r="L274" i="1"/>
  <c r="EC273" i="1"/>
  <c r="DR273" i="1"/>
  <c r="DG273" i="1"/>
  <c r="CV273" i="1"/>
  <c r="N273" i="1"/>
  <c r="Y273" i="1" s="1"/>
  <c r="AJ273" i="1" s="1"/>
  <c r="AU273" i="1" s="1"/>
  <c r="BF273" i="1" s="1"/>
  <c r="BQ273" i="1" s="1"/>
  <c r="CB273" i="1" s="1"/>
  <c r="CM273" i="1" s="1"/>
  <c r="CX273" i="1" s="1"/>
  <c r="DI273" i="1" s="1"/>
  <c r="DT273" i="1" s="1"/>
  <c r="EE273" i="1" s="1"/>
  <c r="EP273" i="1" s="1"/>
  <c r="L273" i="1"/>
  <c r="EC272" i="1"/>
  <c r="DR272" i="1"/>
  <c r="DG272" i="1"/>
  <c r="CV272" i="1"/>
  <c r="N272" i="1"/>
  <c r="Y272" i="1" s="1"/>
  <c r="AJ272" i="1" s="1"/>
  <c r="AU272" i="1" s="1"/>
  <c r="BF272" i="1" s="1"/>
  <c r="BQ272" i="1" s="1"/>
  <c r="CB272" i="1" s="1"/>
  <c r="CM272" i="1" s="1"/>
  <c r="CX272" i="1" s="1"/>
  <c r="DI272" i="1" s="1"/>
  <c r="DT272" i="1" s="1"/>
  <c r="EE272" i="1" s="1"/>
  <c r="EP272" i="1" s="1"/>
  <c r="L272" i="1"/>
  <c r="EX265" i="1"/>
  <c r="EW265" i="1"/>
  <c r="EV265" i="1"/>
  <c r="ET265" i="1"/>
  <c r="ES265" i="1"/>
  <c r="ER265" i="1"/>
  <c r="EQ265" i="1"/>
  <c r="EM265" i="1"/>
  <c r="EL265" i="1"/>
  <c r="EK265" i="1"/>
  <c r="EI265" i="1"/>
  <c r="EH265" i="1"/>
  <c r="EG265" i="1"/>
  <c r="EF265" i="1"/>
  <c r="EB265" i="1"/>
  <c r="EA265" i="1"/>
  <c r="DZ265" i="1"/>
  <c r="DX265" i="1"/>
  <c r="DW265" i="1"/>
  <c r="DV265" i="1"/>
  <c r="DU265" i="1"/>
  <c r="DQ265" i="1"/>
  <c r="DP265" i="1"/>
  <c r="DO265" i="1"/>
  <c r="DM265" i="1"/>
  <c r="DL265" i="1"/>
  <c r="DK265" i="1"/>
  <c r="DJ265" i="1"/>
  <c r="DF265" i="1"/>
  <c r="DE265" i="1"/>
  <c r="DD265" i="1"/>
  <c r="DB265" i="1"/>
  <c r="DA265" i="1"/>
  <c r="CZ265" i="1"/>
  <c r="CY265" i="1"/>
  <c r="CU265" i="1"/>
  <c r="CT265" i="1"/>
  <c r="CS265" i="1"/>
  <c r="CQ265" i="1"/>
  <c r="CP265" i="1"/>
  <c r="CO265" i="1"/>
  <c r="CN265" i="1"/>
  <c r="CJ265" i="1"/>
  <c r="CI265" i="1"/>
  <c r="CH265" i="1"/>
  <c r="CF265" i="1"/>
  <c r="CE265" i="1"/>
  <c r="CD265" i="1"/>
  <c r="CC265" i="1"/>
  <c r="BY265" i="1"/>
  <c r="BX265" i="1"/>
  <c r="BW265" i="1"/>
  <c r="BU265" i="1"/>
  <c r="BT265" i="1"/>
  <c r="BS265" i="1"/>
  <c r="BR265" i="1"/>
  <c r="BN265" i="1"/>
  <c r="BM265" i="1"/>
  <c r="BL265" i="1"/>
  <c r="BJ265" i="1"/>
  <c r="BI265" i="1"/>
  <c r="BH265" i="1"/>
  <c r="BG265" i="1"/>
  <c r="BC265" i="1"/>
  <c r="BB265" i="1"/>
  <c r="BA265" i="1"/>
  <c r="AY265" i="1"/>
  <c r="AX265" i="1"/>
  <c r="AW265" i="1"/>
  <c r="AV265" i="1"/>
  <c r="AR265" i="1"/>
  <c r="AQ265" i="1"/>
  <c r="AP265" i="1"/>
  <c r="AN265" i="1"/>
  <c r="AM265" i="1"/>
  <c r="AL265" i="1"/>
  <c r="AK265" i="1"/>
  <c r="AG265" i="1"/>
  <c r="AF265" i="1"/>
  <c r="AE265" i="1"/>
  <c r="AC265" i="1"/>
  <c r="AB265" i="1"/>
  <c r="AA265" i="1"/>
  <c r="Z265" i="1"/>
  <c r="V265" i="1"/>
  <c r="U265" i="1"/>
  <c r="T265" i="1"/>
  <c r="R265" i="1"/>
  <c r="Q265" i="1"/>
  <c r="P265" i="1"/>
  <c r="O265" i="1"/>
  <c r="K265" i="1"/>
  <c r="J265" i="1"/>
  <c r="I265" i="1"/>
  <c r="F265" i="1"/>
  <c r="E265" i="1"/>
  <c r="D265" i="1"/>
  <c r="C265" i="1"/>
  <c r="N264" i="1"/>
  <c r="Y264" i="1" s="1"/>
  <c r="AJ264" i="1" s="1"/>
  <c r="AU264" i="1" s="1"/>
  <c r="BF264" i="1" s="1"/>
  <c r="BQ264" i="1" s="1"/>
  <c r="CB264" i="1" s="1"/>
  <c r="CM264" i="1" s="1"/>
  <c r="CX264" i="1" s="1"/>
  <c r="DI264" i="1" s="1"/>
  <c r="DT264" i="1" s="1"/>
  <c r="EE264" i="1" s="1"/>
  <c r="EP264" i="1" s="1"/>
  <c r="N263" i="1"/>
  <c r="Y263" i="1" s="1"/>
  <c r="AJ263" i="1" s="1"/>
  <c r="AU263" i="1" s="1"/>
  <c r="BF263" i="1" s="1"/>
  <c r="BQ263" i="1" s="1"/>
  <c r="CB263" i="1" s="1"/>
  <c r="CM263" i="1" s="1"/>
  <c r="CX263" i="1" s="1"/>
  <c r="DI263" i="1" s="1"/>
  <c r="DT263" i="1" s="1"/>
  <c r="EE263" i="1" s="1"/>
  <c r="EP263" i="1" s="1"/>
  <c r="N262" i="1"/>
  <c r="Y262" i="1" s="1"/>
  <c r="AJ262" i="1" s="1"/>
  <c r="AU262" i="1" s="1"/>
  <c r="BF262" i="1" s="1"/>
  <c r="BQ262" i="1" s="1"/>
  <c r="CB262" i="1" s="1"/>
  <c r="CM262" i="1" s="1"/>
  <c r="CX262" i="1" s="1"/>
  <c r="DI262" i="1" s="1"/>
  <c r="DT262" i="1" s="1"/>
  <c r="EE262" i="1" s="1"/>
  <c r="EP262" i="1" s="1"/>
  <c r="N261" i="1"/>
  <c r="Y261" i="1" s="1"/>
  <c r="AJ261" i="1" s="1"/>
  <c r="AU261" i="1" s="1"/>
  <c r="BF261" i="1" s="1"/>
  <c r="BQ261" i="1" s="1"/>
  <c r="CB261" i="1" s="1"/>
  <c r="CM261" i="1" s="1"/>
  <c r="CX261" i="1" s="1"/>
  <c r="DI261" i="1" s="1"/>
  <c r="DT261" i="1" s="1"/>
  <c r="EE261" i="1" s="1"/>
  <c r="EP261" i="1" s="1"/>
  <c r="N260" i="1"/>
  <c r="Y260" i="1" s="1"/>
  <c r="AJ260" i="1" s="1"/>
  <c r="AU260" i="1" s="1"/>
  <c r="BF260" i="1" s="1"/>
  <c r="BQ260" i="1" s="1"/>
  <c r="CB260" i="1" s="1"/>
  <c r="CM260" i="1" s="1"/>
  <c r="CX260" i="1" s="1"/>
  <c r="DI260" i="1" s="1"/>
  <c r="DT260" i="1" s="1"/>
  <c r="EE260" i="1" s="1"/>
  <c r="EP260" i="1" s="1"/>
  <c r="N259" i="1"/>
  <c r="Y259" i="1" s="1"/>
  <c r="AJ259" i="1" s="1"/>
  <c r="AU259" i="1" s="1"/>
  <c r="BF259" i="1" s="1"/>
  <c r="BQ259" i="1" s="1"/>
  <c r="CB259" i="1" s="1"/>
  <c r="CM259" i="1" s="1"/>
  <c r="CX259" i="1" s="1"/>
  <c r="DI259" i="1" s="1"/>
  <c r="DT259" i="1" s="1"/>
  <c r="EE259" i="1" s="1"/>
  <c r="EP259" i="1" s="1"/>
  <c r="EP258" i="1"/>
  <c r="N258" i="1"/>
  <c r="Y258" i="1" s="1"/>
  <c r="AJ258" i="1" s="1"/>
  <c r="AU258" i="1" s="1"/>
  <c r="BF258" i="1" s="1"/>
  <c r="BQ258" i="1" s="1"/>
  <c r="CB258" i="1" s="1"/>
  <c r="CM258" i="1" s="1"/>
  <c r="CX258" i="1" s="1"/>
  <c r="DI258" i="1" s="1"/>
  <c r="DT258" i="1" s="1"/>
  <c r="EE258" i="1" s="1"/>
  <c r="N257" i="1"/>
  <c r="Y257" i="1" s="1"/>
  <c r="AJ257" i="1" s="1"/>
  <c r="AU257" i="1" s="1"/>
  <c r="BF257" i="1" s="1"/>
  <c r="BQ257" i="1" s="1"/>
  <c r="CB257" i="1" s="1"/>
  <c r="CM257" i="1" s="1"/>
  <c r="CX257" i="1" s="1"/>
  <c r="DI257" i="1" s="1"/>
  <c r="DT257" i="1" s="1"/>
  <c r="EE257" i="1" s="1"/>
  <c r="EP257" i="1" s="1"/>
  <c r="EC256" i="1"/>
  <c r="N256" i="1"/>
  <c r="Y256" i="1" s="1"/>
  <c r="AJ256" i="1" s="1"/>
  <c r="AU256" i="1" s="1"/>
  <c r="BF256" i="1" s="1"/>
  <c r="BQ256" i="1" s="1"/>
  <c r="CB256" i="1" s="1"/>
  <c r="CM256" i="1" s="1"/>
  <c r="CX256" i="1" s="1"/>
  <c r="DI256" i="1" s="1"/>
  <c r="DT256" i="1" s="1"/>
  <c r="EE256" i="1" s="1"/>
  <c r="EP256" i="1" s="1"/>
  <c r="EC255" i="1"/>
  <c r="DG255" i="1"/>
  <c r="N255" i="1"/>
  <c r="Y255" i="1" s="1"/>
  <c r="AJ255" i="1" s="1"/>
  <c r="AU255" i="1" s="1"/>
  <c r="BF255" i="1" s="1"/>
  <c r="BQ255" i="1" s="1"/>
  <c r="CB255" i="1" s="1"/>
  <c r="CM255" i="1" s="1"/>
  <c r="CX255" i="1" s="1"/>
  <c r="DI255" i="1" s="1"/>
  <c r="DT255" i="1" s="1"/>
  <c r="EE255" i="1" s="1"/>
  <c r="EP255" i="1" s="1"/>
  <c r="EC254" i="1"/>
  <c r="DG254" i="1"/>
  <c r="N254" i="1"/>
  <c r="Y254" i="1" s="1"/>
  <c r="AJ254" i="1" s="1"/>
  <c r="AU254" i="1" s="1"/>
  <c r="BF254" i="1" s="1"/>
  <c r="BQ254" i="1" s="1"/>
  <c r="CB254" i="1" s="1"/>
  <c r="CM254" i="1" s="1"/>
  <c r="CX254" i="1" s="1"/>
  <c r="DI254" i="1" s="1"/>
  <c r="DT254" i="1" s="1"/>
  <c r="EE254" i="1" s="1"/>
  <c r="EP254" i="1" s="1"/>
  <c r="EC253" i="1"/>
  <c r="DG253" i="1"/>
  <c r="N253" i="1"/>
  <c r="Y253" i="1" s="1"/>
  <c r="AJ253" i="1" s="1"/>
  <c r="AU253" i="1" s="1"/>
  <c r="BF253" i="1" s="1"/>
  <c r="BQ253" i="1" s="1"/>
  <c r="CB253" i="1" s="1"/>
  <c r="CM253" i="1" s="1"/>
  <c r="CX253" i="1" s="1"/>
  <c r="DI253" i="1" s="1"/>
  <c r="DT253" i="1" s="1"/>
  <c r="EE253" i="1" s="1"/>
  <c r="EP253" i="1" s="1"/>
  <c r="EC252" i="1"/>
  <c r="DG252" i="1"/>
  <c r="N252" i="1"/>
  <c r="Y252" i="1" s="1"/>
  <c r="AJ252" i="1" s="1"/>
  <c r="AU252" i="1" s="1"/>
  <c r="BF252" i="1" s="1"/>
  <c r="BQ252" i="1" s="1"/>
  <c r="CB252" i="1" s="1"/>
  <c r="CM252" i="1" s="1"/>
  <c r="CX252" i="1" s="1"/>
  <c r="DI252" i="1" s="1"/>
  <c r="DT252" i="1" s="1"/>
  <c r="EE252" i="1" s="1"/>
  <c r="EP252" i="1" s="1"/>
  <c r="EC251" i="1"/>
  <c r="DG251" i="1"/>
  <c r="N251" i="1"/>
  <c r="Y251" i="1" s="1"/>
  <c r="AJ251" i="1" s="1"/>
  <c r="AU251" i="1" s="1"/>
  <c r="BF251" i="1" s="1"/>
  <c r="BQ251" i="1" s="1"/>
  <c r="CB251" i="1" s="1"/>
  <c r="CM251" i="1" s="1"/>
  <c r="CX251" i="1" s="1"/>
  <c r="DI251" i="1" s="1"/>
  <c r="DT251" i="1" s="1"/>
  <c r="EE251" i="1" s="1"/>
  <c r="EP251" i="1" s="1"/>
  <c r="EC250" i="1"/>
  <c r="DG250" i="1"/>
  <c r="N250" i="1"/>
  <c r="Y250" i="1" s="1"/>
  <c r="AJ250" i="1" s="1"/>
  <c r="AU250" i="1" s="1"/>
  <c r="BF250" i="1" s="1"/>
  <c r="BQ250" i="1" s="1"/>
  <c r="CB250" i="1" s="1"/>
  <c r="CM250" i="1" s="1"/>
  <c r="CX250" i="1" s="1"/>
  <c r="DI250" i="1" s="1"/>
  <c r="DT250" i="1" s="1"/>
  <c r="EE250" i="1" s="1"/>
  <c r="EP250" i="1" s="1"/>
  <c r="EC249" i="1"/>
  <c r="DG249" i="1"/>
  <c r="CV249" i="1"/>
  <c r="N249" i="1"/>
  <c r="Y249" i="1" s="1"/>
  <c r="AJ249" i="1" s="1"/>
  <c r="AU249" i="1" s="1"/>
  <c r="BF249" i="1" s="1"/>
  <c r="BQ249" i="1" s="1"/>
  <c r="CB249" i="1" s="1"/>
  <c r="CM249" i="1" s="1"/>
  <c r="CX249" i="1" s="1"/>
  <c r="DI249" i="1" s="1"/>
  <c r="DT249" i="1" s="1"/>
  <c r="EE249" i="1" s="1"/>
  <c r="EP249" i="1" s="1"/>
  <c r="EC248" i="1"/>
  <c r="DG248" i="1"/>
  <c r="CV248" i="1"/>
  <c r="N248" i="1"/>
  <c r="Y248" i="1" s="1"/>
  <c r="AJ248" i="1" s="1"/>
  <c r="AU248" i="1" s="1"/>
  <c r="BF248" i="1" s="1"/>
  <c r="BQ248" i="1" s="1"/>
  <c r="CB248" i="1" s="1"/>
  <c r="CM248" i="1" s="1"/>
  <c r="CX248" i="1" s="1"/>
  <c r="DI248" i="1" s="1"/>
  <c r="DT248" i="1" s="1"/>
  <c r="EE248" i="1" s="1"/>
  <c r="EP248" i="1" s="1"/>
  <c r="EC247" i="1"/>
  <c r="DG247" i="1"/>
  <c r="CV247" i="1"/>
  <c r="N247" i="1"/>
  <c r="Y247" i="1" s="1"/>
  <c r="AJ247" i="1" s="1"/>
  <c r="AU247" i="1" s="1"/>
  <c r="BF247" i="1" s="1"/>
  <c r="BQ247" i="1" s="1"/>
  <c r="CB247" i="1" s="1"/>
  <c r="CM247" i="1" s="1"/>
  <c r="CX247" i="1" s="1"/>
  <c r="DI247" i="1" s="1"/>
  <c r="DT247" i="1" s="1"/>
  <c r="EE247" i="1" s="1"/>
  <c r="EP247" i="1" s="1"/>
  <c r="EC246" i="1"/>
  <c r="DG246" i="1"/>
  <c r="CV246" i="1"/>
  <c r="N246" i="1"/>
  <c r="Y246" i="1" s="1"/>
  <c r="AJ246" i="1" s="1"/>
  <c r="AU246" i="1" s="1"/>
  <c r="BF246" i="1" s="1"/>
  <c r="BQ246" i="1" s="1"/>
  <c r="CB246" i="1" s="1"/>
  <c r="CM246" i="1" s="1"/>
  <c r="CX246" i="1" s="1"/>
  <c r="DI246" i="1" s="1"/>
  <c r="DT246" i="1" s="1"/>
  <c r="EE246" i="1" s="1"/>
  <c r="EP246" i="1" s="1"/>
  <c r="EC245" i="1"/>
  <c r="DG245" i="1"/>
  <c r="CV245" i="1"/>
  <c r="N245" i="1"/>
  <c r="Y245" i="1" s="1"/>
  <c r="AJ245" i="1" s="1"/>
  <c r="AU245" i="1" s="1"/>
  <c r="BF245" i="1" s="1"/>
  <c r="BQ245" i="1" s="1"/>
  <c r="CB245" i="1" s="1"/>
  <c r="CM245" i="1" s="1"/>
  <c r="CX245" i="1" s="1"/>
  <c r="DI245" i="1" s="1"/>
  <c r="DT245" i="1" s="1"/>
  <c r="EE245" i="1" s="1"/>
  <c r="EP245" i="1" s="1"/>
  <c r="EC244" i="1"/>
  <c r="DG244" i="1"/>
  <c r="CV244" i="1"/>
  <c r="N244" i="1"/>
  <c r="Y244" i="1" s="1"/>
  <c r="AJ244" i="1" s="1"/>
  <c r="AU244" i="1" s="1"/>
  <c r="BF244" i="1" s="1"/>
  <c r="BQ244" i="1" s="1"/>
  <c r="CB244" i="1" s="1"/>
  <c r="CM244" i="1" s="1"/>
  <c r="CX244" i="1" s="1"/>
  <c r="DI244" i="1" s="1"/>
  <c r="DT244" i="1" s="1"/>
  <c r="EE244" i="1" s="1"/>
  <c r="EP244" i="1" s="1"/>
  <c r="EC243" i="1"/>
  <c r="DG243" i="1"/>
  <c r="CV243" i="1"/>
  <c r="N243" i="1"/>
  <c r="Y243" i="1" s="1"/>
  <c r="AJ243" i="1" s="1"/>
  <c r="AU243" i="1" s="1"/>
  <c r="BF243" i="1" s="1"/>
  <c r="BQ243" i="1" s="1"/>
  <c r="CB243" i="1" s="1"/>
  <c r="CM243" i="1" s="1"/>
  <c r="CX243" i="1" s="1"/>
  <c r="DI243" i="1" s="1"/>
  <c r="DT243" i="1" s="1"/>
  <c r="EE243" i="1" s="1"/>
  <c r="EP243" i="1" s="1"/>
  <c r="EC242" i="1"/>
  <c r="DG242" i="1"/>
  <c r="CV242" i="1"/>
  <c r="N242" i="1"/>
  <c r="Y242" i="1" s="1"/>
  <c r="AJ242" i="1" s="1"/>
  <c r="AU242" i="1" s="1"/>
  <c r="BF242" i="1" s="1"/>
  <c r="BQ242" i="1" s="1"/>
  <c r="CB242" i="1" s="1"/>
  <c r="CM242" i="1" s="1"/>
  <c r="CX242" i="1" s="1"/>
  <c r="DI242" i="1" s="1"/>
  <c r="DT242" i="1" s="1"/>
  <c r="EE242" i="1" s="1"/>
  <c r="EP242" i="1" s="1"/>
  <c r="EC241" i="1"/>
  <c r="DG241" i="1"/>
  <c r="CV241" i="1"/>
  <c r="N241" i="1"/>
  <c r="Y241" i="1" s="1"/>
  <c r="AJ241" i="1" s="1"/>
  <c r="AU241" i="1" s="1"/>
  <c r="BF241" i="1" s="1"/>
  <c r="BQ241" i="1" s="1"/>
  <c r="CB241" i="1" s="1"/>
  <c r="CM241" i="1" s="1"/>
  <c r="CX241" i="1" s="1"/>
  <c r="DI241" i="1" s="1"/>
  <c r="DT241" i="1" s="1"/>
  <c r="EE241" i="1" s="1"/>
  <c r="EP241" i="1" s="1"/>
  <c r="EC240" i="1"/>
  <c r="DG240" i="1"/>
  <c r="CV240" i="1"/>
  <c r="N240" i="1"/>
  <c r="Y240" i="1" s="1"/>
  <c r="AJ240" i="1" s="1"/>
  <c r="AU240" i="1" s="1"/>
  <c r="BF240" i="1" s="1"/>
  <c r="BQ240" i="1" s="1"/>
  <c r="CB240" i="1" s="1"/>
  <c r="CM240" i="1" s="1"/>
  <c r="CX240" i="1" s="1"/>
  <c r="DI240" i="1" s="1"/>
  <c r="DT240" i="1" s="1"/>
  <c r="EE240" i="1" s="1"/>
  <c r="EP240" i="1" s="1"/>
  <c r="EC239" i="1"/>
  <c r="DG239" i="1"/>
  <c r="CV239" i="1"/>
  <c r="N239" i="1"/>
  <c r="Y239" i="1" s="1"/>
  <c r="AJ239" i="1" s="1"/>
  <c r="AU239" i="1" s="1"/>
  <c r="BF239" i="1" s="1"/>
  <c r="BQ239" i="1" s="1"/>
  <c r="CB239" i="1" s="1"/>
  <c r="CM239" i="1" s="1"/>
  <c r="CX239" i="1" s="1"/>
  <c r="DI239" i="1" s="1"/>
  <c r="DT239" i="1" s="1"/>
  <c r="EE239" i="1" s="1"/>
  <c r="EP239" i="1" s="1"/>
  <c r="EC238" i="1"/>
  <c r="DG238" i="1"/>
  <c r="CV238" i="1"/>
  <c r="N238" i="1"/>
  <c r="Y238" i="1" s="1"/>
  <c r="AJ238" i="1" s="1"/>
  <c r="AU238" i="1" s="1"/>
  <c r="BF238" i="1" s="1"/>
  <c r="BQ238" i="1" s="1"/>
  <c r="CB238" i="1" s="1"/>
  <c r="CM238" i="1" s="1"/>
  <c r="CX238" i="1" s="1"/>
  <c r="DI238" i="1" s="1"/>
  <c r="DT238" i="1" s="1"/>
  <c r="EE238" i="1" s="1"/>
  <c r="EP238" i="1" s="1"/>
  <c r="EC237" i="1"/>
  <c r="DG237" i="1"/>
  <c r="CV237" i="1"/>
  <c r="N237" i="1"/>
  <c r="Y237" i="1" s="1"/>
  <c r="AJ237" i="1" s="1"/>
  <c r="AU237" i="1" s="1"/>
  <c r="BF237" i="1" s="1"/>
  <c r="BQ237" i="1" s="1"/>
  <c r="CB237" i="1" s="1"/>
  <c r="CM237" i="1" s="1"/>
  <c r="CX237" i="1" s="1"/>
  <c r="DI237" i="1" s="1"/>
  <c r="DT237" i="1" s="1"/>
  <c r="EE237" i="1" s="1"/>
  <c r="EP237" i="1" s="1"/>
  <c r="EC236" i="1"/>
  <c r="DG236" i="1"/>
  <c r="CV236" i="1"/>
  <c r="N236" i="1"/>
  <c r="Y236" i="1" s="1"/>
  <c r="AJ236" i="1" s="1"/>
  <c r="AU236" i="1" s="1"/>
  <c r="BF236" i="1" s="1"/>
  <c r="BQ236" i="1" s="1"/>
  <c r="CB236" i="1" s="1"/>
  <c r="CM236" i="1" s="1"/>
  <c r="CX236" i="1" s="1"/>
  <c r="DI236" i="1" s="1"/>
  <c r="DT236" i="1" s="1"/>
  <c r="EE236" i="1" s="1"/>
  <c r="EP236" i="1" s="1"/>
  <c r="EN235" i="1"/>
  <c r="EC235" i="1"/>
  <c r="DG235" i="1"/>
  <c r="CV235" i="1"/>
  <c r="N235" i="1"/>
  <c r="Y235" i="1" s="1"/>
  <c r="AJ235" i="1" s="1"/>
  <c r="AU235" i="1" s="1"/>
  <c r="BF235" i="1" s="1"/>
  <c r="BQ235" i="1" s="1"/>
  <c r="CB235" i="1" s="1"/>
  <c r="CM235" i="1" s="1"/>
  <c r="CX235" i="1" s="1"/>
  <c r="DI235" i="1" s="1"/>
  <c r="DT235" i="1" s="1"/>
  <c r="EE235" i="1" s="1"/>
  <c r="EP235" i="1" s="1"/>
  <c r="EN234" i="1"/>
  <c r="EC234" i="1"/>
  <c r="DG234" i="1"/>
  <c r="CV234" i="1"/>
  <c r="N234" i="1"/>
  <c r="Y234" i="1" s="1"/>
  <c r="AJ234" i="1" s="1"/>
  <c r="AU234" i="1" s="1"/>
  <c r="BF234" i="1" s="1"/>
  <c r="BQ234" i="1" s="1"/>
  <c r="CB234" i="1" s="1"/>
  <c r="CM234" i="1" s="1"/>
  <c r="CX234" i="1" s="1"/>
  <c r="DI234" i="1" s="1"/>
  <c r="DT234" i="1" s="1"/>
  <c r="EE234" i="1" s="1"/>
  <c r="EP234" i="1" s="1"/>
  <c r="CV265" i="1" l="1"/>
  <c r="EN265" i="1"/>
  <c r="EY265" i="1"/>
  <c r="L302" i="1"/>
  <c r="CV302" i="1"/>
  <c r="AS265" i="1"/>
  <c r="BD265" i="1"/>
  <c r="L265" i="1"/>
  <c r="BO265" i="1"/>
  <c r="DG302" i="1"/>
  <c r="BZ265" i="1"/>
  <c r="EC302" i="1"/>
  <c r="DG265" i="1"/>
  <c r="W302" i="1"/>
  <c r="CK265" i="1"/>
  <c r="DR265" i="1"/>
  <c r="AH265" i="1"/>
  <c r="EC265" i="1"/>
  <c r="F302" i="1"/>
  <c r="W265" i="1"/>
  <c r="DR302" i="1"/>
  <c r="FK365" i="5" l="1"/>
  <c r="FJ365" i="5"/>
  <c r="FI365" i="5"/>
  <c r="FH365" i="5"/>
  <c r="FF365" i="5"/>
  <c r="FD365" i="5"/>
  <c r="FC365" i="5"/>
  <c r="EY365" i="5"/>
  <c r="EX365" i="5"/>
  <c r="EW365" i="5"/>
  <c r="EU365" i="5"/>
  <c r="ES365" i="5"/>
  <c r="ER365" i="5"/>
  <c r="EN365" i="5"/>
  <c r="EM365" i="5"/>
  <c r="EK365" i="5"/>
  <c r="EI365" i="5"/>
  <c r="EG365" i="5"/>
  <c r="EF365" i="5"/>
  <c r="EB365" i="5"/>
  <c r="EA365" i="5"/>
  <c r="DZ365" i="5"/>
  <c r="DX365" i="5"/>
  <c r="DV365" i="5"/>
  <c r="DU365" i="5"/>
  <c r="DQ365" i="5"/>
  <c r="DP365" i="5"/>
  <c r="DO365" i="5"/>
  <c r="DM365" i="5"/>
  <c r="DK365" i="5"/>
  <c r="DJ365" i="5"/>
  <c r="DI365" i="5"/>
  <c r="DD365" i="5"/>
  <c r="DA365" i="5"/>
  <c r="CY365" i="5"/>
  <c r="CW365" i="5"/>
  <c r="CV365" i="5"/>
  <c r="CR365" i="5"/>
  <c r="CQ365" i="5"/>
  <c r="CP365" i="5"/>
  <c r="CN365" i="5"/>
  <c r="CL365" i="5"/>
  <c r="CK365" i="5"/>
  <c r="CG365" i="5"/>
  <c r="CF365" i="5"/>
  <c r="CE365" i="5"/>
  <c r="CA365" i="5"/>
  <c r="BZ365" i="5"/>
  <c r="BV365" i="5"/>
  <c r="BU365" i="5"/>
  <c r="BT365" i="5"/>
  <c r="BR365" i="5"/>
  <c r="BQ365" i="5"/>
  <c r="BP365" i="5"/>
  <c r="BO365" i="5"/>
  <c r="BN365" i="5"/>
  <c r="BJ365" i="5"/>
  <c r="BI365" i="5"/>
  <c r="BH365" i="5"/>
  <c r="BF365" i="5"/>
  <c r="BD365" i="5"/>
  <c r="BA365" i="5"/>
  <c r="AZ365" i="5"/>
  <c r="AY365" i="5"/>
  <c r="AX365" i="5"/>
  <c r="AV365" i="5"/>
  <c r="AT365" i="5"/>
  <c r="AQ365" i="5"/>
  <c r="AP365" i="5"/>
  <c r="AO365" i="5"/>
  <c r="AN365" i="5"/>
  <c r="AJ365" i="5"/>
  <c r="AE365" i="5"/>
  <c r="AD365" i="5"/>
  <c r="AC365" i="5"/>
  <c r="T365" i="5"/>
  <c r="S365" i="5"/>
  <c r="R365" i="5"/>
  <c r="P365" i="5"/>
  <c r="N365" i="5"/>
  <c r="J365" i="5"/>
  <c r="I365" i="5"/>
  <c r="H365" i="5"/>
  <c r="F365" i="5"/>
  <c r="D365" i="5"/>
  <c r="C365" i="5"/>
  <c r="EZ364" i="5"/>
  <c r="EO364" i="5"/>
  <c r="EC364" i="5"/>
  <c r="DR364" i="5"/>
  <c r="DE364" i="5"/>
  <c r="CS364" i="5"/>
  <c r="CH364" i="5"/>
  <c r="BW364" i="5"/>
  <c r="BK364" i="5"/>
  <c r="AF364" i="5"/>
  <c r="U364" i="5"/>
  <c r="K364" i="5"/>
  <c r="EZ363" i="5"/>
  <c r="EC363" i="5"/>
  <c r="DR363" i="5"/>
  <c r="DE363" i="5"/>
  <c r="CS363" i="5"/>
  <c r="CH363" i="5"/>
  <c r="BW363" i="5"/>
  <c r="BK363" i="5"/>
  <c r="AF363" i="5"/>
  <c r="U363" i="5"/>
  <c r="K363" i="5"/>
  <c r="EZ362" i="5"/>
  <c r="EO362" i="5"/>
  <c r="EC362" i="5"/>
  <c r="DR362" i="5"/>
  <c r="DE362" i="5"/>
  <c r="CS362" i="5"/>
  <c r="CH362" i="5"/>
  <c r="BW362" i="5"/>
  <c r="BK362" i="5"/>
  <c r="AF362" i="5"/>
  <c r="U362" i="5"/>
  <c r="K362" i="5"/>
  <c r="EZ361" i="5"/>
  <c r="EO361" i="5"/>
  <c r="EC361" i="5"/>
  <c r="DR361" i="5"/>
  <c r="DE361" i="5"/>
  <c r="CS361" i="5"/>
  <c r="CH361" i="5"/>
  <c r="BW361" i="5"/>
  <c r="BK361" i="5"/>
  <c r="AF361" i="5"/>
  <c r="U361" i="5"/>
  <c r="K361" i="5"/>
  <c r="EZ360" i="5"/>
  <c r="EO360" i="5"/>
  <c r="EC360" i="5"/>
  <c r="DR360" i="5"/>
  <c r="DE360" i="5"/>
  <c r="CS360" i="5"/>
  <c r="CH360" i="5"/>
  <c r="BW360" i="5"/>
  <c r="BK360" i="5"/>
  <c r="AF360" i="5"/>
  <c r="U360" i="5"/>
  <c r="K360" i="5"/>
  <c r="EZ359" i="5"/>
  <c r="EO359" i="5"/>
  <c r="EC359" i="5"/>
  <c r="DR359" i="5"/>
  <c r="DE359" i="5"/>
  <c r="CS359" i="5"/>
  <c r="CH359" i="5"/>
  <c r="BW359" i="5"/>
  <c r="BK359" i="5"/>
  <c r="AF359" i="5"/>
  <c r="U359" i="5"/>
  <c r="K359" i="5"/>
  <c r="EZ358" i="5"/>
  <c r="EO358" i="5"/>
  <c r="EC358" i="5"/>
  <c r="DR358" i="5"/>
  <c r="DE358" i="5"/>
  <c r="CS358" i="5"/>
  <c r="CH358" i="5"/>
  <c r="BW358" i="5"/>
  <c r="BK358" i="5"/>
  <c r="AF358" i="5"/>
  <c r="U358" i="5"/>
  <c r="K358" i="5"/>
  <c r="EZ357" i="5"/>
  <c r="EO357" i="5"/>
  <c r="EC357" i="5"/>
  <c r="DR357" i="5"/>
  <c r="DE357" i="5"/>
  <c r="CS357" i="5"/>
  <c r="CH357" i="5"/>
  <c r="BW357" i="5"/>
  <c r="BK357" i="5"/>
  <c r="AF357" i="5"/>
  <c r="U357" i="5"/>
  <c r="K357" i="5"/>
  <c r="EZ356" i="5"/>
  <c r="EO356" i="5"/>
  <c r="EC356" i="5"/>
  <c r="DR356" i="5"/>
  <c r="DE356" i="5"/>
  <c r="CS356" i="5"/>
  <c r="CH356" i="5"/>
  <c r="BW356" i="5"/>
  <c r="BK356" i="5"/>
  <c r="AF356" i="5"/>
  <c r="U356" i="5"/>
  <c r="K356" i="5"/>
  <c r="EZ355" i="5"/>
  <c r="EO355" i="5"/>
  <c r="EC355" i="5"/>
  <c r="DR355" i="5"/>
  <c r="DE355" i="5"/>
  <c r="CS355" i="5"/>
  <c r="CH355" i="5"/>
  <c r="BW355" i="5"/>
  <c r="BK355" i="5"/>
  <c r="AF355" i="5"/>
  <c r="U355" i="5"/>
  <c r="K355" i="5"/>
  <c r="EZ354" i="5"/>
  <c r="EO354" i="5"/>
  <c r="EC354" i="5"/>
  <c r="DR354" i="5"/>
  <c r="DE354" i="5"/>
  <c r="CS354" i="5"/>
  <c r="CH354" i="5"/>
  <c r="BW354" i="5"/>
  <c r="BK354" i="5"/>
  <c r="AF354" i="5"/>
  <c r="U354" i="5"/>
  <c r="K354" i="5"/>
  <c r="EZ353" i="5"/>
  <c r="EO353" i="5"/>
  <c r="EC353" i="5"/>
  <c r="DR353" i="5"/>
  <c r="DE353" i="5"/>
  <c r="CS353" i="5"/>
  <c r="CH353" i="5"/>
  <c r="BW353" i="5"/>
  <c r="BK353" i="5"/>
  <c r="AF353" i="5"/>
  <c r="U353" i="5"/>
  <c r="K353" i="5"/>
  <c r="EZ352" i="5"/>
  <c r="EO352" i="5"/>
  <c r="EC352" i="5"/>
  <c r="DR352" i="5"/>
  <c r="DE352" i="5"/>
  <c r="CS352" i="5"/>
  <c r="CH352" i="5"/>
  <c r="BW352" i="5"/>
  <c r="BK352" i="5"/>
  <c r="AF352" i="5"/>
  <c r="U352" i="5"/>
  <c r="K352" i="5"/>
  <c r="EZ351" i="5"/>
  <c r="EO351" i="5"/>
  <c r="EC351" i="5"/>
  <c r="DR351" i="5"/>
  <c r="DE351" i="5"/>
  <c r="CS351" i="5"/>
  <c r="CH351" i="5"/>
  <c r="BW351" i="5"/>
  <c r="BK351" i="5"/>
  <c r="AF351" i="5"/>
  <c r="U351" i="5"/>
  <c r="K351" i="5"/>
  <c r="EZ350" i="5"/>
  <c r="EO350" i="5"/>
  <c r="EC350" i="5"/>
  <c r="DR350" i="5"/>
  <c r="DE350" i="5"/>
  <c r="CS350" i="5"/>
  <c r="CH350" i="5"/>
  <c r="BW350" i="5"/>
  <c r="BK350" i="5"/>
  <c r="AF350" i="5"/>
  <c r="U350" i="5"/>
  <c r="K350" i="5"/>
  <c r="EZ349" i="5"/>
  <c r="EO349" i="5"/>
  <c r="EC349" i="5"/>
  <c r="DR349" i="5"/>
  <c r="DE349" i="5"/>
  <c r="CS349" i="5"/>
  <c r="CH349" i="5"/>
  <c r="BW349" i="5"/>
  <c r="BK349" i="5"/>
  <c r="AF349" i="5"/>
  <c r="U349" i="5"/>
  <c r="K349" i="5"/>
  <c r="EZ348" i="5"/>
  <c r="EO348" i="5"/>
  <c r="EC348" i="5"/>
  <c r="DR348" i="5"/>
  <c r="DE348" i="5"/>
  <c r="CS348" i="5"/>
  <c r="CH348" i="5"/>
  <c r="BW348" i="5"/>
  <c r="BK348" i="5"/>
  <c r="AF348" i="5"/>
  <c r="U348" i="5"/>
  <c r="K348" i="5"/>
  <c r="EZ347" i="5"/>
  <c r="EO347" i="5"/>
  <c r="EC347" i="5"/>
  <c r="DR347" i="5"/>
  <c r="DE347" i="5"/>
  <c r="CS347" i="5"/>
  <c r="CH347" i="5"/>
  <c r="BW347" i="5"/>
  <c r="BK347" i="5"/>
  <c r="AF347" i="5"/>
  <c r="U347" i="5"/>
  <c r="K347" i="5"/>
  <c r="EZ346" i="5"/>
  <c r="EO346" i="5"/>
  <c r="EC346" i="5"/>
  <c r="DR346" i="5"/>
  <c r="DE346" i="5"/>
  <c r="CS346" i="5"/>
  <c r="CH346" i="5"/>
  <c r="BW346" i="5"/>
  <c r="BK346" i="5"/>
  <c r="AF346" i="5"/>
  <c r="U346" i="5"/>
  <c r="K346" i="5"/>
  <c r="EZ345" i="5"/>
  <c r="EO345" i="5"/>
  <c r="EC345" i="5"/>
  <c r="DR345" i="5"/>
  <c r="DE345" i="5"/>
  <c r="CS345" i="5"/>
  <c r="CH345" i="5"/>
  <c r="BW345" i="5"/>
  <c r="BK345" i="5"/>
  <c r="AF345" i="5"/>
  <c r="U345" i="5"/>
  <c r="K345" i="5"/>
  <c r="EZ344" i="5"/>
  <c r="EO344" i="5"/>
  <c r="EC344" i="5"/>
  <c r="DR344" i="5"/>
  <c r="DE344" i="5"/>
  <c r="CS344" i="5"/>
  <c r="CH344" i="5"/>
  <c r="BW344" i="5"/>
  <c r="BK344" i="5"/>
  <c r="AF344" i="5"/>
  <c r="U344" i="5"/>
  <c r="K344" i="5"/>
  <c r="EZ343" i="5"/>
  <c r="EO343" i="5"/>
  <c r="EC343" i="5"/>
  <c r="DR343" i="5"/>
  <c r="DE343" i="5"/>
  <c r="CS343" i="5"/>
  <c r="CH343" i="5"/>
  <c r="BW343" i="5"/>
  <c r="BK343" i="5"/>
  <c r="AF343" i="5"/>
  <c r="U343" i="5"/>
  <c r="K343" i="5"/>
  <c r="EZ342" i="5"/>
  <c r="EO342" i="5"/>
  <c r="EC342" i="5"/>
  <c r="DR342" i="5"/>
  <c r="DE342" i="5"/>
  <c r="CS342" i="5"/>
  <c r="CH342" i="5"/>
  <c r="BW342" i="5"/>
  <c r="BK342" i="5"/>
  <c r="AF342" i="5"/>
  <c r="U342" i="5"/>
  <c r="K342" i="5"/>
  <c r="EZ341" i="5"/>
  <c r="EO341" i="5"/>
  <c r="EC341" i="5"/>
  <c r="DR341" i="5"/>
  <c r="DE341" i="5"/>
  <c r="CS341" i="5"/>
  <c r="CH341" i="5"/>
  <c r="BW341" i="5"/>
  <c r="BK341" i="5"/>
  <c r="AF341" i="5"/>
  <c r="U341" i="5"/>
  <c r="K341" i="5"/>
  <c r="EZ340" i="5"/>
  <c r="EO340" i="5"/>
  <c r="EC340" i="5"/>
  <c r="DR340" i="5"/>
  <c r="DE340" i="5"/>
  <c r="CS340" i="5"/>
  <c r="CH340" i="5"/>
  <c r="BW340" i="5"/>
  <c r="BK340" i="5"/>
  <c r="AF340" i="5"/>
  <c r="U340" i="5"/>
  <c r="K340" i="5"/>
  <c r="EZ339" i="5"/>
  <c r="EO339" i="5"/>
  <c r="EC339" i="5"/>
  <c r="DR339" i="5"/>
  <c r="DE339" i="5"/>
  <c r="CS339" i="5"/>
  <c r="CH339" i="5"/>
  <c r="BW339" i="5"/>
  <c r="BK339" i="5"/>
  <c r="AF339" i="5"/>
  <c r="U339" i="5"/>
  <c r="K339" i="5"/>
  <c r="EZ338" i="5"/>
  <c r="EO338" i="5"/>
  <c r="EC338" i="5"/>
  <c r="DR338" i="5"/>
  <c r="DE338" i="5"/>
  <c r="CS338" i="5"/>
  <c r="CH338" i="5"/>
  <c r="BW338" i="5"/>
  <c r="BK338" i="5"/>
  <c r="AF338" i="5"/>
  <c r="U338" i="5"/>
  <c r="K338" i="5"/>
  <c r="EZ337" i="5"/>
  <c r="EO337" i="5"/>
  <c r="EC337" i="5"/>
  <c r="DR337" i="5"/>
  <c r="DE337" i="5"/>
  <c r="CS337" i="5"/>
  <c r="CH337" i="5"/>
  <c r="BW337" i="5"/>
  <c r="BK337" i="5"/>
  <c r="AF337" i="5"/>
  <c r="U337" i="5"/>
  <c r="K337" i="5"/>
  <c r="EZ336" i="5"/>
  <c r="EO336" i="5"/>
  <c r="EC336" i="5"/>
  <c r="DR336" i="5"/>
  <c r="DE336" i="5"/>
  <c r="CS336" i="5"/>
  <c r="CH336" i="5"/>
  <c r="BW336" i="5"/>
  <c r="BK336" i="5"/>
  <c r="AF336" i="5"/>
  <c r="U336" i="5"/>
  <c r="K336" i="5"/>
  <c r="EZ335" i="5"/>
  <c r="EO335" i="5"/>
  <c r="EC335" i="5"/>
  <c r="DR335" i="5"/>
  <c r="DE335" i="5"/>
  <c r="CS335" i="5"/>
  <c r="CH335" i="5"/>
  <c r="BW335" i="5"/>
  <c r="BK335" i="5"/>
  <c r="AF335" i="5"/>
  <c r="U335" i="5"/>
  <c r="K335" i="5"/>
  <c r="FK329" i="5"/>
  <c r="FJ329" i="5"/>
  <c r="FI329" i="5"/>
  <c r="FH329" i="5"/>
  <c r="FF329" i="5"/>
  <c r="FD329" i="5"/>
  <c r="FC329" i="5"/>
  <c r="EY329" i="5"/>
  <c r="EX329" i="5"/>
  <c r="EW329" i="5"/>
  <c r="EU329" i="5"/>
  <c r="ES329" i="5"/>
  <c r="ER329" i="5"/>
  <c r="EN329" i="5"/>
  <c r="EM329" i="5"/>
  <c r="EK329" i="5"/>
  <c r="EI329" i="5"/>
  <c r="EG329" i="5"/>
  <c r="EF329" i="5"/>
  <c r="EB329" i="5"/>
  <c r="EA329" i="5"/>
  <c r="DZ329" i="5"/>
  <c r="DX329" i="5"/>
  <c r="DV329" i="5"/>
  <c r="DU329" i="5"/>
  <c r="DQ329" i="5"/>
  <c r="DP329" i="5"/>
  <c r="DO329" i="5"/>
  <c r="DM329" i="5"/>
  <c r="DK329" i="5"/>
  <c r="DJ329" i="5"/>
  <c r="DI329" i="5"/>
  <c r="DA329" i="5"/>
  <c r="CY329" i="5"/>
  <c r="CW329" i="5"/>
  <c r="CV329" i="5"/>
  <c r="CR329" i="5"/>
  <c r="CQ329" i="5"/>
  <c r="CP329" i="5"/>
  <c r="CN329" i="5"/>
  <c r="CL329" i="5"/>
  <c r="CK329" i="5"/>
  <c r="CG329" i="5"/>
  <c r="CF329" i="5"/>
  <c r="CE329" i="5"/>
  <c r="CA329" i="5"/>
  <c r="BZ329" i="5"/>
  <c r="BV329" i="5"/>
  <c r="BU329" i="5"/>
  <c r="BT329" i="5"/>
  <c r="BR329" i="5"/>
  <c r="BQ329" i="5"/>
  <c r="BP329" i="5"/>
  <c r="BO329" i="5"/>
  <c r="BN329" i="5"/>
  <c r="BJ329" i="5"/>
  <c r="BI329" i="5"/>
  <c r="BH329" i="5"/>
  <c r="BF329" i="5"/>
  <c r="BD329" i="5"/>
  <c r="BA329" i="5"/>
  <c r="AZ329" i="5"/>
  <c r="AY329" i="5"/>
  <c r="AX329" i="5"/>
  <c r="AV329" i="5"/>
  <c r="AT329" i="5"/>
  <c r="AQ329" i="5"/>
  <c r="AP329" i="5"/>
  <c r="AO329" i="5"/>
  <c r="AN329" i="5"/>
  <c r="AJ329" i="5"/>
  <c r="AE329" i="5"/>
  <c r="AD329" i="5"/>
  <c r="AC329" i="5"/>
  <c r="AA329" i="5"/>
  <c r="Y329" i="5"/>
  <c r="X329" i="5"/>
  <c r="T329" i="5"/>
  <c r="S329" i="5"/>
  <c r="R329" i="5"/>
  <c r="P329" i="5"/>
  <c r="N329" i="5"/>
  <c r="J329" i="5"/>
  <c r="I329" i="5"/>
  <c r="H329" i="5"/>
  <c r="F329" i="5"/>
  <c r="D329" i="5"/>
  <c r="C329" i="5"/>
  <c r="EZ328" i="5"/>
  <c r="EC328" i="5"/>
  <c r="DR328" i="5"/>
  <c r="DE328" i="5"/>
  <c r="CS328" i="5"/>
  <c r="CH328" i="5"/>
  <c r="BW328" i="5"/>
  <c r="BK328" i="5"/>
  <c r="AF328" i="5"/>
  <c r="U328" i="5"/>
  <c r="K328" i="5"/>
  <c r="EZ327" i="5"/>
  <c r="EO327" i="5"/>
  <c r="EC327" i="5"/>
  <c r="DR327" i="5"/>
  <c r="DE327" i="5"/>
  <c r="CS327" i="5"/>
  <c r="CH327" i="5"/>
  <c r="BW327" i="5"/>
  <c r="BK327" i="5"/>
  <c r="AF327" i="5"/>
  <c r="U327" i="5"/>
  <c r="K327" i="5"/>
  <c r="EZ326" i="5"/>
  <c r="EO326" i="5"/>
  <c r="EC326" i="5"/>
  <c r="DR326" i="5"/>
  <c r="DE326" i="5"/>
  <c r="CS326" i="5"/>
  <c r="CH326" i="5"/>
  <c r="BW326" i="5"/>
  <c r="BK326" i="5"/>
  <c r="AF326" i="5"/>
  <c r="U326" i="5"/>
  <c r="K326" i="5"/>
  <c r="EZ325" i="5"/>
  <c r="EO325" i="5"/>
  <c r="EC325" i="5"/>
  <c r="DR325" i="5"/>
  <c r="DE325" i="5"/>
  <c r="CS325" i="5"/>
  <c r="CH325" i="5"/>
  <c r="BW325" i="5"/>
  <c r="BK325" i="5"/>
  <c r="AF325" i="5"/>
  <c r="U325" i="5"/>
  <c r="K325" i="5"/>
  <c r="EZ324" i="5"/>
  <c r="EO324" i="5"/>
  <c r="EC324" i="5"/>
  <c r="DR324" i="5"/>
  <c r="DE324" i="5"/>
  <c r="CS324" i="5"/>
  <c r="CH324" i="5"/>
  <c r="BW324" i="5"/>
  <c r="BK324" i="5"/>
  <c r="AF324" i="5"/>
  <c r="U324" i="5"/>
  <c r="K324" i="5"/>
  <c r="EZ323" i="5"/>
  <c r="EO323" i="5"/>
  <c r="EC323" i="5"/>
  <c r="DR323" i="5"/>
  <c r="DE323" i="5"/>
  <c r="CS323" i="5"/>
  <c r="CH323" i="5"/>
  <c r="BW323" i="5"/>
  <c r="BK323" i="5"/>
  <c r="AF323" i="5"/>
  <c r="U323" i="5"/>
  <c r="K323" i="5"/>
  <c r="EZ322" i="5"/>
  <c r="EO322" i="5"/>
  <c r="EC322" i="5"/>
  <c r="DR322" i="5"/>
  <c r="DE322" i="5"/>
  <c r="CS322" i="5"/>
  <c r="CH322" i="5"/>
  <c r="BW322" i="5"/>
  <c r="BK322" i="5"/>
  <c r="AF322" i="5"/>
  <c r="U322" i="5"/>
  <c r="K322" i="5"/>
  <c r="EZ321" i="5"/>
  <c r="EO321" i="5"/>
  <c r="EC321" i="5"/>
  <c r="DR321" i="5"/>
  <c r="DE321" i="5"/>
  <c r="CS321" i="5"/>
  <c r="CH321" i="5"/>
  <c r="BW321" i="5"/>
  <c r="BK321" i="5"/>
  <c r="AF321" i="5"/>
  <c r="U321" i="5"/>
  <c r="K321" i="5"/>
  <c r="EZ320" i="5"/>
  <c r="EO320" i="5"/>
  <c r="EC320" i="5"/>
  <c r="DR320" i="5"/>
  <c r="DE320" i="5"/>
  <c r="CS320" i="5"/>
  <c r="CH320" i="5"/>
  <c r="BW320" i="5"/>
  <c r="BK320" i="5"/>
  <c r="AF320" i="5"/>
  <c r="U320" i="5"/>
  <c r="K320" i="5"/>
  <c r="EZ319" i="5"/>
  <c r="EO319" i="5"/>
  <c r="EC319" i="5"/>
  <c r="DR319" i="5"/>
  <c r="DE319" i="5"/>
  <c r="CS319" i="5"/>
  <c r="CH319" i="5"/>
  <c r="BW319" i="5"/>
  <c r="BK319" i="5"/>
  <c r="AF319" i="5"/>
  <c r="U319" i="5"/>
  <c r="K319" i="5"/>
  <c r="EZ318" i="5"/>
  <c r="EO318" i="5"/>
  <c r="EC318" i="5"/>
  <c r="DR318" i="5"/>
  <c r="DE318" i="5"/>
  <c r="CS318" i="5"/>
  <c r="CH318" i="5"/>
  <c r="BW318" i="5"/>
  <c r="BK318" i="5"/>
  <c r="AF318" i="5"/>
  <c r="U318" i="5"/>
  <c r="K318" i="5"/>
  <c r="EZ317" i="5"/>
  <c r="EO317" i="5"/>
  <c r="EC317" i="5"/>
  <c r="DR317" i="5"/>
  <c r="DE317" i="5"/>
  <c r="CS317" i="5"/>
  <c r="CH317" i="5"/>
  <c r="BW317" i="5"/>
  <c r="BK317" i="5"/>
  <c r="AF317" i="5"/>
  <c r="U317" i="5"/>
  <c r="K317" i="5"/>
  <c r="EZ316" i="5"/>
  <c r="EO316" i="5"/>
  <c r="EC316" i="5"/>
  <c r="DR316" i="5"/>
  <c r="DE316" i="5"/>
  <c r="CS316" i="5"/>
  <c r="CH316" i="5"/>
  <c r="BW316" i="5"/>
  <c r="BK316" i="5"/>
  <c r="AF316" i="5"/>
  <c r="U316" i="5"/>
  <c r="K316" i="5"/>
  <c r="EZ315" i="5"/>
  <c r="EO315" i="5"/>
  <c r="EC315" i="5"/>
  <c r="DR315" i="5"/>
  <c r="DE315" i="5"/>
  <c r="CS315" i="5"/>
  <c r="CH315" i="5"/>
  <c r="BW315" i="5"/>
  <c r="BK315" i="5"/>
  <c r="AF315" i="5"/>
  <c r="U315" i="5"/>
  <c r="K315" i="5"/>
  <c r="EZ314" i="5"/>
  <c r="EO314" i="5"/>
  <c r="EC314" i="5"/>
  <c r="DR314" i="5"/>
  <c r="DE314" i="5"/>
  <c r="CS314" i="5"/>
  <c r="CH314" i="5"/>
  <c r="BW314" i="5"/>
  <c r="BK314" i="5"/>
  <c r="AF314" i="5"/>
  <c r="U314" i="5"/>
  <c r="K314" i="5"/>
  <c r="EZ313" i="5"/>
  <c r="EO313" i="5"/>
  <c r="EC313" i="5"/>
  <c r="DR313" i="5"/>
  <c r="DE313" i="5"/>
  <c r="CS313" i="5"/>
  <c r="CH313" i="5"/>
  <c r="BW313" i="5"/>
  <c r="BK313" i="5"/>
  <c r="AF313" i="5"/>
  <c r="U313" i="5"/>
  <c r="K313" i="5"/>
  <c r="EZ312" i="5"/>
  <c r="EO312" i="5"/>
  <c r="EC312" i="5"/>
  <c r="DR312" i="5"/>
  <c r="DE312" i="5"/>
  <c r="CS312" i="5"/>
  <c r="CH312" i="5"/>
  <c r="BW312" i="5"/>
  <c r="BK312" i="5"/>
  <c r="AF312" i="5"/>
  <c r="U312" i="5"/>
  <c r="K312" i="5"/>
  <c r="EZ311" i="5"/>
  <c r="EO311" i="5"/>
  <c r="EC311" i="5"/>
  <c r="DR311" i="5"/>
  <c r="DE311" i="5"/>
  <c r="CS311" i="5"/>
  <c r="CH311" i="5"/>
  <c r="BW311" i="5"/>
  <c r="BK311" i="5"/>
  <c r="AF311" i="5"/>
  <c r="U311" i="5"/>
  <c r="K311" i="5"/>
  <c r="EZ310" i="5"/>
  <c r="EO310" i="5"/>
  <c r="EC310" i="5"/>
  <c r="DR310" i="5"/>
  <c r="DE310" i="5"/>
  <c r="CS310" i="5"/>
  <c r="CH310" i="5"/>
  <c r="BW310" i="5"/>
  <c r="BK310" i="5"/>
  <c r="AF310" i="5"/>
  <c r="U310" i="5"/>
  <c r="K310" i="5"/>
  <c r="EZ309" i="5"/>
  <c r="EO309" i="5"/>
  <c r="EC309" i="5"/>
  <c r="DR309" i="5"/>
  <c r="DE309" i="5"/>
  <c r="CS309" i="5"/>
  <c r="CH309" i="5"/>
  <c r="BW309" i="5"/>
  <c r="BK309" i="5"/>
  <c r="AF309" i="5"/>
  <c r="U309" i="5"/>
  <c r="K309" i="5"/>
  <c r="EZ308" i="5"/>
  <c r="EO308" i="5"/>
  <c r="EC308" i="5"/>
  <c r="DR308" i="5"/>
  <c r="DE308" i="5"/>
  <c r="CS308" i="5"/>
  <c r="CH308" i="5"/>
  <c r="BW308" i="5"/>
  <c r="BK308" i="5"/>
  <c r="AF308" i="5"/>
  <c r="U308" i="5"/>
  <c r="K308" i="5"/>
  <c r="EZ307" i="5"/>
  <c r="EO307" i="5"/>
  <c r="EC307" i="5"/>
  <c r="DR307" i="5"/>
  <c r="DE307" i="5"/>
  <c r="CS307" i="5"/>
  <c r="CH307" i="5"/>
  <c r="BW307" i="5"/>
  <c r="BK307" i="5"/>
  <c r="AF307" i="5"/>
  <c r="U307" i="5"/>
  <c r="K307" i="5"/>
  <c r="EZ306" i="5"/>
  <c r="EO306" i="5"/>
  <c r="EC306" i="5"/>
  <c r="DR306" i="5"/>
  <c r="DE306" i="5"/>
  <c r="CS306" i="5"/>
  <c r="CH306" i="5"/>
  <c r="BW306" i="5"/>
  <c r="BK306" i="5"/>
  <c r="AF306" i="5"/>
  <c r="U306" i="5"/>
  <c r="K306" i="5"/>
  <c r="EZ305" i="5"/>
  <c r="EO305" i="5"/>
  <c r="EC305" i="5"/>
  <c r="DR305" i="5"/>
  <c r="DE305" i="5"/>
  <c r="CS305" i="5"/>
  <c r="CH305" i="5"/>
  <c r="BW305" i="5"/>
  <c r="BK305" i="5"/>
  <c r="AF305" i="5"/>
  <c r="U305" i="5"/>
  <c r="K305" i="5"/>
  <c r="EZ304" i="5"/>
  <c r="EO304" i="5"/>
  <c r="EC304" i="5"/>
  <c r="DR304" i="5"/>
  <c r="DE304" i="5"/>
  <c r="CS304" i="5"/>
  <c r="CH304" i="5"/>
  <c r="BW304" i="5"/>
  <c r="BK304" i="5"/>
  <c r="AF304" i="5"/>
  <c r="U304" i="5"/>
  <c r="K304" i="5"/>
  <c r="EZ303" i="5"/>
  <c r="EO303" i="5"/>
  <c r="EC303" i="5"/>
  <c r="DR303" i="5"/>
  <c r="DE303" i="5"/>
  <c r="CS303" i="5"/>
  <c r="CH303" i="5"/>
  <c r="BW303" i="5"/>
  <c r="BK303" i="5"/>
  <c r="AF303" i="5"/>
  <c r="U303" i="5"/>
  <c r="K303" i="5"/>
  <c r="EZ302" i="5"/>
  <c r="EO302" i="5"/>
  <c r="EC302" i="5"/>
  <c r="DR302" i="5"/>
  <c r="DE302" i="5"/>
  <c r="CS302" i="5"/>
  <c r="CH302" i="5"/>
  <c r="BW302" i="5"/>
  <c r="BK302" i="5"/>
  <c r="AF302" i="5"/>
  <c r="U302" i="5"/>
  <c r="K302" i="5"/>
  <c r="EZ301" i="5"/>
  <c r="EO301" i="5"/>
  <c r="EC301" i="5"/>
  <c r="DR301" i="5"/>
  <c r="DE301" i="5"/>
  <c r="CS301" i="5"/>
  <c r="CH301" i="5"/>
  <c r="BW301" i="5"/>
  <c r="BK301" i="5"/>
  <c r="AF301" i="5"/>
  <c r="U301" i="5"/>
  <c r="K301" i="5"/>
  <c r="EZ300" i="5"/>
  <c r="EO300" i="5"/>
  <c r="EC300" i="5"/>
  <c r="DR300" i="5"/>
  <c r="DE300" i="5"/>
  <c r="CS300" i="5"/>
  <c r="CH300" i="5"/>
  <c r="BW300" i="5"/>
  <c r="BK300" i="5"/>
  <c r="AF300" i="5"/>
  <c r="U300" i="5"/>
  <c r="K300" i="5"/>
  <c r="EZ299" i="5"/>
  <c r="EO299" i="5"/>
  <c r="EC299" i="5"/>
  <c r="DR299" i="5"/>
  <c r="DE299" i="5"/>
  <c r="CS299" i="5"/>
  <c r="CH299" i="5"/>
  <c r="BW299" i="5"/>
  <c r="BK299" i="5"/>
  <c r="AF299" i="5"/>
  <c r="U299" i="5"/>
  <c r="K299" i="5"/>
  <c r="EZ298" i="5"/>
  <c r="EO298" i="5"/>
  <c r="EC298" i="5"/>
  <c r="DR298" i="5"/>
  <c r="DE298" i="5"/>
  <c r="CS298" i="5"/>
  <c r="CH298" i="5"/>
  <c r="BW298" i="5"/>
  <c r="BK298" i="5"/>
  <c r="AF298" i="5"/>
  <c r="U298" i="5"/>
  <c r="K298" i="5"/>
  <c r="BW365" i="5" l="1"/>
  <c r="U329" i="5"/>
  <c r="K329" i="5"/>
  <c r="K365" i="5"/>
  <c r="EC365" i="5"/>
  <c r="EZ365" i="5"/>
  <c r="U365" i="5"/>
  <c r="EO365" i="5"/>
  <c r="DR365" i="5"/>
  <c r="DE365" i="5"/>
  <c r="CS365" i="5"/>
  <c r="CH365" i="5"/>
  <c r="BK365" i="5"/>
  <c r="AF365" i="5"/>
  <c r="EZ329" i="5"/>
  <c r="EO329" i="5"/>
  <c r="EC329" i="5"/>
  <c r="DR329" i="5"/>
  <c r="DE329" i="5"/>
  <c r="CS329" i="5"/>
  <c r="CH329" i="5"/>
  <c r="BW329" i="5"/>
  <c r="BK329" i="5"/>
  <c r="AF329" i="5"/>
  <c r="BM119" i="3"/>
  <c r="BM120" i="3"/>
  <c r="BM121" i="3"/>
  <c r="BM122" i="3"/>
  <c r="BM123" i="3"/>
  <c r="BM124" i="3"/>
  <c r="BM125" i="3"/>
  <c r="BM126" i="3"/>
  <c r="BM127" i="3"/>
  <c r="BM128" i="3"/>
  <c r="BM129" i="3"/>
  <c r="BM130" i="3"/>
  <c r="BM131" i="3"/>
  <c r="BM132" i="3"/>
  <c r="BM133" i="3"/>
  <c r="BM134" i="3"/>
  <c r="BM135" i="3"/>
  <c r="BM136" i="3"/>
  <c r="BM137" i="3"/>
  <c r="BM138" i="3"/>
  <c r="BM139" i="3"/>
  <c r="BM140" i="3"/>
  <c r="BM141" i="3"/>
  <c r="EW149" i="3"/>
  <c r="EV149" i="3"/>
  <c r="EU149" i="3"/>
  <c r="ES149" i="3"/>
  <c r="ER149" i="3"/>
  <c r="EN149" i="3"/>
  <c r="EM149" i="3"/>
  <c r="EL149" i="3"/>
  <c r="EJ149" i="3"/>
  <c r="EI149" i="3"/>
  <c r="EE149" i="3"/>
  <c r="ED149" i="3"/>
  <c r="EC149" i="3"/>
  <c r="EA149" i="3"/>
  <c r="DZ149" i="3"/>
  <c r="DV149" i="3"/>
  <c r="DU149" i="3"/>
  <c r="DT149" i="3"/>
  <c r="DR149" i="3"/>
  <c r="DQ149" i="3"/>
  <c r="DM149" i="3"/>
  <c r="DL149" i="3"/>
  <c r="DK149" i="3"/>
  <c r="DI149" i="3"/>
  <c r="DH149" i="3"/>
  <c r="DG149" i="3"/>
  <c r="DC149" i="3"/>
  <c r="DB149" i="3"/>
  <c r="DA149" i="3"/>
  <c r="CY149" i="3"/>
  <c r="CX149" i="3"/>
  <c r="CW149" i="3"/>
  <c r="CV149" i="3"/>
  <c r="CR149" i="3"/>
  <c r="CQ149" i="3"/>
  <c r="CP149" i="3"/>
  <c r="CN149" i="3"/>
  <c r="CM149" i="3"/>
  <c r="CL149" i="3"/>
  <c r="CH149" i="3"/>
  <c r="CG149" i="3"/>
  <c r="CF149" i="3"/>
  <c r="CD149" i="3"/>
  <c r="CC149" i="3"/>
  <c r="CB149" i="3"/>
  <c r="BX149" i="3"/>
  <c r="BV149" i="3"/>
  <c r="BU149" i="3"/>
  <c r="BS149" i="3"/>
  <c r="BR149" i="3"/>
  <c r="BQ149" i="3"/>
  <c r="BP149" i="3"/>
  <c r="BL149" i="3"/>
  <c r="BK149" i="3"/>
  <c r="BJ149" i="3"/>
  <c r="BH149" i="3"/>
  <c r="BF149" i="3"/>
  <c r="BE149" i="3"/>
  <c r="BA149" i="3"/>
  <c r="AZ149" i="3"/>
  <c r="AY149" i="3"/>
  <c r="AW149" i="3"/>
  <c r="AV149" i="3"/>
  <c r="AU149" i="3"/>
  <c r="AT149" i="3"/>
  <c r="AP149" i="3"/>
  <c r="AM149" i="3"/>
  <c r="AK149" i="3"/>
  <c r="AJ149" i="3"/>
  <c r="AI149" i="3"/>
  <c r="AE149" i="3"/>
  <c r="AC149" i="3"/>
  <c r="AB149" i="3"/>
  <c r="Z149" i="3"/>
  <c r="Y149" i="3"/>
  <c r="X149" i="3"/>
  <c r="T149" i="3"/>
  <c r="R149" i="3"/>
  <c r="Q149" i="3"/>
  <c r="O149" i="3"/>
  <c r="N149" i="3"/>
  <c r="M149" i="3"/>
  <c r="I149" i="3"/>
  <c r="H149" i="3"/>
  <c r="G149" i="3"/>
  <c r="E149" i="3"/>
  <c r="D149" i="3"/>
  <c r="C149" i="3"/>
  <c r="BB142" i="3"/>
  <c r="BB141" i="3"/>
  <c r="AQ141" i="3"/>
  <c r="BB140" i="3"/>
  <c r="AQ140" i="3"/>
  <c r="EF139" i="3"/>
  <c r="CI139" i="3"/>
  <c r="BY139" i="3"/>
  <c r="BB139" i="3"/>
  <c r="AQ139" i="3"/>
  <c r="J139" i="3"/>
  <c r="EF138" i="3"/>
  <c r="CI138" i="3"/>
  <c r="BY138" i="3"/>
  <c r="BB138" i="3"/>
  <c r="AQ138" i="3"/>
  <c r="J138" i="3"/>
  <c r="EX137" i="3"/>
  <c r="EF137" i="3"/>
  <c r="CI137" i="3"/>
  <c r="BY137" i="3"/>
  <c r="BB137" i="3"/>
  <c r="AQ137" i="3"/>
  <c r="U137" i="3"/>
  <c r="J137" i="3"/>
  <c r="EX136" i="3"/>
  <c r="EF136" i="3"/>
  <c r="DW136" i="3"/>
  <c r="CI136" i="3"/>
  <c r="BY136" i="3"/>
  <c r="BB136" i="3"/>
  <c r="AQ136" i="3"/>
  <c r="U136" i="3"/>
  <c r="J136" i="3"/>
  <c r="EX135" i="3"/>
  <c r="EF135" i="3"/>
  <c r="DW135" i="3"/>
  <c r="CI135" i="3"/>
  <c r="BY135" i="3"/>
  <c r="BB135" i="3"/>
  <c r="AQ135" i="3"/>
  <c r="U135" i="3"/>
  <c r="J135" i="3"/>
  <c r="EX134" i="3"/>
  <c r="EO134" i="3"/>
  <c r="EF134" i="3"/>
  <c r="DW134" i="3"/>
  <c r="DD134" i="3"/>
  <c r="CS134" i="3"/>
  <c r="CI134" i="3"/>
  <c r="BY134" i="3"/>
  <c r="BB134" i="3"/>
  <c r="AQ134" i="3"/>
  <c r="U134" i="3"/>
  <c r="J134" i="3"/>
  <c r="EX133" i="3"/>
  <c r="EO133" i="3"/>
  <c r="EF133" i="3"/>
  <c r="DW133" i="3"/>
  <c r="DD133" i="3"/>
  <c r="CS133" i="3"/>
  <c r="CI133" i="3"/>
  <c r="BY133" i="3"/>
  <c r="BB133" i="3"/>
  <c r="AQ133" i="3"/>
  <c r="U133" i="3"/>
  <c r="J133" i="3"/>
  <c r="EX132" i="3"/>
  <c r="EO132" i="3"/>
  <c r="EF132" i="3"/>
  <c r="DW132" i="3"/>
  <c r="DD132" i="3"/>
  <c r="CS132" i="3"/>
  <c r="CI132" i="3"/>
  <c r="BY132" i="3"/>
  <c r="BB132" i="3"/>
  <c r="AQ132" i="3"/>
  <c r="U132" i="3"/>
  <c r="J132" i="3"/>
  <c r="EX131" i="3"/>
  <c r="EO131" i="3"/>
  <c r="EF131" i="3"/>
  <c r="DW131" i="3"/>
  <c r="DD131" i="3"/>
  <c r="CS131" i="3"/>
  <c r="CI131" i="3"/>
  <c r="BY131" i="3"/>
  <c r="BB131" i="3"/>
  <c r="AQ131" i="3"/>
  <c r="U131" i="3"/>
  <c r="J131" i="3"/>
  <c r="EX130" i="3"/>
  <c r="EO130" i="3"/>
  <c r="EF130" i="3"/>
  <c r="DW130" i="3"/>
  <c r="DD130" i="3"/>
  <c r="CS130" i="3"/>
  <c r="CI130" i="3"/>
  <c r="BY130" i="3"/>
  <c r="BB130" i="3"/>
  <c r="AQ130" i="3"/>
  <c r="U130" i="3"/>
  <c r="J130" i="3"/>
  <c r="EX129" i="3"/>
  <c r="EO129" i="3"/>
  <c r="EF129" i="3"/>
  <c r="DW129" i="3"/>
  <c r="DD129" i="3"/>
  <c r="CS129" i="3"/>
  <c r="CI129" i="3"/>
  <c r="BY129" i="3"/>
  <c r="BB129" i="3"/>
  <c r="AQ129" i="3"/>
  <c r="U129" i="3"/>
  <c r="J129" i="3"/>
  <c r="EX128" i="3"/>
  <c r="EO128" i="3"/>
  <c r="EF128" i="3"/>
  <c r="DW128" i="3"/>
  <c r="DD128" i="3"/>
  <c r="CS128" i="3"/>
  <c r="CI128" i="3"/>
  <c r="BY128" i="3"/>
  <c r="BB128" i="3"/>
  <c r="AQ128" i="3"/>
  <c r="U128" i="3"/>
  <c r="J128" i="3"/>
  <c r="EX127" i="3"/>
  <c r="EO127" i="3"/>
  <c r="EF127" i="3"/>
  <c r="DW127" i="3"/>
  <c r="DD127" i="3"/>
  <c r="CS127" i="3"/>
  <c r="CI127" i="3"/>
  <c r="BY127" i="3"/>
  <c r="BB127" i="3"/>
  <c r="AQ127" i="3"/>
  <c r="U127" i="3"/>
  <c r="J127" i="3"/>
  <c r="EX126" i="3"/>
  <c r="EO126" i="3"/>
  <c r="EF126" i="3"/>
  <c r="DW126" i="3"/>
  <c r="DN126" i="3"/>
  <c r="DD126" i="3"/>
  <c r="CS126" i="3"/>
  <c r="CI126" i="3"/>
  <c r="BY126" i="3"/>
  <c r="BB126" i="3"/>
  <c r="AQ126" i="3"/>
  <c r="U126" i="3"/>
  <c r="J126" i="3"/>
  <c r="EX125" i="3"/>
  <c r="EO125" i="3"/>
  <c r="EF125" i="3"/>
  <c r="DW125" i="3"/>
  <c r="DN125" i="3"/>
  <c r="DD125" i="3"/>
  <c r="CS125" i="3"/>
  <c r="CI125" i="3"/>
  <c r="BY125" i="3"/>
  <c r="BB125" i="3"/>
  <c r="AQ125" i="3"/>
  <c r="U125" i="3"/>
  <c r="J125" i="3"/>
  <c r="EX124" i="3"/>
  <c r="EO124" i="3"/>
  <c r="EF124" i="3"/>
  <c r="DW124" i="3"/>
  <c r="DN124" i="3"/>
  <c r="DD124" i="3"/>
  <c r="CS124" i="3"/>
  <c r="CI124" i="3"/>
  <c r="BY124" i="3"/>
  <c r="BB124" i="3"/>
  <c r="AQ124" i="3"/>
  <c r="U124" i="3"/>
  <c r="J124" i="3"/>
  <c r="EX123" i="3"/>
  <c r="EO123" i="3"/>
  <c r="EF123" i="3"/>
  <c r="DW123" i="3"/>
  <c r="DN123" i="3"/>
  <c r="DD123" i="3"/>
  <c r="CS123" i="3"/>
  <c r="CI123" i="3"/>
  <c r="BY123" i="3"/>
  <c r="BB123" i="3"/>
  <c r="AQ123" i="3"/>
  <c r="U123" i="3"/>
  <c r="J123" i="3"/>
  <c r="EX122" i="3"/>
  <c r="EO122" i="3"/>
  <c r="EF122" i="3"/>
  <c r="DW122" i="3"/>
  <c r="DN122" i="3"/>
  <c r="DD122" i="3"/>
  <c r="CS122" i="3"/>
  <c r="CI122" i="3"/>
  <c r="BY122" i="3"/>
  <c r="BB122" i="3"/>
  <c r="AQ122" i="3"/>
  <c r="U122" i="3"/>
  <c r="J122" i="3"/>
  <c r="EX121" i="3"/>
  <c r="EO121" i="3"/>
  <c r="EF121" i="3"/>
  <c r="DW121" i="3"/>
  <c r="DN121" i="3"/>
  <c r="DD121" i="3"/>
  <c r="CS121" i="3"/>
  <c r="CI121" i="3"/>
  <c r="BY121" i="3"/>
  <c r="BB121" i="3"/>
  <c r="AQ121" i="3"/>
  <c r="U121" i="3"/>
  <c r="J121" i="3"/>
  <c r="EX120" i="3"/>
  <c r="EO120" i="3"/>
  <c r="EF120" i="3"/>
  <c r="DW120" i="3"/>
  <c r="DN120" i="3"/>
  <c r="DD120" i="3"/>
  <c r="CS120" i="3"/>
  <c r="CI120" i="3"/>
  <c r="BY120" i="3"/>
  <c r="BB120" i="3"/>
  <c r="AQ120" i="3"/>
  <c r="AF120" i="3"/>
  <c r="U120" i="3"/>
  <c r="J120" i="3"/>
  <c r="EX119" i="3"/>
  <c r="EO119" i="3"/>
  <c r="EF119" i="3"/>
  <c r="DW119" i="3"/>
  <c r="DN119" i="3"/>
  <c r="DD119" i="3"/>
  <c r="CS119" i="3"/>
  <c r="CI119" i="3"/>
  <c r="BY119" i="3"/>
  <c r="BB119" i="3"/>
  <c r="AQ119" i="3"/>
  <c r="AF119" i="3"/>
  <c r="U119" i="3"/>
  <c r="J119" i="3"/>
  <c r="EW111" i="3"/>
  <c r="EV111" i="3"/>
  <c r="EU111" i="3"/>
  <c r="ES111" i="3"/>
  <c r="ER111" i="3"/>
  <c r="EN111" i="3"/>
  <c r="EM111" i="3"/>
  <c r="EL111" i="3"/>
  <c r="EJ111" i="3"/>
  <c r="EI111" i="3"/>
  <c r="EE111" i="3"/>
  <c r="ED111" i="3"/>
  <c r="EC111" i="3"/>
  <c r="EA111" i="3"/>
  <c r="DZ111" i="3"/>
  <c r="DV111" i="3"/>
  <c r="DU111" i="3"/>
  <c r="DT111" i="3"/>
  <c r="DR111" i="3"/>
  <c r="DQ111" i="3"/>
  <c r="DM111" i="3"/>
  <c r="DL111" i="3"/>
  <c r="DK111" i="3"/>
  <c r="DI111" i="3"/>
  <c r="DH111" i="3"/>
  <c r="DG111" i="3"/>
  <c r="DC111" i="3"/>
  <c r="DB111" i="3"/>
  <c r="DA111" i="3"/>
  <c r="CY111" i="3"/>
  <c r="CX111" i="3"/>
  <c r="CW111" i="3"/>
  <c r="CV111" i="3"/>
  <c r="CR111" i="3"/>
  <c r="CQ111" i="3"/>
  <c r="CP111" i="3"/>
  <c r="CN111" i="3"/>
  <c r="CM111" i="3"/>
  <c r="CL111" i="3"/>
  <c r="CH111" i="3"/>
  <c r="CG111" i="3"/>
  <c r="CF111" i="3"/>
  <c r="CD111" i="3"/>
  <c r="CC111" i="3"/>
  <c r="CB111" i="3"/>
  <c r="BX111" i="3"/>
  <c r="BV111" i="3"/>
  <c r="BU111" i="3"/>
  <c r="BS111" i="3"/>
  <c r="BR111" i="3"/>
  <c r="BQ111" i="3"/>
  <c r="BP111" i="3"/>
  <c r="BL111" i="3"/>
  <c r="BK111" i="3"/>
  <c r="BJ111" i="3"/>
  <c r="BG111" i="3"/>
  <c r="BH111" i="3"/>
  <c r="BF111" i="3"/>
  <c r="BE111" i="3"/>
  <c r="BA111" i="3"/>
  <c r="AZ111" i="3"/>
  <c r="AY111" i="3"/>
  <c r="AW111" i="3"/>
  <c r="AV111" i="3"/>
  <c r="AU111" i="3"/>
  <c r="AT111" i="3"/>
  <c r="AP111" i="3"/>
  <c r="AM111" i="3"/>
  <c r="AK111" i="3"/>
  <c r="AJ111" i="3"/>
  <c r="AI111" i="3"/>
  <c r="AE111" i="3"/>
  <c r="AC111" i="3"/>
  <c r="AB111" i="3"/>
  <c r="Z111" i="3"/>
  <c r="Y111" i="3"/>
  <c r="X111" i="3"/>
  <c r="T111" i="3"/>
  <c r="R111" i="3"/>
  <c r="Q111" i="3"/>
  <c r="O111" i="3"/>
  <c r="N111" i="3"/>
  <c r="M111" i="3"/>
  <c r="I111" i="3"/>
  <c r="H111" i="3"/>
  <c r="G111" i="3"/>
  <c r="E111" i="3"/>
  <c r="D111" i="3"/>
  <c r="C111" i="3"/>
  <c r="EX102" i="3"/>
  <c r="EO102" i="3"/>
  <c r="EF102" i="3"/>
  <c r="J102" i="3"/>
  <c r="EX101" i="3"/>
  <c r="EO101" i="3"/>
  <c r="EF101" i="3"/>
  <c r="DN101" i="3"/>
  <c r="CS101" i="3"/>
  <c r="BB101" i="3"/>
  <c r="J101" i="3"/>
  <c r="EX100" i="3"/>
  <c r="EO100" i="3"/>
  <c r="EF100" i="3"/>
  <c r="DW100" i="3"/>
  <c r="DN100" i="3"/>
  <c r="CS100" i="3"/>
  <c r="BM100" i="3"/>
  <c r="BB100" i="3"/>
  <c r="J100" i="3"/>
  <c r="EX99" i="3"/>
  <c r="EO99" i="3"/>
  <c r="EF99" i="3"/>
  <c r="DW99" i="3"/>
  <c r="DN99" i="3"/>
  <c r="DD99" i="3"/>
  <c r="CS99" i="3"/>
  <c r="BY99" i="3"/>
  <c r="BM99" i="3"/>
  <c r="BB99" i="3"/>
  <c r="J99" i="3"/>
  <c r="EX98" i="3"/>
  <c r="EO98" i="3"/>
  <c r="EF98" i="3"/>
  <c r="DW98" i="3"/>
  <c r="DN98" i="3"/>
  <c r="DD98" i="3"/>
  <c r="CS98" i="3"/>
  <c r="BY98" i="3"/>
  <c r="BM98" i="3"/>
  <c r="BB98" i="3"/>
  <c r="J98" i="3"/>
  <c r="EX97" i="3"/>
  <c r="EO97" i="3"/>
  <c r="EF97" i="3"/>
  <c r="DW97" i="3"/>
  <c r="DN97" i="3"/>
  <c r="DD97" i="3"/>
  <c r="CS97" i="3"/>
  <c r="BY97" i="3"/>
  <c r="BM97" i="3"/>
  <c r="BB97" i="3"/>
  <c r="J97" i="3"/>
  <c r="EX96" i="3"/>
  <c r="EO96" i="3"/>
  <c r="EF96" i="3"/>
  <c r="DW96" i="3"/>
  <c r="DN96" i="3"/>
  <c r="DD96" i="3"/>
  <c r="CS96" i="3"/>
  <c r="BY96" i="3"/>
  <c r="BM96" i="3"/>
  <c r="BB96" i="3"/>
  <c r="J96" i="3"/>
  <c r="EX95" i="3"/>
  <c r="EO95" i="3"/>
  <c r="EF95" i="3"/>
  <c r="DW95" i="3"/>
  <c r="DN95" i="3"/>
  <c r="DD95" i="3"/>
  <c r="CS95" i="3"/>
  <c r="BY95" i="3"/>
  <c r="BM95" i="3"/>
  <c r="BB95" i="3"/>
  <c r="J95" i="3"/>
  <c r="EX94" i="3"/>
  <c r="EO94" i="3"/>
  <c r="EF94" i="3"/>
  <c r="DW94" i="3"/>
  <c r="DN94" i="3"/>
  <c r="DD94" i="3"/>
  <c r="CS94" i="3"/>
  <c r="BY94" i="3"/>
  <c r="BM94" i="3"/>
  <c r="BB94" i="3"/>
  <c r="J94" i="3"/>
  <c r="EX93" i="3"/>
  <c r="EO93" i="3"/>
  <c r="EF93" i="3"/>
  <c r="DW93" i="3"/>
  <c r="DN93" i="3"/>
  <c r="DD93" i="3"/>
  <c r="CS93" i="3"/>
  <c r="BY93" i="3"/>
  <c r="BM93" i="3"/>
  <c r="BB93" i="3"/>
  <c r="J93" i="3"/>
  <c r="EX92" i="3"/>
  <c r="EO92" i="3"/>
  <c r="EF92" i="3"/>
  <c r="DW92" i="3"/>
  <c r="DN92" i="3"/>
  <c r="DD92" i="3"/>
  <c r="CS92" i="3"/>
  <c r="CI92" i="3"/>
  <c r="BY92" i="3"/>
  <c r="BM92" i="3"/>
  <c r="BB92" i="3"/>
  <c r="J92" i="3"/>
  <c r="EX91" i="3"/>
  <c r="EO91" i="3"/>
  <c r="EF91" i="3"/>
  <c r="DW91" i="3"/>
  <c r="DN91" i="3"/>
  <c r="DD91" i="3"/>
  <c r="CS91" i="3"/>
  <c r="CI91" i="3"/>
  <c r="BY91" i="3"/>
  <c r="BM91" i="3"/>
  <c r="BB91" i="3"/>
  <c r="J91" i="3"/>
  <c r="EX90" i="3"/>
  <c r="EO90" i="3"/>
  <c r="EF90" i="3"/>
  <c r="DW90" i="3"/>
  <c r="DN90" i="3"/>
  <c r="DD90" i="3"/>
  <c r="CS90" i="3"/>
  <c r="CI90" i="3"/>
  <c r="BY90" i="3"/>
  <c r="BM90" i="3"/>
  <c r="BB90" i="3"/>
  <c r="J90" i="3"/>
  <c r="EX89" i="3"/>
  <c r="EO89" i="3"/>
  <c r="EF89" i="3"/>
  <c r="DW89" i="3"/>
  <c r="DN89" i="3"/>
  <c r="DD89" i="3"/>
  <c r="CS89" i="3"/>
  <c r="CI89" i="3"/>
  <c r="BY89" i="3"/>
  <c r="BM89" i="3"/>
  <c r="BB89" i="3"/>
  <c r="J89" i="3"/>
  <c r="EX88" i="3"/>
  <c r="EO88" i="3"/>
  <c r="EF88" i="3"/>
  <c r="DW88" i="3"/>
  <c r="DN88" i="3"/>
  <c r="DD88" i="3"/>
  <c r="CS88" i="3"/>
  <c r="CI88" i="3"/>
  <c r="BY88" i="3"/>
  <c r="BM88" i="3"/>
  <c r="BB88" i="3"/>
  <c r="J88" i="3"/>
  <c r="EX87" i="3"/>
  <c r="EO87" i="3"/>
  <c r="EF87" i="3"/>
  <c r="DW87" i="3"/>
  <c r="DN87" i="3"/>
  <c r="DD87" i="3"/>
  <c r="CS87" i="3"/>
  <c r="CI87" i="3"/>
  <c r="BY87" i="3"/>
  <c r="BM87" i="3"/>
  <c r="BB87" i="3"/>
  <c r="J87" i="3"/>
  <c r="EX86" i="3"/>
  <c r="EO86" i="3"/>
  <c r="EF86" i="3"/>
  <c r="DW86" i="3"/>
  <c r="DN86" i="3"/>
  <c r="DD86" i="3"/>
  <c r="CS86" i="3"/>
  <c r="CI86" i="3"/>
  <c r="BY86" i="3"/>
  <c r="BM86" i="3"/>
  <c r="BB86" i="3"/>
  <c r="J86" i="3"/>
  <c r="EX85" i="3"/>
  <c r="EO85" i="3"/>
  <c r="EF85" i="3"/>
  <c r="DW85" i="3"/>
  <c r="DN85" i="3"/>
  <c r="DD85" i="3"/>
  <c r="CS85" i="3"/>
  <c r="CI85" i="3"/>
  <c r="BY85" i="3"/>
  <c r="BM85" i="3"/>
  <c r="BB85" i="3"/>
  <c r="J85" i="3"/>
  <c r="EX84" i="3"/>
  <c r="EO84" i="3"/>
  <c r="EF84" i="3"/>
  <c r="DW84" i="3"/>
  <c r="DN84" i="3"/>
  <c r="DD84" i="3"/>
  <c r="CS84" i="3"/>
  <c r="CI84" i="3"/>
  <c r="BY84" i="3"/>
  <c r="BM84" i="3"/>
  <c r="BB84" i="3"/>
  <c r="J84" i="3"/>
  <c r="EX83" i="3"/>
  <c r="EO83" i="3"/>
  <c r="EF83" i="3"/>
  <c r="DW83" i="3"/>
  <c r="DN83" i="3"/>
  <c r="DD83" i="3"/>
  <c r="CS83" i="3"/>
  <c r="CI83" i="3"/>
  <c r="BY83" i="3"/>
  <c r="BM83" i="3"/>
  <c r="BB83" i="3"/>
  <c r="J83" i="3"/>
  <c r="EX82" i="3"/>
  <c r="EO82" i="3"/>
  <c r="EF82" i="3"/>
  <c r="DW82" i="3"/>
  <c r="DN82" i="3"/>
  <c r="DD82" i="3"/>
  <c r="CS82" i="3"/>
  <c r="CI82" i="3"/>
  <c r="BY82" i="3"/>
  <c r="BM82" i="3"/>
  <c r="BB82" i="3"/>
  <c r="J82" i="3"/>
  <c r="EX81" i="3"/>
  <c r="EO81" i="3"/>
  <c r="EF81" i="3"/>
  <c r="DW81" i="3"/>
  <c r="DN81" i="3"/>
  <c r="DD81" i="3"/>
  <c r="CS81" i="3"/>
  <c r="CI81" i="3"/>
  <c r="BY81" i="3"/>
  <c r="BM81" i="3"/>
  <c r="BB81" i="3"/>
  <c r="AQ81" i="3"/>
  <c r="U81" i="3"/>
  <c r="J81" i="3"/>
  <c r="EX80" i="3"/>
  <c r="EO80" i="3"/>
  <c r="EF80" i="3"/>
  <c r="DW80" i="3"/>
  <c r="DN80" i="3"/>
  <c r="DD80" i="3"/>
  <c r="CS80" i="3"/>
  <c r="CI80" i="3"/>
  <c r="BY80" i="3"/>
  <c r="BM80" i="3"/>
  <c r="BB80" i="3"/>
  <c r="AQ80" i="3"/>
  <c r="U80" i="3"/>
  <c r="J80" i="3"/>
  <c r="J149" i="3" l="1"/>
  <c r="DN149" i="3"/>
  <c r="EX149" i="3"/>
  <c r="EF111" i="3"/>
  <c r="BY111" i="3"/>
  <c r="EO149" i="3"/>
  <c r="EF149" i="3"/>
  <c r="DW149" i="3"/>
  <c r="DD149" i="3"/>
  <c r="CS149" i="3"/>
  <c r="CI149" i="3"/>
  <c r="BY149" i="3"/>
  <c r="BM149" i="3"/>
  <c r="BB149" i="3"/>
  <c r="AQ149" i="3"/>
  <c r="AF149" i="3"/>
  <c r="U149" i="3"/>
  <c r="EX111" i="3"/>
  <c r="EO111" i="3"/>
  <c r="DW111" i="3"/>
  <c r="DN111" i="3"/>
  <c r="DD111" i="3"/>
  <c r="CS111" i="3"/>
  <c r="CI111" i="3"/>
  <c r="BM111" i="3"/>
  <c r="BB111" i="3"/>
  <c r="AQ111" i="3"/>
  <c r="U111" i="3"/>
  <c r="J111" i="3"/>
  <c r="DD59" i="3"/>
  <c r="EZ255" i="5" l="1"/>
  <c r="EZ254" i="5"/>
  <c r="EZ253" i="5"/>
  <c r="EZ252" i="5"/>
  <c r="EZ251" i="5"/>
  <c r="EZ250" i="5"/>
  <c r="EZ249" i="5"/>
  <c r="EZ248" i="5"/>
  <c r="EZ247" i="5"/>
  <c r="EZ246" i="5"/>
  <c r="EZ245" i="5"/>
  <c r="EZ244" i="5"/>
  <c r="EZ243" i="5"/>
  <c r="EZ242" i="5"/>
  <c r="EZ241" i="5"/>
  <c r="EZ240" i="5"/>
  <c r="EZ239" i="5"/>
  <c r="EZ238" i="5"/>
  <c r="EZ237" i="5"/>
  <c r="EZ236" i="5"/>
  <c r="EZ235" i="5"/>
  <c r="EZ234" i="5"/>
  <c r="EZ233" i="5"/>
  <c r="EZ232" i="5"/>
  <c r="EZ231" i="5"/>
  <c r="EZ230" i="5"/>
  <c r="EZ229" i="5"/>
  <c r="EZ228" i="5"/>
  <c r="EZ227" i="5"/>
  <c r="EZ226" i="5"/>
  <c r="EZ225" i="5"/>
  <c r="EO255" i="5"/>
  <c r="EO254" i="5"/>
  <c r="EO253" i="5"/>
  <c r="EO252" i="5"/>
  <c r="EO251" i="5"/>
  <c r="EO250" i="5"/>
  <c r="EO249" i="5"/>
  <c r="EO248" i="5"/>
  <c r="EO247" i="5"/>
  <c r="EO246" i="5"/>
  <c r="EO245" i="5"/>
  <c r="EO244" i="5"/>
  <c r="EO243" i="5"/>
  <c r="EO242" i="5"/>
  <c r="EO241" i="5"/>
  <c r="EO240" i="5"/>
  <c r="EO239" i="5"/>
  <c r="EO238" i="5"/>
  <c r="EO237" i="5"/>
  <c r="EO236" i="5"/>
  <c r="EO235" i="5"/>
  <c r="EO234" i="5"/>
  <c r="EO233" i="5"/>
  <c r="EO232" i="5"/>
  <c r="EO231" i="5"/>
  <c r="EO230" i="5"/>
  <c r="EO229" i="5"/>
  <c r="EO228" i="5"/>
  <c r="EO227" i="5"/>
  <c r="EO226" i="5"/>
  <c r="EO225" i="5"/>
  <c r="EC255" i="5"/>
  <c r="EC254" i="5"/>
  <c r="EC253" i="5"/>
  <c r="EC252" i="5"/>
  <c r="EC251" i="5"/>
  <c r="EC250" i="5"/>
  <c r="EC249" i="5"/>
  <c r="EC248" i="5"/>
  <c r="EC247" i="5"/>
  <c r="EC246" i="5"/>
  <c r="EC245" i="5"/>
  <c r="EC244" i="5"/>
  <c r="EC243" i="5"/>
  <c r="EC242" i="5"/>
  <c r="EC241" i="5"/>
  <c r="EC240" i="5"/>
  <c r="EC239" i="5"/>
  <c r="EC238" i="5"/>
  <c r="EC237" i="5"/>
  <c r="EC236" i="5"/>
  <c r="EC235" i="5"/>
  <c r="EC234" i="5"/>
  <c r="EC233" i="5"/>
  <c r="EC232" i="5"/>
  <c r="EC231" i="5"/>
  <c r="EC230" i="5"/>
  <c r="EC229" i="5"/>
  <c r="EC228" i="5"/>
  <c r="EC227" i="5"/>
  <c r="EC226" i="5"/>
  <c r="EC225" i="5"/>
  <c r="DR255" i="5"/>
  <c r="DR254" i="5"/>
  <c r="DR253" i="5"/>
  <c r="DR252" i="5"/>
  <c r="DR251" i="5"/>
  <c r="DR250" i="5"/>
  <c r="DR249" i="5"/>
  <c r="DR248" i="5"/>
  <c r="DR247" i="5"/>
  <c r="DR246" i="5"/>
  <c r="DR245" i="5"/>
  <c r="DR244" i="5"/>
  <c r="DR243" i="5"/>
  <c r="DR242" i="5"/>
  <c r="DR241" i="5"/>
  <c r="DR240" i="5"/>
  <c r="DR239" i="5"/>
  <c r="DR238" i="5"/>
  <c r="DR237" i="5"/>
  <c r="DR236" i="5"/>
  <c r="DR235" i="5"/>
  <c r="DR234" i="5"/>
  <c r="DR233" i="5"/>
  <c r="DR232" i="5"/>
  <c r="DR231" i="5"/>
  <c r="DR230" i="5"/>
  <c r="DR229" i="5"/>
  <c r="DR228" i="5"/>
  <c r="DR227" i="5"/>
  <c r="DR226" i="5"/>
  <c r="DR225" i="5"/>
  <c r="CS263" i="5" l="1"/>
  <c r="CS255" i="5"/>
  <c r="CS254" i="5"/>
  <c r="CS253" i="5"/>
  <c r="CS252" i="5"/>
  <c r="CS251" i="5"/>
  <c r="CS250" i="5"/>
  <c r="CS249" i="5"/>
  <c r="CS248" i="5"/>
  <c r="CS247" i="5"/>
  <c r="CS246" i="5"/>
  <c r="CS245" i="5"/>
  <c r="CS244" i="5"/>
  <c r="CS243" i="5"/>
  <c r="CS242" i="5"/>
  <c r="CS241" i="5"/>
  <c r="CS240" i="5"/>
  <c r="CS239" i="5"/>
  <c r="CS238" i="5"/>
  <c r="CS237" i="5"/>
  <c r="CS236" i="5"/>
  <c r="CS235" i="5"/>
  <c r="CS234" i="5"/>
  <c r="CS233" i="5"/>
  <c r="CS232" i="5"/>
  <c r="CS231" i="5"/>
  <c r="CS230" i="5"/>
  <c r="CS229" i="5"/>
  <c r="CS228" i="5"/>
  <c r="CS227" i="5"/>
  <c r="CS226" i="5"/>
  <c r="CS225" i="5"/>
  <c r="CH255" i="5"/>
  <c r="CH254" i="5"/>
  <c r="CH253" i="5"/>
  <c r="CH252" i="5"/>
  <c r="CH251" i="5"/>
  <c r="CH250" i="5"/>
  <c r="CH249" i="5"/>
  <c r="CH248" i="5"/>
  <c r="CH247" i="5"/>
  <c r="CH246" i="5"/>
  <c r="CH245" i="5"/>
  <c r="CH244" i="5"/>
  <c r="CH243" i="5"/>
  <c r="CH242" i="5"/>
  <c r="CH241" i="5"/>
  <c r="CH240" i="5"/>
  <c r="CH239" i="5"/>
  <c r="CH238" i="5"/>
  <c r="CH237" i="5"/>
  <c r="CH236" i="5"/>
  <c r="CH235" i="5"/>
  <c r="CH234" i="5"/>
  <c r="CH233" i="5"/>
  <c r="CH232" i="5"/>
  <c r="CH231" i="5"/>
  <c r="CH230" i="5"/>
  <c r="CH229" i="5"/>
  <c r="CH228" i="5"/>
  <c r="CH227" i="5"/>
  <c r="CH226" i="5"/>
  <c r="CH225" i="5"/>
  <c r="J145" i="4" l="1"/>
  <c r="J85" i="4"/>
  <c r="EN187" i="1"/>
  <c r="EN188" i="1"/>
  <c r="EC186" i="1"/>
  <c r="EC187" i="1"/>
  <c r="EC188" i="1"/>
  <c r="DG185" i="1"/>
  <c r="DG186" i="1"/>
  <c r="DG187" i="1"/>
  <c r="DG188" i="1"/>
  <c r="CV185" i="1"/>
  <c r="CV186" i="1"/>
  <c r="CV187" i="1"/>
  <c r="CV188" i="1"/>
  <c r="CV189" i="1"/>
  <c r="BD188" i="1"/>
  <c r="BO188" i="1"/>
  <c r="BW255" i="5"/>
  <c r="BW254" i="5"/>
  <c r="BW253" i="5"/>
  <c r="BW252" i="5"/>
  <c r="BW251" i="5"/>
  <c r="BW250" i="5"/>
  <c r="BW249" i="5"/>
  <c r="BW248" i="5"/>
  <c r="BW247" i="5"/>
  <c r="BW246" i="5"/>
  <c r="BW245" i="5"/>
  <c r="BW244" i="5"/>
  <c r="BW243" i="5"/>
  <c r="BW242" i="5"/>
  <c r="BW241" i="5"/>
  <c r="BW240" i="5"/>
  <c r="BW239" i="5"/>
  <c r="BW238" i="5"/>
  <c r="BW237" i="5"/>
  <c r="BW236" i="5"/>
  <c r="BW235" i="5"/>
  <c r="BW234" i="5"/>
  <c r="BW233" i="5"/>
  <c r="BW232" i="5"/>
  <c r="BW231" i="5"/>
  <c r="BW230" i="5"/>
  <c r="BW229" i="5"/>
  <c r="BW228" i="5"/>
  <c r="BW227" i="5"/>
  <c r="BW226" i="5"/>
  <c r="BW225" i="5"/>
  <c r="BK255" i="5"/>
  <c r="BK254" i="5"/>
  <c r="BK253" i="5"/>
  <c r="BK252" i="5"/>
  <c r="BK251" i="5"/>
  <c r="BK250" i="5"/>
  <c r="BK249" i="5"/>
  <c r="BK248" i="5"/>
  <c r="BK247" i="5"/>
  <c r="BK246" i="5"/>
  <c r="BK245" i="5"/>
  <c r="BK244" i="5"/>
  <c r="BK243" i="5"/>
  <c r="BK242" i="5"/>
  <c r="BK241" i="5"/>
  <c r="BK240" i="5"/>
  <c r="BK239" i="5"/>
  <c r="BK238" i="5"/>
  <c r="BK237" i="5"/>
  <c r="BK236" i="5"/>
  <c r="BK235" i="5"/>
  <c r="BK234" i="5"/>
  <c r="BK233" i="5"/>
  <c r="BK232" i="5"/>
  <c r="BK231" i="5"/>
  <c r="BK230" i="5"/>
  <c r="BK229" i="5"/>
  <c r="BK228" i="5"/>
  <c r="BK227" i="5"/>
  <c r="BK226" i="5"/>
  <c r="BK225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30" i="5"/>
  <c r="AF229" i="5"/>
  <c r="AF228" i="5"/>
  <c r="AF227" i="5"/>
  <c r="AF226" i="5"/>
  <c r="AF225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L197" i="1"/>
  <c r="AF256" i="5" l="1"/>
  <c r="AJ72" i="3"/>
  <c r="AI72" i="3"/>
  <c r="CS44" i="3" l="1"/>
  <c r="DD58" i="3"/>
  <c r="BM71" i="3"/>
  <c r="BM70" i="3"/>
  <c r="BM69" i="3"/>
  <c r="BM68" i="3"/>
  <c r="BM67" i="3"/>
  <c r="BM66" i="3"/>
  <c r="BM65" i="3"/>
  <c r="BM64" i="3"/>
  <c r="BM63" i="3"/>
  <c r="BM62" i="3"/>
  <c r="BM61" i="3"/>
  <c r="BM60" i="3"/>
  <c r="BM59" i="3"/>
  <c r="BM58" i="3"/>
  <c r="BM57" i="3"/>
  <c r="BM56" i="3"/>
  <c r="BM55" i="3"/>
  <c r="BM54" i="3"/>
  <c r="BM53" i="3"/>
  <c r="BM52" i="3"/>
  <c r="BM51" i="3"/>
  <c r="BM50" i="3"/>
  <c r="BM49" i="3"/>
  <c r="BM48" i="3"/>
  <c r="BM47" i="3"/>
  <c r="BM46" i="3"/>
  <c r="BM45" i="3"/>
  <c r="BM44" i="3"/>
  <c r="BM36" i="3"/>
  <c r="BM35" i="3"/>
  <c r="BM34" i="3"/>
  <c r="BM33" i="3"/>
  <c r="BM32" i="3"/>
  <c r="BM31" i="3"/>
  <c r="BM30" i="3"/>
  <c r="BM29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BM6" i="3"/>
  <c r="BG72" i="3"/>
  <c r="CH73" i="6" l="1"/>
  <c r="CI73" i="6"/>
  <c r="CJ73" i="6"/>
  <c r="CK73" i="6"/>
  <c r="CL72" i="6"/>
  <c r="CL71" i="6"/>
  <c r="CL70" i="6"/>
  <c r="CL69" i="6"/>
  <c r="CL68" i="6"/>
  <c r="CL67" i="6"/>
  <c r="CL66" i="6"/>
  <c r="CL65" i="6"/>
  <c r="CL64" i="6"/>
  <c r="CL63" i="6"/>
  <c r="CL62" i="6"/>
  <c r="CL61" i="6"/>
  <c r="CL60" i="6"/>
  <c r="CL59" i="6"/>
  <c r="CL58" i="6"/>
  <c r="CL57" i="6"/>
  <c r="CL56" i="6"/>
  <c r="CL55" i="6"/>
  <c r="CL54" i="6"/>
  <c r="CL53" i="6"/>
  <c r="CL52" i="6"/>
  <c r="CL51" i="6"/>
  <c r="CL50" i="6"/>
  <c r="CL49" i="6"/>
  <c r="CL48" i="6"/>
  <c r="CL47" i="6"/>
  <c r="CL46" i="6"/>
  <c r="CL45" i="6"/>
  <c r="AW37" i="6"/>
  <c r="AV37" i="6"/>
  <c r="AU37" i="6"/>
  <c r="AT37" i="6"/>
  <c r="AS37" i="6"/>
  <c r="AR37" i="6"/>
  <c r="CL73" i="6" l="1"/>
  <c r="FF256" i="5"/>
  <c r="FD256" i="5"/>
  <c r="FC256" i="5"/>
  <c r="EU256" i="5"/>
  <c r="ES256" i="5"/>
  <c r="ER256" i="5"/>
  <c r="EI256" i="5"/>
  <c r="EG256" i="5"/>
  <c r="EF256" i="5"/>
  <c r="DX256" i="5"/>
  <c r="DV256" i="5"/>
  <c r="DU256" i="5"/>
  <c r="DM256" i="5"/>
  <c r="DK256" i="5"/>
  <c r="DJ256" i="5"/>
  <c r="DI256" i="5"/>
  <c r="CN256" i="5"/>
  <c r="CL256" i="5"/>
  <c r="CK256" i="5"/>
  <c r="CA256" i="5"/>
  <c r="BZ256" i="5"/>
  <c r="BR256" i="5"/>
  <c r="BQ256" i="5"/>
  <c r="BP256" i="5"/>
  <c r="BO256" i="5"/>
  <c r="BN256" i="5"/>
  <c r="BF256" i="5"/>
  <c r="BD256" i="5"/>
  <c r="AV256" i="5"/>
  <c r="AT256" i="5"/>
  <c r="AJ256" i="5"/>
  <c r="AA256" i="5"/>
  <c r="Y256" i="5"/>
  <c r="X256" i="5"/>
  <c r="P256" i="5"/>
  <c r="N256" i="5"/>
  <c r="FJ291" i="5"/>
  <c r="FI291" i="5"/>
  <c r="FH291" i="5"/>
  <c r="FK290" i="5"/>
  <c r="FK289" i="5"/>
  <c r="FK288" i="5"/>
  <c r="FK287" i="5"/>
  <c r="FK286" i="5"/>
  <c r="FK285" i="5"/>
  <c r="FK284" i="5"/>
  <c r="FK283" i="5"/>
  <c r="FK282" i="5"/>
  <c r="FK281" i="5"/>
  <c r="FK280" i="5"/>
  <c r="FK279" i="5"/>
  <c r="FK278" i="5"/>
  <c r="FK277" i="5"/>
  <c r="FK276" i="5"/>
  <c r="FK275" i="5"/>
  <c r="FK274" i="5"/>
  <c r="FK273" i="5"/>
  <c r="FK272" i="5"/>
  <c r="FK271" i="5"/>
  <c r="FK270" i="5"/>
  <c r="FK269" i="5"/>
  <c r="FK268" i="5"/>
  <c r="FK267" i="5"/>
  <c r="FK266" i="5"/>
  <c r="FK265" i="5"/>
  <c r="FK264" i="5"/>
  <c r="FK263" i="5"/>
  <c r="EY291" i="5"/>
  <c r="EX291" i="5"/>
  <c r="EW291" i="5"/>
  <c r="EZ290" i="5"/>
  <c r="EZ289" i="5"/>
  <c r="EZ288" i="5"/>
  <c r="EZ287" i="5"/>
  <c r="EZ286" i="5"/>
  <c r="EZ285" i="5"/>
  <c r="EZ284" i="5"/>
  <c r="EZ283" i="5"/>
  <c r="EZ282" i="5"/>
  <c r="EZ281" i="5"/>
  <c r="EZ280" i="5"/>
  <c r="EZ279" i="5"/>
  <c r="EZ278" i="5"/>
  <c r="EZ277" i="5"/>
  <c r="EZ276" i="5"/>
  <c r="EZ275" i="5"/>
  <c r="EZ274" i="5"/>
  <c r="EZ273" i="5"/>
  <c r="EZ272" i="5"/>
  <c r="EZ271" i="5"/>
  <c r="EZ270" i="5"/>
  <c r="EZ269" i="5"/>
  <c r="EZ268" i="5"/>
  <c r="EZ267" i="5"/>
  <c r="EZ266" i="5"/>
  <c r="EZ265" i="5"/>
  <c r="EZ264" i="5"/>
  <c r="EZ263" i="5"/>
  <c r="EN291" i="5"/>
  <c r="EM291" i="5"/>
  <c r="EK291" i="5"/>
  <c r="EO290" i="5"/>
  <c r="EO289" i="5"/>
  <c r="EO288" i="5"/>
  <c r="EO287" i="5"/>
  <c r="EO286" i="5"/>
  <c r="EO285" i="5"/>
  <c r="EO284" i="5"/>
  <c r="EO283" i="5"/>
  <c r="EO282" i="5"/>
  <c r="EO281" i="5"/>
  <c r="EO280" i="5"/>
  <c r="EO279" i="5"/>
  <c r="EO278" i="5"/>
  <c r="EO277" i="5"/>
  <c r="EO276" i="5"/>
  <c r="EO275" i="5"/>
  <c r="EO274" i="5"/>
  <c r="EO273" i="5"/>
  <c r="EO272" i="5"/>
  <c r="EO271" i="5"/>
  <c r="EO270" i="5"/>
  <c r="EO269" i="5"/>
  <c r="EO268" i="5"/>
  <c r="EO267" i="5"/>
  <c r="EO266" i="5"/>
  <c r="EO265" i="5"/>
  <c r="EO264" i="5"/>
  <c r="EO263" i="5"/>
  <c r="EB291" i="5"/>
  <c r="EA291" i="5"/>
  <c r="DZ291" i="5"/>
  <c r="EC290" i="5"/>
  <c r="EC289" i="5"/>
  <c r="EC288" i="5"/>
  <c r="EC287" i="5"/>
  <c r="EC286" i="5"/>
  <c r="EC285" i="5"/>
  <c r="EC284" i="5"/>
  <c r="EC283" i="5"/>
  <c r="EC282" i="5"/>
  <c r="EC281" i="5"/>
  <c r="EC280" i="5"/>
  <c r="EC279" i="5"/>
  <c r="EC278" i="5"/>
  <c r="EC277" i="5"/>
  <c r="EC276" i="5"/>
  <c r="EC275" i="5"/>
  <c r="EC274" i="5"/>
  <c r="EC273" i="5"/>
  <c r="EC272" i="5"/>
  <c r="EC271" i="5"/>
  <c r="EC270" i="5"/>
  <c r="EC269" i="5"/>
  <c r="EC268" i="5"/>
  <c r="EC267" i="5"/>
  <c r="EC266" i="5"/>
  <c r="EC265" i="5"/>
  <c r="EC264" i="5"/>
  <c r="EC263" i="5"/>
  <c r="DQ291" i="5"/>
  <c r="DP291" i="5"/>
  <c r="DO291" i="5"/>
  <c r="DR290" i="5"/>
  <c r="DR289" i="5"/>
  <c r="DR288" i="5"/>
  <c r="DR287" i="5"/>
  <c r="DR286" i="5"/>
  <c r="DR285" i="5"/>
  <c r="DR284" i="5"/>
  <c r="DR283" i="5"/>
  <c r="DR282" i="5"/>
  <c r="DR281" i="5"/>
  <c r="DR280" i="5"/>
  <c r="DR279" i="5"/>
  <c r="DR278" i="5"/>
  <c r="DR277" i="5"/>
  <c r="DR276" i="5"/>
  <c r="DR275" i="5"/>
  <c r="DR274" i="5"/>
  <c r="DR273" i="5"/>
  <c r="DR272" i="5"/>
  <c r="DR271" i="5"/>
  <c r="DR270" i="5"/>
  <c r="DR269" i="5"/>
  <c r="DR268" i="5"/>
  <c r="DR267" i="5"/>
  <c r="DR266" i="5"/>
  <c r="DR265" i="5"/>
  <c r="DR264" i="5"/>
  <c r="DR263" i="5"/>
  <c r="DD291" i="5"/>
  <c r="DC291" i="5"/>
  <c r="DA291" i="5"/>
  <c r="DE290" i="5"/>
  <c r="DE289" i="5"/>
  <c r="DE288" i="5"/>
  <c r="DE287" i="5"/>
  <c r="DE286" i="5"/>
  <c r="DE285" i="5"/>
  <c r="DE284" i="5"/>
  <c r="DE283" i="5"/>
  <c r="DE282" i="5"/>
  <c r="DE281" i="5"/>
  <c r="DE280" i="5"/>
  <c r="DE279" i="5"/>
  <c r="DE278" i="5"/>
  <c r="DE277" i="5"/>
  <c r="DE276" i="5"/>
  <c r="DE275" i="5"/>
  <c r="DE274" i="5"/>
  <c r="DE273" i="5"/>
  <c r="DE272" i="5"/>
  <c r="DE271" i="5"/>
  <c r="DE270" i="5"/>
  <c r="DE269" i="5"/>
  <c r="DE268" i="5"/>
  <c r="DE267" i="5"/>
  <c r="DE266" i="5"/>
  <c r="DE265" i="5"/>
  <c r="DE264" i="5"/>
  <c r="DE263" i="5"/>
  <c r="CR291" i="5"/>
  <c r="CQ291" i="5"/>
  <c r="CP291" i="5"/>
  <c r="CS290" i="5"/>
  <c r="CS289" i="5"/>
  <c r="CS288" i="5"/>
  <c r="CS287" i="5"/>
  <c r="CS286" i="5"/>
  <c r="CS285" i="5"/>
  <c r="CS284" i="5"/>
  <c r="CS283" i="5"/>
  <c r="CS282" i="5"/>
  <c r="CS281" i="5"/>
  <c r="CS280" i="5"/>
  <c r="CS279" i="5"/>
  <c r="CS278" i="5"/>
  <c r="CS277" i="5"/>
  <c r="CS276" i="5"/>
  <c r="CS275" i="5"/>
  <c r="CS274" i="5"/>
  <c r="CS273" i="5"/>
  <c r="CS272" i="5"/>
  <c r="CS271" i="5"/>
  <c r="CS270" i="5"/>
  <c r="CS269" i="5"/>
  <c r="CS268" i="5"/>
  <c r="CS267" i="5"/>
  <c r="CS266" i="5"/>
  <c r="CS265" i="5"/>
  <c r="CS264" i="5"/>
  <c r="CG291" i="5"/>
  <c r="CF291" i="5"/>
  <c r="CE291" i="5"/>
  <c r="CH290" i="5"/>
  <c r="CH289" i="5"/>
  <c r="CH288" i="5"/>
  <c r="CH287" i="5"/>
  <c r="CH286" i="5"/>
  <c r="CH285" i="5"/>
  <c r="CH284" i="5"/>
  <c r="CH283" i="5"/>
  <c r="CH282" i="5"/>
  <c r="CH281" i="5"/>
  <c r="CH280" i="5"/>
  <c r="CH279" i="5"/>
  <c r="CH278" i="5"/>
  <c r="CH277" i="5"/>
  <c r="CH276" i="5"/>
  <c r="CH275" i="5"/>
  <c r="CH274" i="5"/>
  <c r="CH273" i="5"/>
  <c r="CH272" i="5"/>
  <c r="CH271" i="5"/>
  <c r="CH270" i="5"/>
  <c r="CH269" i="5"/>
  <c r="CH268" i="5"/>
  <c r="CH267" i="5"/>
  <c r="CH266" i="5"/>
  <c r="CH265" i="5"/>
  <c r="CH264" i="5"/>
  <c r="CH263" i="5"/>
  <c r="BV291" i="5"/>
  <c r="BU291" i="5"/>
  <c r="BT291" i="5"/>
  <c r="BW290" i="5"/>
  <c r="BW289" i="5"/>
  <c r="BW288" i="5"/>
  <c r="BW287" i="5"/>
  <c r="BW286" i="5"/>
  <c r="BW285" i="5"/>
  <c r="BW284" i="5"/>
  <c r="BW283" i="5"/>
  <c r="BW282" i="5"/>
  <c r="BW281" i="5"/>
  <c r="BW280" i="5"/>
  <c r="BW279" i="5"/>
  <c r="BW278" i="5"/>
  <c r="BW277" i="5"/>
  <c r="BW276" i="5"/>
  <c r="BW275" i="5"/>
  <c r="BW274" i="5"/>
  <c r="BW273" i="5"/>
  <c r="BW272" i="5"/>
  <c r="BW271" i="5"/>
  <c r="BW270" i="5"/>
  <c r="BW269" i="5"/>
  <c r="BW268" i="5"/>
  <c r="BW267" i="5"/>
  <c r="BW266" i="5"/>
  <c r="BW265" i="5"/>
  <c r="BW264" i="5"/>
  <c r="BW263" i="5"/>
  <c r="BJ291" i="5"/>
  <c r="BI291" i="5"/>
  <c r="BH291" i="5"/>
  <c r="BK290" i="5"/>
  <c r="BK289" i="5"/>
  <c r="BK288" i="5"/>
  <c r="BK287" i="5"/>
  <c r="BK286" i="5"/>
  <c r="BK285" i="5"/>
  <c r="BK284" i="5"/>
  <c r="BK283" i="5"/>
  <c r="BK282" i="5"/>
  <c r="BK281" i="5"/>
  <c r="BK280" i="5"/>
  <c r="BK279" i="5"/>
  <c r="BK278" i="5"/>
  <c r="BK277" i="5"/>
  <c r="BK276" i="5"/>
  <c r="BK275" i="5"/>
  <c r="BK274" i="5"/>
  <c r="BK273" i="5"/>
  <c r="BK272" i="5"/>
  <c r="BK271" i="5"/>
  <c r="BK270" i="5"/>
  <c r="BK269" i="5"/>
  <c r="BK268" i="5"/>
  <c r="BK267" i="5"/>
  <c r="BK266" i="5"/>
  <c r="BK265" i="5"/>
  <c r="BK264" i="5"/>
  <c r="BK263" i="5"/>
  <c r="AZ291" i="5"/>
  <c r="AY291" i="5"/>
  <c r="AX291" i="5"/>
  <c r="BA290" i="5"/>
  <c r="BA289" i="5"/>
  <c r="BA288" i="5"/>
  <c r="BA287" i="5"/>
  <c r="BA286" i="5"/>
  <c r="BA285" i="5"/>
  <c r="BA284" i="5"/>
  <c r="BA283" i="5"/>
  <c r="BA282" i="5"/>
  <c r="BA281" i="5"/>
  <c r="BA280" i="5"/>
  <c r="BA279" i="5"/>
  <c r="BA278" i="5"/>
  <c r="BA277" i="5"/>
  <c r="BA276" i="5"/>
  <c r="BA275" i="5"/>
  <c r="BA274" i="5"/>
  <c r="BA273" i="5"/>
  <c r="BA272" i="5"/>
  <c r="BA271" i="5"/>
  <c r="BA270" i="5"/>
  <c r="BA269" i="5"/>
  <c r="BA268" i="5"/>
  <c r="BA267" i="5"/>
  <c r="BA266" i="5"/>
  <c r="BA265" i="5"/>
  <c r="BA264" i="5"/>
  <c r="BA263" i="5"/>
  <c r="AP291" i="5"/>
  <c r="AO291" i="5"/>
  <c r="AN291" i="5"/>
  <c r="AQ290" i="5"/>
  <c r="AQ289" i="5"/>
  <c r="AQ288" i="5"/>
  <c r="AQ287" i="5"/>
  <c r="AQ286" i="5"/>
  <c r="AQ285" i="5"/>
  <c r="AQ284" i="5"/>
  <c r="AQ283" i="5"/>
  <c r="AQ282" i="5"/>
  <c r="AQ281" i="5"/>
  <c r="AQ280" i="5"/>
  <c r="AQ279" i="5"/>
  <c r="AQ278" i="5"/>
  <c r="AQ277" i="5"/>
  <c r="AQ276" i="5"/>
  <c r="AQ275" i="5"/>
  <c r="AQ274" i="5"/>
  <c r="AQ273" i="5"/>
  <c r="AQ272" i="5"/>
  <c r="AQ271" i="5"/>
  <c r="AQ270" i="5"/>
  <c r="AQ269" i="5"/>
  <c r="AQ268" i="5"/>
  <c r="AQ267" i="5"/>
  <c r="AQ266" i="5"/>
  <c r="AQ265" i="5"/>
  <c r="AQ264" i="5"/>
  <c r="AQ263" i="5"/>
  <c r="AE291" i="5"/>
  <c r="AD291" i="5"/>
  <c r="AC291" i="5"/>
  <c r="AF290" i="5"/>
  <c r="AF289" i="5"/>
  <c r="AF288" i="5"/>
  <c r="AF287" i="5"/>
  <c r="AF286" i="5"/>
  <c r="AF285" i="5"/>
  <c r="AF284" i="5"/>
  <c r="AF283" i="5"/>
  <c r="AF282" i="5"/>
  <c r="AF281" i="5"/>
  <c r="AF280" i="5"/>
  <c r="AF279" i="5"/>
  <c r="AF278" i="5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T291" i="5"/>
  <c r="S291" i="5"/>
  <c r="R291" i="5"/>
  <c r="J291" i="5"/>
  <c r="I291" i="5"/>
  <c r="H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FF291" i="5"/>
  <c r="FD291" i="5"/>
  <c r="FC291" i="5"/>
  <c r="EU291" i="5"/>
  <c r="ES291" i="5"/>
  <c r="ER291" i="5"/>
  <c r="EI291" i="5"/>
  <c r="EG291" i="5"/>
  <c r="EF291" i="5"/>
  <c r="DX291" i="5"/>
  <c r="DV291" i="5"/>
  <c r="DU291" i="5"/>
  <c r="DM291" i="5"/>
  <c r="DK291" i="5"/>
  <c r="DJ291" i="5"/>
  <c r="DI291" i="5"/>
  <c r="CY291" i="5"/>
  <c r="CW291" i="5"/>
  <c r="CV291" i="5"/>
  <c r="CL291" i="5"/>
  <c r="CK291" i="5"/>
  <c r="CA291" i="5"/>
  <c r="BZ291" i="5"/>
  <c r="BR291" i="5"/>
  <c r="BQ291" i="5"/>
  <c r="BP291" i="5"/>
  <c r="BO291" i="5"/>
  <c r="BN291" i="5"/>
  <c r="BF291" i="5"/>
  <c r="BD291" i="5"/>
  <c r="AV291" i="5"/>
  <c r="AT291" i="5"/>
  <c r="AJ291" i="5"/>
  <c r="AA291" i="5"/>
  <c r="Y291" i="5"/>
  <c r="X291" i="5"/>
  <c r="P291" i="5"/>
  <c r="N291" i="5"/>
  <c r="F291" i="5"/>
  <c r="D291" i="5"/>
  <c r="C291" i="5"/>
  <c r="J44" i="3"/>
  <c r="EW72" i="3"/>
  <c r="EV72" i="3"/>
  <c r="EU72" i="3"/>
  <c r="ES72" i="3"/>
  <c r="ER72" i="3"/>
  <c r="EN72" i="3"/>
  <c r="EM72" i="3"/>
  <c r="EL72" i="3"/>
  <c r="EJ72" i="3"/>
  <c r="EI72" i="3"/>
  <c r="EE72" i="3"/>
  <c r="ED72" i="3"/>
  <c r="EC72" i="3"/>
  <c r="EA72" i="3"/>
  <c r="DZ72" i="3"/>
  <c r="DV72" i="3"/>
  <c r="DU72" i="3"/>
  <c r="DT72" i="3"/>
  <c r="DR72" i="3"/>
  <c r="DQ72" i="3"/>
  <c r="DM72" i="3"/>
  <c r="DL72" i="3"/>
  <c r="DK72" i="3"/>
  <c r="DI72" i="3"/>
  <c r="DH72" i="3"/>
  <c r="DG72" i="3"/>
  <c r="DC72" i="3"/>
  <c r="DB72" i="3"/>
  <c r="DA72" i="3"/>
  <c r="CY72" i="3"/>
  <c r="CX72" i="3"/>
  <c r="CW72" i="3"/>
  <c r="CV72" i="3"/>
  <c r="CR72" i="3"/>
  <c r="CQ72" i="3"/>
  <c r="CP72" i="3"/>
  <c r="CN72" i="3"/>
  <c r="CM72" i="3"/>
  <c r="CL72" i="3"/>
  <c r="CH72" i="3"/>
  <c r="CG72" i="3"/>
  <c r="CF72" i="3"/>
  <c r="CD72" i="3"/>
  <c r="CC72" i="3"/>
  <c r="CB72" i="3"/>
  <c r="BX72" i="3"/>
  <c r="BV72" i="3"/>
  <c r="BU72" i="3"/>
  <c r="BS72" i="3"/>
  <c r="BR72" i="3"/>
  <c r="BQ72" i="3"/>
  <c r="BP72" i="3"/>
  <c r="BL72" i="3"/>
  <c r="BK72" i="3"/>
  <c r="BJ72" i="3"/>
  <c r="BH72" i="3"/>
  <c r="BF72" i="3"/>
  <c r="BE72" i="3"/>
  <c r="BA72" i="3"/>
  <c r="AZ72" i="3"/>
  <c r="AY72" i="3"/>
  <c r="AW72" i="3"/>
  <c r="AV72" i="3"/>
  <c r="AU72" i="3"/>
  <c r="AT72" i="3"/>
  <c r="AP72" i="3"/>
  <c r="AO72" i="3"/>
  <c r="AM72" i="3"/>
  <c r="AK72" i="3"/>
  <c r="AE72" i="3"/>
  <c r="AC72" i="3"/>
  <c r="AB72" i="3"/>
  <c r="Z72" i="3"/>
  <c r="Y72" i="3"/>
  <c r="X72" i="3"/>
  <c r="T72" i="3"/>
  <c r="R72" i="3"/>
  <c r="Q72" i="3"/>
  <c r="O72" i="3"/>
  <c r="N72" i="3"/>
  <c r="M72" i="3"/>
  <c r="I72" i="3"/>
  <c r="H72" i="3"/>
  <c r="G72" i="3"/>
  <c r="E72" i="3"/>
  <c r="D72" i="3"/>
  <c r="C72" i="3"/>
  <c r="EX71" i="3"/>
  <c r="EO71" i="3"/>
  <c r="EF71" i="3"/>
  <c r="DW71" i="3"/>
  <c r="DN71" i="3"/>
  <c r="DD71" i="3"/>
  <c r="CS71" i="3"/>
  <c r="CI71" i="3"/>
  <c r="BY71" i="3"/>
  <c r="BB71" i="3"/>
  <c r="AQ71" i="3"/>
  <c r="AF71" i="3"/>
  <c r="U71" i="3"/>
  <c r="J71" i="3"/>
  <c r="EX70" i="3"/>
  <c r="EO70" i="3"/>
  <c r="EF70" i="3"/>
  <c r="DW70" i="3"/>
  <c r="DN70" i="3"/>
  <c r="DD70" i="3"/>
  <c r="CS70" i="3"/>
  <c r="CI70" i="3"/>
  <c r="BY70" i="3"/>
  <c r="BB70" i="3"/>
  <c r="AQ70" i="3"/>
  <c r="AF70" i="3"/>
  <c r="U70" i="3"/>
  <c r="J70" i="3"/>
  <c r="EX69" i="3"/>
  <c r="EO69" i="3"/>
  <c r="EF69" i="3"/>
  <c r="DW69" i="3"/>
  <c r="DN69" i="3"/>
  <c r="DD69" i="3"/>
  <c r="CS69" i="3"/>
  <c r="CI69" i="3"/>
  <c r="BY69" i="3"/>
  <c r="BB69" i="3"/>
  <c r="AQ69" i="3"/>
  <c r="AF69" i="3"/>
  <c r="U69" i="3"/>
  <c r="J69" i="3"/>
  <c r="EX68" i="3"/>
  <c r="EO68" i="3"/>
  <c r="EF68" i="3"/>
  <c r="DW68" i="3"/>
  <c r="DN68" i="3"/>
  <c r="DD68" i="3"/>
  <c r="CS68" i="3"/>
  <c r="CI68" i="3"/>
  <c r="BY68" i="3"/>
  <c r="BB68" i="3"/>
  <c r="AQ68" i="3"/>
  <c r="AF68" i="3"/>
  <c r="U68" i="3"/>
  <c r="J68" i="3"/>
  <c r="EX67" i="3"/>
  <c r="EO67" i="3"/>
  <c r="EF67" i="3"/>
  <c r="DW67" i="3"/>
  <c r="DN67" i="3"/>
  <c r="DD67" i="3"/>
  <c r="CS67" i="3"/>
  <c r="CI67" i="3"/>
  <c r="BY67" i="3"/>
  <c r="BB67" i="3"/>
  <c r="AQ67" i="3"/>
  <c r="AF67" i="3"/>
  <c r="U67" i="3"/>
  <c r="J67" i="3"/>
  <c r="EX66" i="3"/>
  <c r="EO66" i="3"/>
  <c r="EF66" i="3"/>
  <c r="DW66" i="3"/>
  <c r="DN66" i="3"/>
  <c r="DD66" i="3"/>
  <c r="CS66" i="3"/>
  <c r="CI66" i="3"/>
  <c r="BY66" i="3"/>
  <c r="BB66" i="3"/>
  <c r="AQ66" i="3"/>
  <c r="AF66" i="3"/>
  <c r="U66" i="3"/>
  <c r="J66" i="3"/>
  <c r="EX65" i="3"/>
  <c r="EO65" i="3"/>
  <c r="EF65" i="3"/>
  <c r="DW65" i="3"/>
  <c r="DN65" i="3"/>
  <c r="DD65" i="3"/>
  <c r="CS65" i="3"/>
  <c r="CI65" i="3"/>
  <c r="BY65" i="3"/>
  <c r="BB65" i="3"/>
  <c r="AQ65" i="3"/>
  <c r="AF65" i="3"/>
  <c r="U65" i="3"/>
  <c r="J65" i="3"/>
  <c r="EX64" i="3"/>
  <c r="EO64" i="3"/>
  <c r="EF64" i="3"/>
  <c r="DW64" i="3"/>
  <c r="DN64" i="3"/>
  <c r="DD64" i="3"/>
  <c r="CS64" i="3"/>
  <c r="CI64" i="3"/>
  <c r="BY64" i="3"/>
  <c r="BB64" i="3"/>
  <c r="AQ64" i="3"/>
  <c r="AF64" i="3"/>
  <c r="U64" i="3"/>
  <c r="J64" i="3"/>
  <c r="EX63" i="3"/>
  <c r="EO63" i="3"/>
  <c r="EF63" i="3"/>
  <c r="DW63" i="3"/>
  <c r="DN63" i="3"/>
  <c r="DD63" i="3"/>
  <c r="CS63" i="3"/>
  <c r="CI63" i="3"/>
  <c r="BY63" i="3"/>
  <c r="BB63" i="3"/>
  <c r="AQ63" i="3"/>
  <c r="AF63" i="3"/>
  <c r="U63" i="3"/>
  <c r="J63" i="3"/>
  <c r="EX62" i="3"/>
  <c r="EO62" i="3"/>
  <c r="EF62" i="3"/>
  <c r="DW62" i="3"/>
  <c r="DN62" i="3"/>
  <c r="DD62" i="3"/>
  <c r="CS62" i="3"/>
  <c r="CI62" i="3"/>
  <c r="BY62" i="3"/>
  <c r="BB62" i="3"/>
  <c r="AQ62" i="3"/>
  <c r="AF62" i="3"/>
  <c r="U62" i="3"/>
  <c r="J62" i="3"/>
  <c r="EX61" i="3"/>
  <c r="EO61" i="3"/>
  <c r="EF61" i="3"/>
  <c r="DW61" i="3"/>
  <c r="DN61" i="3"/>
  <c r="DD61" i="3"/>
  <c r="CS61" i="3"/>
  <c r="CI61" i="3"/>
  <c r="BY61" i="3"/>
  <c r="BB61" i="3"/>
  <c r="AQ61" i="3"/>
  <c r="AF61" i="3"/>
  <c r="U61" i="3"/>
  <c r="J61" i="3"/>
  <c r="EX60" i="3"/>
  <c r="EO60" i="3"/>
  <c r="EF60" i="3"/>
  <c r="DW60" i="3"/>
  <c r="DN60" i="3"/>
  <c r="DD60" i="3"/>
  <c r="CS60" i="3"/>
  <c r="CI60" i="3"/>
  <c r="BY60" i="3"/>
  <c r="BB60" i="3"/>
  <c r="AQ60" i="3"/>
  <c r="AF60" i="3"/>
  <c r="U60" i="3"/>
  <c r="J60" i="3"/>
  <c r="EX59" i="3"/>
  <c r="EO59" i="3"/>
  <c r="EF59" i="3"/>
  <c r="DW59" i="3"/>
  <c r="DN59" i="3"/>
  <c r="CS59" i="3"/>
  <c r="CI59" i="3"/>
  <c r="BY59" i="3"/>
  <c r="BB59" i="3"/>
  <c r="AQ59" i="3"/>
  <c r="AF59" i="3"/>
  <c r="U59" i="3"/>
  <c r="J59" i="3"/>
  <c r="EX58" i="3"/>
  <c r="EO58" i="3"/>
  <c r="EF58" i="3"/>
  <c r="DW58" i="3"/>
  <c r="DN58" i="3"/>
  <c r="CS58" i="3"/>
  <c r="CI58" i="3"/>
  <c r="BY58" i="3"/>
  <c r="BB58" i="3"/>
  <c r="AQ58" i="3"/>
  <c r="AF58" i="3"/>
  <c r="U58" i="3"/>
  <c r="J58" i="3"/>
  <c r="EX57" i="3"/>
  <c r="EO57" i="3"/>
  <c r="EF57" i="3"/>
  <c r="DW57" i="3"/>
  <c r="DN57" i="3"/>
  <c r="DD57" i="3"/>
  <c r="CS57" i="3"/>
  <c r="CI57" i="3"/>
  <c r="BY57" i="3"/>
  <c r="BB57" i="3"/>
  <c r="AQ57" i="3"/>
  <c r="AF57" i="3"/>
  <c r="U57" i="3"/>
  <c r="J57" i="3"/>
  <c r="EX56" i="3"/>
  <c r="EO56" i="3"/>
  <c r="EF56" i="3"/>
  <c r="DW56" i="3"/>
  <c r="DN56" i="3"/>
  <c r="DD56" i="3"/>
  <c r="CS56" i="3"/>
  <c r="CI56" i="3"/>
  <c r="BY56" i="3"/>
  <c r="BB56" i="3"/>
  <c r="AQ56" i="3"/>
  <c r="AF56" i="3"/>
  <c r="U56" i="3"/>
  <c r="J56" i="3"/>
  <c r="EX55" i="3"/>
  <c r="EO55" i="3"/>
  <c r="EF55" i="3"/>
  <c r="DW55" i="3"/>
  <c r="DN55" i="3"/>
  <c r="DD55" i="3"/>
  <c r="CS55" i="3"/>
  <c r="CI55" i="3"/>
  <c r="BY55" i="3"/>
  <c r="BB55" i="3"/>
  <c r="AQ55" i="3"/>
  <c r="AF55" i="3"/>
  <c r="U55" i="3"/>
  <c r="J55" i="3"/>
  <c r="EX54" i="3"/>
  <c r="EO54" i="3"/>
  <c r="EF54" i="3"/>
  <c r="DW54" i="3"/>
  <c r="DN54" i="3"/>
  <c r="DD54" i="3"/>
  <c r="CS54" i="3"/>
  <c r="CI54" i="3"/>
  <c r="BY54" i="3"/>
  <c r="BB54" i="3"/>
  <c r="AQ54" i="3"/>
  <c r="AF54" i="3"/>
  <c r="U54" i="3"/>
  <c r="J54" i="3"/>
  <c r="EX53" i="3"/>
  <c r="EO53" i="3"/>
  <c r="EF53" i="3"/>
  <c r="DW53" i="3"/>
  <c r="DN53" i="3"/>
  <c r="DD53" i="3"/>
  <c r="CS53" i="3"/>
  <c r="CI53" i="3"/>
  <c r="BY53" i="3"/>
  <c r="BB53" i="3"/>
  <c r="AQ53" i="3"/>
  <c r="AF53" i="3"/>
  <c r="U53" i="3"/>
  <c r="J53" i="3"/>
  <c r="EX52" i="3"/>
  <c r="EO52" i="3"/>
  <c r="EF52" i="3"/>
  <c r="DW52" i="3"/>
  <c r="DN52" i="3"/>
  <c r="DD52" i="3"/>
  <c r="CS52" i="3"/>
  <c r="CI52" i="3"/>
  <c r="BY52" i="3"/>
  <c r="BB52" i="3"/>
  <c r="AQ52" i="3"/>
  <c r="AF52" i="3"/>
  <c r="U52" i="3"/>
  <c r="J52" i="3"/>
  <c r="EX51" i="3"/>
  <c r="EO51" i="3"/>
  <c r="EF51" i="3"/>
  <c r="DW51" i="3"/>
  <c r="DN51" i="3"/>
  <c r="DD51" i="3"/>
  <c r="CS51" i="3"/>
  <c r="CI51" i="3"/>
  <c r="BY51" i="3"/>
  <c r="BB51" i="3"/>
  <c r="AQ51" i="3"/>
  <c r="AF51" i="3"/>
  <c r="U51" i="3"/>
  <c r="J51" i="3"/>
  <c r="EX50" i="3"/>
  <c r="EO50" i="3"/>
  <c r="EF50" i="3"/>
  <c r="DW50" i="3"/>
  <c r="DN50" i="3"/>
  <c r="DD50" i="3"/>
  <c r="CS50" i="3"/>
  <c r="CI50" i="3"/>
  <c r="BY50" i="3"/>
  <c r="BB50" i="3"/>
  <c r="AQ50" i="3"/>
  <c r="AF50" i="3"/>
  <c r="U50" i="3"/>
  <c r="J50" i="3"/>
  <c r="EX49" i="3"/>
  <c r="EO49" i="3"/>
  <c r="EF49" i="3"/>
  <c r="DW49" i="3"/>
  <c r="DN49" i="3"/>
  <c r="DD49" i="3"/>
  <c r="CS49" i="3"/>
  <c r="CI49" i="3"/>
  <c r="BY49" i="3"/>
  <c r="BB49" i="3"/>
  <c r="AQ49" i="3"/>
  <c r="AF49" i="3"/>
  <c r="U49" i="3"/>
  <c r="J49" i="3"/>
  <c r="EX48" i="3"/>
  <c r="EO48" i="3"/>
  <c r="EF48" i="3"/>
  <c r="DW48" i="3"/>
  <c r="DN48" i="3"/>
  <c r="DD48" i="3"/>
  <c r="CS48" i="3"/>
  <c r="CI48" i="3"/>
  <c r="BY48" i="3"/>
  <c r="BB48" i="3"/>
  <c r="AQ48" i="3"/>
  <c r="AF48" i="3"/>
  <c r="U48" i="3"/>
  <c r="J48" i="3"/>
  <c r="EX47" i="3"/>
  <c r="EO47" i="3"/>
  <c r="EF47" i="3"/>
  <c r="DW47" i="3"/>
  <c r="DN47" i="3"/>
  <c r="DD47" i="3"/>
  <c r="CS47" i="3"/>
  <c r="CI47" i="3"/>
  <c r="BY47" i="3"/>
  <c r="BB47" i="3"/>
  <c r="AQ47" i="3"/>
  <c r="AF47" i="3"/>
  <c r="U47" i="3"/>
  <c r="J47" i="3"/>
  <c r="EX46" i="3"/>
  <c r="EO46" i="3"/>
  <c r="EF46" i="3"/>
  <c r="DW46" i="3"/>
  <c r="DN46" i="3"/>
  <c r="DD46" i="3"/>
  <c r="CS46" i="3"/>
  <c r="CI46" i="3"/>
  <c r="BY46" i="3"/>
  <c r="BB46" i="3"/>
  <c r="AQ46" i="3"/>
  <c r="AF46" i="3"/>
  <c r="U46" i="3"/>
  <c r="J46" i="3"/>
  <c r="EX45" i="3"/>
  <c r="EO45" i="3"/>
  <c r="EF45" i="3"/>
  <c r="DW45" i="3"/>
  <c r="DN45" i="3"/>
  <c r="DD45" i="3"/>
  <c r="CS45" i="3"/>
  <c r="CI45" i="3"/>
  <c r="BY45" i="3"/>
  <c r="BB45" i="3"/>
  <c r="AQ45" i="3"/>
  <c r="AF45" i="3"/>
  <c r="U45" i="3"/>
  <c r="J45" i="3"/>
  <c r="EX44" i="3"/>
  <c r="EO44" i="3"/>
  <c r="EF44" i="3"/>
  <c r="DW44" i="3"/>
  <c r="DN44" i="3"/>
  <c r="DD44" i="3"/>
  <c r="CI44" i="3"/>
  <c r="BY44" i="3"/>
  <c r="BB44" i="3"/>
  <c r="AQ44" i="3"/>
  <c r="AF44" i="3"/>
  <c r="U44" i="3"/>
  <c r="AQ291" i="5" l="1"/>
  <c r="BA291" i="5"/>
  <c r="FK291" i="5"/>
  <c r="EC291" i="5"/>
  <c r="CH291" i="5"/>
  <c r="EO291" i="5"/>
  <c r="DE291" i="5"/>
  <c r="EZ291" i="5"/>
  <c r="DR291" i="5"/>
  <c r="BK291" i="5"/>
  <c r="K291" i="5"/>
  <c r="AF291" i="5"/>
  <c r="BW291" i="5"/>
  <c r="U291" i="5"/>
  <c r="CS291" i="5"/>
  <c r="EF72" i="3"/>
  <c r="J72" i="3"/>
  <c r="EO72" i="3"/>
  <c r="EX72" i="3"/>
  <c r="AQ72" i="3"/>
  <c r="AF72" i="3"/>
  <c r="BY72" i="3"/>
  <c r="CI72" i="3"/>
  <c r="DD72" i="3"/>
  <c r="U72" i="3"/>
  <c r="BB72" i="3"/>
  <c r="BM72" i="3"/>
  <c r="CS72" i="3"/>
  <c r="DN72" i="3"/>
  <c r="DW72" i="3"/>
  <c r="K45" i="6"/>
  <c r="CG73" i="6"/>
  <c r="CF73" i="6"/>
  <c r="CB73" i="6"/>
  <c r="CA73" i="6"/>
  <c r="BZ73" i="6"/>
  <c r="BX73" i="6"/>
  <c r="BW73" i="6"/>
  <c r="BS73" i="6"/>
  <c r="BR73" i="6"/>
  <c r="BQ73" i="6"/>
  <c r="BO73" i="6"/>
  <c r="BN73" i="6"/>
  <c r="BJ73" i="6"/>
  <c r="BI73" i="6"/>
  <c r="BH73" i="6"/>
  <c r="BF73" i="6"/>
  <c r="BE73" i="6"/>
  <c r="BA73" i="6"/>
  <c r="AZ73" i="6"/>
  <c r="AY73" i="6"/>
  <c r="AW73" i="6"/>
  <c r="AV73" i="6"/>
  <c r="AU73" i="6"/>
  <c r="AT73" i="6"/>
  <c r="AS73" i="6"/>
  <c r="AR73" i="6"/>
  <c r="AN73" i="6"/>
  <c r="AM73" i="6"/>
  <c r="AL73" i="6"/>
  <c r="AJ73" i="6"/>
  <c r="AI73" i="6"/>
  <c r="AE73" i="6"/>
  <c r="AD73" i="6"/>
  <c r="AC73" i="6"/>
  <c r="AA73" i="6"/>
  <c r="Z73" i="6"/>
  <c r="V73" i="6"/>
  <c r="U73" i="6"/>
  <c r="T73" i="6"/>
  <c r="R73" i="6"/>
  <c r="Q73" i="6"/>
  <c r="P73" i="6"/>
  <c r="O73" i="6"/>
  <c r="N73" i="6"/>
  <c r="J73" i="6"/>
  <c r="I73" i="6"/>
  <c r="H73" i="6"/>
  <c r="F73" i="6"/>
  <c r="E73" i="6"/>
  <c r="D73" i="6"/>
  <c r="C73" i="6"/>
  <c r="CC72" i="6"/>
  <c r="BT72" i="6"/>
  <c r="BK72" i="6"/>
  <c r="BB72" i="6"/>
  <c r="AO72" i="6"/>
  <c r="AF72" i="6"/>
  <c r="W72" i="6"/>
  <c r="K72" i="6"/>
  <c r="CC71" i="6"/>
  <c r="BT71" i="6"/>
  <c r="BK71" i="6"/>
  <c r="BB71" i="6"/>
  <c r="AO71" i="6"/>
  <c r="AF71" i="6"/>
  <c r="W71" i="6"/>
  <c r="K71" i="6"/>
  <c r="CC70" i="6"/>
  <c r="BT70" i="6"/>
  <c r="BK70" i="6"/>
  <c r="BB70" i="6"/>
  <c r="AO70" i="6"/>
  <c r="AF70" i="6"/>
  <c r="W70" i="6"/>
  <c r="K70" i="6"/>
  <c r="CC69" i="6"/>
  <c r="BT69" i="6"/>
  <c r="BK69" i="6"/>
  <c r="BB69" i="6"/>
  <c r="AO69" i="6"/>
  <c r="AF69" i="6"/>
  <c r="W69" i="6"/>
  <c r="K69" i="6"/>
  <c r="CC68" i="6"/>
  <c r="BT68" i="6"/>
  <c r="BK68" i="6"/>
  <c r="BB68" i="6"/>
  <c r="AO68" i="6"/>
  <c r="AF68" i="6"/>
  <c r="W68" i="6"/>
  <c r="K68" i="6"/>
  <c r="CC67" i="6"/>
  <c r="BT67" i="6"/>
  <c r="BK67" i="6"/>
  <c r="BB67" i="6"/>
  <c r="AO67" i="6"/>
  <c r="AF67" i="6"/>
  <c r="W67" i="6"/>
  <c r="K67" i="6"/>
  <c r="CC66" i="6"/>
  <c r="BT66" i="6"/>
  <c r="BK66" i="6"/>
  <c r="BB66" i="6"/>
  <c r="AO66" i="6"/>
  <c r="AF66" i="6"/>
  <c r="W66" i="6"/>
  <c r="K66" i="6"/>
  <c r="CC65" i="6"/>
  <c r="BT65" i="6"/>
  <c r="BK65" i="6"/>
  <c r="BB65" i="6"/>
  <c r="AO65" i="6"/>
  <c r="AF65" i="6"/>
  <c r="W65" i="6"/>
  <c r="K65" i="6"/>
  <c r="CC64" i="6"/>
  <c r="BT64" i="6"/>
  <c r="BK64" i="6"/>
  <c r="BB64" i="6"/>
  <c r="AO64" i="6"/>
  <c r="AF64" i="6"/>
  <c r="W64" i="6"/>
  <c r="K64" i="6"/>
  <c r="CC63" i="6"/>
  <c r="BT63" i="6"/>
  <c r="BK63" i="6"/>
  <c r="BB63" i="6"/>
  <c r="AO63" i="6"/>
  <c r="AF63" i="6"/>
  <c r="W63" i="6"/>
  <c r="K63" i="6"/>
  <c r="CC62" i="6"/>
  <c r="BT62" i="6"/>
  <c r="BK62" i="6"/>
  <c r="BB62" i="6"/>
  <c r="AO62" i="6"/>
  <c r="AF62" i="6"/>
  <c r="W62" i="6"/>
  <c r="K62" i="6"/>
  <c r="CC61" i="6"/>
  <c r="BT61" i="6"/>
  <c r="BK61" i="6"/>
  <c r="BB61" i="6"/>
  <c r="AO61" i="6"/>
  <c r="AF61" i="6"/>
  <c r="W61" i="6"/>
  <c r="K61" i="6"/>
  <c r="CC60" i="6"/>
  <c r="BT60" i="6"/>
  <c r="BK60" i="6"/>
  <c r="BB60" i="6"/>
  <c r="AO60" i="6"/>
  <c r="AF60" i="6"/>
  <c r="W60" i="6"/>
  <c r="K60" i="6"/>
  <c r="CC59" i="6"/>
  <c r="BT59" i="6"/>
  <c r="BK59" i="6"/>
  <c r="BB59" i="6"/>
  <c r="AO59" i="6"/>
  <c r="AF59" i="6"/>
  <c r="W59" i="6"/>
  <c r="K59" i="6"/>
  <c r="CC58" i="6"/>
  <c r="BT58" i="6"/>
  <c r="BK58" i="6"/>
  <c r="BB58" i="6"/>
  <c r="AO58" i="6"/>
  <c r="AF58" i="6"/>
  <c r="W58" i="6"/>
  <c r="K58" i="6"/>
  <c r="CC57" i="6"/>
  <c r="BT57" i="6"/>
  <c r="BK57" i="6"/>
  <c r="BB57" i="6"/>
  <c r="AO57" i="6"/>
  <c r="AF57" i="6"/>
  <c r="W57" i="6"/>
  <c r="K57" i="6"/>
  <c r="CC56" i="6"/>
  <c r="BT56" i="6"/>
  <c r="BK56" i="6"/>
  <c r="BB56" i="6"/>
  <c r="AO56" i="6"/>
  <c r="AF56" i="6"/>
  <c r="W56" i="6"/>
  <c r="K56" i="6"/>
  <c r="CC55" i="6"/>
  <c r="BT55" i="6"/>
  <c r="BK55" i="6"/>
  <c r="BB55" i="6"/>
  <c r="AO55" i="6"/>
  <c r="AF55" i="6"/>
  <c r="W55" i="6"/>
  <c r="K55" i="6"/>
  <c r="CC54" i="6"/>
  <c r="BT54" i="6"/>
  <c r="BK54" i="6"/>
  <c r="BB54" i="6"/>
  <c r="AO54" i="6"/>
  <c r="AF54" i="6"/>
  <c r="W54" i="6"/>
  <c r="K54" i="6"/>
  <c r="CC53" i="6"/>
  <c r="BT53" i="6"/>
  <c r="BK53" i="6"/>
  <c r="BB53" i="6"/>
  <c r="AO53" i="6"/>
  <c r="AF53" i="6"/>
  <c r="W53" i="6"/>
  <c r="K53" i="6"/>
  <c r="CC52" i="6"/>
  <c r="BT52" i="6"/>
  <c r="BK52" i="6"/>
  <c r="BB52" i="6"/>
  <c r="AO52" i="6"/>
  <c r="AF52" i="6"/>
  <c r="W52" i="6"/>
  <c r="K52" i="6"/>
  <c r="CC51" i="6"/>
  <c r="BT51" i="6"/>
  <c r="BK51" i="6"/>
  <c r="BB51" i="6"/>
  <c r="AO51" i="6"/>
  <c r="AF51" i="6"/>
  <c r="W51" i="6"/>
  <c r="K51" i="6"/>
  <c r="CC50" i="6"/>
  <c r="BT50" i="6"/>
  <c r="BK50" i="6"/>
  <c r="BB50" i="6"/>
  <c r="AO50" i="6"/>
  <c r="AF50" i="6"/>
  <c r="W50" i="6"/>
  <c r="K50" i="6"/>
  <c r="CC49" i="6"/>
  <c r="BT49" i="6"/>
  <c r="BK49" i="6"/>
  <c r="BB49" i="6"/>
  <c r="AO49" i="6"/>
  <c r="AF49" i="6"/>
  <c r="W49" i="6"/>
  <c r="K49" i="6"/>
  <c r="CC48" i="6"/>
  <c r="BT48" i="6"/>
  <c r="BK48" i="6"/>
  <c r="BB48" i="6"/>
  <c r="AO48" i="6"/>
  <c r="AF48" i="6"/>
  <c r="W48" i="6"/>
  <c r="K48" i="6"/>
  <c r="CC47" i="6"/>
  <c r="BT47" i="6"/>
  <c r="BK47" i="6"/>
  <c r="BB47" i="6"/>
  <c r="AO47" i="6"/>
  <c r="AF47" i="6"/>
  <c r="W47" i="6"/>
  <c r="K47" i="6"/>
  <c r="CC46" i="6"/>
  <c r="BT46" i="6"/>
  <c r="BK46" i="6"/>
  <c r="BB46" i="6"/>
  <c r="AO46" i="6"/>
  <c r="AF46" i="6"/>
  <c r="W46" i="6"/>
  <c r="K46" i="6"/>
  <c r="CC45" i="6"/>
  <c r="BT45" i="6"/>
  <c r="BK45" i="6"/>
  <c r="BB45" i="6"/>
  <c r="AO45" i="6"/>
  <c r="AF45" i="6"/>
  <c r="W45" i="6"/>
  <c r="AF73" i="6" l="1"/>
  <c r="AO73" i="6"/>
  <c r="BB73" i="6"/>
  <c r="BT73" i="6"/>
  <c r="CC73" i="6"/>
  <c r="K73" i="6"/>
  <c r="BK73" i="6"/>
  <c r="W73" i="6"/>
  <c r="CY148" i="4"/>
  <c r="CN147" i="4"/>
  <c r="CD146" i="4"/>
  <c r="BT146" i="4"/>
  <c r="BI146" i="4"/>
  <c r="AY146" i="4"/>
  <c r="AO146" i="4"/>
  <c r="AE146" i="4"/>
  <c r="U149" i="4"/>
  <c r="J124" i="4"/>
  <c r="Q152" i="4"/>
  <c r="S152" i="4"/>
  <c r="T152" i="4"/>
  <c r="CX152" i="4"/>
  <c r="CW152" i="4"/>
  <c r="CV152" i="4"/>
  <c r="CT152" i="4"/>
  <c r="CS152" i="4"/>
  <c r="CR152" i="4"/>
  <c r="CQ152" i="4"/>
  <c r="CP152" i="4"/>
  <c r="CM152" i="4"/>
  <c r="CL152" i="4"/>
  <c r="CK152" i="4"/>
  <c r="CI152" i="4"/>
  <c r="CH152" i="4"/>
  <c r="CG152" i="4"/>
  <c r="CF152" i="4"/>
  <c r="CC152" i="4"/>
  <c r="CB152" i="4"/>
  <c r="CA152" i="4"/>
  <c r="BY152" i="4"/>
  <c r="BX152" i="4"/>
  <c r="BW152" i="4"/>
  <c r="BV152" i="4"/>
  <c r="BS152" i="4"/>
  <c r="BR152" i="4"/>
  <c r="BP152" i="4"/>
  <c r="BN152" i="4"/>
  <c r="BM152" i="4"/>
  <c r="BL152" i="4"/>
  <c r="BK152" i="4"/>
  <c r="BH152" i="4"/>
  <c r="BG152" i="4"/>
  <c r="BF152" i="4"/>
  <c r="BD152" i="4"/>
  <c r="BC152" i="4"/>
  <c r="BB152" i="4"/>
  <c r="BA152" i="4"/>
  <c r="AX152" i="4"/>
  <c r="AW152" i="4"/>
  <c r="AV152" i="4"/>
  <c r="AT152" i="4"/>
  <c r="AS152" i="4"/>
  <c r="AR152" i="4"/>
  <c r="AQ152" i="4"/>
  <c r="AN152" i="4"/>
  <c r="AM152" i="4"/>
  <c r="AL152" i="4"/>
  <c r="AJ152" i="4"/>
  <c r="AI152" i="4"/>
  <c r="AH152" i="4"/>
  <c r="AG152" i="4"/>
  <c r="AD152" i="4"/>
  <c r="AC152" i="4"/>
  <c r="AB152" i="4"/>
  <c r="Z152" i="4"/>
  <c r="Y152" i="4"/>
  <c r="X152" i="4"/>
  <c r="W152" i="4"/>
  <c r="O152" i="4"/>
  <c r="N152" i="4"/>
  <c r="M152" i="4"/>
  <c r="L152" i="4"/>
  <c r="I152" i="4"/>
  <c r="H152" i="4"/>
  <c r="G152" i="4"/>
  <c r="E152" i="4"/>
  <c r="D152" i="4"/>
  <c r="C152" i="4"/>
  <c r="B152" i="4"/>
  <c r="CY151" i="4"/>
  <c r="CN151" i="4"/>
  <c r="CD151" i="4"/>
  <c r="BT151" i="4"/>
  <c r="BI151" i="4"/>
  <c r="AY151" i="4"/>
  <c r="AO151" i="4"/>
  <c r="AE151" i="4"/>
  <c r="U151" i="4"/>
  <c r="J151" i="4"/>
  <c r="CY150" i="4"/>
  <c r="CN150" i="4"/>
  <c r="CD150" i="4"/>
  <c r="BT150" i="4"/>
  <c r="BI150" i="4"/>
  <c r="AY150" i="4"/>
  <c r="AO150" i="4"/>
  <c r="AE150" i="4"/>
  <c r="U150" i="4"/>
  <c r="J150" i="4"/>
  <c r="CY149" i="4"/>
  <c r="CN149" i="4"/>
  <c r="CD149" i="4"/>
  <c r="BT149" i="4"/>
  <c r="BI149" i="4"/>
  <c r="AY149" i="4"/>
  <c r="AO149" i="4"/>
  <c r="AE149" i="4"/>
  <c r="J149" i="4"/>
  <c r="CN148" i="4"/>
  <c r="CD148" i="4"/>
  <c r="BT148" i="4"/>
  <c r="BI148" i="4"/>
  <c r="AY148" i="4"/>
  <c r="AO148" i="4"/>
  <c r="AE148" i="4"/>
  <c r="U148" i="4"/>
  <c r="J148" i="4"/>
  <c r="CY147" i="4"/>
  <c r="CD147" i="4"/>
  <c r="BT147" i="4"/>
  <c r="BI147" i="4"/>
  <c r="AY147" i="4"/>
  <c r="AO147" i="4"/>
  <c r="AE147" i="4"/>
  <c r="U147" i="4"/>
  <c r="J147" i="4"/>
  <c r="CY146" i="4"/>
  <c r="CN146" i="4"/>
  <c r="U146" i="4"/>
  <c r="J146" i="4"/>
  <c r="CY145" i="4"/>
  <c r="CN145" i="4"/>
  <c r="CD145" i="4"/>
  <c r="BT145" i="4"/>
  <c r="BI145" i="4"/>
  <c r="AY145" i="4"/>
  <c r="AO145" i="4"/>
  <c r="AE145" i="4"/>
  <c r="U145" i="4"/>
  <c r="CY144" i="4"/>
  <c r="CN144" i="4"/>
  <c r="CD144" i="4"/>
  <c r="BT144" i="4"/>
  <c r="BI144" i="4"/>
  <c r="AY144" i="4"/>
  <c r="AO144" i="4"/>
  <c r="AE144" i="4"/>
  <c r="U144" i="4"/>
  <c r="J144" i="4"/>
  <c r="CY143" i="4"/>
  <c r="CN143" i="4"/>
  <c r="CD143" i="4"/>
  <c r="BT143" i="4"/>
  <c r="BI143" i="4"/>
  <c r="AY143" i="4"/>
  <c r="AO143" i="4"/>
  <c r="AE143" i="4"/>
  <c r="U143" i="4"/>
  <c r="J143" i="4"/>
  <c r="CY142" i="4"/>
  <c r="CN142" i="4"/>
  <c r="CD142" i="4"/>
  <c r="BT142" i="4"/>
  <c r="BI142" i="4"/>
  <c r="AY142" i="4"/>
  <c r="AO142" i="4"/>
  <c r="AE142" i="4"/>
  <c r="U142" i="4"/>
  <c r="J142" i="4"/>
  <c r="CY141" i="4"/>
  <c r="CN141" i="4"/>
  <c r="CD141" i="4"/>
  <c r="BT141" i="4"/>
  <c r="BI141" i="4"/>
  <c r="AY141" i="4"/>
  <c r="AO141" i="4"/>
  <c r="AE141" i="4"/>
  <c r="U141" i="4"/>
  <c r="J141" i="4"/>
  <c r="CY140" i="4"/>
  <c r="CN140" i="4"/>
  <c r="CD140" i="4"/>
  <c r="BT140" i="4"/>
  <c r="BI140" i="4"/>
  <c r="AY140" i="4"/>
  <c r="AO140" i="4"/>
  <c r="AE140" i="4"/>
  <c r="U140" i="4"/>
  <c r="J140" i="4"/>
  <c r="CY139" i="4"/>
  <c r="CN139" i="4"/>
  <c r="CD139" i="4"/>
  <c r="BT139" i="4"/>
  <c r="BI139" i="4"/>
  <c r="AY139" i="4"/>
  <c r="AO139" i="4"/>
  <c r="AE139" i="4"/>
  <c r="U139" i="4"/>
  <c r="J139" i="4"/>
  <c r="CY138" i="4"/>
  <c r="CN138" i="4"/>
  <c r="CD138" i="4"/>
  <c r="BT138" i="4"/>
  <c r="BI138" i="4"/>
  <c r="AY138" i="4"/>
  <c r="AO138" i="4"/>
  <c r="AE138" i="4"/>
  <c r="U138" i="4"/>
  <c r="J138" i="4"/>
  <c r="CY137" i="4"/>
  <c r="CN137" i="4"/>
  <c r="CD137" i="4"/>
  <c r="BT137" i="4"/>
  <c r="BI137" i="4"/>
  <c r="AY137" i="4"/>
  <c r="AO137" i="4"/>
  <c r="AE137" i="4"/>
  <c r="U137" i="4"/>
  <c r="J137" i="4"/>
  <c r="CY136" i="4"/>
  <c r="CN136" i="4"/>
  <c r="CD136" i="4"/>
  <c r="BT136" i="4"/>
  <c r="BI136" i="4"/>
  <c r="AY136" i="4"/>
  <c r="AO136" i="4"/>
  <c r="AE136" i="4"/>
  <c r="U136" i="4"/>
  <c r="J136" i="4"/>
  <c r="CY135" i="4"/>
  <c r="CN135" i="4"/>
  <c r="CD135" i="4"/>
  <c r="BT135" i="4"/>
  <c r="BI135" i="4"/>
  <c r="AY135" i="4"/>
  <c r="AO135" i="4"/>
  <c r="AE135" i="4"/>
  <c r="U135" i="4"/>
  <c r="J135" i="4"/>
  <c r="CY134" i="4"/>
  <c r="CN134" i="4"/>
  <c r="CD134" i="4"/>
  <c r="BT134" i="4"/>
  <c r="BI134" i="4"/>
  <c r="AY134" i="4"/>
  <c r="AO134" i="4"/>
  <c r="AE134" i="4"/>
  <c r="U134" i="4"/>
  <c r="J134" i="4"/>
  <c r="CY133" i="4"/>
  <c r="CN133" i="4"/>
  <c r="CD133" i="4"/>
  <c r="BT133" i="4"/>
  <c r="BI133" i="4"/>
  <c r="AY133" i="4"/>
  <c r="AO133" i="4"/>
  <c r="AE133" i="4"/>
  <c r="U133" i="4"/>
  <c r="J133" i="4"/>
  <c r="CY132" i="4"/>
  <c r="CN132" i="4"/>
  <c r="CD132" i="4"/>
  <c r="BT132" i="4"/>
  <c r="BI132" i="4"/>
  <c r="AY132" i="4"/>
  <c r="AO132" i="4"/>
  <c r="AE132" i="4"/>
  <c r="U132" i="4"/>
  <c r="J132" i="4"/>
  <c r="CY131" i="4"/>
  <c r="CN131" i="4"/>
  <c r="CD131" i="4"/>
  <c r="BT131" i="4"/>
  <c r="BI131" i="4"/>
  <c r="AY131" i="4"/>
  <c r="AO131" i="4"/>
  <c r="AE131" i="4"/>
  <c r="U131" i="4"/>
  <c r="J131" i="4"/>
  <c r="CY130" i="4"/>
  <c r="CN130" i="4"/>
  <c r="CD130" i="4"/>
  <c r="BT130" i="4"/>
  <c r="BI130" i="4"/>
  <c r="AY130" i="4"/>
  <c r="AO130" i="4"/>
  <c r="AE130" i="4"/>
  <c r="U130" i="4"/>
  <c r="J130" i="4"/>
  <c r="CY129" i="4"/>
  <c r="CN129" i="4"/>
  <c r="CD129" i="4"/>
  <c r="BT129" i="4"/>
  <c r="BI129" i="4"/>
  <c r="AY129" i="4"/>
  <c r="AO129" i="4"/>
  <c r="AE129" i="4"/>
  <c r="U129" i="4"/>
  <c r="J129" i="4"/>
  <c r="CY128" i="4"/>
  <c r="CN128" i="4"/>
  <c r="CD128" i="4"/>
  <c r="BT128" i="4"/>
  <c r="BI128" i="4"/>
  <c r="AY128" i="4"/>
  <c r="AO128" i="4"/>
  <c r="AE128" i="4"/>
  <c r="U128" i="4"/>
  <c r="J128" i="4"/>
  <c r="CY127" i="4"/>
  <c r="CN127" i="4"/>
  <c r="CD127" i="4"/>
  <c r="BT127" i="4"/>
  <c r="BI127" i="4"/>
  <c r="AY127" i="4"/>
  <c r="AO127" i="4"/>
  <c r="AE127" i="4"/>
  <c r="U127" i="4"/>
  <c r="J127" i="4"/>
  <c r="CY126" i="4"/>
  <c r="CN126" i="4"/>
  <c r="CD126" i="4"/>
  <c r="BT126" i="4"/>
  <c r="BI126" i="4"/>
  <c r="AY126" i="4"/>
  <c r="AO126" i="4"/>
  <c r="AE126" i="4"/>
  <c r="U126" i="4"/>
  <c r="J126" i="4"/>
  <c r="CY125" i="4"/>
  <c r="CN125" i="4"/>
  <c r="CD125" i="4"/>
  <c r="BT125" i="4"/>
  <c r="BI125" i="4"/>
  <c r="AY125" i="4"/>
  <c r="AO125" i="4"/>
  <c r="AE125" i="4"/>
  <c r="U125" i="4"/>
  <c r="J125" i="4"/>
  <c r="CY124" i="4"/>
  <c r="CN124" i="4"/>
  <c r="CD124" i="4"/>
  <c r="BT124" i="4"/>
  <c r="BI124" i="4"/>
  <c r="AY124" i="4"/>
  <c r="AO124" i="4"/>
  <c r="AE124" i="4"/>
  <c r="U124" i="4"/>
  <c r="J152" i="4" l="1"/>
  <c r="CY152" i="4"/>
  <c r="CN152" i="4"/>
  <c r="CD152" i="4"/>
  <c r="BT152" i="4"/>
  <c r="BI152" i="4"/>
  <c r="AY152" i="4"/>
  <c r="AO152" i="4"/>
  <c r="AE152" i="4"/>
  <c r="U152" i="4"/>
  <c r="CY98" i="4"/>
  <c r="CN97" i="4"/>
  <c r="CD96" i="4"/>
  <c r="BT93" i="4"/>
  <c r="BI91" i="4"/>
  <c r="AY89" i="4"/>
  <c r="AE86" i="4"/>
  <c r="U86" i="4"/>
  <c r="EX225" i="1"/>
  <c r="EW225" i="1"/>
  <c r="EV225" i="1"/>
  <c r="ET225" i="1"/>
  <c r="ES225" i="1"/>
  <c r="ER225" i="1"/>
  <c r="EQ225" i="1"/>
  <c r="EM225" i="1"/>
  <c r="EL225" i="1"/>
  <c r="EK225" i="1"/>
  <c r="EI225" i="1"/>
  <c r="EH225" i="1"/>
  <c r="EG225" i="1"/>
  <c r="EF225" i="1"/>
  <c r="EB225" i="1"/>
  <c r="EA225" i="1"/>
  <c r="DZ225" i="1"/>
  <c r="DX225" i="1"/>
  <c r="DW225" i="1"/>
  <c r="DV225" i="1"/>
  <c r="DU225" i="1"/>
  <c r="DQ225" i="1"/>
  <c r="DP225" i="1"/>
  <c r="DO225" i="1"/>
  <c r="DM225" i="1"/>
  <c r="DL225" i="1"/>
  <c r="DK225" i="1"/>
  <c r="DJ225" i="1"/>
  <c r="DF225" i="1"/>
  <c r="DE225" i="1"/>
  <c r="DD225" i="1"/>
  <c r="DB225" i="1"/>
  <c r="DA225" i="1"/>
  <c r="CZ225" i="1"/>
  <c r="CY225" i="1"/>
  <c r="CU225" i="1"/>
  <c r="CT225" i="1"/>
  <c r="CS225" i="1"/>
  <c r="CQ225" i="1"/>
  <c r="CP225" i="1"/>
  <c r="CO225" i="1"/>
  <c r="CN225" i="1"/>
  <c r="CJ225" i="1"/>
  <c r="CI225" i="1"/>
  <c r="CH225" i="1"/>
  <c r="CF225" i="1"/>
  <c r="CE225" i="1"/>
  <c r="CD225" i="1"/>
  <c r="CC225" i="1"/>
  <c r="BY225" i="1"/>
  <c r="BX225" i="1"/>
  <c r="BW225" i="1"/>
  <c r="BU225" i="1"/>
  <c r="BT225" i="1"/>
  <c r="BS225" i="1"/>
  <c r="BR225" i="1"/>
  <c r="BN225" i="1"/>
  <c r="BM225" i="1"/>
  <c r="BL225" i="1"/>
  <c r="BJ225" i="1"/>
  <c r="BI225" i="1"/>
  <c r="BH225" i="1"/>
  <c r="BG225" i="1"/>
  <c r="BC225" i="1"/>
  <c r="BB225" i="1"/>
  <c r="BA225" i="1"/>
  <c r="AY225" i="1"/>
  <c r="AX225" i="1"/>
  <c r="AW225" i="1"/>
  <c r="AV225" i="1"/>
  <c r="AR225" i="1"/>
  <c r="AQ225" i="1"/>
  <c r="AP225" i="1"/>
  <c r="AN225" i="1"/>
  <c r="AM225" i="1"/>
  <c r="AL225" i="1"/>
  <c r="AK225" i="1"/>
  <c r="AG225" i="1"/>
  <c r="AF225" i="1"/>
  <c r="AE225" i="1"/>
  <c r="AC225" i="1"/>
  <c r="AB225" i="1"/>
  <c r="AA225" i="1"/>
  <c r="Z225" i="1"/>
  <c r="V225" i="1"/>
  <c r="U225" i="1"/>
  <c r="T225" i="1"/>
  <c r="R225" i="1"/>
  <c r="Q225" i="1"/>
  <c r="P225" i="1"/>
  <c r="O225" i="1"/>
  <c r="K225" i="1"/>
  <c r="J225" i="1"/>
  <c r="I225" i="1"/>
  <c r="F225" i="1"/>
  <c r="E225" i="1"/>
  <c r="D225" i="1"/>
  <c r="C225" i="1"/>
  <c r="EY224" i="1"/>
  <c r="EN224" i="1"/>
  <c r="EC224" i="1"/>
  <c r="DR224" i="1"/>
  <c r="DG224" i="1"/>
  <c r="CV224" i="1"/>
  <c r="CK224" i="1"/>
  <c r="BZ224" i="1"/>
  <c r="BO224" i="1"/>
  <c r="BD224" i="1"/>
  <c r="AS224" i="1"/>
  <c r="AH224" i="1"/>
  <c r="W224" i="1"/>
  <c r="N224" i="1"/>
  <c r="Y224" i="1" s="1"/>
  <c r="AJ224" i="1" s="1"/>
  <c r="AU224" i="1" s="1"/>
  <c r="BF224" i="1" s="1"/>
  <c r="BQ224" i="1" s="1"/>
  <c r="CB224" i="1" s="1"/>
  <c r="CM224" i="1" s="1"/>
  <c r="CX224" i="1" s="1"/>
  <c r="DI224" i="1" s="1"/>
  <c r="DT224" i="1" s="1"/>
  <c r="EE224" i="1" s="1"/>
  <c r="EP224" i="1" s="1"/>
  <c r="L224" i="1"/>
  <c r="EY223" i="1"/>
  <c r="EN223" i="1"/>
  <c r="EC223" i="1"/>
  <c r="DR223" i="1"/>
  <c r="DG223" i="1"/>
  <c r="CV223" i="1"/>
  <c r="CK223" i="1"/>
  <c r="BZ223" i="1"/>
  <c r="BO223" i="1"/>
  <c r="BD223" i="1"/>
  <c r="AS223" i="1"/>
  <c r="AH223" i="1"/>
  <c r="W223" i="1"/>
  <c r="N223" i="1"/>
  <c r="Y223" i="1" s="1"/>
  <c r="AJ223" i="1" s="1"/>
  <c r="AU223" i="1" s="1"/>
  <c r="BF223" i="1" s="1"/>
  <c r="BQ223" i="1" s="1"/>
  <c r="CB223" i="1" s="1"/>
  <c r="CM223" i="1" s="1"/>
  <c r="CX223" i="1" s="1"/>
  <c r="DI223" i="1" s="1"/>
  <c r="DT223" i="1" s="1"/>
  <c r="EE223" i="1" s="1"/>
  <c r="EP223" i="1" s="1"/>
  <c r="L223" i="1"/>
  <c r="EY222" i="1"/>
  <c r="EN222" i="1"/>
  <c r="EC222" i="1"/>
  <c r="DR222" i="1"/>
  <c r="DG222" i="1"/>
  <c r="CV222" i="1"/>
  <c r="CK222" i="1"/>
  <c r="BZ222" i="1"/>
  <c r="BO222" i="1"/>
  <c r="BD222" i="1"/>
  <c r="AS222" i="1"/>
  <c r="AH222" i="1"/>
  <c r="W222" i="1"/>
  <c r="N222" i="1"/>
  <c r="Y222" i="1" s="1"/>
  <c r="AJ222" i="1" s="1"/>
  <c r="AU222" i="1" s="1"/>
  <c r="BF222" i="1" s="1"/>
  <c r="BQ222" i="1" s="1"/>
  <c r="CB222" i="1" s="1"/>
  <c r="CM222" i="1" s="1"/>
  <c r="CX222" i="1" s="1"/>
  <c r="DI222" i="1" s="1"/>
  <c r="DT222" i="1" s="1"/>
  <c r="EE222" i="1" s="1"/>
  <c r="EP222" i="1" s="1"/>
  <c r="L222" i="1"/>
  <c r="EY221" i="1"/>
  <c r="EN221" i="1"/>
  <c r="EC221" i="1"/>
  <c r="DR221" i="1"/>
  <c r="DG221" i="1"/>
  <c r="CV221" i="1"/>
  <c r="CK221" i="1"/>
  <c r="BZ221" i="1"/>
  <c r="BO221" i="1"/>
  <c r="BD221" i="1"/>
  <c r="AS221" i="1"/>
  <c r="AH221" i="1"/>
  <c r="W221" i="1"/>
  <c r="N221" i="1"/>
  <c r="Y221" i="1" s="1"/>
  <c r="AJ221" i="1" s="1"/>
  <c r="AU221" i="1" s="1"/>
  <c r="BF221" i="1" s="1"/>
  <c r="BQ221" i="1" s="1"/>
  <c r="CB221" i="1" s="1"/>
  <c r="CM221" i="1" s="1"/>
  <c r="CX221" i="1" s="1"/>
  <c r="DI221" i="1" s="1"/>
  <c r="DT221" i="1" s="1"/>
  <c r="EE221" i="1" s="1"/>
  <c r="EP221" i="1" s="1"/>
  <c r="L221" i="1"/>
  <c r="EY220" i="1"/>
  <c r="EN220" i="1"/>
  <c r="EC220" i="1"/>
  <c r="DR220" i="1"/>
  <c r="DG220" i="1"/>
  <c r="CV220" i="1"/>
  <c r="CK220" i="1"/>
  <c r="BZ220" i="1"/>
  <c r="BO220" i="1"/>
  <c r="BD220" i="1"/>
  <c r="AS220" i="1"/>
  <c r="AH220" i="1"/>
  <c r="W220" i="1"/>
  <c r="N220" i="1"/>
  <c r="Y220" i="1" s="1"/>
  <c r="AJ220" i="1" s="1"/>
  <c r="AU220" i="1" s="1"/>
  <c r="BF220" i="1" s="1"/>
  <c r="BQ220" i="1" s="1"/>
  <c r="CB220" i="1" s="1"/>
  <c r="CM220" i="1" s="1"/>
  <c r="CX220" i="1" s="1"/>
  <c r="DI220" i="1" s="1"/>
  <c r="DT220" i="1" s="1"/>
  <c r="EE220" i="1" s="1"/>
  <c r="EP220" i="1" s="1"/>
  <c r="L220" i="1"/>
  <c r="EY219" i="1"/>
  <c r="EN219" i="1"/>
  <c r="EC219" i="1"/>
  <c r="DR219" i="1"/>
  <c r="DG219" i="1"/>
  <c r="CV219" i="1"/>
  <c r="CK219" i="1"/>
  <c r="BZ219" i="1"/>
  <c r="BO219" i="1"/>
  <c r="BD219" i="1"/>
  <c r="AS219" i="1"/>
  <c r="AH219" i="1"/>
  <c r="W219" i="1"/>
  <c r="N219" i="1"/>
  <c r="Y219" i="1" s="1"/>
  <c r="AJ219" i="1" s="1"/>
  <c r="AU219" i="1" s="1"/>
  <c r="BF219" i="1" s="1"/>
  <c r="BQ219" i="1" s="1"/>
  <c r="CB219" i="1" s="1"/>
  <c r="CM219" i="1" s="1"/>
  <c r="CX219" i="1" s="1"/>
  <c r="DI219" i="1" s="1"/>
  <c r="DT219" i="1" s="1"/>
  <c r="EE219" i="1" s="1"/>
  <c r="EP219" i="1" s="1"/>
  <c r="L219" i="1"/>
  <c r="EY218" i="1"/>
  <c r="EN218" i="1"/>
  <c r="EC218" i="1"/>
  <c r="DR218" i="1"/>
  <c r="DG218" i="1"/>
  <c r="CV218" i="1"/>
  <c r="CK218" i="1"/>
  <c r="BZ218" i="1"/>
  <c r="BO218" i="1"/>
  <c r="BD218" i="1"/>
  <c r="AS218" i="1"/>
  <c r="AH218" i="1"/>
  <c r="W218" i="1"/>
  <c r="N218" i="1"/>
  <c r="Y218" i="1" s="1"/>
  <c r="AJ218" i="1" s="1"/>
  <c r="AU218" i="1" s="1"/>
  <c r="BF218" i="1" s="1"/>
  <c r="BQ218" i="1" s="1"/>
  <c r="CB218" i="1" s="1"/>
  <c r="CM218" i="1" s="1"/>
  <c r="CX218" i="1" s="1"/>
  <c r="DI218" i="1" s="1"/>
  <c r="DT218" i="1" s="1"/>
  <c r="EE218" i="1" s="1"/>
  <c r="EP218" i="1" s="1"/>
  <c r="L218" i="1"/>
  <c r="EY217" i="1"/>
  <c r="EN217" i="1"/>
  <c r="EC217" i="1"/>
  <c r="DR217" i="1"/>
  <c r="DG217" i="1"/>
  <c r="CV217" i="1"/>
  <c r="CK217" i="1"/>
  <c r="BZ217" i="1"/>
  <c r="BO217" i="1"/>
  <c r="BD217" i="1"/>
  <c r="AS217" i="1"/>
  <c r="AH217" i="1"/>
  <c r="W217" i="1"/>
  <c r="N217" i="1"/>
  <c r="Y217" i="1" s="1"/>
  <c r="AJ217" i="1" s="1"/>
  <c r="AU217" i="1" s="1"/>
  <c r="BF217" i="1" s="1"/>
  <c r="BQ217" i="1" s="1"/>
  <c r="CB217" i="1" s="1"/>
  <c r="CM217" i="1" s="1"/>
  <c r="CX217" i="1" s="1"/>
  <c r="DI217" i="1" s="1"/>
  <c r="DT217" i="1" s="1"/>
  <c r="EE217" i="1" s="1"/>
  <c r="EP217" i="1" s="1"/>
  <c r="L217" i="1"/>
  <c r="EY216" i="1"/>
  <c r="EN216" i="1"/>
  <c r="EC216" i="1"/>
  <c r="DR216" i="1"/>
  <c r="DG216" i="1"/>
  <c r="CV216" i="1"/>
  <c r="CK216" i="1"/>
  <c r="BZ216" i="1"/>
  <c r="BO216" i="1"/>
  <c r="BD216" i="1"/>
  <c r="AS216" i="1"/>
  <c r="AH216" i="1"/>
  <c r="W216" i="1"/>
  <c r="N216" i="1"/>
  <c r="Y216" i="1" s="1"/>
  <c r="AJ216" i="1" s="1"/>
  <c r="AU216" i="1" s="1"/>
  <c r="BF216" i="1" s="1"/>
  <c r="BQ216" i="1" s="1"/>
  <c r="CB216" i="1" s="1"/>
  <c r="CM216" i="1" s="1"/>
  <c r="CX216" i="1" s="1"/>
  <c r="DI216" i="1" s="1"/>
  <c r="DT216" i="1" s="1"/>
  <c r="EE216" i="1" s="1"/>
  <c r="EP216" i="1" s="1"/>
  <c r="L216" i="1"/>
  <c r="EY215" i="1"/>
  <c r="EN215" i="1"/>
  <c r="EC215" i="1"/>
  <c r="DR215" i="1"/>
  <c r="DG215" i="1"/>
  <c r="CV215" i="1"/>
  <c r="CK215" i="1"/>
  <c r="BZ215" i="1"/>
  <c r="BO215" i="1"/>
  <c r="BD215" i="1"/>
  <c r="AS215" i="1"/>
  <c r="AH215" i="1"/>
  <c r="W215" i="1"/>
  <c r="N215" i="1"/>
  <c r="Y215" i="1" s="1"/>
  <c r="AJ215" i="1" s="1"/>
  <c r="AU215" i="1" s="1"/>
  <c r="BF215" i="1" s="1"/>
  <c r="BQ215" i="1" s="1"/>
  <c r="CB215" i="1" s="1"/>
  <c r="CM215" i="1" s="1"/>
  <c r="CX215" i="1" s="1"/>
  <c r="DI215" i="1" s="1"/>
  <c r="DT215" i="1" s="1"/>
  <c r="EE215" i="1" s="1"/>
  <c r="EP215" i="1" s="1"/>
  <c r="L215" i="1"/>
  <c r="EY214" i="1"/>
  <c r="EN214" i="1"/>
  <c r="EC214" i="1"/>
  <c r="DR214" i="1"/>
  <c r="DG214" i="1"/>
  <c r="CV214" i="1"/>
  <c r="CK214" i="1"/>
  <c r="BZ214" i="1"/>
  <c r="BO214" i="1"/>
  <c r="BD214" i="1"/>
  <c r="AS214" i="1"/>
  <c r="AH214" i="1"/>
  <c r="W214" i="1"/>
  <c r="N214" i="1"/>
  <c r="Y214" i="1" s="1"/>
  <c r="AJ214" i="1" s="1"/>
  <c r="AU214" i="1" s="1"/>
  <c r="BF214" i="1" s="1"/>
  <c r="BQ214" i="1" s="1"/>
  <c r="CB214" i="1" s="1"/>
  <c r="CM214" i="1" s="1"/>
  <c r="CX214" i="1" s="1"/>
  <c r="DI214" i="1" s="1"/>
  <c r="DT214" i="1" s="1"/>
  <c r="EE214" i="1" s="1"/>
  <c r="EP214" i="1" s="1"/>
  <c r="L214" i="1"/>
  <c r="EY213" i="1"/>
  <c r="EN213" i="1"/>
  <c r="EC213" i="1"/>
  <c r="DR213" i="1"/>
  <c r="DG213" i="1"/>
  <c r="CV213" i="1"/>
  <c r="CK213" i="1"/>
  <c r="BZ213" i="1"/>
  <c r="BO213" i="1"/>
  <c r="BD213" i="1"/>
  <c r="AS213" i="1"/>
  <c r="AH213" i="1"/>
  <c r="W213" i="1"/>
  <c r="N213" i="1"/>
  <c r="Y213" i="1" s="1"/>
  <c r="AJ213" i="1" s="1"/>
  <c r="AU213" i="1" s="1"/>
  <c r="BF213" i="1" s="1"/>
  <c r="BQ213" i="1" s="1"/>
  <c r="CB213" i="1" s="1"/>
  <c r="CM213" i="1" s="1"/>
  <c r="CX213" i="1" s="1"/>
  <c r="DI213" i="1" s="1"/>
  <c r="DT213" i="1" s="1"/>
  <c r="EE213" i="1" s="1"/>
  <c r="EP213" i="1" s="1"/>
  <c r="L213" i="1"/>
  <c r="EY212" i="1"/>
  <c r="EN212" i="1"/>
  <c r="EC212" i="1"/>
  <c r="DR212" i="1"/>
  <c r="DG212" i="1"/>
  <c r="CV212" i="1"/>
  <c r="CK212" i="1"/>
  <c r="BZ212" i="1"/>
  <c r="BO212" i="1"/>
  <c r="BD212" i="1"/>
  <c r="AS212" i="1"/>
  <c r="AH212" i="1"/>
  <c r="W212" i="1"/>
  <c r="N212" i="1"/>
  <c r="Y212" i="1" s="1"/>
  <c r="AJ212" i="1" s="1"/>
  <c r="AU212" i="1" s="1"/>
  <c r="BF212" i="1" s="1"/>
  <c r="BQ212" i="1" s="1"/>
  <c r="CB212" i="1" s="1"/>
  <c r="CM212" i="1" s="1"/>
  <c r="CX212" i="1" s="1"/>
  <c r="DI212" i="1" s="1"/>
  <c r="DT212" i="1" s="1"/>
  <c r="EE212" i="1" s="1"/>
  <c r="EP212" i="1" s="1"/>
  <c r="L212" i="1"/>
  <c r="EY211" i="1"/>
  <c r="EN211" i="1"/>
  <c r="EC211" i="1"/>
  <c r="DR211" i="1"/>
  <c r="DG211" i="1"/>
  <c r="CV211" i="1"/>
  <c r="CK211" i="1"/>
  <c r="BZ211" i="1"/>
  <c r="BO211" i="1"/>
  <c r="BD211" i="1"/>
  <c r="AS211" i="1"/>
  <c r="AH211" i="1"/>
  <c r="W211" i="1"/>
  <c r="N211" i="1"/>
  <c r="Y211" i="1" s="1"/>
  <c r="AJ211" i="1" s="1"/>
  <c r="AU211" i="1" s="1"/>
  <c r="BF211" i="1" s="1"/>
  <c r="BQ211" i="1" s="1"/>
  <c r="CB211" i="1" s="1"/>
  <c r="CM211" i="1" s="1"/>
  <c r="CX211" i="1" s="1"/>
  <c r="DI211" i="1" s="1"/>
  <c r="DT211" i="1" s="1"/>
  <c r="EE211" i="1" s="1"/>
  <c r="EP211" i="1" s="1"/>
  <c r="L211" i="1"/>
  <c r="EY210" i="1"/>
  <c r="EN210" i="1"/>
  <c r="EC210" i="1"/>
  <c r="DR210" i="1"/>
  <c r="DG210" i="1"/>
  <c r="CV210" i="1"/>
  <c r="CK210" i="1"/>
  <c r="BZ210" i="1"/>
  <c r="BO210" i="1"/>
  <c r="BD210" i="1"/>
  <c r="AS210" i="1"/>
  <c r="AH210" i="1"/>
  <c r="W210" i="1"/>
  <c r="N210" i="1"/>
  <c r="Y210" i="1" s="1"/>
  <c r="AJ210" i="1" s="1"/>
  <c r="AU210" i="1" s="1"/>
  <c r="BF210" i="1" s="1"/>
  <c r="BQ210" i="1" s="1"/>
  <c r="CB210" i="1" s="1"/>
  <c r="CM210" i="1" s="1"/>
  <c r="CX210" i="1" s="1"/>
  <c r="DI210" i="1" s="1"/>
  <c r="DT210" i="1" s="1"/>
  <c r="EE210" i="1" s="1"/>
  <c r="EP210" i="1" s="1"/>
  <c r="L210" i="1"/>
  <c r="EY209" i="1"/>
  <c r="EN209" i="1"/>
  <c r="EC209" i="1"/>
  <c r="DR209" i="1"/>
  <c r="DG209" i="1"/>
  <c r="CV209" i="1"/>
  <c r="CK209" i="1"/>
  <c r="BZ209" i="1"/>
  <c r="BO209" i="1"/>
  <c r="BD209" i="1"/>
  <c r="AS209" i="1"/>
  <c r="AH209" i="1"/>
  <c r="W209" i="1"/>
  <c r="N209" i="1"/>
  <c r="Y209" i="1" s="1"/>
  <c r="AJ209" i="1" s="1"/>
  <c r="AU209" i="1" s="1"/>
  <c r="BF209" i="1" s="1"/>
  <c r="BQ209" i="1" s="1"/>
  <c r="CB209" i="1" s="1"/>
  <c r="CM209" i="1" s="1"/>
  <c r="CX209" i="1" s="1"/>
  <c r="DI209" i="1" s="1"/>
  <c r="DT209" i="1" s="1"/>
  <c r="EE209" i="1" s="1"/>
  <c r="EP209" i="1" s="1"/>
  <c r="L209" i="1"/>
  <c r="EY208" i="1"/>
  <c r="EN208" i="1"/>
  <c r="EC208" i="1"/>
  <c r="DR208" i="1"/>
  <c r="DG208" i="1"/>
  <c r="CV208" i="1"/>
  <c r="CK208" i="1"/>
  <c r="BZ208" i="1"/>
  <c r="BO208" i="1"/>
  <c r="BD208" i="1"/>
  <c r="AS208" i="1"/>
  <c r="AH208" i="1"/>
  <c r="W208" i="1"/>
  <c r="N208" i="1"/>
  <c r="Y208" i="1" s="1"/>
  <c r="AJ208" i="1" s="1"/>
  <c r="AU208" i="1" s="1"/>
  <c r="BF208" i="1" s="1"/>
  <c r="BQ208" i="1" s="1"/>
  <c r="CB208" i="1" s="1"/>
  <c r="CM208" i="1" s="1"/>
  <c r="CX208" i="1" s="1"/>
  <c r="DI208" i="1" s="1"/>
  <c r="DT208" i="1" s="1"/>
  <c r="EE208" i="1" s="1"/>
  <c r="EP208" i="1" s="1"/>
  <c r="L208" i="1"/>
  <c r="EY207" i="1"/>
  <c r="EN207" i="1"/>
  <c r="EC207" i="1"/>
  <c r="DR207" i="1"/>
  <c r="DG207" i="1"/>
  <c r="CV207" i="1"/>
  <c r="CK207" i="1"/>
  <c r="BZ207" i="1"/>
  <c r="BO207" i="1"/>
  <c r="BD207" i="1"/>
  <c r="AS207" i="1"/>
  <c r="AH207" i="1"/>
  <c r="W207" i="1"/>
  <c r="N207" i="1"/>
  <c r="Y207" i="1" s="1"/>
  <c r="AJ207" i="1" s="1"/>
  <c r="AU207" i="1" s="1"/>
  <c r="BF207" i="1" s="1"/>
  <c r="BQ207" i="1" s="1"/>
  <c r="CB207" i="1" s="1"/>
  <c r="CM207" i="1" s="1"/>
  <c r="CX207" i="1" s="1"/>
  <c r="DI207" i="1" s="1"/>
  <c r="DT207" i="1" s="1"/>
  <c r="EE207" i="1" s="1"/>
  <c r="EP207" i="1" s="1"/>
  <c r="L207" i="1"/>
  <c r="EY206" i="1"/>
  <c r="EN206" i="1"/>
  <c r="EC206" i="1"/>
  <c r="DR206" i="1"/>
  <c r="DG206" i="1"/>
  <c r="CV206" i="1"/>
  <c r="CK206" i="1"/>
  <c r="BZ206" i="1"/>
  <c r="BO206" i="1"/>
  <c r="BD206" i="1"/>
  <c r="AS206" i="1"/>
  <c r="AH206" i="1"/>
  <c r="W206" i="1"/>
  <c r="N206" i="1"/>
  <c r="Y206" i="1" s="1"/>
  <c r="AJ206" i="1" s="1"/>
  <c r="AU206" i="1" s="1"/>
  <c r="BF206" i="1" s="1"/>
  <c r="BQ206" i="1" s="1"/>
  <c r="CB206" i="1" s="1"/>
  <c r="CM206" i="1" s="1"/>
  <c r="CX206" i="1" s="1"/>
  <c r="DI206" i="1" s="1"/>
  <c r="DT206" i="1" s="1"/>
  <c r="EE206" i="1" s="1"/>
  <c r="EP206" i="1" s="1"/>
  <c r="L206" i="1"/>
  <c r="EY205" i="1"/>
  <c r="EN205" i="1"/>
  <c r="EC205" i="1"/>
  <c r="DR205" i="1"/>
  <c r="DG205" i="1"/>
  <c r="CV205" i="1"/>
  <c r="CK205" i="1"/>
  <c r="BZ205" i="1"/>
  <c r="BO205" i="1"/>
  <c r="BD205" i="1"/>
  <c r="AS205" i="1"/>
  <c r="AH205" i="1"/>
  <c r="W205" i="1"/>
  <c r="N205" i="1"/>
  <c r="Y205" i="1" s="1"/>
  <c r="AJ205" i="1" s="1"/>
  <c r="AU205" i="1" s="1"/>
  <c r="BF205" i="1" s="1"/>
  <c r="BQ205" i="1" s="1"/>
  <c r="CB205" i="1" s="1"/>
  <c r="CM205" i="1" s="1"/>
  <c r="CX205" i="1" s="1"/>
  <c r="DI205" i="1" s="1"/>
  <c r="DT205" i="1" s="1"/>
  <c r="EE205" i="1" s="1"/>
  <c r="EP205" i="1" s="1"/>
  <c r="L205" i="1"/>
  <c r="EY204" i="1"/>
  <c r="EN204" i="1"/>
  <c r="EC204" i="1"/>
  <c r="DR204" i="1"/>
  <c r="DG204" i="1"/>
  <c r="CV204" i="1"/>
  <c r="CK204" i="1"/>
  <c r="BZ204" i="1"/>
  <c r="BO204" i="1"/>
  <c r="BD204" i="1"/>
  <c r="AS204" i="1"/>
  <c r="AH204" i="1"/>
  <c r="W204" i="1"/>
  <c r="N204" i="1"/>
  <c r="Y204" i="1" s="1"/>
  <c r="AJ204" i="1" s="1"/>
  <c r="AU204" i="1" s="1"/>
  <c r="BF204" i="1" s="1"/>
  <c r="BQ204" i="1" s="1"/>
  <c r="CB204" i="1" s="1"/>
  <c r="CM204" i="1" s="1"/>
  <c r="CX204" i="1" s="1"/>
  <c r="DI204" i="1" s="1"/>
  <c r="DT204" i="1" s="1"/>
  <c r="EE204" i="1" s="1"/>
  <c r="EP204" i="1" s="1"/>
  <c r="L204" i="1"/>
  <c r="EY203" i="1"/>
  <c r="EN203" i="1"/>
  <c r="EC203" i="1"/>
  <c r="DR203" i="1"/>
  <c r="DG203" i="1"/>
  <c r="CV203" i="1"/>
  <c r="CK203" i="1"/>
  <c r="BZ203" i="1"/>
  <c r="BO203" i="1"/>
  <c r="BD203" i="1"/>
  <c r="AS203" i="1"/>
  <c r="AH203" i="1"/>
  <c r="W203" i="1"/>
  <c r="N203" i="1"/>
  <c r="Y203" i="1" s="1"/>
  <c r="AJ203" i="1" s="1"/>
  <c r="AU203" i="1" s="1"/>
  <c r="BF203" i="1" s="1"/>
  <c r="BQ203" i="1" s="1"/>
  <c r="CB203" i="1" s="1"/>
  <c r="CM203" i="1" s="1"/>
  <c r="CX203" i="1" s="1"/>
  <c r="DI203" i="1" s="1"/>
  <c r="DT203" i="1" s="1"/>
  <c r="EE203" i="1" s="1"/>
  <c r="EP203" i="1" s="1"/>
  <c r="L203" i="1"/>
  <c r="EY202" i="1"/>
  <c r="EN202" i="1"/>
  <c r="EC202" i="1"/>
  <c r="DR202" i="1"/>
  <c r="DG202" i="1"/>
  <c r="CV202" i="1"/>
  <c r="CK202" i="1"/>
  <c r="BZ202" i="1"/>
  <c r="BO202" i="1"/>
  <c r="BD202" i="1"/>
  <c r="AS202" i="1"/>
  <c r="AH202" i="1"/>
  <c r="W202" i="1"/>
  <c r="N202" i="1"/>
  <c r="Y202" i="1" s="1"/>
  <c r="AJ202" i="1" s="1"/>
  <c r="AU202" i="1" s="1"/>
  <c r="BF202" i="1" s="1"/>
  <c r="BQ202" i="1" s="1"/>
  <c r="CB202" i="1" s="1"/>
  <c r="CM202" i="1" s="1"/>
  <c r="CX202" i="1" s="1"/>
  <c r="DI202" i="1" s="1"/>
  <c r="DT202" i="1" s="1"/>
  <c r="EE202" i="1" s="1"/>
  <c r="EP202" i="1" s="1"/>
  <c r="L202" i="1"/>
  <c r="EY201" i="1"/>
  <c r="EN201" i="1"/>
  <c r="EC201" i="1"/>
  <c r="DR201" i="1"/>
  <c r="DG201" i="1"/>
  <c r="CV201" i="1"/>
  <c r="CK201" i="1"/>
  <c r="BZ201" i="1"/>
  <c r="BO201" i="1"/>
  <c r="BD201" i="1"/>
  <c r="AS201" i="1"/>
  <c r="AH201" i="1"/>
  <c r="W201" i="1"/>
  <c r="N201" i="1"/>
  <c r="Y201" i="1" s="1"/>
  <c r="AJ201" i="1" s="1"/>
  <c r="AU201" i="1" s="1"/>
  <c r="BF201" i="1" s="1"/>
  <c r="BQ201" i="1" s="1"/>
  <c r="CB201" i="1" s="1"/>
  <c r="CM201" i="1" s="1"/>
  <c r="CX201" i="1" s="1"/>
  <c r="DI201" i="1" s="1"/>
  <c r="DT201" i="1" s="1"/>
  <c r="EE201" i="1" s="1"/>
  <c r="EP201" i="1" s="1"/>
  <c r="L201" i="1"/>
  <c r="EY200" i="1"/>
  <c r="EN200" i="1"/>
  <c r="EC200" i="1"/>
  <c r="DR200" i="1"/>
  <c r="DG200" i="1"/>
  <c r="CV200" i="1"/>
  <c r="CK200" i="1"/>
  <c r="BZ200" i="1"/>
  <c r="BO200" i="1"/>
  <c r="BD200" i="1"/>
  <c r="AS200" i="1"/>
  <c r="AH200" i="1"/>
  <c r="W200" i="1"/>
  <c r="N200" i="1"/>
  <c r="Y200" i="1" s="1"/>
  <c r="AJ200" i="1" s="1"/>
  <c r="AU200" i="1" s="1"/>
  <c r="BF200" i="1" s="1"/>
  <c r="BQ200" i="1" s="1"/>
  <c r="CB200" i="1" s="1"/>
  <c r="CM200" i="1" s="1"/>
  <c r="CX200" i="1" s="1"/>
  <c r="DI200" i="1" s="1"/>
  <c r="DT200" i="1" s="1"/>
  <c r="EE200" i="1" s="1"/>
  <c r="EP200" i="1" s="1"/>
  <c r="L200" i="1"/>
  <c r="EY199" i="1"/>
  <c r="EN199" i="1"/>
  <c r="EC199" i="1"/>
  <c r="DR199" i="1"/>
  <c r="DG199" i="1"/>
  <c r="CV199" i="1"/>
  <c r="CK199" i="1"/>
  <c r="BZ199" i="1"/>
  <c r="BO199" i="1"/>
  <c r="BD199" i="1"/>
  <c r="AS199" i="1"/>
  <c r="AH199" i="1"/>
  <c r="W199" i="1"/>
  <c r="N199" i="1"/>
  <c r="Y199" i="1" s="1"/>
  <c r="AJ199" i="1" s="1"/>
  <c r="AU199" i="1" s="1"/>
  <c r="BF199" i="1" s="1"/>
  <c r="BQ199" i="1" s="1"/>
  <c r="CB199" i="1" s="1"/>
  <c r="CM199" i="1" s="1"/>
  <c r="CX199" i="1" s="1"/>
  <c r="DI199" i="1" s="1"/>
  <c r="DT199" i="1" s="1"/>
  <c r="EE199" i="1" s="1"/>
  <c r="EP199" i="1" s="1"/>
  <c r="L199" i="1"/>
  <c r="EY198" i="1"/>
  <c r="EN198" i="1"/>
  <c r="EC198" i="1"/>
  <c r="DR198" i="1"/>
  <c r="DG198" i="1"/>
  <c r="CV198" i="1"/>
  <c r="CK198" i="1"/>
  <c r="BZ198" i="1"/>
  <c r="BO198" i="1"/>
  <c r="BD198" i="1"/>
  <c r="AS198" i="1"/>
  <c r="AH198" i="1"/>
  <c r="W198" i="1"/>
  <c r="N198" i="1"/>
  <c r="Y198" i="1" s="1"/>
  <c r="AJ198" i="1" s="1"/>
  <c r="AU198" i="1" s="1"/>
  <c r="BF198" i="1" s="1"/>
  <c r="BQ198" i="1" s="1"/>
  <c r="CB198" i="1" s="1"/>
  <c r="CM198" i="1" s="1"/>
  <c r="CX198" i="1" s="1"/>
  <c r="DI198" i="1" s="1"/>
  <c r="DT198" i="1" s="1"/>
  <c r="EE198" i="1" s="1"/>
  <c r="EP198" i="1" s="1"/>
  <c r="L198" i="1"/>
  <c r="EY197" i="1"/>
  <c r="EN197" i="1"/>
  <c r="EC197" i="1"/>
  <c r="DR197" i="1"/>
  <c r="DG197" i="1"/>
  <c r="CV197" i="1"/>
  <c r="CK197" i="1"/>
  <c r="BZ197" i="1"/>
  <c r="BO197" i="1"/>
  <c r="BD197" i="1"/>
  <c r="AS197" i="1"/>
  <c r="AH197" i="1"/>
  <c r="W197" i="1"/>
  <c r="N197" i="1"/>
  <c r="Y197" i="1" s="1"/>
  <c r="AJ197" i="1" s="1"/>
  <c r="AU197" i="1" s="1"/>
  <c r="BF197" i="1" s="1"/>
  <c r="BQ197" i="1" s="1"/>
  <c r="CB197" i="1" s="1"/>
  <c r="CM197" i="1" s="1"/>
  <c r="CX197" i="1" s="1"/>
  <c r="DI197" i="1" s="1"/>
  <c r="DT197" i="1" s="1"/>
  <c r="EE197" i="1" s="1"/>
  <c r="EP197" i="1" s="1"/>
  <c r="AS225" i="1" l="1"/>
  <c r="BD225" i="1"/>
  <c r="BZ225" i="1"/>
  <c r="AH225" i="1"/>
  <c r="CK225" i="1"/>
  <c r="CV225" i="1"/>
  <c r="EC225" i="1"/>
  <c r="BO225" i="1"/>
  <c r="DG225" i="1"/>
  <c r="DR225" i="1"/>
  <c r="EN225" i="1"/>
  <c r="EY225" i="1"/>
  <c r="L225" i="1"/>
  <c r="W225" i="1"/>
  <c r="BI85" i="4"/>
  <c r="CY115" i="4"/>
  <c r="CY114" i="4"/>
  <c r="CY113" i="4"/>
  <c r="CY112" i="4"/>
  <c r="CY111" i="4"/>
  <c r="CY110" i="4"/>
  <c r="CY109" i="4"/>
  <c r="CY108" i="4"/>
  <c r="CY107" i="4"/>
  <c r="CY106" i="4"/>
  <c r="CY105" i="4"/>
  <c r="CY104" i="4"/>
  <c r="CY103" i="4"/>
  <c r="CY102" i="4"/>
  <c r="CY101" i="4"/>
  <c r="CY100" i="4"/>
  <c r="CY99" i="4"/>
  <c r="CY97" i="4"/>
  <c r="CY96" i="4"/>
  <c r="CY95" i="4"/>
  <c r="CY94" i="4"/>
  <c r="CY93" i="4"/>
  <c r="CY92" i="4"/>
  <c r="CY91" i="4"/>
  <c r="CY90" i="4"/>
  <c r="CY89" i="4"/>
  <c r="CY88" i="4"/>
  <c r="CY87" i="4"/>
  <c r="CY86" i="4"/>
  <c r="CY85" i="4"/>
  <c r="CN115" i="4"/>
  <c r="CN114" i="4"/>
  <c r="CN113" i="4"/>
  <c r="CN112" i="4"/>
  <c r="CN111" i="4"/>
  <c r="CN110" i="4"/>
  <c r="CN109" i="4"/>
  <c r="CN108" i="4"/>
  <c r="CN107" i="4"/>
  <c r="CN106" i="4"/>
  <c r="CN105" i="4"/>
  <c r="CN104" i="4"/>
  <c r="CN103" i="4"/>
  <c r="CN102" i="4"/>
  <c r="CN101" i="4"/>
  <c r="CN100" i="4"/>
  <c r="CN99" i="4"/>
  <c r="CN98" i="4"/>
  <c r="CN96" i="4"/>
  <c r="CN95" i="4"/>
  <c r="CN94" i="4"/>
  <c r="CN93" i="4"/>
  <c r="CN92" i="4"/>
  <c r="CN91" i="4"/>
  <c r="CN90" i="4"/>
  <c r="CN89" i="4"/>
  <c r="CN88" i="4"/>
  <c r="CN87" i="4"/>
  <c r="CN86" i="4"/>
  <c r="CN85" i="4"/>
  <c r="CD115" i="4"/>
  <c r="CD114" i="4"/>
  <c r="CD113" i="4"/>
  <c r="CD112" i="4"/>
  <c r="CD111" i="4"/>
  <c r="CD110" i="4"/>
  <c r="CD109" i="4"/>
  <c r="CD108" i="4"/>
  <c r="CD107" i="4"/>
  <c r="CD106" i="4"/>
  <c r="CD105" i="4"/>
  <c r="CD104" i="4"/>
  <c r="CD103" i="4"/>
  <c r="CD102" i="4"/>
  <c r="CD101" i="4"/>
  <c r="CD100" i="4"/>
  <c r="CD99" i="4"/>
  <c r="CD98" i="4"/>
  <c r="CD97" i="4"/>
  <c r="CD95" i="4"/>
  <c r="CD94" i="4"/>
  <c r="CD93" i="4"/>
  <c r="CD92" i="4"/>
  <c r="CD91" i="4"/>
  <c r="CD90" i="4"/>
  <c r="CD89" i="4"/>
  <c r="CD88" i="4"/>
  <c r="CD87" i="4"/>
  <c r="CD86" i="4"/>
  <c r="CD85" i="4"/>
  <c r="BT115" i="4"/>
  <c r="BT114" i="4"/>
  <c r="BT113" i="4"/>
  <c r="BT112" i="4"/>
  <c r="BT111" i="4"/>
  <c r="BT110" i="4"/>
  <c r="BT109" i="4"/>
  <c r="BT108" i="4"/>
  <c r="BT107" i="4"/>
  <c r="BT106" i="4"/>
  <c r="BT105" i="4"/>
  <c r="BT104" i="4"/>
  <c r="BT103" i="4"/>
  <c r="BT102" i="4"/>
  <c r="BT101" i="4"/>
  <c r="BT100" i="4"/>
  <c r="BT99" i="4"/>
  <c r="BT98" i="4"/>
  <c r="BT97" i="4"/>
  <c r="BT96" i="4"/>
  <c r="BT95" i="4"/>
  <c r="BT94" i="4"/>
  <c r="BT92" i="4"/>
  <c r="BT91" i="4"/>
  <c r="BT90" i="4"/>
  <c r="BT89" i="4"/>
  <c r="BT88" i="4"/>
  <c r="BT87" i="4"/>
  <c r="BT86" i="4"/>
  <c r="BT85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BI103" i="4"/>
  <c r="BI102" i="4"/>
  <c r="BI101" i="4"/>
  <c r="BI100" i="4"/>
  <c r="BI99" i="4"/>
  <c r="BI98" i="4"/>
  <c r="BI97" i="4"/>
  <c r="BI96" i="4"/>
  <c r="BI95" i="4"/>
  <c r="BI94" i="4"/>
  <c r="BI93" i="4"/>
  <c r="BI92" i="4"/>
  <c r="BI90" i="4"/>
  <c r="BI89" i="4"/>
  <c r="BI88" i="4"/>
  <c r="BI87" i="4"/>
  <c r="BI86" i="4"/>
  <c r="AY115" i="4"/>
  <c r="AY114" i="4"/>
  <c r="AY113" i="4"/>
  <c r="AY112" i="4"/>
  <c r="AY111" i="4"/>
  <c r="AY110" i="4"/>
  <c r="AY109" i="4"/>
  <c r="AY108" i="4"/>
  <c r="AY107" i="4"/>
  <c r="AY106" i="4"/>
  <c r="AY105" i="4"/>
  <c r="AY104" i="4"/>
  <c r="AY103" i="4"/>
  <c r="AY102" i="4"/>
  <c r="AY101" i="4"/>
  <c r="AY100" i="4"/>
  <c r="AY99" i="4"/>
  <c r="AY98" i="4"/>
  <c r="AY97" i="4"/>
  <c r="AY96" i="4"/>
  <c r="AY95" i="4"/>
  <c r="AY94" i="4"/>
  <c r="AY93" i="4"/>
  <c r="AY92" i="4"/>
  <c r="AY91" i="4"/>
  <c r="AY90" i="4"/>
  <c r="AY88" i="4"/>
  <c r="AY87" i="4"/>
  <c r="AY86" i="4"/>
  <c r="AY85" i="4"/>
  <c r="AO115" i="4"/>
  <c r="AO114" i="4"/>
  <c r="AO113" i="4"/>
  <c r="AO112" i="4"/>
  <c r="AO111" i="4"/>
  <c r="AO110" i="4"/>
  <c r="AO109" i="4"/>
  <c r="AO108" i="4"/>
  <c r="AO107" i="4"/>
  <c r="AO106" i="4"/>
  <c r="AO105" i="4"/>
  <c r="AO104" i="4"/>
  <c r="AO103" i="4"/>
  <c r="AO102" i="4"/>
  <c r="AO101" i="4"/>
  <c r="AO100" i="4"/>
  <c r="AO99" i="4"/>
  <c r="AO98" i="4"/>
  <c r="AO97" i="4"/>
  <c r="AO96" i="4"/>
  <c r="AO95" i="4"/>
  <c r="AO94" i="4"/>
  <c r="AO93" i="4"/>
  <c r="AO92" i="4"/>
  <c r="AO91" i="4"/>
  <c r="AO90" i="4"/>
  <c r="AO89" i="4"/>
  <c r="AO88" i="4"/>
  <c r="AO87" i="4"/>
  <c r="AO86" i="4"/>
  <c r="AO85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5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5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CT116" i="4"/>
  <c r="CS116" i="4"/>
  <c r="CR116" i="4"/>
  <c r="CQ116" i="4"/>
  <c r="CP116" i="4"/>
  <c r="CI116" i="4"/>
  <c r="CH116" i="4"/>
  <c r="CG116" i="4"/>
  <c r="CF116" i="4"/>
  <c r="BY116" i="4"/>
  <c r="BX116" i="4"/>
  <c r="BW116" i="4"/>
  <c r="BV116" i="4"/>
  <c r="BN116" i="4"/>
  <c r="BM116" i="4"/>
  <c r="BL116" i="4"/>
  <c r="BK116" i="4"/>
  <c r="BD116" i="4"/>
  <c r="BC116" i="4"/>
  <c r="BB116" i="4"/>
  <c r="BA116" i="4"/>
  <c r="AT116" i="4"/>
  <c r="AS116" i="4"/>
  <c r="AR116" i="4"/>
  <c r="AQ116" i="4"/>
  <c r="AJ116" i="4"/>
  <c r="AI116" i="4"/>
  <c r="AH116" i="4"/>
  <c r="AG116" i="4"/>
  <c r="Z116" i="4"/>
  <c r="Y116" i="4"/>
  <c r="X116" i="4"/>
  <c r="W116" i="4"/>
  <c r="CK37" i="6" l="1"/>
  <c r="CJ37" i="6"/>
  <c r="CI37" i="6"/>
  <c r="CL36" i="6"/>
  <c r="CL35" i="6"/>
  <c r="CL34" i="6"/>
  <c r="CL33" i="6"/>
  <c r="CL32" i="6"/>
  <c r="CL31" i="6"/>
  <c r="CL30" i="6"/>
  <c r="CL29" i="6"/>
  <c r="CL28" i="6"/>
  <c r="CL27" i="6"/>
  <c r="CL26" i="6"/>
  <c r="CL25" i="6"/>
  <c r="CL24" i="6"/>
  <c r="CL23" i="6"/>
  <c r="CL22" i="6"/>
  <c r="CL21" i="6"/>
  <c r="CL20" i="6"/>
  <c r="CL19" i="6"/>
  <c r="CL18" i="6"/>
  <c r="CL17" i="6"/>
  <c r="CL16" i="6"/>
  <c r="CL15" i="6"/>
  <c r="CL14" i="6"/>
  <c r="CL13" i="6"/>
  <c r="CL12" i="6"/>
  <c r="CL11" i="6"/>
  <c r="CL10" i="6"/>
  <c r="CL9" i="6"/>
  <c r="CL8" i="6"/>
  <c r="CL7" i="6"/>
  <c r="CL6" i="6"/>
  <c r="CG37" i="6"/>
  <c r="CF37" i="6"/>
  <c r="CB37" i="6"/>
  <c r="CA37" i="6"/>
  <c r="BZ37" i="6"/>
  <c r="BX37" i="6"/>
  <c r="BW37" i="6"/>
  <c r="BS37" i="6"/>
  <c r="BR37" i="6"/>
  <c r="BQ37" i="6"/>
  <c r="BO37" i="6"/>
  <c r="BN37" i="6"/>
  <c r="BJ37" i="6"/>
  <c r="BI37" i="6"/>
  <c r="BH37" i="6"/>
  <c r="BF37" i="6"/>
  <c r="BE37" i="6"/>
  <c r="BA37" i="6"/>
  <c r="AZ37" i="6"/>
  <c r="AY37" i="6"/>
  <c r="AN37" i="6"/>
  <c r="AM37" i="6"/>
  <c r="AL37" i="6"/>
  <c r="AJ37" i="6"/>
  <c r="AI37" i="6"/>
  <c r="AE37" i="6"/>
  <c r="AD37" i="6"/>
  <c r="AC37" i="6"/>
  <c r="AA37" i="6"/>
  <c r="Z37" i="6"/>
  <c r="V37" i="6"/>
  <c r="U37" i="6"/>
  <c r="T37" i="6"/>
  <c r="R37" i="6"/>
  <c r="Q37" i="6"/>
  <c r="P37" i="6"/>
  <c r="O37" i="6"/>
  <c r="N37" i="6"/>
  <c r="J37" i="6"/>
  <c r="I37" i="6"/>
  <c r="H37" i="6"/>
  <c r="F37" i="6"/>
  <c r="E37" i="6"/>
  <c r="D37" i="6"/>
  <c r="C37" i="6"/>
  <c r="CC36" i="6"/>
  <c r="BT36" i="6"/>
  <c r="BK36" i="6"/>
  <c r="BB36" i="6"/>
  <c r="AO36" i="6"/>
  <c r="AF36" i="6"/>
  <c r="W36" i="6"/>
  <c r="K36" i="6"/>
  <c r="CC35" i="6"/>
  <c r="BT35" i="6"/>
  <c r="BK35" i="6"/>
  <c r="BB35" i="6"/>
  <c r="AO35" i="6"/>
  <c r="AF35" i="6"/>
  <c r="W35" i="6"/>
  <c r="K35" i="6"/>
  <c r="CC34" i="6"/>
  <c r="BT34" i="6"/>
  <c r="BK34" i="6"/>
  <c r="BB34" i="6"/>
  <c r="AO34" i="6"/>
  <c r="AF34" i="6"/>
  <c r="W34" i="6"/>
  <c r="K34" i="6"/>
  <c r="CC33" i="6"/>
  <c r="BT33" i="6"/>
  <c r="BK33" i="6"/>
  <c r="BB33" i="6"/>
  <c r="AO33" i="6"/>
  <c r="AF33" i="6"/>
  <c r="W33" i="6"/>
  <c r="K33" i="6"/>
  <c r="CC32" i="6"/>
  <c r="BT32" i="6"/>
  <c r="BK32" i="6"/>
  <c r="BB32" i="6"/>
  <c r="AO32" i="6"/>
  <c r="AF32" i="6"/>
  <c r="W32" i="6"/>
  <c r="K32" i="6"/>
  <c r="CC31" i="6"/>
  <c r="BT31" i="6"/>
  <c r="BK31" i="6"/>
  <c r="BB31" i="6"/>
  <c r="AO31" i="6"/>
  <c r="AF31" i="6"/>
  <c r="W31" i="6"/>
  <c r="K31" i="6"/>
  <c r="CC30" i="6"/>
  <c r="BT30" i="6"/>
  <c r="BK30" i="6"/>
  <c r="BB30" i="6"/>
  <c r="AO30" i="6"/>
  <c r="AF30" i="6"/>
  <c r="W30" i="6"/>
  <c r="K30" i="6"/>
  <c r="CC29" i="6"/>
  <c r="BT29" i="6"/>
  <c r="BK29" i="6"/>
  <c r="BB29" i="6"/>
  <c r="AO29" i="6"/>
  <c r="AF29" i="6"/>
  <c r="W29" i="6"/>
  <c r="K29" i="6"/>
  <c r="CC28" i="6"/>
  <c r="BT28" i="6"/>
  <c r="BK28" i="6"/>
  <c r="BB28" i="6"/>
  <c r="AO28" i="6"/>
  <c r="AF28" i="6"/>
  <c r="W28" i="6"/>
  <c r="K28" i="6"/>
  <c r="CC27" i="6"/>
  <c r="BT27" i="6"/>
  <c r="BK27" i="6"/>
  <c r="BB27" i="6"/>
  <c r="AO27" i="6"/>
  <c r="AF27" i="6"/>
  <c r="W27" i="6"/>
  <c r="K27" i="6"/>
  <c r="CC26" i="6"/>
  <c r="BT26" i="6"/>
  <c r="BK26" i="6"/>
  <c r="BB26" i="6"/>
  <c r="AO26" i="6"/>
  <c r="AF26" i="6"/>
  <c r="W26" i="6"/>
  <c r="K26" i="6"/>
  <c r="CC25" i="6"/>
  <c r="BT25" i="6"/>
  <c r="BK25" i="6"/>
  <c r="BB25" i="6"/>
  <c r="AO25" i="6"/>
  <c r="AF25" i="6"/>
  <c r="W25" i="6"/>
  <c r="K25" i="6"/>
  <c r="CC24" i="6"/>
  <c r="BT24" i="6"/>
  <c r="BK24" i="6"/>
  <c r="BB24" i="6"/>
  <c r="AO24" i="6"/>
  <c r="AF24" i="6"/>
  <c r="W24" i="6"/>
  <c r="K24" i="6"/>
  <c r="CC23" i="6"/>
  <c r="BT23" i="6"/>
  <c r="BK23" i="6"/>
  <c r="BB23" i="6"/>
  <c r="AO23" i="6"/>
  <c r="AF23" i="6"/>
  <c r="W23" i="6"/>
  <c r="K23" i="6"/>
  <c r="CC22" i="6"/>
  <c r="BT22" i="6"/>
  <c r="BK22" i="6"/>
  <c r="BB22" i="6"/>
  <c r="AO22" i="6"/>
  <c r="AF22" i="6"/>
  <c r="W22" i="6"/>
  <c r="K22" i="6"/>
  <c r="CC21" i="6"/>
  <c r="BT21" i="6"/>
  <c r="BK21" i="6"/>
  <c r="BB21" i="6"/>
  <c r="AO21" i="6"/>
  <c r="AF21" i="6"/>
  <c r="W21" i="6"/>
  <c r="K21" i="6"/>
  <c r="CC20" i="6"/>
  <c r="BT20" i="6"/>
  <c r="BK20" i="6"/>
  <c r="BB20" i="6"/>
  <c r="AO20" i="6"/>
  <c r="AF20" i="6"/>
  <c r="W20" i="6"/>
  <c r="K20" i="6"/>
  <c r="CC19" i="6"/>
  <c r="BT19" i="6"/>
  <c r="BK19" i="6"/>
  <c r="BB19" i="6"/>
  <c r="AO19" i="6"/>
  <c r="AF19" i="6"/>
  <c r="W19" i="6"/>
  <c r="K19" i="6"/>
  <c r="CC18" i="6"/>
  <c r="BT18" i="6"/>
  <c r="BK18" i="6"/>
  <c r="BB18" i="6"/>
  <c r="AO18" i="6"/>
  <c r="AF18" i="6"/>
  <c r="W18" i="6"/>
  <c r="K18" i="6"/>
  <c r="CC17" i="6"/>
  <c r="BT17" i="6"/>
  <c r="BK17" i="6"/>
  <c r="BB17" i="6"/>
  <c r="AO17" i="6"/>
  <c r="AF17" i="6"/>
  <c r="W17" i="6"/>
  <c r="K17" i="6"/>
  <c r="CC16" i="6"/>
  <c r="BT16" i="6"/>
  <c r="BK16" i="6"/>
  <c r="BB16" i="6"/>
  <c r="AO16" i="6"/>
  <c r="AF16" i="6"/>
  <c r="W16" i="6"/>
  <c r="K16" i="6"/>
  <c r="CC15" i="6"/>
  <c r="BT15" i="6"/>
  <c r="BK15" i="6"/>
  <c r="BB15" i="6"/>
  <c r="AO15" i="6"/>
  <c r="AF15" i="6"/>
  <c r="W15" i="6"/>
  <c r="K15" i="6"/>
  <c r="CC14" i="6"/>
  <c r="BT14" i="6"/>
  <c r="BK14" i="6"/>
  <c r="BB14" i="6"/>
  <c r="AO14" i="6"/>
  <c r="AF14" i="6"/>
  <c r="W14" i="6"/>
  <c r="K14" i="6"/>
  <c r="CC13" i="6"/>
  <c r="BT13" i="6"/>
  <c r="BK13" i="6"/>
  <c r="BB13" i="6"/>
  <c r="AO13" i="6"/>
  <c r="AF13" i="6"/>
  <c r="W13" i="6"/>
  <c r="K13" i="6"/>
  <c r="CC12" i="6"/>
  <c r="BT12" i="6"/>
  <c r="BK12" i="6"/>
  <c r="BB12" i="6"/>
  <c r="AO12" i="6"/>
  <c r="AF12" i="6"/>
  <c r="W12" i="6"/>
  <c r="K12" i="6"/>
  <c r="CC11" i="6"/>
  <c r="BT11" i="6"/>
  <c r="BK11" i="6"/>
  <c r="BB11" i="6"/>
  <c r="AO11" i="6"/>
  <c r="AF11" i="6"/>
  <c r="W11" i="6"/>
  <c r="K11" i="6"/>
  <c r="CC10" i="6"/>
  <c r="BT10" i="6"/>
  <c r="BK10" i="6"/>
  <c r="BB10" i="6"/>
  <c r="AO10" i="6"/>
  <c r="AF10" i="6"/>
  <c r="W10" i="6"/>
  <c r="K10" i="6"/>
  <c r="CC9" i="6"/>
  <c r="BT9" i="6"/>
  <c r="BK9" i="6"/>
  <c r="BB9" i="6"/>
  <c r="AO9" i="6"/>
  <c r="AF9" i="6"/>
  <c r="W9" i="6"/>
  <c r="K9" i="6"/>
  <c r="CC8" i="6"/>
  <c r="BT8" i="6"/>
  <c r="BK8" i="6"/>
  <c r="BB8" i="6"/>
  <c r="AO8" i="6"/>
  <c r="AF8" i="6"/>
  <c r="W8" i="6"/>
  <c r="K8" i="6"/>
  <c r="CC7" i="6"/>
  <c r="BT7" i="6"/>
  <c r="BK7" i="6"/>
  <c r="BB7" i="6"/>
  <c r="AO7" i="6"/>
  <c r="AF7" i="6"/>
  <c r="W7" i="6"/>
  <c r="K7" i="6"/>
  <c r="CC6" i="6"/>
  <c r="BT6" i="6"/>
  <c r="BK6" i="6"/>
  <c r="BB6" i="6"/>
  <c r="AO6" i="6"/>
  <c r="AF6" i="6"/>
  <c r="W6" i="6"/>
  <c r="K6" i="6"/>
  <c r="BT37" i="6" l="1"/>
  <c r="W37" i="6"/>
  <c r="K37" i="6"/>
  <c r="AO37" i="6"/>
  <c r="BB37" i="6"/>
  <c r="BK37" i="6"/>
  <c r="CC37" i="6"/>
  <c r="AF37" i="6"/>
  <c r="CL37" i="6"/>
  <c r="J256" i="5" l="1"/>
  <c r="I256" i="5"/>
  <c r="H256" i="5"/>
  <c r="F256" i="5"/>
  <c r="D256" i="5"/>
  <c r="C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DD256" i="5"/>
  <c r="DC256" i="5"/>
  <c r="DA256" i="5"/>
  <c r="CY256" i="5"/>
  <c r="CW256" i="5"/>
  <c r="CV256" i="5"/>
  <c r="DE255" i="5"/>
  <c r="DE254" i="5"/>
  <c r="DE253" i="5"/>
  <c r="DE252" i="5"/>
  <c r="DE251" i="5"/>
  <c r="DE250" i="5"/>
  <c r="DE249" i="5"/>
  <c r="DE248" i="5"/>
  <c r="DE247" i="5"/>
  <c r="DE246" i="5"/>
  <c r="DE245" i="5"/>
  <c r="DE244" i="5"/>
  <c r="DE243" i="5"/>
  <c r="DE242" i="5"/>
  <c r="DE241" i="5"/>
  <c r="DE240" i="5"/>
  <c r="DE239" i="5"/>
  <c r="DE238" i="5"/>
  <c r="DE237" i="5"/>
  <c r="DE236" i="5"/>
  <c r="DE235" i="5"/>
  <c r="DE234" i="5"/>
  <c r="DE233" i="5"/>
  <c r="DE232" i="5"/>
  <c r="DE231" i="5"/>
  <c r="DE230" i="5"/>
  <c r="DE229" i="5"/>
  <c r="DE228" i="5"/>
  <c r="DE227" i="5"/>
  <c r="DE226" i="5"/>
  <c r="DE225" i="5"/>
  <c r="R256" i="5"/>
  <c r="S256" i="5"/>
  <c r="T256" i="5"/>
  <c r="U256" i="5"/>
  <c r="FJ256" i="5"/>
  <c r="FI256" i="5"/>
  <c r="FH256" i="5"/>
  <c r="EY256" i="5"/>
  <c r="EX256" i="5"/>
  <c r="EW256" i="5"/>
  <c r="EN256" i="5"/>
  <c r="EM256" i="5"/>
  <c r="EK256" i="5"/>
  <c r="EB256" i="5"/>
  <c r="EA256" i="5"/>
  <c r="DZ256" i="5"/>
  <c r="DQ256" i="5"/>
  <c r="DP256" i="5"/>
  <c r="DO256" i="5"/>
  <c r="CR256" i="5"/>
  <c r="CQ256" i="5"/>
  <c r="CP256" i="5"/>
  <c r="CG256" i="5"/>
  <c r="CF256" i="5"/>
  <c r="CE256" i="5"/>
  <c r="BV256" i="5"/>
  <c r="BU256" i="5"/>
  <c r="BT256" i="5"/>
  <c r="BJ256" i="5"/>
  <c r="BI256" i="5"/>
  <c r="BH256" i="5"/>
  <c r="AZ256" i="5"/>
  <c r="AY256" i="5"/>
  <c r="AX256" i="5"/>
  <c r="AP256" i="5"/>
  <c r="AO256" i="5"/>
  <c r="AN256" i="5"/>
  <c r="AE256" i="5"/>
  <c r="AD256" i="5"/>
  <c r="AC256" i="5"/>
  <c r="FK256" i="5"/>
  <c r="EZ256" i="5"/>
  <c r="EO256" i="5"/>
  <c r="EC256" i="5"/>
  <c r="DR256" i="5"/>
  <c r="CS256" i="5"/>
  <c r="CH256" i="5"/>
  <c r="BW256" i="5"/>
  <c r="BK256" i="5"/>
  <c r="BA256" i="5"/>
  <c r="AQ256" i="5"/>
  <c r="FJ219" i="5"/>
  <c r="FI219" i="5"/>
  <c r="FH219" i="5"/>
  <c r="FF219" i="5"/>
  <c r="FD219" i="5"/>
  <c r="FC219" i="5"/>
  <c r="EY219" i="5"/>
  <c r="EX219" i="5"/>
  <c r="EW219" i="5"/>
  <c r="EU219" i="5"/>
  <c r="ES219" i="5"/>
  <c r="ER219" i="5"/>
  <c r="EN219" i="5"/>
  <c r="EM219" i="5"/>
  <c r="EK219" i="5"/>
  <c r="EI219" i="5"/>
  <c r="EG219" i="5"/>
  <c r="EF219" i="5"/>
  <c r="EB219" i="5"/>
  <c r="EA219" i="5"/>
  <c r="DZ219" i="5"/>
  <c r="DX219" i="5"/>
  <c r="DV219" i="5"/>
  <c r="DU219" i="5"/>
  <c r="DQ219" i="5"/>
  <c r="DP219" i="5"/>
  <c r="DO219" i="5"/>
  <c r="DM219" i="5"/>
  <c r="DJ219" i="5"/>
  <c r="DI219" i="5"/>
  <c r="DD219" i="5"/>
  <c r="DC219" i="5"/>
  <c r="DA219" i="5"/>
  <c r="CY219" i="5"/>
  <c r="CW219" i="5"/>
  <c r="CV219" i="5"/>
  <c r="CR219" i="5"/>
  <c r="CQ219" i="5"/>
  <c r="CP219" i="5"/>
  <c r="CL219" i="5"/>
  <c r="CK219" i="5"/>
  <c r="CG219" i="5"/>
  <c r="CF219" i="5"/>
  <c r="CE219" i="5"/>
  <c r="CA219" i="5"/>
  <c r="BZ219" i="5"/>
  <c r="BV219" i="5"/>
  <c r="BU219" i="5"/>
  <c r="BT219" i="5"/>
  <c r="BR219" i="5"/>
  <c r="BQ219" i="5"/>
  <c r="BP219" i="5"/>
  <c r="BO219" i="5"/>
  <c r="BN219" i="5"/>
  <c r="BJ219" i="5"/>
  <c r="BI219" i="5"/>
  <c r="BH219" i="5"/>
  <c r="BF219" i="5"/>
  <c r="BD219" i="5"/>
  <c r="AZ219" i="5"/>
  <c r="AY219" i="5"/>
  <c r="AX219" i="5"/>
  <c r="AV219" i="5"/>
  <c r="AT219" i="5"/>
  <c r="AP219" i="5"/>
  <c r="AO219" i="5"/>
  <c r="AN219" i="5"/>
  <c r="AJ219" i="5"/>
  <c r="AE219" i="5"/>
  <c r="AD219" i="5"/>
  <c r="AC219" i="5"/>
  <c r="AA219" i="5"/>
  <c r="Y219" i="5"/>
  <c r="X219" i="5"/>
  <c r="T219" i="5"/>
  <c r="S219" i="5"/>
  <c r="R219" i="5"/>
  <c r="P219" i="5"/>
  <c r="N219" i="5"/>
  <c r="J219" i="5"/>
  <c r="I219" i="5"/>
  <c r="H219" i="5"/>
  <c r="F219" i="5"/>
  <c r="D219" i="5"/>
  <c r="C219" i="5"/>
  <c r="FK218" i="5"/>
  <c r="EZ218" i="5"/>
  <c r="EO218" i="5"/>
  <c r="EC218" i="5"/>
  <c r="DR218" i="5"/>
  <c r="DE218" i="5"/>
  <c r="CS218" i="5"/>
  <c r="CH218" i="5"/>
  <c r="BW218" i="5"/>
  <c r="BK218" i="5"/>
  <c r="BA218" i="5"/>
  <c r="AQ218" i="5"/>
  <c r="AF218" i="5"/>
  <c r="U218" i="5"/>
  <c r="K218" i="5"/>
  <c r="FK217" i="5"/>
  <c r="EZ217" i="5"/>
  <c r="EO217" i="5"/>
  <c r="EC217" i="5"/>
  <c r="DR217" i="5"/>
  <c r="DE217" i="5"/>
  <c r="CS217" i="5"/>
  <c r="CH217" i="5"/>
  <c r="BW217" i="5"/>
  <c r="BK217" i="5"/>
  <c r="BA217" i="5"/>
  <c r="AQ217" i="5"/>
  <c r="AF217" i="5"/>
  <c r="U217" i="5"/>
  <c r="K217" i="5"/>
  <c r="FK216" i="5"/>
  <c r="EZ216" i="5"/>
  <c r="EO216" i="5"/>
  <c r="EC216" i="5"/>
  <c r="DR216" i="5"/>
  <c r="DE216" i="5"/>
  <c r="CS216" i="5"/>
  <c r="CH216" i="5"/>
  <c r="BW216" i="5"/>
  <c r="BK216" i="5"/>
  <c r="BA216" i="5"/>
  <c r="AQ216" i="5"/>
  <c r="AF216" i="5"/>
  <c r="U216" i="5"/>
  <c r="K216" i="5"/>
  <c r="FK215" i="5"/>
  <c r="EZ215" i="5"/>
  <c r="EO215" i="5"/>
  <c r="EC215" i="5"/>
  <c r="DR215" i="5"/>
  <c r="DE215" i="5"/>
  <c r="CS215" i="5"/>
  <c r="CH215" i="5"/>
  <c r="BW215" i="5"/>
  <c r="BK215" i="5"/>
  <c r="BA215" i="5"/>
  <c r="AQ215" i="5"/>
  <c r="AF215" i="5"/>
  <c r="U215" i="5"/>
  <c r="K215" i="5"/>
  <c r="FK214" i="5"/>
  <c r="EZ214" i="5"/>
  <c r="EO214" i="5"/>
  <c r="EC214" i="5"/>
  <c r="DR214" i="5"/>
  <c r="DE214" i="5"/>
  <c r="CS214" i="5"/>
  <c r="CH214" i="5"/>
  <c r="BW214" i="5"/>
  <c r="BK214" i="5"/>
  <c r="BA214" i="5"/>
  <c r="AQ214" i="5"/>
  <c r="AF214" i="5"/>
  <c r="U214" i="5"/>
  <c r="K214" i="5"/>
  <c r="FK213" i="5"/>
  <c r="EZ213" i="5"/>
  <c r="EO213" i="5"/>
  <c r="EC213" i="5"/>
  <c r="DR213" i="5"/>
  <c r="DE213" i="5"/>
  <c r="CS213" i="5"/>
  <c r="CH213" i="5"/>
  <c r="BW213" i="5"/>
  <c r="BK213" i="5"/>
  <c r="BA213" i="5"/>
  <c r="AQ213" i="5"/>
  <c r="AF213" i="5"/>
  <c r="U213" i="5"/>
  <c r="K213" i="5"/>
  <c r="FK212" i="5"/>
  <c r="EZ212" i="5"/>
  <c r="EO212" i="5"/>
  <c r="EC212" i="5"/>
  <c r="DR212" i="5"/>
  <c r="DE212" i="5"/>
  <c r="CS212" i="5"/>
  <c r="CH212" i="5"/>
  <c r="BW212" i="5"/>
  <c r="BK212" i="5"/>
  <c r="BA212" i="5"/>
  <c r="AQ212" i="5"/>
  <c r="AF212" i="5"/>
  <c r="U212" i="5"/>
  <c r="K212" i="5"/>
  <c r="FK211" i="5"/>
  <c r="EZ211" i="5"/>
  <c r="EO211" i="5"/>
  <c r="EC211" i="5"/>
  <c r="DR211" i="5"/>
  <c r="DE211" i="5"/>
  <c r="CS211" i="5"/>
  <c r="CH211" i="5"/>
  <c r="BW211" i="5"/>
  <c r="BK211" i="5"/>
  <c r="BA211" i="5"/>
  <c r="AQ211" i="5"/>
  <c r="AF211" i="5"/>
  <c r="U211" i="5"/>
  <c r="K211" i="5"/>
  <c r="FK210" i="5"/>
  <c r="EZ210" i="5"/>
  <c r="EO210" i="5"/>
  <c r="EC210" i="5"/>
  <c r="DR210" i="5"/>
  <c r="DE210" i="5"/>
  <c r="CS210" i="5"/>
  <c r="CH210" i="5"/>
  <c r="BW210" i="5"/>
  <c r="BK210" i="5"/>
  <c r="BA210" i="5"/>
  <c r="AQ210" i="5"/>
  <c r="AF210" i="5"/>
  <c r="U210" i="5"/>
  <c r="K210" i="5"/>
  <c r="FK209" i="5"/>
  <c r="EZ209" i="5"/>
  <c r="EO209" i="5"/>
  <c r="EC209" i="5"/>
  <c r="DR209" i="5"/>
  <c r="DE209" i="5"/>
  <c r="CS209" i="5"/>
  <c r="CH209" i="5"/>
  <c r="BW209" i="5"/>
  <c r="BK209" i="5"/>
  <c r="BA209" i="5"/>
  <c r="AQ209" i="5"/>
  <c r="AF209" i="5"/>
  <c r="U209" i="5"/>
  <c r="K209" i="5"/>
  <c r="FK208" i="5"/>
  <c r="EZ208" i="5"/>
  <c r="EO208" i="5"/>
  <c r="EC208" i="5"/>
  <c r="DR208" i="5"/>
  <c r="DE208" i="5"/>
  <c r="CS208" i="5"/>
  <c r="CH208" i="5"/>
  <c r="BW208" i="5"/>
  <c r="BK208" i="5"/>
  <c r="BA208" i="5"/>
  <c r="AQ208" i="5"/>
  <c r="AF208" i="5"/>
  <c r="U208" i="5"/>
  <c r="K208" i="5"/>
  <c r="FK207" i="5"/>
  <c r="EZ207" i="5"/>
  <c r="EO207" i="5"/>
  <c r="EC207" i="5"/>
  <c r="DR207" i="5"/>
  <c r="DE207" i="5"/>
  <c r="CS207" i="5"/>
  <c r="CH207" i="5"/>
  <c r="BW207" i="5"/>
  <c r="BK207" i="5"/>
  <c r="BA207" i="5"/>
  <c r="AQ207" i="5"/>
  <c r="AF207" i="5"/>
  <c r="U207" i="5"/>
  <c r="K207" i="5"/>
  <c r="FK206" i="5"/>
  <c r="EZ206" i="5"/>
  <c r="EO206" i="5"/>
  <c r="EC206" i="5"/>
  <c r="DR206" i="5"/>
  <c r="DE206" i="5"/>
  <c r="CS206" i="5"/>
  <c r="CH206" i="5"/>
  <c r="BW206" i="5"/>
  <c r="BK206" i="5"/>
  <c r="BA206" i="5"/>
  <c r="AQ206" i="5"/>
  <c r="AF206" i="5"/>
  <c r="U206" i="5"/>
  <c r="K206" i="5"/>
  <c r="FK205" i="5"/>
  <c r="EZ205" i="5"/>
  <c r="EO205" i="5"/>
  <c r="EC205" i="5"/>
  <c r="DR205" i="5"/>
  <c r="DE205" i="5"/>
  <c r="CS205" i="5"/>
  <c r="CH205" i="5"/>
  <c r="BW205" i="5"/>
  <c r="BK205" i="5"/>
  <c r="BA205" i="5"/>
  <c r="AQ205" i="5"/>
  <c r="AF205" i="5"/>
  <c r="U205" i="5"/>
  <c r="K205" i="5"/>
  <c r="FK204" i="5"/>
  <c r="EZ204" i="5"/>
  <c r="EO204" i="5"/>
  <c r="EC204" i="5"/>
  <c r="DR204" i="5"/>
  <c r="DE204" i="5"/>
  <c r="CS204" i="5"/>
  <c r="CH204" i="5"/>
  <c r="BW204" i="5"/>
  <c r="BK204" i="5"/>
  <c r="BA204" i="5"/>
  <c r="AQ204" i="5"/>
  <c r="AF204" i="5"/>
  <c r="U204" i="5"/>
  <c r="K204" i="5"/>
  <c r="FK203" i="5"/>
  <c r="EZ203" i="5"/>
  <c r="EO203" i="5"/>
  <c r="EC203" i="5"/>
  <c r="DR203" i="5"/>
  <c r="DE203" i="5"/>
  <c r="CS203" i="5"/>
  <c r="CH203" i="5"/>
  <c r="BW203" i="5"/>
  <c r="BK203" i="5"/>
  <c r="BA203" i="5"/>
  <c r="AQ203" i="5"/>
  <c r="AF203" i="5"/>
  <c r="U203" i="5"/>
  <c r="K203" i="5"/>
  <c r="FK202" i="5"/>
  <c r="EZ202" i="5"/>
  <c r="EO202" i="5"/>
  <c r="EC202" i="5"/>
  <c r="DR202" i="5"/>
  <c r="DE202" i="5"/>
  <c r="CS202" i="5"/>
  <c r="CH202" i="5"/>
  <c r="BW202" i="5"/>
  <c r="BK202" i="5"/>
  <c r="BA202" i="5"/>
  <c r="AQ202" i="5"/>
  <c r="AF202" i="5"/>
  <c r="U202" i="5"/>
  <c r="K202" i="5"/>
  <c r="FK201" i="5"/>
  <c r="EZ201" i="5"/>
  <c r="EO201" i="5"/>
  <c r="EC201" i="5"/>
  <c r="DR201" i="5"/>
  <c r="DE201" i="5"/>
  <c r="CS201" i="5"/>
  <c r="CH201" i="5"/>
  <c r="BW201" i="5"/>
  <c r="BK201" i="5"/>
  <c r="BA201" i="5"/>
  <c r="AQ201" i="5"/>
  <c r="AF201" i="5"/>
  <c r="U201" i="5"/>
  <c r="K201" i="5"/>
  <c r="FK200" i="5"/>
  <c r="EZ200" i="5"/>
  <c r="EO200" i="5"/>
  <c r="EC200" i="5"/>
  <c r="DR200" i="5"/>
  <c r="DE200" i="5"/>
  <c r="CS200" i="5"/>
  <c r="CH200" i="5"/>
  <c r="BW200" i="5"/>
  <c r="BK200" i="5"/>
  <c r="BA200" i="5"/>
  <c r="AQ200" i="5"/>
  <c r="AF200" i="5"/>
  <c r="U200" i="5"/>
  <c r="K200" i="5"/>
  <c r="FK199" i="5"/>
  <c r="EZ199" i="5"/>
  <c r="EO199" i="5"/>
  <c r="EC199" i="5"/>
  <c r="DR199" i="5"/>
  <c r="DE199" i="5"/>
  <c r="CS199" i="5"/>
  <c r="CH199" i="5"/>
  <c r="BW199" i="5"/>
  <c r="BK199" i="5"/>
  <c r="BA199" i="5"/>
  <c r="AQ199" i="5"/>
  <c r="AF199" i="5"/>
  <c r="U199" i="5"/>
  <c r="K199" i="5"/>
  <c r="FK198" i="5"/>
  <c r="EZ198" i="5"/>
  <c r="EO198" i="5"/>
  <c r="EC198" i="5"/>
  <c r="DR198" i="5"/>
  <c r="DE198" i="5"/>
  <c r="CS198" i="5"/>
  <c r="CH198" i="5"/>
  <c r="BW198" i="5"/>
  <c r="BK198" i="5"/>
  <c r="BA198" i="5"/>
  <c r="AQ198" i="5"/>
  <c r="AF198" i="5"/>
  <c r="U198" i="5"/>
  <c r="K198" i="5"/>
  <c r="FK197" i="5"/>
  <c r="EZ197" i="5"/>
  <c r="EO197" i="5"/>
  <c r="EC197" i="5"/>
  <c r="DR197" i="5"/>
  <c r="DE197" i="5"/>
  <c r="CS197" i="5"/>
  <c r="CH197" i="5"/>
  <c r="BW197" i="5"/>
  <c r="BK197" i="5"/>
  <c r="BA197" i="5"/>
  <c r="AQ197" i="5"/>
  <c r="AF197" i="5"/>
  <c r="U197" i="5"/>
  <c r="K197" i="5"/>
  <c r="FK196" i="5"/>
  <c r="EZ196" i="5"/>
  <c r="EO196" i="5"/>
  <c r="EC196" i="5"/>
  <c r="DR196" i="5"/>
  <c r="DE196" i="5"/>
  <c r="CS196" i="5"/>
  <c r="CH196" i="5"/>
  <c r="BW196" i="5"/>
  <c r="BK196" i="5"/>
  <c r="BA196" i="5"/>
  <c r="AQ196" i="5"/>
  <c r="AF196" i="5"/>
  <c r="U196" i="5"/>
  <c r="K196" i="5"/>
  <c r="FK195" i="5"/>
  <c r="EZ195" i="5"/>
  <c r="EO195" i="5"/>
  <c r="EC195" i="5"/>
  <c r="DR195" i="5"/>
  <c r="DE195" i="5"/>
  <c r="CS195" i="5"/>
  <c r="CH195" i="5"/>
  <c r="BW195" i="5"/>
  <c r="BK195" i="5"/>
  <c r="BA195" i="5"/>
  <c r="AQ195" i="5"/>
  <c r="AF195" i="5"/>
  <c r="U195" i="5"/>
  <c r="K195" i="5"/>
  <c r="FK194" i="5"/>
  <c r="EZ194" i="5"/>
  <c r="EO194" i="5"/>
  <c r="EC194" i="5"/>
  <c r="DR194" i="5"/>
  <c r="DE194" i="5"/>
  <c r="CS194" i="5"/>
  <c r="CH194" i="5"/>
  <c r="BW194" i="5"/>
  <c r="BK194" i="5"/>
  <c r="BA194" i="5"/>
  <c r="AQ194" i="5"/>
  <c r="AF194" i="5"/>
  <c r="U194" i="5"/>
  <c r="K194" i="5"/>
  <c r="FK193" i="5"/>
  <c r="EZ193" i="5"/>
  <c r="EO193" i="5"/>
  <c r="EC193" i="5"/>
  <c r="DR193" i="5"/>
  <c r="DE193" i="5"/>
  <c r="CS193" i="5"/>
  <c r="CH193" i="5"/>
  <c r="BW193" i="5"/>
  <c r="BK193" i="5"/>
  <c r="BA193" i="5"/>
  <c r="AQ193" i="5"/>
  <c r="AF193" i="5"/>
  <c r="U193" i="5"/>
  <c r="K193" i="5"/>
  <c r="FK192" i="5"/>
  <c r="EZ192" i="5"/>
  <c r="EO192" i="5"/>
  <c r="EC192" i="5"/>
  <c r="DR192" i="5"/>
  <c r="DE192" i="5"/>
  <c r="CS192" i="5"/>
  <c r="CH192" i="5"/>
  <c r="BW192" i="5"/>
  <c r="BK192" i="5"/>
  <c r="BA192" i="5"/>
  <c r="AQ192" i="5"/>
  <c r="AF192" i="5"/>
  <c r="U192" i="5"/>
  <c r="K192" i="5"/>
  <c r="FK191" i="5"/>
  <c r="EZ191" i="5"/>
  <c r="EO191" i="5"/>
  <c r="EC191" i="5"/>
  <c r="DR191" i="5"/>
  <c r="DE191" i="5"/>
  <c r="CS191" i="5"/>
  <c r="CH191" i="5"/>
  <c r="BW191" i="5"/>
  <c r="BK191" i="5"/>
  <c r="BA191" i="5"/>
  <c r="AQ191" i="5"/>
  <c r="AF191" i="5"/>
  <c r="U191" i="5"/>
  <c r="K191" i="5"/>
  <c r="FK190" i="5"/>
  <c r="EZ190" i="5"/>
  <c r="EO190" i="5"/>
  <c r="EC190" i="5"/>
  <c r="DR190" i="5"/>
  <c r="DE190" i="5"/>
  <c r="CS190" i="5"/>
  <c r="CH190" i="5"/>
  <c r="BW190" i="5"/>
  <c r="BK190" i="5"/>
  <c r="BA190" i="5"/>
  <c r="AQ190" i="5"/>
  <c r="AF190" i="5"/>
  <c r="U190" i="5"/>
  <c r="K190" i="5"/>
  <c r="FK189" i="5"/>
  <c r="EZ189" i="5"/>
  <c r="EO189" i="5"/>
  <c r="EC189" i="5"/>
  <c r="DR189" i="5"/>
  <c r="DE189" i="5"/>
  <c r="CS189" i="5"/>
  <c r="CH189" i="5"/>
  <c r="BW189" i="5"/>
  <c r="BK189" i="5"/>
  <c r="BA189" i="5"/>
  <c r="AQ189" i="5"/>
  <c r="AF189" i="5"/>
  <c r="U189" i="5"/>
  <c r="K189" i="5"/>
  <c r="FK188" i="5"/>
  <c r="EZ188" i="5"/>
  <c r="EO188" i="5"/>
  <c r="EC188" i="5"/>
  <c r="DR188" i="5"/>
  <c r="DE188" i="5"/>
  <c r="CS188" i="5"/>
  <c r="CH188" i="5"/>
  <c r="BW188" i="5"/>
  <c r="BK188" i="5"/>
  <c r="BA188" i="5"/>
  <c r="AQ188" i="5"/>
  <c r="AF188" i="5"/>
  <c r="U188" i="5"/>
  <c r="K188" i="5"/>
  <c r="FJ183" i="5"/>
  <c r="FI183" i="5"/>
  <c r="FH183" i="5"/>
  <c r="FF183" i="5"/>
  <c r="FD183" i="5"/>
  <c r="FC183" i="5"/>
  <c r="EY183" i="5"/>
  <c r="EX183" i="5"/>
  <c r="EW183" i="5"/>
  <c r="EU183" i="5"/>
  <c r="ES183" i="5"/>
  <c r="ER183" i="5"/>
  <c r="EN183" i="5"/>
  <c r="EM183" i="5"/>
  <c r="EK183" i="5"/>
  <c r="EI183" i="5"/>
  <c r="EG183" i="5"/>
  <c r="EF183" i="5"/>
  <c r="EB183" i="5"/>
  <c r="EA183" i="5"/>
  <c r="DZ183" i="5"/>
  <c r="DX183" i="5"/>
  <c r="DV183" i="5"/>
  <c r="DU183" i="5"/>
  <c r="DQ183" i="5"/>
  <c r="DP183" i="5"/>
  <c r="DO183" i="5"/>
  <c r="DM183" i="5"/>
  <c r="DK183" i="5"/>
  <c r="DJ183" i="5"/>
  <c r="DI183" i="5"/>
  <c r="DD183" i="5"/>
  <c r="DC183" i="5"/>
  <c r="DA183" i="5"/>
  <c r="CY183" i="5"/>
  <c r="CW183" i="5"/>
  <c r="CV183" i="5"/>
  <c r="CR183" i="5"/>
  <c r="CQ183" i="5"/>
  <c r="CP183" i="5"/>
  <c r="CN183" i="5"/>
  <c r="CL183" i="5"/>
  <c r="CK183" i="5"/>
  <c r="CG183" i="5"/>
  <c r="CF183" i="5"/>
  <c r="CE183" i="5"/>
  <c r="CA183" i="5"/>
  <c r="BZ183" i="5"/>
  <c r="BV183" i="5"/>
  <c r="BU183" i="5"/>
  <c r="BT183" i="5"/>
  <c r="BR183" i="5"/>
  <c r="BQ183" i="5"/>
  <c r="BP183" i="5"/>
  <c r="BO183" i="5"/>
  <c r="BN183" i="5"/>
  <c r="BJ183" i="5"/>
  <c r="BI183" i="5"/>
  <c r="BH183" i="5"/>
  <c r="BF183" i="5"/>
  <c r="BD183" i="5"/>
  <c r="AZ183" i="5"/>
  <c r="AY183" i="5"/>
  <c r="AX183" i="5"/>
  <c r="AV183" i="5"/>
  <c r="AT183" i="5"/>
  <c r="AP183" i="5"/>
  <c r="AO183" i="5"/>
  <c r="AN183" i="5"/>
  <c r="AJ183" i="5"/>
  <c r="AE183" i="5"/>
  <c r="AD183" i="5"/>
  <c r="AC183" i="5"/>
  <c r="AA183" i="5"/>
  <c r="Y183" i="5"/>
  <c r="X183" i="5"/>
  <c r="T183" i="5"/>
  <c r="S183" i="5"/>
  <c r="R183" i="5"/>
  <c r="P183" i="5"/>
  <c r="N183" i="5"/>
  <c r="J183" i="5"/>
  <c r="I183" i="5"/>
  <c r="H183" i="5"/>
  <c r="F183" i="5"/>
  <c r="D183" i="5"/>
  <c r="C183" i="5"/>
  <c r="FK182" i="5"/>
  <c r="EZ182" i="5"/>
  <c r="EO182" i="5"/>
  <c r="EC182" i="5"/>
  <c r="DR182" i="5"/>
  <c r="DE182" i="5"/>
  <c r="CS182" i="5"/>
  <c r="CH182" i="5"/>
  <c r="BW182" i="5"/>
  <c r="BK182" i="5"/>
  <c r="BA182" i="5"/>
  <c r="AQ182" i="5"/>
  <c r="AF182" i="5"/>
  <c r="U182" i="5"/>
  <c r="K182" i="5"/>
  <c r="FK181" i="5"/>
  <c r="EZ181" i="5"/>
  <c r="EO181" i="5"/>
  <c r="EC181" i="5"/>
  <c r="DR181" i="5"/>
  <c r="DE181" i="5"/>
  <c r="CS181" i="5"/>
  <c r="CH181" i="5"/>
  <c r="BW181" i="5"/>
  <c r="BK181" i="5"/>
  <c r="BA181" i="5"/>
  <c r="AQ181" i="5"/>
  <c r="AF181" i="5"/>
  <c r="U181" i="5"/>
  <c r="K181" i="5"/>
  <c r="FK180" i="5"/>
  <c r="EZ180" i="5"/>
  <c r="EO180" i="5"/>
  <c r="EC180" i="5"/>
  <c r="DR180" i="5"/>
  <c r="DE180" i="5"/>
  <c r="CS180" i="5"/>
  <c r="CH180" i="5"/>
  <c r="BW180" i="5"/>
  <c r="BK180" i="5"/>
  <c r="BA180" i="5"/>
  <c r="AQ180" i="5"/>
  <c r="AF180" i="5"/>
  <c r="U180" i="5"/>
  <c r="K180" i="5"/>
  <c r="FK179" i="5"/>
  <c r="EZ179" i="5"/>
  <c r="EO179" i="5"/>
  <c r="EC179" i="5"/>
  <c r="DR179" i="5"/>
  <c r="DE179" i="5"/>
  <c r="CS179" i="5"/>
  <c r="CH179" i="5"/>
  <c r="BW179" i="5"/>
  <c r="BK179" i="5"/>
  <c r="BA179" i="5"/>
  <c r="AQ179" i="5"/>
  <c r="AF179" i="5"/>
  <c r="U179" i="5"/>
  <c r="K179" i="5"/>
  <c r="FK178" i="5"/>
  <c r="EZ178" i="5"/>
  <c r="EO178" i="5"/>
  <c r="EC178" i="5"/>
  <c r="DR178" i="5"/>
  <c r="DE178" i="5"/>
  <c r="CS178" i="5"/>
  <c r="CH178" i="5"/>
  <c r="BW178" i="5"/>
  <c r="BK178" i="5"/>
  <c r="BA178" i="5"/>
  <c r="AQ178" i="5"/>
  <c r="AF178" i="5"/>
  <c r="U178" i="5"/>
  <c r="K178" i="5"/>
  <c r="FK177" i="5"/>
  <c r="EZ177" i="5"/>
  <c r="EO177" i="5"/>
  <c r="EC177" i="5"/>
  <c r="DR177" i="5"/>
  <c r="DE177" i="5"/>
  <c r="CS177" i="5"/>
  <c r="CH177" i="5"/>
  <c r="BW177" i="5"/>
  <c r="BK177" i="5"/>
  <c r="BA177" i="5"/>
  <c r="AQ177" i="5"/>
  <c r="AF177" i="5"/>
  <c r="U177" i="5"/>
  <c r="K177" i="5"/>
  <c r="FK176" i="5"/>
  <c r="EZ176" i="5"/>
  <c r="EO176" i="5"/>
  <c r="EC176" i="5"/>
  <c r="DR176" i="5"/>
  <c r="DE176" i="5"/>
  <c r="CS176" i="5"/>
  <c r="CH176" i="5"/>
  <c r="BW176" i="5"/>
  <c r="BK176" i="5"/>
  <c r="BA176" i="5"/>
  <c r="AQ176" i="5"/>
  <c r="AF176" i="5"/>
  <c r="U176" i="5"/>
  <c r="K176" i="5"/>
  <c r="FK175" i="5"/>
  <c r="EZ175" i="5"/>
  <c r="EO175" i="5"/>
  <c r="EC175" i="5"/>
  <c r="DR175" i="5"/>
  <c r="DE175" i="5"/>
  <c r="CS175" i="5"/>
  <c r="CH175" i="5"/>
  <c r="BW175" i="5"/>
  <c r="BK175" i="5"/>
  <c r="BA175" i="5"/>
  <c r="AQ175" i="5"/>
  <c r="AF175" i="5"/>
  <c r="U175" i="5"/>
  <c r="K175" i="5"/>
  <c r="FK174" i="5"/>
  <c r="EZ174" i="5"/>
  <c r="EO174" i="5"/>
  <c r="EC174" i="5"/>
  <c r="DR174" i="5"/>
  <c r="DE174" i="5"/>
  <c r="CS174" i="5"/>
  <c r="CH174" i="5"/>
  <c r="BW174" i="5"/>
  <c r="BK174" i="5"/>
  <c r="BA174" i="5"/>
  <c r="AQ174" i="5"/>
  <c r="AF174" i="5"/>
  <c r="U174" i="5"/>
  <c r="K174" i="5"/>
  <c r="FK173" i="5"/>
  <c r="EZ173" i="5"/>
  <c r="EO173" i="5"/>
  <c r="EC173" i="5"/>
  <c r="DR173" i="5"/>
  <c r="DE173" i="5"/>
  <c r="CS173" i="5"/>
  <c r="CH173" i="5"/>
  <c r="BW173" i="5"/>
  <c r="BK173" i="5"/>
  <c r="BA173" i="5"/>
  <c r="AQ173" i="5"/>
  <c r="AF173" i="5"/>
  <c r="U173" i="5"/>
  <c r="K173" i="5"/>
  <c r="FK172" i="5"/>
  <c r="EZ172" i="5"/>
  <c r="EO172" i="5"/>
  <c r="EC172" i="5"/>
  <c r="DR172" i="5"/>
  <c r="DE172" i="5"/>
  <c r="CS172" i="5"/>
  <c r="CH172" i="5"/>
  <c r="BW172" i="5"/>
  <c r="BK172" i="5"/>
  <c r="BA172" i="5"/>
  <c r="AQ172" i="5"/>
  <c r="AF172" i="5"/>
  <c r="U172" i="5"/>
  <c r="K172" i="5"/>
  <c r="FK171" i="5"/>
  <c r="EZ171" i="5"/>
  <c r="EO171" i="5"/>
  <c r="EC171" i="5"/>
  <c r="DR171" i="5"/>
  <c r="DE171" i="5"/>
  <c r="CS171" i="5"/>
  <c r="CH171" i="5"/>
  <c r="BW171" i="5"/>
  <c r="BK171" i="5"/>
  <c r="BA171" i="5"/>
  <c r="AQ171" i="5"/>
  <c r="AF171" i="5"/>
  <c r="U171" i="5"/>
  <c r="K171" i="5"/>
  <c r="FK170" i="5"/>
  <c r="EZ170" i="5"/>
  <c r="EO170" i="5"/>
  <c r="EC170" i="5"/>
  <c r="DR170" i="5"/>
  <c r="DE170" i="5"/>
  <c r="CS170" i="5"/>
  <c r="CH170" i="5"/>
  <c r="BW170" i="5"/>
  <c r="BK170" i="5"/>
  <c r="BA170" i="5"/>
  <c r="AQ170" i="5"/>
  <c r="AF170" i="5"/>
  <c r="U170" i="5"/>
  <c r="K170" i="5"/>
  <c r="FK169" i="5"/>
  <c r="EZ169" i="5"/>
  <c r="EO169" i="5"/>
  <c r="EC169" i="5"/>
  <c r="DR169" i="5"/>
  <c r="DE169" i="5"/>
  <c r="CS169" i="5"/>
  <c r="CH169" i="5"/>
  <c r="BW169" i="5"/>
  <c r="BK169" i="5"/>
  <c r="BA169" i="5"/>
  <c r="AQ169" i="5"/>
  <c r="AF169" i="5"/>
  <c r="U169" i="5"/>
  <c r="K169" i="5"/>
  <c r="FK168" i="5"/>
  <c r="EZ168" i="5"/>
  <c r="EO168" i="5"/>
  <c r="EC168" i="5"/>
  <c r="DR168" i="5"/>
  <c r="DE168" i="5"/>
  <c r="CS168" i="5"/>
  <c r="CH168" i="5"/>
  <c r="BW168" i="5"/>
  <c r="BK168" i="5"/>
  <c r="BA168" i="5"/>
  <c r="AQ168" i="5"/>
  <c r="AF168" i="5"/>
  <c r="U168" i="5"/>
  <c r="K168" i="5"/>
  <c r="FK167" i="5"/>
  <c r="EZ167" i="5"/>
  <c r="EO167" i="5"/>
  <c r="EC167" i="5"/>
  <c r="DR167" i="5"/>
  <c r="DE167" i="5"/>
  <c r="CS167" i="5"/>
  <c r="CH167" i="5"/>
  <c r="BW167" i="5"/>
  <c r="BK167" i="5"/>
  <c r="BA167" i="5"/>
  <c r="AQ167" i="5"/>
  <c r="AF167" i="5"/>
  <c r="U167" i="5"/>
  <c r="K167" i="5"/>
  <c r="FK166" i="5"/>
  <c r="EZ166" i="5"/>
  <c r="EO166" i="5"/>
  <c r="EC166" i="5"/>
  <c r="DR166" i="5"/>
  <c r="DE166" i="5"/>
  <c r="CS166" i="5"/>
  <c r="CH166" i="5"/>
  <c r="BW166" i="5"/>
  <c r="BK166" i="5"/>
  <c r="BA166" i="5"/>
  <c r="AQ166" i="5"/>
  <c r="AF166" i="5"/>
  <c r="U166" i="5"/>
  <c r="K166" i="5"/>
  <c r="FK165" i="5"/>
  <c r="EZ165" i="5"/>
  <c r="EO165" i="5"/>
  <c r="EC165" i="5"/>
  <c r="DR165" i="5"/>
  <c r="DE165" i="5"/>
  <c r="CS165" i="5"/>
  <c r="CH165" i="5"/>
  <c r="BW165" i="5"/>
  <c r="BK165" i="5"/>
  <c r="BA165" i="5"/>
  <c r="AQ165" i="5"/>
  <c r="AF165" i="5"/>
  <c r="U165" i="5"/>
  <c r="K165" i="5"/>
  <c r="FK164" i="5"/>
  <c r="EZ164" i="5"/>
  <c r="EO164" i="5"/>
  <c r="EC164" i="5"/>
  <c r="DR164" i="5"/>
  <c r="DE164" i="5"/>
  <c r="CS164" i="5"/>
  <c r="CH164" i="5"/>
  <c r="BW164" i="5"/>
  <c r="BK164" i="5"/>
  <c r="BA164" i="5"/>
  <c r="AQ164" i="5"/>
  <c r="AF164" i="5"/>
  <c r="U164" i="5"/>
  <c r="K164" i="5"/>
  <c r="FK163" i="5"/>
  <c r="EZ163" i="5"/>
  <c r="EO163" i="5"/>
  <c r="EC163" i="5"/>
  <c r="DR163" i="5"/>
  <c r="DE163" i="5"/>
  <c r="CS163" i="5"/>
  <c r="CH163" i="5"/>
  <c r="BW163" i="5"/>
  <c r="BK163" i="5"/>
  <c r="BA163" i="5"/>
  <c r="AQ163" i="5"/>
  <c r="AF163" i="5"/>
  <c r="U163" i="5"/>
  <c r="K163" i="5"/>
  <c r="FK162" i="5"/>
  <c r="EZ162" i="5"/>
  <c r="EO162" i="5"/>
  <c r="EC162" i="5"/>
  <c r="DR162" i="5"/>
  <c r="DE162" i="5"/>
  <c r="CS162" i="5"/>
  <c r="CH162" i="5"/>
  <c r="BW162" i="5"/>
  <c r="BK162" i="5"/>
  <c r="BA162" i="5"/>
  <c r="AQ162" i="5"/>
  <c r="AF162" i="5"/>
  <c r="U162" i="5"/>
  <c r="K162" i="5"/>
  <c r="FK161" i="5"/>
  <c r="EZ161" i="5"/>
  <c r="EO161" i="5"/>
  <c r="EC161" i="5"/>
  <c r="DR161" i="5"/>
  <c r="DE161" i="5"/>
  <c r="CS161" i="5"/>
  <c r="CH161" i="5"/>
  <c r="BW161" i="5"/>
  <c r="BK161" i="5"/>
  <c r="BA161" i="5"/>
  <c r="AQ161" i="5"/>
  <c r="AF161" i="5"/>
  <c r="U161" i="5"/>
  <c r="K161" i="5"/>
  <c r="FK160" i="5"/>
  <c r="EZ160" i="5"/>
  <c r="EO160" i="5"/>
  <c r="EC160" i="5"/>
  <c r="DR160" i="5"/>
  <c r="DE160" i="5"/>
  <c r="CS160" i="5"/>
  <c r="CH160" i="5"/>
  <c r="BW160" i="5"/>
  <c r="BK160" i="5"/>
  <c r="BA160" i="5"/>
  <c r="AQ160" i="5"/>
  <c r="AF160" i="5"/>
  <c r="U160" i="5"/>
  <c r="K160" i="5"/>
  <c r="FK159" i="5"/>
  <c r="EZ159" i="5"/>
  <c r="EO159" i="5"/>
  <c r="EC159" i="5"/>
  <c r="DR159" i="5"/>
  <c r="DE159" i="5"/>
  <c r="CS159" i="5"/>
  <c r="CH159" i="5"/>
  <c r="BW159" i="5"/>
  <c r="BK159" i="5"/>
  <c r="BA159" i="5"/>
  <c r="AQ159" i="5"/>
  <c r="AF159" i="5"/>
  <c r="U159" i="5"/>
  <c r="K159" i="5"/>
  <c r="FK158" i="5"/>
  <c r="EZ158" i="5"/>
  <c r="EO158" i="5"/>
  <c r="EC158" i="5"/>
  <c r="DR158" i="5"/>
  <c r="DE158" i="5"/>
  <c r="CS158" i="5"/>
  <c r="CH158" i="5"/>
  <c r="BW158" i="5"/>
  <c r="BK158" i="5"/>
  <c r="BA158" i="5"/>
  <c r="AQ158" i="5"/>
  <c r="AF158" i="5"/>
  <c r="U158" i="5"/>
  <c r="K158" i="5"/>
  <c r="FK157" i="5"/>
  <c r="EZ157" i="5"/>
  <c r="EO157" i="5"/>
  <c r="EC157" i="5"/>
  <c r="DR157" i="5"/>
  <c r="DE157" i="5"/>
  <c r="CS157" i="5"/>
  <c r="CH157" i="5"/>
  <c r="BW157" i="5"/>
  <c r="BK157" i="5"/>
  <c r="BA157" i="5"/>
  <c r="AQ157" i="5"/>
  <c r="AF157" i="5"/>
  <c r="U157" i="5"/>
  <c r="K157" i="5"/>
  <c r="FK156" i="5"/>
  <c r="EZ156" i="5"/>
  <c r="EO156" i="5"/>
  <c r="EC156" i="5"/>
  <c r="DR156" i="5"/>
  <c r="DE156" i="5"/>
  <c r="CS156" i="5"/>
  <c r="CH156" i="5"/>
  <c r="BW156" i="5"/>
  <c r="BK156" i="5"/>
  <c r="BA156" i="5"/>
  <c r="AQ156" i="5"/>
  <c r="AF156" i="5"/>
  <c r="U156" i="5"/>
  <c r="K156" i="5"/>
  <c r="FK155" i="5"/>
  <c r="EZ155" i="5"/>
  <c r="EO155" i="5"/>
  <c r="EC155" i="5"/>
  <c r="DR155" i="5"/>
  <c r="DE155" i="5"/>
  <c r="CS155" i="5"/>
  <c r="CH155" i="5"/>
  <c r="BW155" i="5"/>
  <c r="BK155" i="5"/>
  <c r="BA155" i="5"/>
  <c r="AQ155" i="5"/>
  <c r="AF155" i="5"/>
  <c r="U155" i="5"/>
  <c r="K155" i="5"/>
  <c r="FK154" i="5"/>
  <c r="EZ154" i="5"/>
  <c r="EO154" i="5"/>
  <c r="EC154" i="5"/>
  <c r="DR154" i="5"/>
  <c r="DE154" i="5"/>
  <c r="CS154" i="5"/>
  <c r="CH154" i="5"/>
  <c r="BW154" i="5"/>
  <c r="BK154" i="5"/>
  <c r="BA154" i="5"/>
  <c r="AQ154" i="5"/>
  <c r="AF154" i="5"/>
  <c r="U154" i="5"/>
  <c r="K154" i="5"/>
  <c r="FK153" i="5"/>
  <c r="EZ153" i="5"/>
  <c r="EO153" i="5"/>
  <c r="EC153" i="5"/>
  <c r="DR153" i="5"/>
  <c r="DE153" i="5"/>
  <c r="CS153" i="5"/>
  <c r="CH153" i="5"/>
  <c r="BW153" i="5"/>
  <c r="BK153" i="5"/>
  <c r="BA153" i="5"/>
  <c r="AQ153" i="5"/>
  <c r="AF153" i="5"/>
  <c r="U153" i="5"/>
  <c r="K153" i="5"/>
  <c r="FF148" i="5"/>
  <c r="FD148" i="5"/>
  <c r="FC148" i="5"/>
  <c r="EU148" i="5"/>
  <c r="ES148" i="5"/>
  <c r="ER148" i="5"/>
  <c r="EI148" i="5"/>
  <c r="EG148" i="5"/>
  <c r="EF148" i="5"/>
  <c r="DX148" i="5"/>
  <c r="DV148" i="5"/>
  <c r="DU148" i="5"/>
  <c r="DM148" i="5"/>
  <c r="DJ148" i="5"/>
  <c r="DI148" i="5"/>
  <c r="CY148" i="5"/>
  <c r="CW148" i="5"/>
  <c r="CV148" i="5"/>
  <c r="CN148" i="5"/>
  <c r="CL148" i="5"/>
  <c r="CK148" i="5"/>
  <c r="CA148" i="5"/>
  <c r="BZ148" i="5"/>
  <c r="BR148" i="5"/>
  <c r="BQ148" i="5"/>
  <c r="BP148" i="5"/>
  <c r="BO148" i="5"/>
  <c r="BN148" i="5"/>
  <c r="BF148" i="5"/>
  <c r="BD148" i="5"/>
  <c r="AV148" i="5"/>
  <c r="AT148" i="5"/>
  <c r="AJ148" i="5"/>
  <c r="AA148" i="5"/>
  <c r="Y148" i="5"/>
  <c r="X148" i="5"/>
  <c r="P148" i="5"/>
  <c r="N148" i="5"/>
  <c r="F148" i="5"/>
  <c r="D148" i="5"/>
  <c r="C148" i="5"/>
  <c r="FF112" i="5"/>
  <c r="FD112" i="5"/>
  <c r="FC112" i="5"/>
  <c r="EU112" i="5"/>
  <c r="ES112" i="5"/>
  <c r="ER112" i="5"/>
  <c r="EI112" i="5"/>
  <c r="EG112" i="5"/>
  <c r="EF112" i="5"/>
  <c r="DX112" i="5"/>
  <c r="DV112" i="5"/>
  <c r="DU112" i="5"/>
  <c r="DM112" i="5"/>
  <c r="DJ112" i="5"/>
  <c r="DI112" i="5"/>
  <c r="CY112" i="5"/>
  <c r="CW112" i="5"/>
  <c r="CV112" i="5"/>
  <c r="CN112" i="5"/>
  <c r="CL112" i="5"/>
  <c r="CK112" i="5"/>
  <c r="CA112" i="5"/>
  <c r="BZ112" i="5"/>
  <c r="BR112" i="5"/>
  <c r="BQ112" i="5"/>
  <c r="BP112" i="5"/>
  <c r="BO112" i="5"/>
  <c r="BN112" i="5"/>
  <c r="BF112" i="5"/>
  <c r="BD112" i="5"/>
  <c r="AV112" i="5"/>
  <c r="AT112" i="5"/>
  <c r="AJ112" i="5"/>
  <c r="AA112" i="5"/>
  <c r="Y112" i="5"/>
  <c r="X112" i="5"/>
  <c r="P112" i="5"/>
  <c r="N112" i="5"/>
  <c r="F112" i="5"/>
  <c r="D112" i="5"/>
  <c r="C112" i="5"/>
  <c r="FJ77" i="5"/>
  <c r="FI77" i="5"/>
  <c r="FH77" i="5"/>
  <c r="FF77" i="5"/>
  <c r="FD77" i="5"/>
  <c r="FC77" i="5"/>
  <c r="EY77" i="5"/>
  <c r="EX77" i="5"/>
  <c r="EW77" i="5"/>
  <c r="EU77" i="5"/>
  <c r="ES77" i="5"/>
  <c r="ER77" i="5"/>
  <c r="EN77" i="5"/>
  <c r="EM77" i="5"/>
  <c r="EK77" i="5"/>
  <c r="EI77" i="5"/>
  <c r="EG77" i="5"/>
  <c r="EF77" i="5"/>
  <c r="EB77" i="5"/>
  <c r="EA77" i="5"/>
  <c r="DZ77" i="5"/>
  <c r="DX77" i="5"/>
  <c r="DV77" i="5"/>
  <c r="DU77" i="5"/>
  <c r="DQ77" i="5"/>
  <c r="DP77" i="5"/>
  <c r="DO77" i="5"/>
  <c r="DM77" i="5"/>
  <c r="DJ77" i="5"/>
  <c r="DI77" i="5"/>
  <c r="DD77" i="5"/>
  <c r="DC77" i="5"/>
  <c r="DA77" i="5"/>
  <c r="CY77" i="5"/>
  <c r="CW77" i="5"/>
  <c r="CV77" i="5"/>
  <c r="CR77" i="5"/>
  <c r="CQ77" i="5"/>
  <c r="CP77" i="5"/>
  <c r="CN77" i="5"/>
  <c r="CL77" i="5"/>
  <c r="CK77" i="5"/>
  <c r="CG77" i="5"/>
  <c r="CF77" i="5"/>
  <c r="CE77" i="5"/>
  <c r="CA77" i="5"/>
  <c r="BZ77" i="5"/>
  <c r="BV77" i="5"/>
  <c r="BU77" i="5"/>
  <c r="BT77" i="5"/>
  <c r="BR77" i="5"/>
  <c r="BQ77" i="5"/>
  <c r="BP77" i="5"/>
  <c r="BO77" i="5"/>
  <c r="BN77" i="5"/>
  <c r="BJ77" i="5"/>
  <c r="BI77" i="5"/>
  <c r="BH77" i="5"/>
  <c r="BF77" i="5"/>
  <c r="BD77" i="5"/>
  <c r="AZ77" i="5"/>
  <c r="AY77" i="5"/>
  <c r="AX77" i="5"/>
  <c r="AV77" i="5"/>
  <c r="AT77" i="5"/>
  <c r="AP77" i="5"/>
  <c r="AO77" i="5"/>
  <c r="AN77" i="5"/>
  <c r="AJ77" i="5"/>
  <c r="AE77" i="5"/>
  <c r="AD77" i="5"/>
  <c r="AC77" i="5"/>
  <c r="AA77" i="5"/>
  <c r="Y77" i="5"/>
  <c r="X77" i="5"/>
  <c r="T77" i="5"/>
  <c r="S77" i="5"/>
  <c r="R77" i="5"/>
  <c r="P77" i="5"/>
  <c r="N77" i="5"/>
  <c r="J77" i="5"/>
  <c r="I77" i="5"/>
  <c r="H77" i="5"/>
  <c r="F77" i="5"/>
  <c r="D77" i="5"/>
  <c r="C77" i="5"/>
  <c r="FK76" i="5"/>
  <c r="EZ76" i="5"/>
  <c r="EO76" i="5"/>
  <c r="EC76" i="5"/>
  <c r="DR76" i="5"/>
  <c r="DE76" i="5"/>
  <c r="CS76" i="5"/>
  <c r="CH76" i="5"/>
  <c r="BW76" i="5"/>
  <c r="BK76" i="5"/>
  <c r="BA76" i="5"/>
  <c r="AQ76" i="5"/>
  <c r="AF76" i="5"/>
  <c r="U76" i="5"/>
  <c r="K76" i="5"/>
  <c r="FK75" i="5"/>
  <c r="EZ75" i="5"/>
  <c r="EO75" i="5"/>
  <c r="EC75" i="5"/>
  <c r="DR75" i="5"/>
  <c r="DE75" i="5"/>
  <c r="CS75" i="5"/>
  <c r="CH75" i="5"/>
  <c r="BW75" i="5"/>
  <c r="BK75" i="5"/>
  <c r="BA75" i="5"/>
  <c r="AQ75" i="5"/>
  <c r="AF75" i="5"/>
  <c r="U75" i="5"/>
  <c r="K75" i="5"/>
  <c r="FK74" i="5"/>
  <c r="EZ74" i="5"/>
  <c r="EO74" i="5"/>
  <c r="EC74" i="5"/>
  <c r="DR74" i="5"/>
  <c r="DE74" i="5"/>
  <c r="CS74" i="5"/>
  <c r="CH74" i="5"/>
  <c r="BW74" i="5"/>
  <c r="BK74" i="5"/>
  <c r="BA74" i="5"/>
  <c r="AQ74" i="5"/>
  <c r="AF74" i="5"/>
  <c r="U74" i="5"/>
  <c r="K74" i="5"/>
  <c r="FK73" i="5"/>
  <c r="EZ73" i="5"/>
  <c r="EO73" i="5"/>
  <c r="EC73" i="5"/>
  <c r="DR73" i="5"/>
  <c r="DE73" i="5"/>
  <c r="CS73" i="5"/>
  <c r="CH73" i="5"/>
  <c r="BW73" i="5"/>
  <c r="BK73" i="5"/>
  <c r="BA73" i="5"/>
  <c r="AQ73" i="5"/>
  <c r="AF73" i="5"/>
  <c r="U73" i="5"/>
  <c r="K73" i="5"/>
  <c r="FK72" i="5"/>
  <c r="EZ72" i="5"/>
  <c r="EO72" i="5"/>
  <c r="EC72" i="5"/>
  <c r="DR72" i="5"/>
  <c r="DE72" i="5"/>
  <c r="CS72" i="5"/>
  <c r="CH72" i="5"/>
  <c r="BW72" i="5"/>
  <c r="BK72" i="5"/>
  <c r="BA72" i="5"/>
  <c r="AQ72" i="5"/>
  <c r="AF72" i="5"/>
  <c r="U72" i="5"/>
  <c r="K72" i="5"/>
  <c r="FK71" i="5"/>
  <c r="EZ71" i="5"/>
  <c r="EO71" i="5"/>
  <c r="EC71" i="5"/>
  <c r="DR71" i="5"/>
  <c r="DE71" i="5"/>
  <c r="CS71" i="5"/>
  <c r="CH71" i="5"/>
  <c r="BW71" i="5"/>
  <c r="BK71" i="5"/>
  <c r="BA71" i="5"/>
  <c r="AQ71" i="5"/>
  <c r="AF71" i="5"/>
  <c r="U71" i="5"/>
  <c r="K71" i="5"/>
  <c r="FK70" i="5"/>
  <c r="EZ70" i="5"/>
  <c r="EO70" i="5"/>
  <c r="EC70" i="5"/>
  <c r="DR70" i="5"/>
  <c r="DE70" i="5"/>
  <c r="CS70" i="5"/>
  <c r="CH70" i="5"/>
  <c r="BW70" i="5"/>
  <c r="BK70" i="5"/>
  <c r="BA70" i="5"/>
  <c r="AQ70" i="5"/>
  <c r="AF70" i="5"/>
  <c r="U70" i="5"/>
  <c r="K70" i="5"/>
  <c r="FK69" i="5"/>
  <c r="EZ69" i="5"/>
  <c r="EO69" i="5"/>
  <c r="EC69" i="5"/>
  <c r="DR69" i="5"/>
  <c r="DE69" i="5"/>
  <c r="CS69" i="5"/>
  <c r="CH69" i="5"/>
  <c r="BW69" i="5"/>
  <c r="BK69" i="5"/>
  <c r="BA69" i="5"/>
  <c r="AQ69" i="5"/>
  <c r="AF69" i="5"/>
  <c r="U69" i="5"/>
  <c r="K69" i="5"/>
  <c r="FK68" i="5"/>
  <c r="EZ68" i="5"/>
  <c r="EO68" i="5"/>
  <c r="EC68" i="5"/>
  <c r="DR68" i="5"/>
  <c r="DE68" i="5"/>
  <c r="CS68" i="5"/>
  <c r="CH68" i="5"/>
  <c r="BW68" i="5"/>
  <c r="BK68" i="5"/>
  <c r="BA68" i="5"/>
  <c r="AQ68" i="5"/>
  <c r="AF68" i="5"/>
  <c r="U68" i="5"/>
  <c r="K68" i="5"/>
  <c r="FK67" i="5"/>
  <c r="EZ67" i="5"/>
  <c r="EO67" i="5"/>
  <c r="EC67" i="5"/>
  <c r="DR67" i="5"/>
  <c r="DE67" i="5"/>
  <c r="CS67" i="5"/>
  <c r="CH67" i="5"/>
  <c r="BW67" i="5"/>
  <c r="BK67" i="5"/>
  <c r="BA67" i="5"/>
  <c r="AQ67" i="5"/>
  <c r="AF67" i="5"/>
  <c r="U67" i="5"/>
  <c r="K67" i="5"/>
  <c r="FK66" i="5"/>
  <c r="EZ66" i="5"/>
  <c r="EO66" i="5"/>
  <c r="EC66" i="5"/>
  <c r="DR66" i="5"/>
  <c r="DE66" i="5"/>
  <c r="CS66" i="5"/>
  <c r="CH66" i="5"/>
  <c r="BW66" i="5"/>
  <c r="BK66" i="5"/>
  <c r="BA66" i="5"/>
  <c r="AQ66" i="5"/>
  <c r="AF66" i="5"/>
  <c r="U66" i="5"/>
  <c r="K66" i="5"/>
  <c r="FK65" i="5"/>
  <c r="EZ65" i="5"/>
  <c r="EO65" i="5"/>
  <c r="EC65" i="5"/>
  <c r="DR65" i="5"/>
  <c r="DE65" i="5"/>
  <c r="CS65" i="5"/>
  <c r="CH65" i="5"/>
  <c r="BW65" i="5"/>
  <c r="BK65" i="5"/>
  <c r="BA65" i="5"/>
  <c r="AQ65" i="5"/>
  <c r="AF65" i="5"/>
  <c r="U65" i="5"/>
  <c r="K65" i="5"/>
  <c r="FK64" i="5"/>
  <c r="EZ64" i="5"/>
  <c r="EO64" i="5"/>
  <c r="EC64" i="5"/>
  <c r="DR64" i="5"/>
  <c r="DE64" i="5"/>
  <c r="CS64" i="5"/>
  <c r="CH64" i="5"/>
  <c r="BW64" i="5"/>
  <c r="BK64" i="5"/>
  <c r="BA64" i="5"/>
  <c r="AQ64" i="5"/>
  <c r="AF64" i="5"/>
  <c r="U64" i="5"/>
  <c r="K64" i="5"/>
  <c r="FK63" i="5"/>
  <c r="EZ63" i="5"/>
  <c r="EO63" i="5"/>
  <c r="EC63" i="5"/>
  <c r="DR63" i="5"/>
  <c r="DE63" i="5"/>
  <c r="CS63" i="5"/>
  <c r="CH63" i="5"/>
  <c r="BW63" i="5"/>
  <c r="BK63" i="5"/>
  <c r="BA63" i="5"/>
  <c r="AQ63" i="5"/>
  <c r="AF63" i="5"/>
  <c r="U63" i="5"/>
  <c r="K63" i="5"/>
  <c r="FK62" i="5"/>
  <c r="EZ62" i="5"/>
  <c r="EO62" i="5"/>
  <c r="EC62" i="5"/>
  <c r="DR62" i="5"/>
  <c r="DE62" i="5"/>
  <c r="CS62" i="5"/>
  <c r="CH62" i="5"/>
  <c r="BW62" i="5"/>
  <c r="BK62" i="5"/>
  <c r="BA62" i="5"/>
  <c r="AQ62" i="5"/>
  <c r="AF62" i="5"/>
  <c r="U62" i="5"/>
  <c r="K62" i="5"/>
  <c r="FK61" i="5"/>
  <c r="EZ61" i="5"/>
  <c r="EO61" i="5"/>
  <c r="EC61" i="5"/>
  <c r="DR61" i="5"/>
  <c r="DE61" i="5"/>
  <c r="CS61" i="5"/>
  <c r="CH61" i="5"/>
  <c r="BW61" i="5"/>
  <c r="BK61" i="5"/>
  <c r="BA61" i="5"/>
  <c r="AQ61" i="5"/>
  <c r="AF61" i="5"/>
  <c r="U61" i="5"/>
  <c r="K61" i="5"/>
  <c r="FK60" i="5"/>
  <c r="EZ60" i="5"/>
  <c r="EO60" i="5"/>
  <c r="EC60" i="5"/>
  <c r="DR60" i="5"/>
  <c r="DE60" i="5"/>
  <c r="CS60" i="5"/>
  <c r="CH60" i="5"/>
  <c r="BW60" i="5"/>
  <c r="BK60" i="5"/>
  <c r="BA60" i="5"/>
  <c r="AQ60" i="5"/>
  <c r="AF60" i="5"/>
  <c r="U60" i="5"/>
  <c r="K60" i="5"/>
  <c r="FK59" i="5"/>
  <c r="EZ59" i="5"/>
  <c r="EO59" i="5"/>
  <c r="EC59" i="5"/>
  <c r="DR59" i="5"/>
  <c r="DE59" i="5"/>
  <c r="CS59" i="5"/>
  <c r="CH59" i="5"/>
  <c r="BW59" i="5"/>
  <c r="BK59" i="5"/>
  <c r="BA59" i="5"/>
  <c r="AQ59" i="5"/>
  <c r="AF59" i="5"/>
  <c r="U59" i="5"/>
  <c r="K59" i="5"/>
  <c r="FK58" i="5"/>
  <c r="EZ58" i="5"/>
  <c r="EO58" i="5"/>
  <c r="EC58" i="5"/>
  <c r="DR58" i="5"/>
  <c r="DE58" i="5"/>
  <c r="CS58" i="5"/>
  <c r="CH58" i="5"/>
  <c r="BW58" i="5"/>
  <c r="BK58" i="5"/>
  <c r="BA58" i="5"/>
  <c r="AQ58" i="5"/>
  <c r="AF58" i="5"/>
  <c r="U58" i="5"/>
  <c r="K58" i="5"/>
  <c r="FK57" i="5"/>
  <c r="EZ57" i="5"/>
  <c r="EO57" i="5"/>
  <c r="EC57" i="5"/>
  <c r="DR57" i="5"/>
  <c r="DE57" i="5"/>
  <c r="CS57" i="5"/>
  <c r="CH57" i="5"/>
  <c r="BW57" i="5"/>
  <c r="BK57" i="5"/>
  <c r="BA57" i="5"/>
  <c r="AQ57" i="5"/>
  <c r="AF57" i="5"/>
  <c r="U57" i="5"/>
  <c r="K57" i="5"/>
  <c r="FK56" i="5"/>
  <c r="EZ56" i="5"/>
  <c r="EO56" i="5"/>
  <c r="EC56" i="5"/>
  <c r="DR56" i="5"/>
  <c r="DE56" i="5"/>
  <c r="CS56" i="5"/>
  <c r="CH56" i="5"/>
  <c r="BW56" i="5"/>
  <c r="BK56" i="5"/>
  <c r="BA56" i="5"/>
  <c r="AQ56" i="5"/>
  <c r="AF56" i="5"/>
  <c r="U56" i="5"/>
  <c r="K56" i="5"/>
  <c r="FK55" i="5"/>
  <c r="EZ55" i="5"/>
  <c r="EO55" i="5"/>
  <c r="EC55" i="5"/>
  <c r="DR55" i="5"/>
  <c r="DE55" i="5"/>
  <c r="CS55" i="5"/>
  <c r="CH55" i="5"/>
  <c r="BW55" i="5"/>
  <c r="BK55" i="5"/>
  <c r="BA55" i="5"/>
  <c r="AQ55" i="5"/>
  <c r="AF55" i="5"/>
  <c r="U55" i="5"/>
  <c r="K55" i="5"/>
  <c r="FK54" i="5"/>
  <c r="EZ54" i="5"/>
  <c r="EO54" i="5"/>
  <c r="EC54" i="5"/>
  <c r="DR54" i="5"/>
  <c r="DE54" i="5"/>
  <c r="CS54" i="5"/>
  <c r="CH54" i="5"/>
  <c r="BW54" i="5"/>
  <c r="BK54" i="5"/>
  <c r="BA54" i="5"/>
  <c r="AQ54" i="5"/>
  <c r="AF54" i="5"/>
  <c r="U54" i="5"/>
  <c r="K54" i="5"/>
  <c r="FK53" i="5"/>
  <c r="EZ53" i="5"/>
  <c r="EO53" i="5"/>
  <c r="EC53" i="5"/>
  <c r="DR53" i="5"/>
  <c r="DE53" i="5"/>
  <c r="CS53" i="5"/>
  <c r="CH53" i="5"/>
  <c r="BW53" i="5"/>
  <c r="BK53" i="5"/>
  <c r="BA53" i="5"/>
  <c r="AQ53" i="5"/>
  <c r="AF53" i="5"/>
  <c r="U53" i="5"/>
  <c r="K53" i="5"/>
  <c r="FK52" i="5"/>
  <c r="EZ52" i="5"/>
  <c r="EO52" i="5"/>
  <c r="EC52" i="5"/>
  <c r="DR52" i="5"/>
  <c r="DE52" i="5"/>
  <c r="CS52" i="5"/>
  <c r="CH52" i="5"/>
  <c r="BW52" i="5"/>
  <c r="BK52" i="5"/>
  <c r="BA52" i="5"/>
  <c r="AQ52" i="5"/>
  <c r="AF52" i="5"/>
  <c r="U52" i="5"/>
  <c r="K52" i="5"/>
  <c r="FK51" i="5"/>
  <c r="EZ51" i="5"/>
  <c r="EO51" i="5"/>
  <c r="EC51" i="5"/>
  <c r="DR51" i="5"/>
  <c r="DE51" i="5"/>
  <c r="CS51" i="5"/>
  <c r="CH51" i="5"/>
  <c r="BW51" i="5"/>
  <c r="BK51" i="5"/>
  <c r="BA51" i="5"/>
  <c r="AQ51" i="5"/>
  <c r="AF51" i="5"/>
  <c r="U51" i="5"/>
  <c r="K51" i="5"/>
  <c r="FK50" i="5"/>
  <c r="EZ50" i="5"/>
  <c r="EO50" i="5"/>
  <c r="EC50" i="5"/>
  <c r="DR50" i="5"/>
  <c r="DE50" i="5"/>
  <c r="CS50" i="5"/>
  <c r="CH50" i="5"/>
  <c r="BW50" i="5"/>
  <c r="BK50" i="5"/>
  <c r="BA50" i="5"/>
  <c r="AQ50" i="5"/>
  <c r="AF50" i="5"/>
  <c r="U50" i="5"/>
  <c r="K50" i="5"/>
  <c r="FK49" i="5"/>
  <c r="EZ49" i="5"/>
  <c r="EO49" i="5"/>
  <c r="EC49" i="5"/>
  <c r="DR49" i="5"/>
  <c r="DE49" i="5"/>
  <c r="CS49" i="5"/>
  <c r="CH49" i="5"/>
  <c r="BW49" i="5"/>
  <c r="BK49" i="5"/>
  <c r="BA49" i="5"/>
  <c r="AQ49" i="5"/>
  <c r="AF49" i="5"/>
  <c r="U49" i="5"/>
  <c r="K49" i="5"/>
  <c r="FK48" i="5"/>
  <c r="EZ48" i="5"/>
  <c r="EO48" i="5"/>
  <c r="EC48" i="5"/>
  <c r="DR48" i="5"/>
  <c r="DE48" i="5"/>
  <c r="CS48" i="5"/>
  <c r="CH48" i="5"/>
  <c r="BW48" i="5"/>
  <c r="BK48" i="5"/>
  <c r="BA48" i="5"/>
  <c r="AQ48" i="5"/>
  <c r="AF48" i="5"/>
  <c r="U48" i="5"/>
  <c r="K48" i="5"/>
  <c r="FK47" i="5"/>
  <c r="EZ47" i="5"/>
  <c r="EO47" i="5"/>
  <c r="EC47" i="5"/>
  <c r="DR47" i="5"/>
  <c r="DE47" i="5"/>
  <c r="CS47" i="5"/>
  <c r="CH47" i="5"/>
  <c r="BW47" i="5"/>
  <c r="BK47" i="5"/>
  <c r="BA47" i="5"/>
  <c r="AQ47" i="5"/>
  <c r="AF47" i="5"/>
  <c r="U47" i="5"/>
  <c r="K47" i="5"/>
  <c r="FK46" i="5"/>
  <c r="EZ46" i="5"/>
  <c r="EO46" i="5"/>
  <c r="EC46" i="5"/>
  <c r="DR46" i="5"/>
  <c r="DE46" i="5"/>
  <c r="CS46" i="5"/>
  <c r="CH46" i="5"/>
  <c r="BW46" i="5"/>
  <c r="BK46" i="5"/>
  <c r="BA46" i="5"/>
  <c r="AQ46" i="5"/>
  <c r="AF46" i="5"/>
  <c r="U46" i="5"/>
  <c r="K46" i="5"/>
  <c r="FJ37" i="5"/>
  <c r="FI37" i="5"/>
  <c r="FH37" i="5"/>
  <c r="FF37" i="5"/>
  <c r="FD37" i="5"/>
  <c r="FC37" i="5"/>
  <c r="EY37" i="5"/>
  <c r="EX37" i="5"/>
  <c r="EW37" i="5"/>
  <c r="EU37" i="5"/>
  <c r="ES37" i="5"/>
  <c r="ER37" i="5"/>
  <c r="EN37" i="5"/>
  <c r="EM37" i="5"/>
  <c r="EK37" i="5"/>
  <c r="EI37" i="5"/>
  <c r="EG37" i="5"/>
  <c r="EF37" i="5"/>
  <c r="EB37" i="5"/>
  <c r="EA37" i="5"/>
  <c r="DZ37" i="5"/>
  <c r="DX37" i="5"/>
  <c r="DV37" i="5"/>
  <c r="DU37" i="5"/>
  <c r="DQ37" i="5"/>
  <c r="DP37" i="5"/>
  <c r="DO37" i="5"/>
  <c r="DM37" i="5"/>
  <c r="DJ37" i="5"/>
  <c r="DI37" i="5"/>
  <c r="DD37" i="5"/>
  <c r="DC37" i="5"/>
  <c r="DA37" i="5"/>
  <c r="CY37" i="5"/>
  <c r="CW37" i="5"/>
  <c r="CV37" i="5"/>
  <c r="CR37" i="5"/>
  <c r="CQ37" i="5"/>
  <c r="CP37" i="5"/>
  <c r="CN37" i="5"/>
  <c r="CL37" i="5"/>
  <c r="CK37" i="5"/>
  <c r="CG37" i="5"/>
  <c r="CF37" i="5"/>
  <c r="CE37" i="5"/>
  <c r="CA37" i="5"/>
  <c r="BZ37" i="5"/>
  <c r="BV37" i="5"/>
  <c r="BU37" i="5"/>
  <c r="BT37" i="5"/>
  <c r="BR37" i="5"/>
  <c r="BQ37" i="5"/>
  <c r="BP37" i="5"/>
  <c r="BO37" i="5"/>
  <c r="BN37" i="5"/>
  <c r="BJ37" i="5"/>
  <c r="BI37" i="5"/>
  <c r="BH37" i="5"/>
  <c r="BF37" i="5"/>
  <c r="BD37" i="5"/>
  <c r="AZ37" i="5"/>
  <c r="AY37" i="5"/>
  <c r="AX37" i="5"/>
  <c r="AV37" i="5"/>
  <c r="AT37" i="5"/>
  <c r="AP37" i="5"/>
  <c r="AO37" i="5"/>
  <c r="AN37" i="5"/>
  <c r="AJ37" i="5"/>
  <c r="AE37" i="5"/>
  <c r="AD37" i="5"/>
  <c r="AC37" i="5"/>
  <c r="AA37" i="5"/>
  <c r="Y37" i="5"/>
  <c r="X37" i="5"/>
  <c r="T37" i="5"/>
  <c r="S37" i="5"/>
  <c r="R37" i="5"/>
  <c r="P37" i="5"/>
  <c r="N37" i="5"/>
  <c r="J37" i="5"/>
  <c r="I37" i="5"/>
  <c r="H37" i="5"/>
  <c r="F37" i="5"/>
  <c r="D37" i="5"/>
  <c r="C37" i="5"/>
  <c r="FK36" i="5"/>
  <c r="EZ36" i="5"/>
  <c r="EO36" i="5"/>
  <c r="EC36" i="5"/>
  <c r="DR36" i="5"/>
  <c r="DE36" i="5"/>
  <c r="CS36" i="5"/>
  <c r="CH36" i="5"/>
  <c r="BW36" i="5"/>
  <c r="BK36" i="5"/>
  <c r="BA36" i="5"/>
  <c r="AQ36" i="5"/>
  <c r="AF36" i="5"/>
  <c r="U36" i="5"/>
  <c r="K36" i="5"/>
  <c r="FK35" i="5"/>
  <c r="EZ35" i="5"/>
  <c r="EO35" i="5"/>
  <c r="EC35" i="5"/>
  <c r="DR35" i="5"/>
  <c r="DE35" i="5"/>
  <c r="CS35" i="5"/>
  <c r="CH35" i="5"/>
  <c r="BW35" i="5"/>
  <c r="BK35" i="5"/>
  <c r="BA35" i="5"/>
  <c r="AQ35" i="5"/>
  <c r="AF35" i="5"/>
  <c r="U35" i="5"/>
  <c r="K35" i="5"/>
  <c r="FK34" i="5"/>
  <c r="EZ34" i="5"/>
  <c r="EO34" i="5"/>
  <c r="EC34" i="5"/>
  <c r="DR34" i="5"/>
  <c r="DE34" i="5"/>
  <c r="CS34" i="5"/>
  <c r="CH34" i="5"/>
  <c r="BW34" i="5"/>
  <c r="BK34" i="5"/>
  <c r="BA34" i="5"/>
  <c r="AQ34" i="5"/>
  <c r="AF34" i="5"/>
  <c r="U34" i="5"/>
  <c r="K34" i="5"/>
  <c r="FK33" i="5"/>
  <c r="EZ33" i="5"/>
  <c r="EO33" i="5"/>
  <c r="EC33" i="5"/>
  <c r="DR33" i="5"/>
  <c r="DE33" i="5"/>
  <c r="CS33" i="5"/>
  <c r="CH33" i="5"/>
  <c r="BW33" i="5"/>
  <c r="BK33" i="5"/>
  <c r="BA33" i="5"/>
  <c r="AQ33" i="5"/>
  <c r="AF33" i="5"/>
  <c r="U33" i="5"/>
  <c r="K33" i="5"/>
  <c r="FK32" i="5"/>
  <c r="EZ32" i="5"/>
  <c r="EO32" i="5"/>
  <c r="EC32" i="5"/>
  <c r="DR32" i="5"/>
  <c r="DE32" i="5"/>
  <c r="CS32" i="5"/>
  <c r="CH32" i="5"/>
  <c r="BW32" i="5"/>
  <c r="BK32" i="5"/>
  <c r="BA32" i="5"/>
  <c r="AQ32" i="5"/>
  <c r="AF32" i="5"/>
  <c r="U32" i="5"/>
  <c r="K32" i="5"/>
  <c r="FK31" i="5"/>
  <c r="EZ31" i="5"/>
  <c r="EO31" i="5"/>
  <c r="EC31" i="5"/>
  <c r="DR31" i="5"/>
  <c r="DE31" i="5"/>
  <c r="CS31" i="5"/>
  <c r="CH31" i="5"/>
  <c r="BW31" i="5"/>
  <c r="BK31" i="5"/>
  <c r="BA31" i="5"/>
  <c r="AQ31" i="5"/>
  <c r="AF31" i="5"/>
  <c r="U31" i="5"/>
  <c r="K31" i="5"/>
  <c r="FK30" i="5"/>
  <c r="EZ30" i="5"/>
  <c r="EO30" i="5"/>
  <c r="EC30" i="5"/>
  <c r="DR30" i="5"/>
  <c r="DE30" i="5"/>
  <c r="CS30" i="5"/>
  <c r="CH30" i="5"/>
  <c r="BW30" i="5"/>
  <c r="BK30" i="5"/>
  <c r="BA30" i="5"/>
  <c r="AQ30" i="5"/>
  <c r="AF30" i="5"/>
  <c r="U30" i="5"/>
  <c r="K30" i="5"/>
  <c r="FK29" i="5"/>
  <c r="EZ29" i="5"/>
  <c r="EO29" i="5"/>
  <c r="EC29" i="5"/>
  <c r="DR29" i="5"/>
  <c r="DE29" i="5"/>
  <c r="CS29" i="5"/>
  <c r="CH29" i="5"/>
  <c r="BW29" i="5"/>
  <c r="BK29" i="5"/>
  <c r="BA29" i="5"/>
  <c r="AQ29" i="5"/>
  <c r="AF29" i="5"/>
  <c r="U29" i="5"/>
  <c r="K29" i="5"/>
  <c r="FK28" i="5"/>
  <c r="EZ28" i="5"/>
  <c r="EO28" i="5"/>
  <c r="EC28" i="5"/>
  <c r="DR28" i="5"/>
  <c r="DE28" i="5"/>
  <c r="CS28" i="5"/>
  <c r="CH28" i="5"/>
  <c r="BW28" i="5"/>
  <c r="BK28" i="5"/>
  <c r="BA28" i="5"/>
  <c r="AQ28" i="5"/>
  <c r="AF28" i="5"/>
  <c r="U28" i="5"/>
  <c r="K28" i="5"/>
  <c r="FK27" i="5"/>
  <c r="EZ27" i="5"/>
  <c r="EO27" i="5"/>
  <c r="EC27" i="5"/>
  <c r="DR27" i="5"/>
  <c r="DE27" i="5"/>
  <c r="CS27" i="5"/>
  <c r="CH27" i="5"/>
  <c r="BW27" i="5"/>
  <c r="BK27" i="5"/>
  <c r="BA27" i="5"/>
  <c r="AQ27" i="5"/>
  <c r="AF27" i="5"/>
  <c r="U27" i="5"/>
  <c r="K27" i="5"/>
  <c r="FK26" i="5"/>
  <c r="EZ26" i="5"/>
  <c r="EO26" i="5"/>
  <c r="EC26" i="5"/>
  <c r="DR26" i="5"/>
  <c r="DE26" i="5"/>
  <c r="CS26" i="5"/>
  <c r="CH26" i="5"/>
  <c r="BW26" i="5"/>
  <c r="BK26" i="5"/>
  <c r="BA26" i="5"/>
  <c r="AQ26" i="5"/>
  <c r="AF26" i="5"/>
  <c r="U26" i="5"/>
  <c r="K26" i="5"/>
  <c r="FK25" i="5"/>
  <c r="EZ25" i="5"/>
  <c r="EO25" i="5"/>
  <c r="EC25" i="5"/>
  <c r="DR25" i="5"/>
  <c r="DE25" i="5"/>
  <c r="CS25" i="5"/>
  <c r="CH25" i="5"/>
  <c r="BW25" i="5"/>
  <c r="BK25" i="5"/>
  <c r="BA25" i="5"/>
  <c r="AQ25" i="5"/>
  <c r="AF25" i="5"/>
  <c r="U25" i="5"/>
  <c r="K25" i="5"/>
  <c r="FK24" i="5"/>
  <c r="EZ24" i="5"/>
  <c r="EO24" i="5"/>
  <c r="EC24" i="5"/>
  <c r="DR24" i="5"/>
  <c r="DE24" i="5"/>
  <c r="CS24" i="5"/>
  <c r="CH24" i="5"/>
  <c r="BW24" i="5"/>
  <c r="BK24" i="5"/>
  <c r="BA24" i="5"/>
  <c r="AQ24" i="5"/>
  <c r="AF24" i="5"/>
  <c r="U24" i="5"/>
  <c r="K24" i="5"/>
  <c r="FK23" i="5"/>
  <c r="EZ23" i="5"/>
  <c r="EO23" i="5"/>
  <c r="EC23" i="5"/>
  <c r="DR23" i="5"/>
  <c r="DE23" i="5"/>
  <c r="CS23" i="5"/>
  <c r="CH23" i="5"/>
  <c r="BW23" i="5"/>
  <c r="BK23" i="5"/>
  <c r="BA23" i="5"/>
  <c r="AQ23" i="5"/>
  <c r="AF23" i="5"/>
  <c r="U23" i="5"/>
  <c r="K23" i="5"/>
  <c r="FK22" i="5"/>
  <c r="EZ22" i="5"/>
  <c r="EO22" i="5"/>
  <c r="EC22" i="5"/>
  <c r="DR22" i="5"/>
  <c r="DE22" i="5"/>
  <c r="CS22" i="5"/>
  <c r="CH22" i="5"/>
  <c r="BW22" i="5"/>
  <c r="BK22" i="5"/>
  <c r="BA22" i="5"/>
  <c r="AQ22" i="5"/>
  <c r="AF22" i="5"/>
  <c r="U22" i="5"/>
  <c r="K22" i="5"/>
  <c r="FK21" i="5"/>
  <c r="EZ21" i="5"/>
  <c r="EO21" i="5"/>
  <c r="EC21" i="5"/>
  <c r="DR21" i="5"/>
  <c r="DE21" i="5"/>
  <c r="CS21" i="5"/>
  <c r="CH21" i="5"/>
  <c r="BW21" i="5"/>
  <c r="BK21" i="5"/>
  <c r="BA21" i="5"/>
  <c r="AQ21" i="5"/>
  <c r="AF21" i="5"/>
  <c r="U21" i="5"/>
  <c r="K21" i="5"/>
  <c r="FK20" i="5"/>
  <c r="EZ20" i="5"/>
  <c r="EO20" i="5"/>
  <c r="EC20" i="5"/>
  <c r="DR20" i="5"/>
  <c r="DE20" i="5"/>
  <c r="CS20" i="5"/>
  <c r="CH20" i="5"/>
  <c r="BW20" i="5"/>
  <c r="BK20" i="5"/>
  <c r="BA20" i="5"/>
  <c r="AQ20" i="5"/>
  <c r="AF20" i="5"/>
  <c r="U20" i="5"/>
  <c r="K20" i="5"/>
  <c r="FK19" i="5"/>
  <c r="EZ19" i="5"/>
  <c r="EO19" i="5"/>
  <c r="EC19" i="5"/>
  <c r="DR19" i="5"/>
  <c r="DE19" i="5"/>
  <c r="CS19" i="5"/>
  <c r="CH19" i="5"/>
  <c r="BW19" i="5"/>
  <c r="BK19" i="5"/>
  <c r="BA19" i="5"/>
  <c r="AQ19" i="5"/>
  <c r="AF19" i="5"/>
  <c r="U19" i="5"/>
  <c r="K19" i="5"/>
  <c r="FK18" i="5"/>
  <c r="EZ18" i="5"/>
  <c r="EO18" i="5"/>
  <c r="EC18" i="5"/>
  <c r="DR18" i="5"/>
  <c r="DE18" i="5"/>
  <c r="CS18" i="5"/>
  <c r="CH18" i="5"/>
  <c r="BW18" i="5"/>
  <c r="BK18" i="5"/>
  <c r="BA18" i="5"/>
  <c r="AQ18" i="5"/>
  <c r="AF18" i="5"/>
  <c r="U18" i="5"/>
  <c r="K18" i="5"/>
  <c r="FK17" i="5"/>
  <c r="EZ17" i="5"/>
  <c r="EO17" i="5"/>
  <c r="EC17" i="5"/>
  <c r="DR17" i="5"/>
  <c r="DE17" i="5"/>
  <c r="CS17" i="5"/>
  <c r="CH17" i="5"/>
  <c r="BW17" i="5"/>
  <c r="BK17" i="5"/>
  <c r="BA17" i="5"/>
  <c r="AQ17" i="5"/>
  <c r="AF17" i="5"/>
  <c r="U17" i="5"/>
  <c r="K17" i="5"/>
  <c r="FK16" i="5"/>
  <c r="EZ16" i="5"/>
  <c r="EO16" i="5"/>
  <c r="EC16" i="5"/>
  <c r="DR16" i="5"/>
  <c r="DE16" i="5"/>
  <c r="CS16" i="5"/>
  <c r="CH16" i="5"/>
  <c r="BW16" i="5"/>
  <c r="BK16" i="5"/>
  <c r="BA16" i="5"/>
  <c r="AQ16" i="5"/>
  <c r="AF16" i="5"/>
  <c r="U16" i="5"/>
  <c r="K16" i="5"/>
  <c r="FK15" i="5"/>
  <c r="EZ15" i="5"/>
  <c r="EO15" i="5"/>
  <c r="EC15" i="5"/>
  <c r="DR15" i="5"/>
  <c r="DE15" i="5"/>
  <c r="CS15" i="5"/>
  <c r="CH15" i="5"/>
  <c r="BW15" i="5"/>
  <c r="BK15" i="5"/>
  <c r="BA15" i="5"/>
  <c r="AQ15" i="5"/>
  <c r="AF15" i="5"/>
  <c r="U15" i="5"/>
  <c r="K15" i="5"/>
  <c r="FK14" i="5"/>
  <c r="EZ14" i="5"/>
  <c r="EO14" i="5"/>
  <c r="EC14" i="5"/>
  <c r="DR14" i="5"/>
  <c r="DE14" i="5"/>
  <c r="CS14" i="5"/>
  <c r="CH14" i="5"/>
  <c r="BW14" i="5"/>
  <c r="BK14" i="5"/>
  <c r="BA14" i="5"/>
  <c r="AQ14" i="5"/>
  <c r="AF14" i="5"/>
  <c r="U14" i="5"/>
  <c r="K14" i="5"/>
  <c r="FK13" i="5"/>
  <c r="EZ13" i="5"/>
  <c r="EO13" i="5"/>
  <c r="EC13" i="5"/>
  <c r="DR13" i="5"/>
  <c r="DE13" i="5"/>
  <c r="CS13" i="5"/>
  <c r="CH13" i="5"/>
  <c r="BW13" i="5"/>
  <c r="BK13" i="5"/>
  <c r="BA13" i="5"/>
  <c r="AQ13" i="5"/>
  <c r="AF13" i="5"/>
  <c r="U13" i="5"/>
  <c r="K13" i="5"/>
  <c r="FK12" i="5"/>
  <c r="EZ12" i="5"/>
  <c r="EO12" i="5"/>
  <c r="EC12" i="5"/>
  <c r="DR12" i="5"/>
  <c r="DE12" i="5"/>
  <c r="CS12" i="5"/>
  <c r="CH12" i="5"/>
  <c r="BW12" i="5"/>
  <c r="BK12" i="5"/>
  <c r="BA12" i="5"/>
  <c r="AQ12" i="5"/>
  <c r="AF12" i="5"/>
  <c r="U12" i="5"/>
  <c r="K12" i="5"/>
  <c r="FK11" i="5"/>
  <c r="EZ11" i="5"/>
  <c r="EO11" i="5"/>
  <c r="EC11" i="5"/>
  <c r="DR11" i="5"/>
  <c r="DE11" i="5"/>
  <c r="CS11" i="5"/>
  <c r="CH11" i="5"/>
  <c r="BW11" i="5"/>
  <c r="BK11" i="5"/>
  <c r="BA11" i="5"/>
  <c r="AQ11" i="5"/>
  <c r="AF11" i="5"/>
  <c r="U11" i="5"/>
  <c r="K11" i="5"/>
  <c r="FK10" i="5"/>
  <c r="EZ10" i="5"/>
  <c r="EO10" i="5"/>
  <c r="EC10" i="5"/>
  <c r="DR10" i="5"/>
  <c r="DE10" i="5"/>
  <c r="CS10" i="5"/>
  <c r="CH10" i="5"/>
  <c r="BW10" i="5"/>
  <c r="BK10" i="5"/>
  <c r="BA10" i="5"/>
  <c r="AQ10" i="5"/>
  <c r="AF10" i="5"/>
  <c r="U10" i="5"/>
  <c r="K10" i="5"/>
  <c r="FK9" i="5"/>
  <c r="EZ9" i="5"/>
  <c r="EO9" i="5"/>
  <c r="EC9" i="5"/>
  <c r="DR9" i="5"/>
  <c r="DE9" i="5"/>
  <c r="CS9" i="5"/>
  <c r="CH9" i="5"/>
  <c r="BW9" i="5"/>
  <c r="BK9" i="5"/>
  <c r="BA9" i="5"/>
  <c r="AQ9" i="5"/>
  <c r="AF9" i="5"/>
  <c r="U9" i="5"/>
  <c r="K9" i="5"/>
  <c r="FK8" i="5"/>
  <c r="EZ8" i="5"/>
  <c r="EO8" i="5"/>
  <c r="EC8" i="5"/>
  <c r="DR8" i="5"/>
  <c r="DE8" i="5"/>
  <c r="CS8" i="5"/>
  <c r="CH8" i="5"/>
  <c r="BW8" i="5"/>
  <c r="BK8" i="5"/>
  <c r="BA8" i="5"/>
  <c r="AQ8" i="5"/>
  <c r="AF8" i="5"/>
  <c r="U8" i="5"/>
  <c r="K8" i="5"/>
  <c r="FK7" i="5"/>
  <c r="EZ7" i="5"/>
  <c r="EO7" i="5"/>
  <c r="EC7" i="5"/>
  <c r="DR7" i="5"/>
  <c r="DE7" i="5"/>
  <c r="CS7" i="5"/>
  <c r="CH7" i="5"/>
  <c r="BW7" i="5"/>
  <c r="BK7" i="5"/>
  <c r="BA7" i="5"/>
  <c r="AQ7" i="5"/>
  <c r="AF7" i="5"/>
  <c r="U7" i="5"/>
  <c r="K7" i="5"/>
  <c r="FK6" i="5"/>
  <c r="EZ6" i="5"/>
  <c r="EO6" i="5"/>
  <c r="EC6" i="5"/>
  <c r="DR6" i="5"/>
  <c r="DE6" i="5"/>
  <c r="CS6" i="5"/>
  <c r="CH6" i="5"/>
  <c r="BW6" i="5"/>
  <c r="BK6" i="5"/>
  <c r="BA6" i="5"/>
  <c r="AQ6" i="5"/>
  <c r="AF6" i="5"/>
  <c r="U6" i="5"/>
  <c r="K6" i="5"/>
  <c r="CS219" i="5" l="1"/>
  <c r="CS183" i="5"/>
  <c r="BW37" i="5"/>
  <c r="BK77" i="5"/>
  <c r="AF77" i="5"/>
  <c r="BK219" i="5"/>
  <c r="EZ37" i="5"/>
  <c r="AF219" i="5"/>
  <c r="EC77" i="5"/>
  <c r="CS37" i="5"/>
  <c r="U77" i="5"/>
  <c r="CH183" i="5"/>
  <c r="BK183" i="5"/>
  <c r="DE256" i="5"/>
  <c r="DE183" i="5"/>
  <c r="BW77" i="5"/>
  <c r="AQ219" i="5"/>
  <c r="K37" i="5"/>
  <c r="CS77" i="5"/>
  <c r="DR77" i="5"/>
  <c r="EZ183" i="5"/>
  <c r="U37" i="5"/>
  <c r="DE77" i="5"/>
  <c r="CH37" i="5"/>
  <c r="AQ183" i="5"/>
  <c r="DE219" i="5"/>
  <c r="EO219" i="5"/>
  <c r="K77" i="5"/>
  <c r="BA183" i="5"/>
  <c r="DR219" i="5"/>
  <c r="AQ77" i="5"/>
  <c r="EC219" i="5"/>
  <c r="EO37" i="5"/>
  <c r="EC37" i="5"/>
  <c r="EZ219" i="5"/>
  <c r="AF37" i="5"/>
  <c r="AQ37" i="5"/>
  <c r="EO77" i="5"/>
  <c r="K183" i="5"/>
  <c r="BW219" i="5"/>
  <c r="DE37" i="5"/>
  <c r="DR37" i="5"/>
  <c r="BW183" i="5"/>
  <c r="BA77" i="5"/>
  <c r="FK219" i="5"/>
  <c r="EO183" i="5"/>
  <c r="FK37" i="5"/>
  <c r="DR183" i="5"/>
  <c r="K219" i="5"/>
  <c r="U219" i="5"/>
  <c r="CH77" i="5"/>
  <c r="EC183" i="5"/>
  <c r="FK183" i="5"/>
  <c r="BA219" i="5"/>
  <c r="BA37" i="5"/>
  <c r="BK37" i="5"/>
  <c r="EZ77" i="5"/>
  <c r="FK77" i="5"/>
  <c r="U183" i="5"/>
  <c r="AF183" i="5"/>
  <c r="CH219" i="5"/>
  <c r="K256" i="5"/>
  <c r="CX116" i="4"/>
  <c r="CW116" i="4"/>
  <c r="CV116" i="4"/>
  <c r="CM116" i="4"/>
  <c r="CL116" i="4"/>
  <c r="CK116" i="4"/>
  <c r="CC116" i="4"/>
  <c r="CB116" i="4"/>
  <c r="CA116" i="4"/>
  <c r="BS116" i="4"/>
  <c r="BR116" i="4"/>
  <c r="BP116" i="4"/>
  <c r="BH116" i="4"/>
  <c r="BG116" i="4"/>
  <c r="BF116" i="4"/>
  <c r="AX116" i="4"/>
  <c r="AW116" i="4"/>
  <c r="AV116" i="4"/>
  <c r="AN116" i="4"/>
  <c r="AM116" i="4"/>
  <c r="AL116" i="4"/>
  <c r="AD116" i="4"/>
  <c r="AC116" i="4"/>
  <c r="AB116" i="4"/>
  <c r="T116" i="4"/>
  <c r="S116" i="4"/>
  <c r="Q116" i="4"/>
  <c r="O116" i="4"/>
  <c r="N116" i="4"/>
  <c r="M116" i="4"/>
  <c r="L116" i="4"/>
  <c r="I116" i="4"/>
  <c r="H116" i="4"/>
  <c r="G116" i="4"/>
  <c r="E116" i="4"/>
  <c r="D116" i="4"/>
  <c r="C116" i="4"/>
  <c r="B116" i="4"/>
  <c r="CY116" i="4"/>
  <c r="CN116" i="4"/>
  <c r="CD116" i="4"/>
  <c r="BT116" i="4"/>
  <c r="BI116" i="4"/>
  <c r="AY116" i="4"/>
  <c r="AO116" i="4"/>
  <c r="AE116" i="4"/>
  <c r="U116" i="4"/>
  <c r="J116" i="4"/>
  <c r="CX76" i="4" l="1"/>
  <c r="CW76" i="4"/>
  <c r="CV76" i="4"/>
  <c r="CT76" i="4"/>
  <c r="CS76" i="4"/>
  <c r="CR76" i="4"/>
  <c r="CQ76" i="4"/>
  <c r="CP76" i="4"/>
  <c r="CM76" i="4"/>
  <c r="CL76" i="4"/>
  <c r="CK76" i="4"/>
  <c r="CI76" i="4"/>
  <c r="CH76" i="4"/>
  <c r="CG76" i="4"/>
  <c r="CF76" i="4"/>
  <c r="CC76" i="4"/>
  <c r="CB76" i="4"/>
  <c r="CA76" i="4"/>
  <c r="BY76" i="4"/>
  <c r="BX76" i="4"/>
  <c r="BW76" i="4"/>
  <c r="BV76" i="4"/>
  <c r="BS76" i="4"/>
  <c r="BR76" i="4"/>
  <c r="BP76" i="4"/>
  <c r="BN76" i="4"/>
  <c r="BM76" i="4"/>
  <c r="BL76" i="4"/>
  <c r="BK76" i="4"/>
  <c r="BH76" i="4"/>
  <c r="BG76" i="4"/>
  <c r="BF76" i="4"/>
  <c r="BD76" i="4"/>
  <c r="BC76" i="4"/>
  <c r="BB76" i="4"/>
  <c r="BA76" i="4"/>
  <c r="AX76" i="4"/>
  <c r="AW76" i="4"/>
  <c r="AV76" i="4"/>
  <c r="AT76" i="4"/>
  <c r="AS76" i="4"/>
  <c r="AR76" i="4"/>
  <c r="AQ76" i="4"/>
  <c r="AN76" i="4"/>
  <c r="AM76" i="4"/>
  <c r="AL76" i="4"/>
  <c r="AJ76" i="4"/>
  <c r="AI76" i="4"/>
  <c r="AH76" i="4"/>
  <c r="AG76" i="4"/>
  <c r="AD76" i="4"/>
  <c r="AC76" i="4"/>
  <c r="AB76" i="4"/>
  <c r="Z76" i="4"/>
  <c r="Y76" i="4"/>
  <c r="X76" i="4"/>
  <c r="W76" i="4"/>
  <c r="T76" i="4"/>
  <c r="S76" i="4"/>
  <c r="Q76" i="4"/>
  <c r="O76" i="4"/>
  <c r="N76" i="4"/>
  <c r="M76" i="4"/>
  <c r="L76" i="4"/>
  <c r="I76" i="4"/>
  <c r="H76" i="4"/>
  <c r="G76" i="4"/>
  <c r="E76" i="4"/>
  <c r="D76" i="4"/>
  <c r="C76" i="4"/>
  <c r="B76" i="4"/>
  <c r="CY75" i="4"/>
  <c r="CN75" i="4"/>
  <c r="CD75" i="4"/>
  <c r="BT75" i="4"/>
  <c r="BI75" i="4"/>
  <c r="AY75" i="4"/>
  <c r="AO75" i="4"/>
  <c r="AE75" i="4"/>
  <c r="U75" i="4"/>
  <c r="J75" i="4"/>
  <c r="CY74" i="4"/>
  <c r="CN74" i="4"/>
  <c r="CD74" i="4"/>
  <c r="BT74" i="4"/>
  <c r="BI74" i="4"/>
  <c r="AY74" i="4"/>
  <c r="AO74" i="4"/>
  <c r="AE74" i="4"/>
  <c r="U74" i="4"/>
  <c r="J74" i="4"/>
  <c r="CY73" i="4"/>
  <c r="CN73" i="4"/>
  <c r="CD73" i="4"/>
  <c r="BT73" i="4"/>
  <c r="BI73" i="4"/>
  <c r="AY73" i="4"/>
  <c r="AO73" i="4"/>
  <c r="AE73" i="4"/>
  <c r="U73" i="4"/>
  <c r="J73" i="4"/>
  <c r="CY72" i="4"/>
  <c r="CN72" i="4"/>
  <c r="CD72" i="4"/>
  <c r="BT72" i="4"/>
  <c r="BI72" i="4"/>
  <c r="AY72" i="4"/>
  <c r="AO72" i="4"/>
  <c r="AE72" i="4"/>
  <c r="U72" i="4"/>
  <c r="J72" i="4"/>
  <c r="CY71" i="4"/>
  <c r="CN71" i="4"/>
  <c r="CD71" i="4"/>
  <c r="BT71" i="4"/>
  <c r="BI71" i="4"/>
  <c r="AY71" i="4"/>
  <c r="AO71" i="4"/>
  <c r="AE71" i="4"/>
  <c r="U71" i="4"/>
  <c r="J71" i="4"/>
  <c r="CY70" i="4"/>
  <c r="CN70" i="4"/>
  <c r="CD70" i="4"/>
  <c r="BT70" i="4"/>
  <c r="BI70" i="4"/>
  <c r="AY70" i="4"/>
  <c r="AO70" i="4"/>
  <c r="AE70" i="4"/>
  <c r="U70" i="4"/>
  <c r="J70" i="4"/>
  <c r="CY69" i="4"/>
  <c r="CN69" i="4"/>
  <c r="CD69" i="4"/>
  <c r="BT69" i="4"/>
  <c r="BI69" i="4"/>
  <c r="AY69" i="4"/>
  <c r="AO69" i="4"/>
  <c r="AE69" i="4"/>
  <c r="U69" i="4"/>
  <c r="J69" i="4"/>
  <c r="CY68" i="4"/>
  <c r="CN68" i="4"/>
  <c r="CD68" i="4"/>
  <c r="BT68" i="4"/>
  <c r="BI68" i="4"/>
  <c r="AY68" i="4"/>
  <c r="AO68" i="4"/>
  <c r="AE68" i="4"/>
  <c r="U68" i="4"/>
  <c r="J68" i="4"/>
  <c r="CY67" i="4"/>
  <c r="CN67" i="4"/>
  <c r="CD67" i="4"/>
  <c r="BT67" i="4"/>
  <c r="BI67" i="4"/>
  <c r="AY67" i="4"/>
  <c r="AO67" i="4"/>
  <c r="AE67" i="4"/>
  <c r="U67" i="4"/>
  <c r="J67" i="4"/>
  <c r="CY66" i="4"/>
  <c r="CN66" i="4"/>
  <c r="CD66" i="4"/>
  <c r="BT66" i="4"/>
  <c r="BI66" i="4"/>
  <c r="AY66" i="4"/>
  <c r="AO66" i="4"/>
  <c r="AE66" i="4"/>
  <c r="U66" i="4"/>
  <c r="J66" i="4"/>
  <c r="CY65" i="4"/>
  <c r="CN65" i="4"/>
  <c r="CD65" i="4"/>
  <c r="BT65" i="4"/>
  <c r="BI65" i="4"/>
  <c r="AY65" i="4"/>
  <c r="AO65" i="4"/>
  <c r="AE65" i="4"/>
  <c r="U65" i="4"/>
  <c r="J65" i="4"/>
  <c r="CY64" i="4"/>
  <c r="CN64" i="4"/>
  <c r="CD64" i="4"/>
  <c r="BT64" i="4"/>
  <c r="BI64" i="4"/>
  <c r="AY64" i="4"/>
  <c r="AO64" i="4"/>
  <c r="AE64" i="4"/>
  <c r="U64" i="4"/>
  <c r="J64" i="4"/>
  <c r="CY63" i="4"/>
  <c r="CN63" i="4"/>
  <c r="CD63" i="4"/>
  <c r="BT63" i="4"/>
  <c r="BI63" i="4"/>
  <c r="AY63" i="4"/>
  <c r="AO63" i="4"/>
  <c r="AE63" i="4"/>
  <c r="U63" i="4"/>
  <c r="J63" i="4"/>
  <c r="CY62" i="4"/>
  <c r="CN62" i="4"/>
  <c r="CD62" i="4"/>
  <c r="BT62" i="4"/>
  <c r="BI62" i="4"/>
  <c r="AY62" i="4"/>
  <c r="AO62" i="4"/>
  <c r="AE62" i="4"/>
  <c r="U62" i="4"/>
  <c r="J62" i="4"/>
  <c r="CY61" i="4"/>
  <c r="CN61" i="4"/>
  <c r="CD61" i="4"/>
  <c r="BT61" i="4"/>
  <c r="BI61" i="4"/>
  <c r="AY61" i="4"/>
  <c r="AO61" i="4"/>
  <c r="AE61" i="4"/>
  <c r="U61" i="4"/>
  <c r="J61" i="4"/>
  <c r="CY60" i="4"/>
  <c r="CN60" i="4"/>
  <c r="CD60" i="4"/>
  <c r="BT60" i="4"/>
  <c r="BI60" i="4"/>
  <c r="AY60" i="4"/>
  <c r="AO60" i="4"/>
  <c r="AE60" i="4"/>
  <c r="U60" i="4"/>
  <c r="J60" i="4"/>
  <c r="CY59" i="4"/>
  <c r="CN59" i="4"/>
  <c r="CD59" i="4"/>
  <c r="BT59" i="4"/>
  <c r="BI59" i="4"/>
  <c r="AY59" i="4"/>
  <c r="AO59" i="4"/>
  <c r="AE59" i="4"/>
  <c r="U59" i="4"/>
  <c r="J59" i="4"/>
  <c r="CY58" i="4"/>
  <c r="CN58" i="4"/>
  <c r="CD58" i="4"/>
  <c r="BT58" i="4"/>
  <c r="BI58" i="4"/>
  <c r="AY58" i="4"/>
  <c r="AO58" i="4"/>
  <c r="AE58" i="4"/>
  <c r="U58" i="4"/>
  <c r="J58" i="4"/>
  <c r="CY57" i="4"/>
  <c r="CN57" i="4"/>
  <c r="CD57" i="4"/>
  <c r="BT57" i="4"/>
  <c r="BI57" i="4"/>
  <c r="AY57" i="4"/>
  <c r="AO57" i="4"/>
  <c r="AE57" i="4"/>
  <c r="U57" i="4"/>
  <c r="J57" i="4"/>
  <c r="CY56" i="4"/>
  <c r="CN56" i="4"/>
  <c r="CD56" i="4"/>
  <c r="BT56" i="4"/>
  <c r="BI56" i="4"/>
  <c r="AY56" i="4"/>
  <c r="AO56" i="4"/>
  <c r="AE56" i="4"/>
  <c r="U56" i="4"/>
  <c r="J56" i="4"/>
  <c r="CY55" i="4"/>
  <c r="CN55" i="4"/>
  <c r="CD55" i="4"/>
  <c r="BT55" i="4"/>
  <c r="BI55" i="4"/>
  <c r="AY55" i="4"/>
  <c r="AO55" i="4"/>
  <c r="AE55" i="4"/>
  <c r="U55" i="4"/>
  <c r="J55" i="4"/>
  <c r="CY54" i="4"/>
  <c r="CN54" i="4"/>
  <c r="CD54" i="4"/>
  <c r="BT54" i="4"/>
  <c r="BI54" i="4"/>
  <c r="AY54" i="4"/>
  <c r="AO54" i="4"/>
  <c r="AE54" i="4"/>
  <c r="U54" i="4"/>
  <c r="J54" i="4"/>
  <c r="CY53" i="4"/>
  <c r="CN53" i="4"/>
  <c r="CD53" i="4"/>
  <c r="BT53" i="4"/>
  <c r="BI53" i="4"/>
  <c r="AY53" i="4"/>
  <c r="AO53" i="4"/>
  <c r="AE53" i="4"/>
  <c r="U53" i="4"/>
  <c r="J53" i="4"/>
  <c r="CY52" i="4"/>
  <c r="CN52" i="4"/>
  <c r="CD52" i="4"/>
  <c r="BT52" i="4"/>
  <c r="BI52" i="4"/>
  <c r="AY52" i="4"/>
  <c r="AO52" i="4"/>
  <c r="AE52" i="4"/>
  <c r="U52" i="4"/>
  <c r="J52" i="4"/>
  <c r="CY51" i="4"/>
  <c r="CN51" i="4"/>
  <c r="CD51" i="4"/>
  <c r="BT51" i="4"/>
  <c r="BI51" i="4"/>
  <c r="AY51" i="4"/>
  <c r="AO51" i="4"/>
  <c r="AE51" i="4"/>
  <c r="U51" i="4"/>
  <c r="J51" i="4"/>
  <c r="CY50" i="4"/>
  <c r="CN50" i="4"/>
  <c r="CD50" i="4"/>
  <c r="BT50" i="4"/>
  <c r="BI50" i="4"/>
  <c r="AY50" i="4"/>
  <c r="AO50" i="4"/>
  <c r="AE50" i="4"/>
  <c r="U50" i="4"/>
  <c r="J50" i="4"/>
  <c r="CY49" i="4"/>
  <c r="CN49" i="4"/>
  <c r="CD49" i="4"/>
  <c r="BT49" i="4"/>
  <c r="BI49" i="4"/>
  <c r="AY49" i="4"/>
  <c r="AO49" i="4"/>
  <c r="AE49" i="4"/>
  <c r="U49" i="4"/>
  <c r="J49" i="4"/>
  <c r="CY48" i="4"/>
  <c r="CN48" i="4"/>
  <c r="CD48" i="4"/>
  <c r="BT48" i="4"/>
  <c r="BI48" i="4"/>
  <c r="AY48" i="4"/>
  <c r="AO48" i="4"/>
  <c r="AE48" i="4"/>
  <c r="U48" i="4"/>
  <c r="J48" i="4"/>
  <c r="CY47" i="4"/>
  <c r="CN47" i="4"/>
  <c r="CD47" i="4"/>
  <c r="BT47" i="4"/>
  <c r="BI47" i="4"/>
  <c r="AY47" i="4"/>
  <c r="AO47" i="4"/>
  <c r="AE47" i="4"/>
  <c r="U47" i="4"/>
  <c r="J47" i="4"/>
  <c r="CY46" i="4"/>
  <c r="CN46" i="4"/>
  <c r="CD46" i="4"/>
  <c r="BT46" i="4"/>
  <c r="BI46" i="4"/>
  <c r="AY46" i="4"/>
  <c r="AO46" i="4"/>
  <c r="AE46" i="4"/>
  <c r="U46" i="4"/>
  <c r="J46" i="4"/>
  <c r="CY45" i="4"/>
  <c r="CN45" i="4"/>
  <c r="CD45" i="4"/>
  <c r="BT45" i="4"/>
  <c r="BI45" i="4"/>
  <c r="AY45" i="4"/>
  <c r="AO45" i="4"/>
  <c r="AE45" i="4"/>
  <c r="U45" i="4"/>
  <c r="J45" i="4"/>
  <c r="CX37" i="4"/>
  <c r="CW37" i="4"/>
  <c r="CV37" i="4"/>
  <c r="CT37" i="4"/>
  <c r="CS37" i="4"/>
  <c r="CR37" i="4"/>
  <c r="CQ37" i="4"/>
  <c r="CP37" i="4"/>
  <c r="CM37" i="4"/>
  <c r="CL37" i="4"/>
  <c r="CK37" i="4"/>
  <c r="CI37" i="4"/>
  <c r="CH37" i="4"/>
  <c r="CG37" i="4"/>
  <c r="CF37" i="4"/>
  <c r="CC37" i="4"/>
  <c r="CB37" i="4"/>
  <c r="CA37" i="4"/>
  <c r="BY37" i="4"/>
  <c r="BX37" i="4"/>
  <c r="BW37" i="4"/>
  <c r="BV37" i="4"/>
  <c r="BS37" i="4"/>
  <c r="BR37" i="4"/>
  <c r="BP37" i="4"/>
  <c r="BN37" i="4"/>
  <c r="BM37" i="4"/>
  <c r="BL37" i="4"/>
  <c r="BK37" i="4"/>
  <c r="BH37" i="4"/>
  <c r="BG37" i="4"/>
  <c r="BF37" i="4"/>
  <c r="BD37" i="4"/>
  <c r="BC37" i="4"/>
  <c r="BB37" i="4"/>
  <c r="BA37" i="4"/>
  <c r="AX37" i="4"/>
  <c r="AW37" i="4"/>
  <c r="AV37" i="4"/>
  <c r="AT37" i="4"/>
  <c r="AS37" i="4"/>
  <c r="AR37" i="4"/>
  <c r="AQ37" i="4"/>
  <c r="AN37" i="4"/>
  <c r="AM37" i="4"/>
  <c r="AL37" i="4"/>
  <c r="AJ37" i="4"/>
  <c r="AI37" i="4"/>
  <c r="AH37" i="4"/>
  <c r="AG37" i="4"/>
  <c r="AD37" i="4"/>
  <c r="AC37" i="4"/>
  <c r="AB37" i="4"/>
  <c r="Z37" i="4"/>
  <c r="Y37" i="4"/>
  <c r="X37" i="4"/>
  <c r="W37" i="4"/>
  <c r="T37" i="4"/>
  <c r="S37" i="4"/>
  <c r="Q37" i="4"/>
  <c r="O37" i="4"/>
  <c r="N37" i="4"/>
  <c r="M37" i="4"/>
  <c r="L37" i="4"/>
  <c r="I37" i="4"/>
  <c r="H37" i="4"/>
  <c r="G37" i="4"/>
  <c r="E37" i="4"/>
  <c r="D37" i="4"/>
  <c r="C37" i="4"/>
  <c r="B37" i="4"/>
  <c r="CY35" i="4"/>
  <c r="CN35" i="4"/>
  <c r="CD35" i="4"/>
  <c r="BT35" i="4"/>
  <c r="BI35" i="4"/>
  <c r="AY35" i="4"/>
  <c r="AO35" i="4"/>
  <c r="AE35" i="4"/>
  <c r="U35" i="4"/>
  <c r="J35" i="4"/>
  <c r="CY34" i="4"/>
  <c r="CN34" i="4"/>
  <c r="CD34" i="4"/>
  <c r="BT34" i="4"/>
  <c r="BI34" i="4"/>
  <c r="AY34" i="4"/>
  <c r="AO34" i="4"/>
  <c r="AE34" i="4"/>
  <c r="U34" i="4"/>
  <c r="J34" i="4"/>
  <c r="CY33" i="4"/>
  <c r="CN33" i="4"/>
  <c r="CD33" i="4"/>
  <c r="BT33" i="4"/>
  <c r="BI33" i="4"/>
  <c r="AY33" i="4"/>
  <c r="AO33" i="4"/>
  <c r="AE33" i="4"/>
  <c r="U33" i="4"/>
  <c r="J33" i="4"/>
  <c r="CY32" i="4"/>
  <c r="CN32" i="4"/>
  <c r="CD32" i="4"/>
  <c r="BT32" i="4"/>
  <c r="BI32" i="4"/>
  <c r="AY32" i="4"/>
  <c r="AO32" i="4"/>
  <c r="AE32" i="4"/>
  <c r="U32" i="4"/>
  <c r="J32" i="4"/>
  <c r="CY31" i="4"/>
  <c r="CN31" i="4"/>
  <c r="CD31" i="4"/>
  <c r="BT31" i="4"/>
  <c r="BI31" i="4"/>
  <c r="AY31" i="4"/>
  <c r="AO31" i="4"/>
  <c r="AE31" i="4"/>
  <c r="U31" i="4"/>
  <c r="J31" i="4"/>
  <c r="CY30" i="4"/>
  <c r="CN30" i="4"/>
  <c r="CD30" i="4"/>
  <c r="BT30" i="4"/>
  <c r="BI30" i="4"/>
  <c r="AY30" i="4"/>
  <c r="AO30" i="4"/>
  <c r="AE30" i="4"/>
  <c r="U30" i="4"/>
  <c r="J30" i="4"/>
  <c r="CY29" i="4"/>
  <c r="CN29" i="4"/>
  <c r="CD29" i="4"/>
  <c r="BT29" i="4"/>
  <c r="BI29" i="4"/>
  <c r="AY29" i="4"/>
  <c r="AO29" i="4"/>
  <c r="AE29" i="4"/>
  <c r="U29" i="4"/>
  <c r="J29" i="4"/>
  <c r="CY28" i="4"/>
  <c r="CN28" i="4"/>
  <c r="CD28" i="4"/>
  <c r="BT28" i="4"/>
  <c r="BI28" i="4"/>
  <c r="AY28" i="4"/>
  <c r="AO28" i="4"/>
  <c r="AE28" i="4"/>
  <c r="U28" i="4"/>
  <c r="J28" i="4"/>
  <c r="CY27" i="4"/>
  <c r="CN27" i="4"/>
  <c r="CD27" i="4"/>
  <c r="BT27" i="4"/>
  <c r="BI27" i="4"/>
  <c r="AY27" i="4"/>
  <c r="AO27" i="4"/>
  <c r="AE27" i="4"/>
  <c r="U27" i="4"/>
  <c r="J27" i="4"/>
  <c r="CY26" i="4"/>
  <c r="CN26" i="4"/>
  <c r="CD26" i="4"/>
  <c r="BT26" i="4"/>
  <c r="BI26" i="4"/>
  <c r="AY26" i="4"/>
  <c r="AO26" i="4"/>
  <c r="AE26" i="4"/>
  <c r="U26" i="4"/>
  <c r="J26" i="4"/>
  <c r="CY25" i="4"/>
  <c r="CN25" i="4"/>
  <c r="CD25" i="4"/>
  <c r="BT25" i="4"/>
  <c r="BI25" i="4"/>
  <c r="AY25" i="4"/>
  <c r="AO25" i="4"/>
  <c r="AE25" i="4"/>
  <c r="U25" i="4"/>
  <c r="J25" i="4"/>
  <c r="CY24" i="4"/>
  <c r="CN24" i="4"/>
  <c r="CD24" i="4"/>
  <c r="BT24" i="4"/>
  <c r="BI24" i="4"/>
  <c r="AY24" i="4"/>
  <c r="AO24" i="4"/>
  <c r="AE24" i="4"/>
  <c r="U24" i="4"/>
  <c r="J24" i="4"/>
  <c r="CY23" i="4"/>
  <c r="CN23" i="4"/>
  <c r="CD23" i="4"/>
  <c r="BT23" i="4"/>
  <c r="BI23" i="4"/>
  <c r="AY23" i="4"/>
  <c r="AO23" i="4"/>
  <c r="AE23" i="4"/>
  <c r="U23" i="4"/>
  <c r="J23" i="4"/>
  <c r="CY22" i="4"/>
  <c r="CN22" i="4"/>
  <c r="CD22" i="4"/>
  <c r="BT22" i="4"/>
  <c r="BI22" i="4"/>
  <c r="AY22" i="4"/>
  <c r="AO22" i="4"/>
  <c r="AE22" i="4"/>
  <c r="U22" i="4"/>
  <c r="J22" i="4"/>
  <c r="CY21" i="4"/>
  <c r="CN21" i="4"/>
  <c r="CD21" i="4"/>
  <c r="BT21" i="4"/>
  <c r="BI21" i="4"/>
  <c r="AY21" i="4"/>
  <c r="AO21" i="4"/>
  <c r="AE21" i="4"/>
  <c r="U21" i="4"/>
  <c r="J21" i="4"/>
  <c r="CY20" i="4"/>
  <c r="CN20" i="4"/>
  <c r="CD20" i="4"/>
  <c r="BT20" i="4"/>
  <c r="BI20" i="4"/>
  <c r="AY20" i="4"/>
  <c r="AO20" i="4"/>
  <c r="AE20" i="4"/>
  <c r="U20" i="4"/>
  <c r="J20" i="4"/>
  <c r="CY19" i="4"/>
  <c r="CN19" i="4"/>
  <c r="CD19" i="4"/>
  <c r="BT19" i="4"/>
  <c r="BI19" i="4"/>
  <c r="AY19" i="4"/>
  <c r="AO19" i="4"/>
  <c r="AE19" i="4"/>
  <c r="U19" i="4"/>
  <c r="J19" i="4"/>
  <c r="CY18" i="4"/>
  <c r="CN18" i="4"/>
  <c r="CD18" i="4"/>
  <c r="BT18" i="4"/>
  <c r="BI18" i="4"/>
  <c r="AY18" i="4"/>
  <c r="AO18" i="4"/>
  <c r="AE18" i="4"/>
  <c r="U18" i="4"/>
  <c r="J18" i="4"/>
  <c r="CY17" i="4"/>
  <c r="CN17" i="4"/>
  <c r="CD17" i="4"/>
  <c r="BT17" i="4"/>
  <c r="BI17" i="4"/>
  <c r="AY17" i="4"/>
  <c r="AO17" i="4"/>
  <c r="AE17" i="4"/>
  <c r="U17" i="4"/>
  <c r="J17" i="4"/>
  <c r="CY16" i="4"/>
  <c r="CN16" i="4"/>
  <c r="CD16" i="4"/>
  <c r="BT16" i="4"/>
  <c r="BI16" i="4"/>
  <c r="AY16" i="4"/>
  <c r="AO16" i="4"/>
  <c r="AE16" i="4"/>
  <c r="U16" i="4"/>
  <c r="J16" i="4"/>
  <c r="CY15" i="4"/>
  <c r="CN15" i="4"/>
  <c r="CD15" i="4"/>
  <c r="BT15" i="4"/>
  <c r="BI15" i="4"/>
  <c r="AY15" i="4"/>
  <c r="AO15" i="4"/>
  <c r="AE15" i="4"/>
  <c r="U15" i="4"/>
  <c r="J15" i="4"/>
  <c r="CY14" i="4"/>
  <c r="CN14" i="4"/>
  <c r="CD14" i="4"/>
  <c r="BT14" i="4"/>
  <c r="BI14" i="4"/>
  <c r="AY14" i="4"/>
  <c r="AO14" i="4"/>
  <c r="AE14" i="4"/>
  <c r="U14" i="4"/>
  <c r="J14" i="4"/>
  <c r="CY13" i="4"/>
  <c r="CN13" i="4"/>
  <c r="CD13" i="4"/>
  <c r="BT13" i="4"/>
  <c r="BI13" i="4"/>
  <c r="AY13" i="4"/>
  <c r="AO13" i="4"/>
  <c r="AE13" i="4"/>
  <c r="U13" i="4"/>
  <c r="J13" i="4"/>
  <c r="CY12" i="4"/>
  <c r="CN12" i="4"/>
  <c r="CD12" i="4"/>
  <c r="BT12" i="4"/>
  <c r="BI12" i="4"/>
  <c r="AY12" i="4"/>
  <c r="AO12" i="4"/>
  <c r="AE12" i="4"/>
  <c r="U12" i="4"/>
  <c r="J12" i="4"/>
  <c r="CY11" i="4"/>
  <c r="CN11" i="4"/>
  <c r="CD11" i="4"/>
  <c r="BT11" i="4"/>
  <c r="BI11" i="4"/>
  <c r="AY11" i="4"/>
  <c r="AO11" i="4"/>
  <c r="AE11" i="4"/>
  <c r="U11" i="4"/>
  <c r="J11" i="4"/>
  <c r="CY10" i="4"/>
  <c r="CN10" i="4"/>
  <c r="CD10" i="4"/>
  <c r="BT10" i="4"/>
  <c r="BI10" i="4"/>
  <c r="AY10" i="4"/>
  <c r="AO10" i="4"/>
  <c r="AE10" i="4"/>
  <c r="U10" i="4"/>
  <c r="J10" i="4"/>
  <c r="CY9" i="4"/>
  <c r="CN9" i="4"/>
  <c r="CD9" i="4"/>
  <c r="BT9" i="4"/>
  <c r="BI9" i="4"/>
  <c r="AY9" i="4"/>
  <c r="AO9" i="4"/>
  <c r="AE9" i="4"/>
  <c r="U9" i="4"/>
  <c r="J9" i="4"/>
  <c r="CY8" i="4"/>
  <c r="CN8" i="4"/>
  <c r="CD8" i="4"/>
  <c r="BT8" i="4"/>
  <c r="BI8" i="4"/>
  <c r="AY8" i="4"/>
  <c r="AO8" i="4"/>
  <c r="AE8" i="4"/>
  <c r="U8" i="4"/>
  <c r="J8" i="4"/>
  <c r="CY7" i="4"/>
  <c r="CN7" i="4"/>
  <c r="CD7" i="4"/>
  <c r="BT7" i="4"/>
  <c r="BI7" i="4"/>
  <c r="AY7" i="4"/>
  <c r="AO7" i="4"/>
  <c r="AE7" i="4"/>
  <c r="U7" i="4"/>
  <c r="J7" i="4"/>
  <c r="CY6" i="4"/>
  <c r="CN6" i="4"/>
  <c r="CD6" i="4"/>
  <c r="BT6" i="4"/>
  <c r="BI6" i="4"/>
  <c r="AY6" i="4"/>
  <c r="AO6" i="4"/>
  <c r="AE6" i="4"/>
  <c r="U6" i="4"/>
  <c r="J6" i="4"/>
  <c r="U37" i="4" l="1"/>
  <c r="J76" i="4"/>
  <c r="AE37" i="4"/>
  <c r="AO37" i="4"/>
  <c r="BI37" i="4"/>
  <c r="CD37" i="4"/>
  <c r="BT76" i="4"/>
  <c r="CY76" i="4"/>
  <c r="U76" i="4"/>
  <c r="AE76" i="4"/>
  <c r="BT37" i="4"/>
  <c r="CN37" i="4"/>
  <c r="BI76" i="4"/>
  <c r="CY37" i="4"/>
  <c r="CD76" i="4"/>
  <c r="CN76" i="4"/>
  <c r="AO76" i="4"/>
  <c r="AY37" i="4"/>
  <c r="AY76" i="4"/>
  <c r="J37" i="4"/>
  <c r="EW37" i="3"/>
  <c r="EV37" i="3"/>
  <c r="EU37" i="3"/>
  <c r="ES37" i="3"/>
  <c r="ER37" i="3"/>
  <c r="EN37" i="3"/>
  <c r="EM37" i="3"/>
  <c r="EL37" i="3"/>
  <c r="EJ37" i="3"/>
  <c r="EI37" i="3"/>
  <c r="EE37" i="3"/>
  <c r="ED37" i="3"/>
  <c r="EC37" i="3"/>
  <c r="EA37" i="3"/>
  <c r="DZ37" i="3"/>
  <c r="DV37" i="3"/>
  <c r="DU37" i="3"/>
  <c r="DT37" i="3"/>
  <c r="DR37" i="3"/>
  <c r="DQ37" i="3"/>
  <c r="DM37" i="3"/>
  <c r="DL37" i="3"/>
  <c r="DK37" i="3"/>
  <c r="DI37" i="3"/>
  <c r="DH37" i="3"/>
  <c r="DG37" i="3"/>
  <c r="DC37" i="3"/>
  <c r="DB37" i="3"/>
  <c r="DA37" i="3"/>
  <c r="CY37" i="3"/>
  <c r="CW37" i="3"/>
  <c r="CV37" i="3"/>
  <c r="CR37" i="3"/>
  <c r="CQ37" i="3"/>
  <c r="CP37" i="3"/>
  <c r="CN37" i="3"/>
  <c r="CM37" i="3"/>
  <c r="CL37" i="3"/>
  <c r="CH37" i="3"/>
  <c r="CG37" i="3"/>
  <c r="CF37" i="3"/>
  <c r="CD37" i="3"/>
  <c r="CC37" i="3"/>
  <c r="CB37" i="3"/>
  <c r="BX37" i="3"/>
  <c r="BV37" i="3"/>
  <c r="BU37" i="3"/>
  <c r="BS37" i="3"/>
  <c r="BR37" i="3"/>
  <c r="BQ37" i="3"/>
  <c r="BP37" i="3"/>
  <c r="BL37" i="3"/>
  <c r="BK37" i="3"/>
  <c r="BJ37" i="3"/>
  <c r="BH37" i="3"/>
  <c r="BF37" i="3"/>
  <c r="BE37" i="3"/>
  <c r="BA37" i="3"/>
  <c r="AZ37" i="3"/>
  <c r="AY37" i="3"/>
  <c r="AW37" i="3"/>
  <c r="AV37" i="3"/>
  <c r="AU37" i="3"/>
  <c r="AT37" i="3"/>
  <c r="AP37" i="3"/>
  <c r="AO37" i="3"/>
  <c r="AM37" i="3"/>
  <c r="AK37" i="3"/>
  <c r="AJ37" i="3"/>
  <c r="AI37" i="3"/>
  <c r="AE37" i="3"/>
  <c r="AC37" i="3"/>
  <c r="AB37" i="3"/>
  <c r="Z37" i="3"/>
  <c r="Y37" i="3"/>
  <c r="X37" i="3"/>
  <c r="T37" i="3"/>
  <c r="R37" i="3"/>
  <c r="Q37" i="3"/>
  <c r="O37" i="3"/>
  <c r="N37" i="3"/>
  <c r="M37" i="3"/>
  <c r="I37" i="3"/>
  <c r="H37" i="3"/>
  <c r="G37" i="3"/>
  <c r="E37" i="3"/>
  <c r="D37" i="3"/>
  <c r="C37" i="3"/>
  <c r="EX36" i="3"/>
  <c r="EO36" i="3"/>
  <c r="EF36" i="3"/>
  <c r="DW36" i="3"/>
  <c r="DN36" i="3"/>
  <c r="DD36" i="3"/>
  <c r="CS36" i="3"/>
  <c r="CI36" i="3"/>
  <c r="BY36" i="3"/>
  <c r="BB36" i="3"/>
  <c r="AQ36" i="3"/>
  <c r="AF36" i="3"/>
  <c r="U36" i="3"/>
  <c r="J36" i="3"/>
  <c r="EX35" i="3"/>
  <c r="EO35" i="3"/>
  <c r="EF35" i="3"/>
  <c r="DW35" i="3"/>
  <c r="DN35" i="3"/>
  <c r="DD35" i="3"/>
  <c r="CS35" i="3"/>
  <c r="CI35" i="3"/>
  <c r="BY35" i="3"/>
  <c r="BB35" i="3"/>
  <c r="AQ35" i="3"/>
  <c r="AF35" i="3"/>
  <c r="U35" i="3"/>
  <c r="J35" i="3"/>
  <c r="EX34" i="3"/>
  <c r="EO34" i="3"/>
  <c r="EF34" i="3"/>
  <c r="DW34" i="3"/>
  <c r="DN34" i="3"/>
  <c r="DD34" i="3"/>
  <c r="CS34" i="3"/>
  <c r="CI34" i="3"/>
  <c r="BY34" i="3"/>
  <c r="BB34" i="3"/>
  <c r="AQ34" i="3"/>
  <c r="AF34" i="3"/>
  <c r="U34" i="3"/>
  <c r="J34" i="3"/>
  <c r="EX33" i="3"/>
  <c r="EO33" i="3"/>
  <c r="EF33" i="3"/>
  <c r="DW33" i="3"/>
  <c r="DN33" i="3"/>
  <c r="DD33" i="3"/>
  <c r="CS33" i="3"/>
  <c r="CI33" i="3"/>
  <c r="BY33" i="3"/>
  <c r="BB33" i="3"/>
  <c r="AQ33" i="3"/>
  <c r="AF33" i="3"/>
  <c r="U33" i="3"/>
  <c r="J33" i="3"/>
  <c r="EX32" i="3"/>
  <c r="EO32" i="3"/>
  <c r="EF32" i="3"/>
  <c r="DW32" i="3"/>
  <c r="DN32" i="3"/>
  <c r="DD32" i="3"/>
  <c r="CS32" i="3"/>
  <c r="CI32" i="3"/>
  <c r="BY32" i="3"/>
  <c r="BB32" i="3"/>
  <c r="AQ32" i="3"/>
  <c r="AF32" i="3"/>
  <c r="U32" i="3"/>
  <c r="J32" i="3"/>
  <c r="EX31" i="3"/>
  <c r="EO31" i="3"/>
  <c r="EF31" i="3"/>
  <c r="DW31" i="3"/>
  <c r="DN31" i="3"/>
  <c r="DD31" i="3"/>
  <c r="CS31" i="3"/>
  <c r="CI31" i="3"/>
  <c r="BY31" i="3"/>
  <c r="BB31" i="3"/>
  <c r="AQ31" i="3"/>
  <c r="AF31" i="3"/>
  <c r="U31" i="3"/>
  <c r="J31" i="3"/>
  <c r="EX30" i="3"/>
  <c r="EO30" i="3"/>
  <c r="EF30" i="3"/>
  <c r="DW30" i="3"/>
  <c r="DN30" i="3"/>
  <c r="DD30" i="3"/>
  <c r="CS30" i="3"/>
  <c r="CI30" i="3"/>
  <c r="BY30" i="3"/>
  <c r="BB30" i="3"/>
  <c r="AQ30" i="3"/>
  <c r="AF30" i="3"/>
  <c r="U30" i="3"/>
  <c r="J30" i="3"/>
  <c r="EX29" i="3"/>
  <c r="EO29" i="3"/>
  <c r="EF29" i="3"/>
  <c r="DW29" i="3"/>
  <c r="DN29" i="3"/>
  <c r="DD29" i="3"/>
  <c r="CS29" i="3"/>
  <c r="CI29" i="3"/>
  <c r="BY29" i="3"/>
  <c r="BB29" i="3"/>
  <c r="AQ29" i="3"/>
  <c r="AF29" i="3"/>
  <c r="U29" i="3"/>
  <c r="J29" i="3"/>
  <c r="EX28" i="3"/>
  <c r="EO28" i="3"/>
  <c r="EF28" i="3"/>
  <c r="DW28" i="3"/>
  <c r="DN28" i="3"/>
  <c r="DD28" i="3"/>
  <c r="CS28" i="3"/>
  <c r="CI28" i="3"/>
  <c r="BY28" i="3"/>
  <c r="BB28" i="3"/>
  <c r="AQ28" i="3"/>
  <c r="AF28" i="3"/>
  <c r="U28" i="3"/>
  <c r="J28" i="3"/>
  <c r="EX27" i="3"/>
  <c r="EO27" i="3"/>
  <c r="EF27" i="3"/>
  <c r="DW27" i="3"/>
  <c r="DN27" i="3"/>
  <c r="DD27" i="3"/>
  <c r="CS27" i="3"/>
  <c r="CI27" i="3"/>
  <c r="BY27" i="3"/>
  <c r="BB27" i="3"/>
  <c r="AQ27" i="3"/>
  <c r="AF27" i="3"/>
  <c r="U27" i="3"/>
  <c r="J27" i="3"/>
  <c r="EX26" i="3"/>
  <c r="EO26" i="3"/>
  <c r="EF26" i="3"/>
  <c r="DW26" i="3"/>
  <c r="DN26" i="3"/>
  <c r="DD26" i="3"/>
  <c r="CS26" i="3"/>
  <c r="CI26" i="3"/>
  <c r="BY26" i="3"/>
  <c r="BB26" i="3"/>
  <c r="AQ26" i="3"/>
  <c r="AF26" i="3"/>
  <c r="U26" i="3"/>
  <c r="J26" i="3"/>
  <c r="EX25" i="3"/>
  <c r="EO25" i="3"/>
  <c r="EF25" i="3"/>
  <c r="DW25" i="3"/>
  <c r="DN25" i="3"/>
  <c r="DD25" i="3"/>
  <c r="CS25" i="3"/>
  <c r="CI25" i="3"/>
  <c r="BY25" i="3"/>
  <c r="BB25" i="3"/>
  <c r="AQ25" i="3"/>
  <c r="AF25" i="3"/>
  <c r="U25" i="3"/>
  <c r="J25" i="3"/>
  <c r="EX24" i="3"/>
  <c r="EO24" i="3"/>
  <c r="EF24" i="3"/>
  <c r="DW24" i="3"/>
  <c r="DN24" i="3"/>
  <c r="DD24" i="3"/>
  <c r="CS24" i="3"/>
  <c r="CI24" i="3"/>
  <c r="BY24" i="3"/>
  <c r="BB24" i="3"/>
  <c r="AQ24" i="3"/>
  <c r="AF24" i="3"/>
  <c r="U24" i="3"/>
  <c r="J24" i="3"/>
  <c r="EX23" i="3"/>
  <c r="EO23" i="3"/>
  <c r="EF23" i="3"/>
  <c r="DW23" i="3"/>
  <c r="DN23" i="3"/>
  <c r="DD23" i="3"/>
  <c r="CS23" i="3"/>
  <c r="CI23" i="3"/>
  <c r="BY23" i="3"/>
  <c r="BB23" i="3"/>
  <c r="AQ23" i="3"/>
  <c r="AF23" i="3"/>
  <c r="U23" i="3"/>
  <c r="J23" i="3"/>
  <c r="EX22" i="3"/>
  <c r="EO22" i="3"/>
  <c r="EF22" i="3"/>
  <c r="DW22" i="3"/>
  <c r="DN22" i="3"/>
  <c r="DD22" i="3"/>
  <c r="CS22" i="3"/>
  <c r="CI22" i="3"/>
  <c r="BY22" i="3"/>
  <c r="BB22" i="3"/>
  <c r="AQ22" i="3"/>
  <c r="AF22" i="3"/>
  <c r="U22" i="3"/>
  <c r="J22" i="3"/>
  <c r="EX21" i="3"/>
  <c r="EO21" i="3"/>
  <c r="EF21" i="3"/>
  <c r="DW21" i="3"/>
  <c r="DN21" i="3"/>
  <c r="DD21" i="3"/>
  <c r="CS21" i="3"/>
  <c r="CI21" i="3"/>
  <c r="BY21" i="3"/>
  <c r="BB21" i="3"/>
  <c r="AQ21" i="3"/>
  <c r="AF21" i="3"/>
  <c r="U21" i="3"/>
  <c r="J21" i="3"/>
  <c r="EX20" i="3"/>
  <c r="EO20" i="3"/>
  <c r="EF20" i="3"/>
  <c r="DW20" i="3"/>
  <c r="DN20" i="3"/>
  <c r="DD20" i="3"/>
  <c r="CS20" i="3"/>
  <c r="CI20" i="3"/>
  <c r="BY20" i="3"/>
  <c r="BB20" i="3"/>
  <c r="AQ20" i="3"/>
  <c r="AF20" i="3"/>
  <c r="U20" i="3"/>
  <c r="J20" i="3"/>
  <c r="EX19" i="3"/>
  <c r="EO19" i="3"/>
  <c r="EF19" i="3"/>
  <c r="DW19" i="3"/>
  <c r="DN19" i="3"/>
  <c r="DD19" i="3"/>
  <c r="CS19" i="3"/>
  <c r="CI19" i="3"/>
  <c r="BY19" i="3"/>
  <c r="BB19" i="3"/>
  <c r="AQ19" i="3"/>
  <c r="AF19" i="3"/>
  <c r="U19" i="3"/>
  <c r="J19" i="3"/>
  <c r="EX18" i="3"/>
  <c r="EO18" i="3"/>
  <c r="EF18" i="3"/>
  <c r="DW18" i="3"/>
  <c r="DN18" i="3"/>
  <c r="DD18" i="3"/>
  <c r="CS18" i="3"/>
  <c r="CI18" i="3"/>
  <c r="BY18" i="3"/>
  <c r="BB18" i="3"/>
  <c r="AQ18" i="3"/>
  <c r="AF18" i="3"/>
  <c r="U18" i="3"/>
  <c r="J18" i="3"/>
  <c r="EX17" i="3"/>
  <c r="EO17" i="3"/>
  <c r="EF17" i="3"/>
  <c r="DW17" i="3"/>
  <c r="DN17" i="3"/>
  <c r="DD17" i="3"/>
  <c r="CS17" i="3"/>
  <c r="CI17" i="3"/>
  <c r="BY17" i="3"/>
  <c r="BB17" i="3"/>
  <c r="AQ17" i="3"/>
  <c r="AF17" i="3"/>
  <c r="U17" i="3"/>
  <c r="J17" i="3"/>
  <c r="EX16" i="3"/>
  <c r="EO16" i="3"/>
  <c r="EF16" i="3"/>
  <c r="DW16" i="3"/>
  <c r="DN16" i="3"/>
  <c r="DD16" i="3"/>
  <c r="CS16" i="3"/>
  <c r="CI16" i="3"/>
  <c r="BY16" i="3"/>
  <c r="BB16" i="3"/>
  <c r="AQ16" i="3"/>
  <c r="AF16" i="3"/>
  <c r="U16" i="3"/>
  <c r="J16" i="3"/>
  <c r="EX15" i="3"/>
  <c r="EO15" i="3"/>
  <c r="EF15" i="3"/>
  <c r="DW15" i="3"/>
  <c r="DN15" i="3"/>
  <c r="DD15" i="3"/>
  <c r="CS15" i="3"/>
  <c r="CI15" i="3"/>
  <c r="BY15" i="3"/>
  <c r="BB15" i="3"/>
  <c r="AQ15" i="3"/>
  <c r="AF15" i="3"/>
  <c r="U15" i="3"/>
  <c r="J15" i="3"/>
  <c r="EX14" i="3"/>
  <c r="EO14" i="3"/>
  <c r="EF14" i="3"/>
  <c r="DW14" i="3"/>
  <c r="DN14" i="3"/>
  <c r="DD14" i="3"/>
  <c r="CS14" i="3"/>
  <c r="CI14" i="3"/>
  <c r="BY14" i="3"/>
  <c r="BB14" i="3"/>
  <c r="AQ14" i="3"/>
  <c r="AF14" i="3"/>
  <c r="U14" i="3"/>
  <c r="J14" i="3"/>
  <c r="EX13" i="3"/>
  <c r="EO13" i="3"/>
  <c r="EF13" i="3"/>
  <c r="DW13" i="3"/>
  <c r="DN13" i="3"/>
  <c r="DD13" i="3"/>
  <c r="CS13" i="3"/>
  <c r="CI13" i="3"/>
  <c r="BY13" i="3"/>
  <c r="BB13" i="3"/>
  <c r="AQ13" i="3"/>
  <c r="AF13" i="3"/>
  <c r="U13" i="3"/>
  <c r="J13" i="3"/>
  <c r="EX12" i="3"/>
  <c r="EO12" i="3"/>
  <c r="EF12" i="3"/>
  <c r="DW12" i="3"/>
  <c r="DN12" i="3"/>
  <c r="DD12" i="3"/>
  <c r="CS12" i="3"/>
  <c r="CI12" i="3"/>
  <c r="BY12" i="3"/>
  <c r="BB12" i="3"/>
  <c r="AQ12" i="3"/>
  <c r="AF12" i="3"/>
  <c r="U12" i="3"/>
  <c r="J12" i="3"/>
  <c r="EX11" i="3"/>
  <c r="EO11" i="3"/>
  <c r="EF11" i="3"/>
  <c r="DW11" i="3"/>
  <c r="DN11" i="3"/>
  <c r="DD11" i="3"/>
  <c r="CS11" i="3"/>
  <c r="CI11" i="3"/>
  <c r="BY11" i="3"/>
  <c r="BB11" i="3"/>
  <c r="AQ11" i="3"/>
  <c r="AF11" i="3"/>
  <c r="U11" i="3"/>
  <c r="J11" i="3"/>
  <c r="EX10" i="3"/>
  <c r="EO10" i="3"/>
  <c r="EF10" i="3"/>
  <c r="DW10" i="3"/>
  <c r="DN10" i="3"/>
  <c r="DD10" i="3"/>
  <c r="CS10" i="3"/>
  <c r="CI10" i="3"/>
  <c r="BY10" i="3"/>
  <c r="BB10" i="3"/>
  <c r="AQ10" i="3"/>
  <c r="AF10" i="3"/>
  <c r="U10" i="3"/>
  <c r="J10" i="3"/>
  <c r="EX9" i="3"/>
  <c r="EO9" i="3"/>
  <c r="EF9" i="3"/>
  <c r="DW9" i="3"/>
  <c r="DN9" i="3"/>
  <c r="DD9" i="3"/>
  <c r="CS9" i="3"/>
  <c r="CI9" i="3"/>
  <c r="BY9" i="3"/>
  <c r="BB9" i="3"/>
  <c r="AQ9" i="3"/>
  <c r="AF9" i="3"/>
  <c r="U9" i="3"/>
  <c r="J9" i="3"/>
  <c r="EX8" i="3"/>
  <c r="EO8" i="3"/>
  <c r="EF8" i="3"/>
  <c r="DW8" i="3"/>
  <c r="DN8" i="3"/>
  <c r="DD8" i="3"/>
  <c r="CS8" i="3"/>
  <c r="CI8" i="3"/>
  <c r="BY8" i="3"/>
  <c r="BB8" i="3"/>
  <c r="AQ8" i="3"/>
  <c r="AF8" i="3"/>
  <c r="U8" i="3"/>
  <c r="J8" i="3"/>
  <c r="EX7" i="3"/>
  <c r="EO7" i="3"/>
  <c r="EF7" i="3"/>
  <c r="DW7" i="3"/>
  <c r="DN7" i="3"/>
  <c r="DD7" i="3"/>
  <c r="CS7" i="3"/>
  <c r="CI7" i="3"/>
  <c r="BY7" i="3"/>
  <c r="BB7" i="3"/>
  <c r="AQ7" i="3"/>
  <c r="AF7" i="3"/>
  <c r="U7" i="3"/>
  <c r="J7" i="3"/>
  <c r="EX6" i="3"/>
  <c r="EO6" i="3"/>
  <c r="EF6" i="3"/>
  <c r="DW6" i="3"/>
  <c r="DN6" i="3"/>
  <c r="DD6" i="3"/>
  <c r="CS6" i="3"/>
  <c r="CI6" i="3"/>
  <c r="BY6" i="3"/>
  <c r="BB6" i="3"/>
  <c r="AQ6" i="3"/>
  <c r="AF6" i="3"/>
  <c r="U6" i="3"/>
  <c r="J6" i="3"/>
  <c r="DW37" i="3" l="1"/>
  <c r="EF37" i="3"/>
  <c r="EO37" i="3"/>
  <c r="BM37" i="3"/>
  <c r="BY37" i="3"/>
  <c r="CI37" i="3"/>
  <c r="CS37" i="3"/>
  <c r="DD37" i="3"/>
  <c r="AQ37" i="3"/>
  <c r="EX37" i="3"/>
  <c r="U37" i="3"/>
  <c r="AF37" i="3"/>
  <c r="BB37" i="3"/>
  <c r="DN37" i="3"/>
  <c r="J37" i="3"/>
  <c r="L159" i="1" l="1"/>
  <c r="N161" i="1"/>
  <c r="Y161" i="1" s="1"/>
  <c r="AJ161" i="1" s="1"/>
  <c r="AU161" i="1" s="1"/>
  <c r="BF161" i="1" s="1"/>
  <c r="BQ161" i="1" s="1"/>
  <c r="CB161" i="1" s="1"/>
  <c r="CM161" i="1" s="1"/>
  <c r="CX161" i="1" s="1"/>
  <c r="DI161" i="1" s="1"/>
  <c r="DT161" i="1" s="1"/>
  <c r="EE161" i="1" s="1"/>
  <c r="EP161" i="1" s="1"/>
  <c r="N162" i="1"/>
  <c r="Y162" i="1" s="1"/>
  <c r="AJ162" i="1" s="1"/>
  <c r="AU162" i="1" s="1"/>
  <c r="BF162" i="1" s="1"/>
  <c r="BQ162" i="1" s="1"/>
  <c r="CB162" i="1" s="1"/>
  <c r="CM162" i="1" s="1"/>
  <c r="CX162" i="1" s="1"/>
  <c r="DI162" i="1" s="1"/>
  <c r="DT162" i="1" s="1"/>
  <c r="EE162" i="1" s="1"/>
  <c r="EP162" i="1" s="1"/>
  <c r="N163" i="1"/>
  <c r="Y163" i="1" s="1"/>
  <c r="AJ163" i="1" s="1"/>
  <c r="AU163" i="1" s="1"/>
  <c r="BF163" i="1" s="1"/>
  <c r="BQ163" i="1" s="1"/>
  <c r="CB163" i="1" s="1"/>
  <c r="CM163" i="1" s="1"/>
  <c r="CX163" i="1" s="1"/>
  <c r="DI163" i="1" s="1"/>
  <c r="DT163" i="1" s="1"/>
  <c r="EE163" i="1" s="1"/>
  <c r="EP163" i="1" s="1"/>
  <c r="N164" i="1"/>
  <c r="Y164" i="1" s="1"/>
  <c r="AJ164" i="1" s="1"/>
  <c r="AU164" i="1" s="1"/>
  <c r="BF164" i="1" s="1"/>
  <c r="BQ164" i="1" s="1"/>
  <c r="CB164" i="1" s="1"/>
  <c r="CM164" i="1" s="1"/>
  <c r="CX164" i="1" s="1"/>
  <c r="DI164" i="1" s="1"/>
  <c r="DT164" i="1" s="1"/>
  <c r="EE164" i="1" s="1"/>
  <c r="EP164" i="1" s="1"/>
  <c r="N165" i="1"/>
  <c r="Y165" i="1" s="1"/>
  <c r="AJ165" i="1" s="1"/>
  <c r="AU165" i="1" s="1"/>
  <c r="BF165" i="1" s="1"/>
  <c r="BQ165" i="1" s="1"/>
  <c r="CB165" i="1" s="1"/>
  <c r="CM165" i="1" s="1"/>
  <c r="CX165" i="1" s="1"/>
  <c r="DI165" i="1" s="1"/>
  <c r="DT165" i="1" s="1"/>
  <c r="EE165" i="1" s="1"/>
  <c r="EP165" i="1" s="1"/>
  <c r="N166" i="1"/>
  <c r="Y166" i="1" s="1"/>
  <c r="AJ166" i="1" s="1"/>
  <c r="AU166" i="1" s="1"/>
  <c r="BF166" i="1" s="1"/>
  <c r="BQ166" i="1" s="1"/>
  <c r="CB166" i="1" s="1"/>
  <c r="CM166" i="1" s="1"/>
  <c r="CX166" i="1" s="1"/>
  <c r="DI166" i="1" s="1"/>
  <c r="DT166" i="1" s="1"/>
  <c r="EE166" i="1" s="1"/>
  <c r="EP166" i="1" s="1"/>
  <c r="N167" i="1"/>
  <c r="Y167" i="1" s="1"/>
  <c r="AJ167" i="1" s="1"/>
  <c r="AU167" i="1" s="1"/>
  <c r="BF167" i="1" s="1"/>
  <c r="BQ167" i="1" s="1"/>
  <c r="CB167" i="1" s="1"/>
  <c r="CM167" i="1" s="1"/>
  <c r="CX167" i="1" s="1"/>
  <c r="DI167" i="1" s="1"/>
  <c r="DT167" i="1" s="1"/>
  <c r="EE167" i="1" s="1"/>
  <c r="EP167" i="1" s="1"/>
  <c r="N168" i="1"/>
  <c r="Y168" i="1" s="1"/>
  <c r="AJ168" i="1" s="1"/>
  <c r="AU168" i="1" s="1"/>
  <c r="BF168" i="1" s="1"/>
  <c r="BQ168" i="1" s="1"/>
  <c r="CB168" i="1" s="1"/>
  <c r="CM168" i="1" s="1"/>
  <c r="CX168" i="1" s="1"/>
  <c r="DI168" i="1" s="1"/>
  <c r="DT168" i="1" s="1"/>
  <c r="EE168" i="1" s="1"/>
  <c r="EP168" i="1" s="1"/>
  <c r="N169" i="1"/>
  <c r="Y169" i="1" s="1"/>
  <c r="AJ169" i="1" s="1"/>
  <c r="AU169" i="1" s="1"/>
  <c r="BF169" i="1" s="1"/>
  <c r="BQ169" i="1" s="1"/>
  <c r="CB169" i="1" s="1"/>
  <c r="CM169" i="1" s="1"/>
  <c r="CX169" i="1" s="1"/>
  <c r="DI169" i="1" s="1"/>
  <c r="DT169" i="1" s="1"/>
  <c r="EE169" i="1" s="1"/>
  <c r="EP169" i="1" s="1"/>
  <c r="N170" i="1"/>
  <c r="Y170" i="1" s="1"/>
  <c r="AJ170" i="1" s="1"/>
  <c r="AU170" i="1" s="1"/>
  <c r="BF170" i="1" s="1"/>
  <c r="BQ170" i="1" s="1"/>
  <c r="CB170" i="1" s="1"/>
  <c r="CM170" i="1" s="1"/>
  <c r="CX170" i="1" s="1"/>
  <c r="DI170" i="1" s="1"/>
  <c r="DT170" i="1" s="1"/>
  <c r="EE170" i="1" s="1"/>
  <c r="EP170" i="1" s="1"/>
  <c r="N171" i="1"/>
  <c r="Y171" i="1" s="1"/>
  <c r="AJ171" i="1" s="1"/>
  <c r="AU171" i="1" s="1"/>
  <c r="BF171" i="1" s="1"/>
  <c r="BQ171" i="1" s="1"/>
  <c r="CB171" i="1" s="1"/>
  <c r="CM171" i="1" s="1"/>
  <c r="CX171" i="1" s="1"/>
  <c r="DI171" i="1" s="1"/>
  <c r="DT171" i="1" s="1"/>
  <c r="EE171" i="1" s="1"/>
  <c r="EP171" i="1" s="1"/>
  <c r="N172" i="1"/>
  <c r="Y172" i="1" s="1"/>
  <c r="AJ172" i="1" s="1"/>
  <c r="AU172" i="1" s="1"/>
  <c r="BF172" i="1" s="1"/>
  <c r="BQ172" i="1" s="1"/>
  <c r="CB172" i="1" s="1"/>
  <c r="CM172" i="1" s="1"/>
  <c r="CX172" i="1" s="1"/>
  <c r="DI172" i="1" s="1"/>
  <c r="DT172" i="1" s="1"/>
  <c r="EE172" i="1" s="1"/>
  <c r="EP172" i="1" s="1"/>
  <c r="N173" i="1"/>
  <c r="Y173" i="1" s="1"/>
  <c r="AJ173" i="1" s="1"/>
  <c r="AU173" i="1" s="1"/>
  <c r="BF173" i="1" s="1"/>
  <c r="BQ173" i="1" s="1"/>
  <c r="CB173" i="1" s="1"/>
  <c r="CM173" i="1" s="1"/>
  <c r="CX173" i="1" s="1"/>
  <c r="DI173" i="1" s="1"/>
  <c r="DT173" i="1" s="1"/>
  <c r="EE173" i="1" s="1"/>
  <c r="EP173" i="1" s="1"/>
  <c r="N174" i="1"/>
  <c r="Y174" i="1" s="1"/>
  <c r="AJ174" i="1" s="1"/>
  <c r="AU174" i="1" s="1"/>
  <c r="BF174" i="1" s="1"/>
  <c r="BQ174" i="1" s="1"/>
  <c r="CB174" i="1" s="1"/>
  <c r="CM174" i="1" s="1"/>
  <c r="CX174" i="1" s="1"/>
  <c r="DI174" i="1" s="1"/>
  <c r="DT174" i="1" s="1"/>
  <c r="EE174" i="1" s="1"/>
  <c r="EP174" i="1" s="1"/>
  <c r="N175" i="1"/>
  <c r="Y175" i="1" s="1"/>
  <c r="AJ175" i="1" s="1"/>
  <c r="AU175" i="1" s="1"/>
  <c r="BF175" i="1" s="1"/>
  <c r="BQ175" i="1" s="1"/>
  <c r="CB175" i="1" s="1"/>
  <c r="CM175" i="1" s="1"/>
  <c r="CX175" i="1" s="1"/>
  <c r="DI175" i="1" s="1"/>
  <c r="DT175" i="1" s="1"/>
  <c r="EE175" i="1" s="1"/>
  <c r="EP175" i="1" s="1"/>
  <c r="N176" i="1"/>
  <c r="Y176" i="1" s="1"/>
  <c r="AJ176" i="1" s="1"/>
  <c r="AU176" i="1" s="1"/>
  <c r="BF176" i="1" s="1"/>
  <c r="BQ176" i="1" s="1"/>
  <c r="CB176" i="1" s="1"/>
  <c r="CM176" i="1" s="1"/>
  <c r="CX176" i="1" s="1"/>
  <c r="DI176" i="1" s="1"/>
  <c r="DT176" i="1" s="1"/>
  <c r="EE176" i="1" s="1"/>
  <c r="EP176" i="1" s="1"/>
  <c r="N177" i="1"/>
  <c r="Y177" i="1" s="1"/>
  <c r="AJ177" i="1" s="1"/>
  <c r="AU177" i="1" s="1"/>
  <c r="BF177" i="1" s="1"/>
  <c r="BQ177" i="1" s="1"/>
  <c r="CB177" i="1" s="1"/>
  <c r="CM177" i="1" s="1"/>
  <c r="CX177" i="1" s="1"/>
  <c r="DI177" i="1" s="1"/>
  <c r="DT177" i="1" s="1"/>
  <c r="EE177" i="1" s="1"/>
  <c r="EP177" i="1" s="1"/>
  <c r="N178" i="1"/>
  <c r="Y178" i="1" s="1"/>
  <c r="AJ178" i="1" s="1"/>
  <c r="AU178" i="1" s="1"/>
  <c r="BF178" i="1" s="1"/>
  <c r="BQ178" i="1" s="1"/>
  <c r="CB178" i="1" s="1"/>
  <c r="CM178" i="1" s="1"/>
  <c r="CX178" i="1" s="1"/>
  <c r="DI178" i="1" s="1"/>
  <c r="DT178" i="1" s="1"/>
  <c r="EE178" i="1" s="1"/>
  <c r="EP178" i="1" s="1"/>
  <c r="N179" i="1"/>
  <c r="Y179" i="1" s="1"/>
  <c r="AJ179" i="1" s="1"/>
  <c r="AU179" i="1" s="1"/>
  <c r="BF179" i="1" s="1"/>
  <c r="BQ179" i="1" s="1"/>
  <c r="CB179" i="1" s="1"/>
  <c r="CM179" i="1" s="1"/>
  <c r="CX179" i="1" s="1"/>
  <c r="DI179" i="1" s="1"/>
  <c r="DT179" i="1" s="1"/>
  <c r="EE179" i="1" s="1"/>
  <c r="EP179" i="1" s="1"/>
  <c r="N180" i="1"/>
  <c r="Y180" i="1" s="1"/>
  <c r="AJ180" i="1" s="1"/>
  <c r="AU180" i="1" s="1"/>
  <c r="BF180" i="1" s="1"/>
  <c r="BQ180" i="1" s="1"/>
  <c r="CB180" i="1" s="1"/>
  <c r="CM180" i="1" s="1"/>
  <c r="CX180" i="1" s="1"/>
  <c r="DI180" i="1" s="1"/>
  <c r="DT180" i="1" s="1"/>
  <c r="EE180" i="1" s="1"/>
  <c r="EP180" i="1" s="1"/>
  <c r="N181" i="1"/>
  <c r="Y181" i="1" s="1"/>
  <c r="AJ181" i="1" s="1"/>
  <c r="AU181" i="1" s="1"/>
  <c r="BF181" i="1" s="1"/>
  <c r="BQ181" i="1" s="1"/>
  <c r="CB181" i="1" s="1"/>
  <c r="CM181" i="1" s="1"/>
  <c r="CX181" i="1" s="1"/>
  <c r="DI181" i="1" s="1"/>
  <c r="DT181" i="1" s="1"/>
  <c r="EE181" i="1" s="1"/>
  <c r="EP181" i="1" s="1"/>
  <c r="N182" i="1"/>
  <c r="Y182" i="1" s="1"/>
  <c r="AJ182" i="1" s="1"/>
  <c r="AU182" i="1" s="1"/>
  <c r="BF182" i="1" s="1"/>
  <c r="BQ182" i="1" s="1"/>
  <c r="CB182" i="1" s="1"/>
  <c r="CM182" i="1" s="1"/>
  <c r="CX182" i="1" s="1"/>
  <c r="DI182" i="1" s="1"/>
  <c r="DT182" i="1" s="1"/>
  <c r="EE182" i="1" s="1"/>
  <c r="EP182" i="1" s="1"/>
  <c r="N183" i="1"/>
  <c r="Y183" i="1" s="1"/>
  <c r="AJ183" i="1" s="1"/>
  <c r="AU183" i="1" s="1"/>
  <c r="BF183" i="1" s="1"/>
  <c r="BQ183" i="1" s="1"/>
  <c r="CB183" i="1" s="1"/>
  <c r="CM183" i="1" s="1"/>
  <c r="CX183" i="1" s="1"/>
  <c r="DI183" i="1" s="1"/>
  <c r="DT183" i="1" s="1"/>
  <c r="EE183" i="1" s="1"/>
  <c r="EP183" i="1" s="1"/>
  <c r="N184" i="1"/>
  <c r="Y184" i="1" s="1"/>
  <c r="AJ184" i="1" s="1"/>
  <c r="AU184" i="1" s="1"/>
  <c r="BF184" i="1" s="1"/>
  <c r="BQ184" i="1" s="1"/>
  <c r="CB184" i="1" s="1"/>
  <c r="CM184" i="1" s="1"/>
  <c r="CX184" i="1" s="1"/>
  <c r="DI184" i="1" s="1"/>
  <c r="DT184" i="1" s="1"/>
  <c r="EE184" i="1" s="1"/>
  <c r="EP184" i="1" s="1"/>
  <c r="N185" i="1"/>
  <c r="Y185" i="1" s="1"/>
  <c r="AJ185" i="1" s="1"/>
  <c r="AU185" i="1" s="1"/>
  <c r="BF185" i="1" s="1"/>
  <c r="BQ185" i="1" s="1"/>
  <c r="CB185" i="1" s="1"/>
  <c r="CM185" i="1" s="1"/>
  <c r="CX185" i="1" s="1"/>
  <c r="DI185" i="1" s="1"/>
  <c r="DT185" i="1" s="1"/>
  <c r="EE185" i="1" s="1"/>
  <c r="EP185" i="1" s="1"/>
  <c r="N186" i="1"/>
  <c r="Y186" i="1" s="1"/>
  <c r="AJ186" i="1" s="1"/>
  <c r="AU186" i="1" s="1"/>
  <c r="BF186" i="1" s="1"/>
  <c r="BQ186" i="1" s="1"/>
  <c r="CB186" i="1" s="1"/>
  <c r="CM186" i="1" s="1"/>
  <c r="CX186" i="1" s="1"/>
  <c r="DI186" i="1" s="1"/>
  <c r="DT186" i="1" s="1"/>
  <c r="EE186" i="1" s="1"/>
  <c r="EP186" i="1" s="1"/>
  <c r="N187" i="1"/>
  <c r="Y187" i="1" s="1"/>
  <c r="AJ187" i="1" s="1"/>
  <c r="AU187" i="1" s="1"/>
  <c r="BF187" i="1" s="1"/>
  <c r="BQ187" i="1" s="1"/>
  <c r="CB187" i="1" s="1"/>
  <c r="CM187" i="1" s="1"/>
  <c r="CX187" i="1" s="1"/>
  <c r="DI187" i="1" s="1"/>
  <c r="DT187" i="1" s="1"/>
  <c r="EE187" i="1" s="1"/>
  <c r="EP187" i="1" s="1"/>
  <c r="N188" i="1"/>
  <c r="Y188" i="1" s="1"/>
  <c r="AJ188" i="1" s="1"/>
  <c r="AU188" i="1" s="1"/>
  <c r="BF188" i="1" s="1"/>
  <c r="BQ188" i="1" s="1"/>
  <c r="CB188" i="1" s="1"/>
  <c r="CM188" i="1" s="1"/>
  <c r="CX188" i="1" s="1"/>
  <c r="DI188" i="1" s="1"/>
  <c r="DT188" i="1" s="1"/>
  <c r="EE188" i="1" s="1"/>
  <c r="EP188" i="1" s="1"/>
  <c r="N189" i="1"/>
  <c r="Y189" i="1" s="1"/>
  <c r="AJ189" i="1" s="1"/>
  <c r="AU189" i="1" s="1"/>
  <c r="BF189" i="1" s="1"/>
  <c r="BQ189" i="1" s="1"/>
  <c r="CB189" i="1" s="1"/>
  <c r="CM189" i="1" s="1"/>
  <c r="CX189" i="1" s="1"/>
  <c r="DI189" i="1" s="1"/>
  <c r="DT189" i="1" s="1"/>
  <c r="EE189" i="1" s="1"/>
  <c r="EP189" i="1" s="1"/>
  <c r="N160" i="1"/>
  <c r="Y160" i="1" s="1"/>
  <c r="AJ160" i="1" s="1"/>
  <c r="AU160" i="1" s="1"/>
  <c r="BF160" i="1" s="1"/>
  <c r="BQ160" i="1" s="1"/>
  <c r="CB160" i="1" s="1"/>
  <c r="CM160" i="1" s="1"/>
  <c r="CX160" i="1" s="1"/>
  <c r="DI160" i="1" s="1"/>
  <c r="DT160" i="1" s="1"/>
  <c r="EE160" i="1" s="1"/>
  <c r="EP160" i="1" s="1"/>
  <c r="N159" i="1"/>
  <c r="Y159" i="1" s="1"/>
  <c r="AJ159" i="1" s="1"/>
  <c r="AU159" i="1" s="1"/>
  <c r="BF159" i="1" s="1"/>
  <c r="BQ159" i="1" s="1"/>
  <c r="CB159" i="1" s="1"/>
  <c r="CM159" i="1" s="1"/>
  <c r="CX159" i="1" s="1"/>
  <c r="DI159" i="1" s="1"/>
  <c r="DT159" i="1" s="1"/>
  <c r="EE159" i="1" s="1"/>
  <c r="EP159" i="1" s="1"/>
  <c r="EX190" i="1"/>
  <c r="EW190" i="1"/>
  <c r="EV190" i="1"/>
  <c r="ET190" i="1"/>
  <c r="ES190" i="1"/>
  <c r="ER190" i="1"/>
  <c r="EQ190" i="1"/>
  <c r="EM190" i="1"/>
  <c r="EL190" i="1"/>
  <c r="EK190" i="1"/>
  <c r="EI190" i="1"/>
  <c r="EH190" i="1"/>
  <c r="EG190" i="1"/>
  <c r="EF190" i="1"/>
  <c r="EB190" i="1"/>
  <c r="EA190" i="1"/>
  <c r="DZ190" i="1"/>
  <c r="DX190" i="1"/>
  <c r="DW190" i="1"/>
  <c r="DV190" i="1"/>
  <c r="DU190" i="1"/>
  <c r="DQ190" i="1"/>
  <c r="DP190" i="1"/>
  <c r="DO190" i="1"/>
  <c r="DM190" i="1"/>
  <c r="DL190" i="1"/>
  <c r="DK190" i="1"/>
  <c r="DJ190" i="1"/>
  <c r="DF190" i="1"/>
  <c r="DE190" i="1"/>
  <c r="DD190" i="1"/>
  <c r="DB190" i="1"/>
  <c r="DA190" i="1"/>
  <c r="CZ190" i="1"/>
  <c r="CY190" i="1"/>
  <c r="CU190" i="1"/>
  <c r="CT190" i="1"/>
  <c r="CS190" i="1"/>
  <c r="CQ190" i="1"/>
  <c r="CP190" i="1"/>
  <c r="CO190" i="1"/>
  <c r="CN190" i="1"/>
  <c r="CJ190" i="1"/>
  <c r="CI190" i="1"/>
  <c r="CH190" i="1"/>
  <c r="CF190" i="1"/>
  <c r="CE190" i="1"/>
  <c r="CD190" i="1"/>
  <c r="CC190" i="1"/>
  <c r="BY190" i="1"/>
  <c r="BX190" i="1"/>
  <c r="BW190" i="1"/>
  <c r="BU190" i="1"/>
  <c r="BT190" i="1"/>
  <c r="BS190" i="1"/>
  <c r="BR190" i="1"/>
  <c r="BN190" i="1"/>
  <c r="BM190" i="1"/>
  <c r="BL190" i="1"/>
  <c r="BJ190" i="1"/>
  <c r="BI190" i="1"/>
  <c r="BH190" i="1"/>
  <c r="BG190" i="1"/>
  <c r="BC190" i="1"/>
  <c r="BB190" i="1"/>
  <c r="BA190" i="1"/>
  <c r="AY190" i="1"/>
  <c r="AX190" i="1"/>
  <c r="AW190" i="1"/>
  <c r="AV190" i="1"/>
  <c r="AR190" i="1"/>
  <c r="AQ190" i="1"/>
  <c r="AP190" i="1"/>
  <c r="AN190" i="1"/>
  <c r="AM190" i="1"/>
  <c r="AL190" i="1"/>
  <c r="AK190" i="1"/>
  <c r="AG190" i="1"/>
  <c r="AF190" i="1"/>
  <c r="AE190" i="1"/>
  <c r="AC190" i="1"/>
  <c r="AB190" i="1"/>
  <c r="AA190" i="1"/>
  <c r="Z190" i="1"/>
  <c r="V190" i="1"/>
  <c r="U190" i="1"/>
  <c r="T190" i="1"/>
  <c r="R190" i="1"/>
  <c r="Q190" i="1"/>
  <c r="P190" i="1"/>
  <c r="O190" i="1"/>
  <c r="K190" i="1"/>
  <c r="J190" i="1"/>
  <c r="I190" i="1"/>
  <c r="F190" i="1"/>
  <c r="E190" i="1"/>
  <c r="D190" i="1"/>
  <c r="C190" i="1"/>
  <c r="EY189" i="1"/>
  <c r="EN189" i="1"/>
  <c r="EC189" i="1"/>
  <c r="DR189" i="1"/>
  <c r="DG189" i="1"/>
  <c r="CK189" i="1"/>
  <c r="BZ189" i="1"/>
  <c r="BO189" i="1"/>
  <c r="BD189" i="1"/>
  <c r="AS189" i="1"/>
  <c r="AH189" i="1"/>
  <c r="W189" i="1"/>
  <c r="L189" i="1"/>
  <c r="AH188" i="1"/>
  <c r="W188" i="1"/>
  <c r="L188" i="1"/>
  <c r="EY187" i="1"/>
  <c r="DR187" i="1"/>
  <c r="CK187" i="1"/>
  <c r="BZ187" i="1"/>
  <c r="BO187" i="1"/>
  <c r="BD187" i="1"/>
  <c r="AS187" i="1"/>
  <c r="AH187" i="1"/>
  <c r="W187" i="1"/>
  <c r="L187" i="1"/>
  <c r="EY186" i="1"/>
  <c r="EN186" i="1"/>
  <c r="DR186" i="1"/>
  <c r="CK186" i="1"/>
  <c r="BZ186" i="1"/>
  <c r="BO186" i="1"/>
  <c r="BD186" i="1"/>
  <c r="AS186" i="1"/>
  <c r="AH186" i="1"/>
  <c r="W186" i="1"/>
  <c r="L186" i="1"/>
  <c r="EY185" i="1"/>
  <c r="EN185" i="1"/>
  <c r="EC185" i="1"/>
  <c r="DR185" i="1"/>
  <c r="CK185" i="1"/>
  <c r="BZ185" i="1"/>
  <c r="BO185" i="1"/>
  <c r="BD185" i="1"/>
  <c r="AS185" i="1"/>
  <c r="AH185" i="1"/>
  <c r="W185" i="1"/>
  <c r="L185" i="1"/>
  <c r="EY184" i="1"/>
  <c r="EN184" i="1"/>
  <c r="EC184" i="1"/>
  <c r="DR184" i="1"/>
  <c r="DG184" i="1"/>
  <c r="CV184" i="1"/>
  <c r="CK184" i="1"/>
  <c r="BZ184" i="1"/>
  <c r="BO184" i="1"/>
  <c r="BD184" i="1"/>
  <c r="AS184" i="1"/>
  <c r="AH184" i="1"/>
  <c r="W184" i="1"/>
  <c r="L184" i="1"/>
  <c r="EY183" i="1"/>
  <c r="EN183" i="1"/>
  <c r="EC183" i="1"/>
  <c r="DR183" i="1"/>
  <c r="DG183" i="1"/>
  <c r="CV183" i="1"/>
  <c r="CK183" i="1"/>
  <c r="BZ183" i="1"/>
  <c r="BO183" i="1"/>
  <c r="BD183" i="1"/>
  <c r="AS183" i="1"/>
  <c r="AH183" i="1"/>
  <c r="W183" i="1"/>
  <c r="L183" i="1"/>
  <c r="EY182" i="1"/>
  <c r="EN182" i="1"/>
  <c r="EC182" i="1"/>
  <c r="DR182" i="1"/>
  <c r="DG182" i="1"/>
  <c r="CV182" i="1"/>
  <c r="CK182" i="1"/>
  <c r="BZ182" i="1"/>
  <c r="BO182" i="1"/>
  <c r="BD182" i="1"/>
  <c r="AS182" i="1"/>
  <c r="AH182" i="1"/>
  <c r="W182" i="1"/>
  <c r="L182" i="1"/>
  <c r="EY181" i="1"/>
  <c r="EN181" i="1"/>
  <c r="EC181" i="1"/>
  <c r="DR181" i="1"/>
  <c r="DG181" i="1"/>
  <c r="CV181" i="1"/>
  <c r="CK181" i="1"/>
  <c r="BZ181" i="1"/>
  <c r="BO181" i="1"/>
  <c r="BD181" i="1"/>
  <c r="AS181" i="1"/>
  <c r="AH181" i="1"/>
  <c r="W181" i="1"/>
  <c r="L181" i="1"/>
  <c r="EY180" i="1"/>
  <c r="EN180" i="1"/>
  <c r="EC180" i="1"/>
  <c r="DR180" i="1"/>
  <c r="DG180" i="1"/>
  <c r="CV180" i="1"/>
  <c r="CK180" i="1"/>
  <c r="BZ180" i="1"/>
  <c r="BO180" i="1"/>
  <c r="BD180" i="1"/>
  <c r="AS180" i="1"/>
  <c r="AH180" i="1"/>
  <c r="W180" i="1"/>
  <c r="L180" i="1"/>
  <c r="EY179" i="1"/>
  <c r="EN179" i="1"/>
  <c r="EC179" i="1"/>
  <c r="DR179" i="1"/>
  <c r="DG179" i="1"/>
  <c r="CV179" i="1"/>
  <c r="CK179" i="1"/>
  <c r="BZ179" i="1"/>
  <c r="BO179" i="1"/>
  <c r="BD179" i="1"/>
  <c r="AS179" i="1"/>
  <c r="AH179" i="1"/>
  <c r="W179" i="1"/>
  <c r="L179" i="1"/>
  <c r="EY178" i="1"/>
  <c r="EN178" i="1"/>
  <c r="EC178" i="1"/>
  <c r="DR178" i="1"/>
  <c r="DG178" i="1"/>
  <c r="CV178" i="1"/>
  <c r="CK178" i="1"/>
  <c r="BZ178" i="1"/>
  <c r="BO178" i="1"/>
  <c r="BD178" i="1"/>
  <c r="AS178" i="1"/>
  <c r="AH178" i="1"/>
  <c r="W178" i="1"/>
  <c r="L178" i="1"/>
  <c r="EY177" i="1"/>
  <c r="EN177" i="1"/>
  <c r="EC177" i="1"/>
  <c r="DR177" i="1"/>
  <c r="DG177" i="1"/>
  <c r="CV177" i="1"/>
  <c r="CK177" i="1"/>
  <c r="BZ177" i="1"/>
  <c r="BO177" i="1"/>
  <c r="BD177" i="1"/>
  <c r="AS177" i="1"/>
  <c r="AH177" i="1"/>
  <c r="W177" i="1"/>
  <c r="L177" i="1"/>
  <c r="EY176" i="1"/>
  <c r="EN176" i="1"/>
  <c r="EC176" i="1"/>
  <c r="DR176" i="1"/>
  <c r="DG176" i="1"/>
  <c r="CV176" i="1"/>
  <c r="CK176" i="1"/>
  <c r="BZ176" i="1"/>
  <c r="BO176" i="1"/>
  <c r="BD176" i="1"/>
  <c r="AS176" i="1"/>
  <c r="AH176" i="1"/>
  <c r="W176" i="1"/>
  <c r="L176" i="1"/>
  <c r="EY175" i="1"/>
  <c r="EN175" i="1"/>
  <c r="EC175" i="1"/>
  <c r="DR175" i="1"/>
  <c r="DG175" i="1"/>
  <c r="CV175" i="1"/>
  <c r="CK175" i="1"/>
  <c r="BZ175" i="1"/>
  <c r="BO175" i="1"/>
  <c r="BD175" i="1"/>
  <c r="AS175" i="1"/>
  <c r="AH175" i="1"/>
  <c r="W175" i="1"/>
  <c r="L175" i="1"/>
  <c r="EY174" i="1"/>
  <c r="EN174" i="1"/>
  <c r="EC174" i="1"/>
  <c r="DR174" i="1"/>
  <c r="DG174" i="1"/>
  <c r="CV174" i="1"/>
  <c r="CK174" i="1"/>
  <c r="BZ174" i="1"/>
  <c r="BO174" i="1"/>
  <c r="BD174" i="1"/>
  <c r="AS174" i="1"/>
  <c r="AH174" i="1"/>
  <c r="W174" i="1"/>
  <c r="L174" i="1"/>
  <c r="EY173" i="1"/>
  <c r="EN173" i="1"/>
  <c r="EC173" i="1"/>
  <c r="DR173" i="1"/>
  <c r="DG173" i="1"/>
  <c r="CV173" i="1"/>
  <c r="CK173" i="1"/>
  <c r="BZ173" i="1"/>
  <c r="BO173" i="1"/>
  <c r="BD173" i="1"/>
  <c r="AS173" i="1"/>
  <c r="AH173" i="1"/>
  <c r="W173" i="1"/>
  <c r="L173" i="1"/>
  <c r="EY172" i="1"/>
  <c r="EN172" i="1"/>
  <c r="EC172" i="1"/>
  <c r="DR172" i="1"/>
  <c r="DG172" i="1"/>
  <c r="CV172" i="1"/>
  <c r="CK172" i="1"/>
  <c r="BZ172" i="1"/>
  <c r="BO172" i="1"/>
  <c r="BD172" i="1"/>
  <c r="AS172" i="1"/>
  <c r="AH172" i="1"/>
  <c r="W172" i="1"/>
  <c r="L172" i="1"/>
  <c r="EY171" i="1"/>
  <c r="EN171" i="1"/>
  <c r="EC171" i="1"/>
  <c r="DR171" i="1"/>
  <c r="DG171" i="1"/>
  <c r="CV171" i="1"/>
  <c r="CK171" i="1"/>
  <c r="BZ171" i="1"/>
  <c r="BO171" i="1"/>
  <c r="BD171" i="1"/>
  <c r="AS171" i="1"/>
  <c r="AH171" i="1"/>
  <c r="W171" i="1"/>
  <c r="L171" i="1"/>
  <c r="EY170" i="1"/>
  <c r="EN170" i="1"/>
  <c r="EC170" i="1"/>
  <c r="DR170" i="1"/>
  <c r="DG170" i="1"/>
  <c r="CV170" i="1"/>
  <c r="CK170" i="1"/>
  <c r="BZ170" i="1"/>
  <c r="BO170" i="1"/>
  <c r="BD170" i="1"/>
  <c r="AS170" i="1"/>
  <c r="AH170" i="1"/>
  <c r="W170" i="1"/>
  <c r="L170" i="1"/>
  <c r="EY169" i="1"/>
  <c r="EN169" i="1"/>
  <c r="EC169" i="1"/>
  <c r="DR169" i="1"/>
  <c r="DG169" i="1"/>
  <c r="CV169" i="1"/>
  <c r="CK169" i="1"/>
  <c r="BZ169" i="1"/>
  <c r="BO169" i="1"/>
  <c r="BD169" i="1"/>
  <c r="AS169" i="1"/>
  <c r="AH169" i="1"/>
  <c r="W169" i="1"/>
  <c r="L169" i="1"/>
  <c r="EY168" i="1"/>
  <c r="EN168" i="1"/>
  <c r="EC168" i="1"/>
  <c r="DR168" i="1"/>
  <c r="DG168" i="1"/>
  <c r="CV168" i="1"/>
  <c r="CK168" i="1"/>
  <c r="BZ168" i="1"/>
  <c r="BO168" i="1"/>
  <c r="BD168" i="1"/>
  <c r="AS168" i="1"/>
  <c r="AH168" i="1"/>
  <c r="W168" i="1"/>
  <c r="L168" i="1"/>
  <c r="EY167" i="1"/>
  <c r="EN167" i="1"/>
  <c r="EC167" i="1"/>
  <c r="DR167" i="1"/>
  <c r="DG167" i="1"/>
  <c r="CV167" i="1"/>
  <c r="CK167" i="1"/>
  <c r="BZ167" i="1"/>
  <c r="BO167" i="1"/>
  <c r="BD167" i="1"/>
  <c r="AS167" i="1"/>
  <c r="AH167" i="1"/>
  <c r="W167" i="1"/>
  <c r="L167" i="1"/>
  <c r="EY166" i="1"/>
  <c r="EN166" i="1"/>
  <c r="EC166" i="1"/>
  <c r="DR166" i="1"/>
  <c r="DG166" i="1"/>
  <c r="CV166" i="1"/>
  <c r="CK166" i="1"/>
  <c r="BZ166" i="1"/>
  <c r="BO166" i="1"/>
  <c r="BD166" i="1"/>
  <c r="AS166" i="1"/>
  <c r="AH166" i="1"/>
  <c r="W166" i="1"/>
  <c r="L166" i="1"/>
  <c r="EY165" i="1"/>
  <c r="EN165" i="1"/>
  <c r="EC165" i="1"/>
  <c r="DR165" i="1"/>
  <c r="DG165" i="1"/>
  <c r="CV165" i="1"/>
  <c r="CK165" i="1"/>
  <c r="BZ165" i="1"/>
  <c r="BO165" i="1"/>
  <c r="BD165" i="1"/>
  <c r="AS165" i="1"/>
  <c r="AH165" i="1"/>
  <c r="W165" i="1"/>
  <c r="L165" i="1"/>
  <c r="EY164" i="1"/>
  <c r="EN164" i="1"/>
  <c r="EC164" i="1"/>
  <c r="DR164" i="1"/>
  <c r="DG164" i="1"/>
  <c r="CV164" i="1"/>
  <c r="CK164" i="1"/>
  <c r="BZ164" i="1"/>
  <c r="BO164" i="1"/>
  <c r="BD164" i="1"/>
  <c r="AS164" i="1"/>
  <c r="AH164" i="1"/>
  <c r="W164" i="1"/>
  <c r="L164" i="1"/>
  <c r="EY163" i="1"/>
  <c r="EN163" i="1"/>
  <c r="EC163" i="1"/>
  <c r="DR163" i="1"/>
  <c r="DG163" i="1"/>
  <c r="CV163" i="1"/>
  <c r="CK163" i="1"/>
  <c r="BZ163" i="1"/>
  <c r="BO163" i="1"/>
  <c r="BD163" i="1"/>
  <c r="AS163" i="1"/>
  <c r="AH163" i="1"/>
  <c r="W163" i="1"/>
  <c r="L163" i="1"/>
  <c r="EY162" i="1"/>
  <c r="EN162" i="1"/>
  <c r="EC162" i="1"/>
  <c r="DR162" i="1"/>
  <c r="DG162" i="1"/>
  <c r="CV162" i="1"/>
  <c r="CK162" i="1"/>
  <c r="BZ162" i="1"/>
  <c r="BO162" i="1"/>
  <c r="BD162" i="1"/>
  <c r="AS162" i="1"/>
  <c r="AH162" i="1"/>
  <c r="W162" i="1"/>
  <c r="L162" i="1"/>
  <c r="EY161" i="1"/>
  <c r="EN161" i="1"/>
  <c r="EC161" i="1"/>
  <c r="DR161" i="1"/>
  <c r="DG161" i="1"/>
  <c r="CV161" i="1"/>
  <c r="CK161" i="1"/>
  <c r="BZ161" i="1"/>
  <c r="BO161" i="1"/>
  <c r="BD161" i="1"/>
  <c r="AS161" i="1"/>
  <c r="AH161" i="1"/>
  <c r="W161" i="1"/>
  <c r="L161" i="1"/>
  <c r="EY160" i="1"/>
  <c r="EN160" i="1"/>
  <c r="EC160" i="1"/>
  <c r="DR160" i="1"/>
  <c r="DG160" i="1"/>
  <c r="CV160" i="1"/>
  <c r="CK160" i="1"/>
  <c r="BZ160" i="1"/>
  <c r="BO160" i="1"/>
  <c r="BD160" i="1"/>
  <c r="AS160" i="1"/>
  <c r="AH160" i="1"/>
  <c r="W160" i="1"/>
  <c r="L160" i="1"/>
  <c r="EY159" i="1"/>
  <c r="EN159" i="1"/>
  <c r="EC159" i="1"/>
  <c r="DR159" i="1"/>
  <c r="DG159" i="1"/>
  <c r="CV159" i="1"/>
  <c r="CK159" i="1"/>
  <c r="BZ159" i="1"/>
  <c r="BO159" i="1"/>
  <c r="BD159" i="1"/>
  <c r="AS159" i="1"/>
  <c r="AH159" i="1"/>
  <c r="W159" i="1"/>
  <c r="L149" i="1"/>
  <c r="W149" i="1"/>
  <c r="AH149" i="1"/>
  <c r="EY190" i="1" l="1"/>
  <c r="W190" i="1"/>
  <c r="AS190" i="1"/>
  <c r="CV190" i="1"/>
  <c r="EC190" i="1"/>
  <c r="DR190" i="1"/>
  <c r="CK190" i="1"/>
  <c r="EN190" i="1"/>
  <c r="DG190" i="1"/>
  <c r="BZ190" i="1"/>
  <c r="BO190" i="1"/>
  <c r="BD190" i="1"/>
  <c r="AH190" i="1"/>
  <c r="L190" i="1"/>
  <c r="EY120" i="1"/>
  <c r="EY148" i="1"/>
  <c r="EY147" i="1"/>
  <c r="EY146" i="1"/>
  <c r="EY145" i="1"/>
  <c r="EY144" i="1"/>
  <c r="EY143" i="1"/>
  <c r="EY142" i="1"/>
  <c r="EY141" i="1"/>
  <c r="EY140" i="1"/>
  <c r="EY139" i="1"/>
  <c r="EY138" i="1"/>
  <c r="EY137" i="1"/>
  <c r="EY136" i="1"/>
  <c r="EY135" i="1"/>
  <c r="EY134" i="1"/>
  <c r="EY133" i="1"/>
  <c r="EY132" i="1"/>
  <c r="EY131" i="1"/>
  <c r="EY130" i="1"/>
  <c r="EY129" i="1"/>
  <c r="EY128" i="1"/>
  <c r="EY127" i="1"/>
  <c r="EY126" i="1"/>
  <c r="EY125" i="1"/>
  <c r="EY124" i="1"/>
  <c r="EY123" i="1"/>
  <c r="EY122" i="1"/>
  <c r="EY121" i="1"/>
  <c r="EY84" i="1"/>
  <c r="EY85" i="1"/>
  <c r="EY86" i="1"/>
  <c r="EY87" i="1"/>
  <c r="EY88" i="1"/>
  <c r="EY89" i="1"/>
  <c r="EY90" i="1"/>
  <c r="EY91" i="1"/>
  <c r="EY92" i="1"/>
  <c r="EY93" i="1"/>
  <c r="EY94" i="1"/>
  <c r="EY95" i="1"/>
  <c r="EY96" i="1"/>
  <c r="EY97" i="1"/>
  <c r="EY98" i="1"/>
  <c r="EY99" i="1"/>
  <c r="EY100" i="1"/>
  <c r="EY101" i="1"/>
  <c r="EY102" i="1"/>
  <c r="EY103" i="1"/>
  <c r="EY104" i="1"/>
  <c r="EY105" i="1"/>
  <c r="EY106" i="1"/>
  <c r="EY107" i="1"/>
  <c r="EY108" i="1"/>
  <c r="EY109" i="1"/>
  <c r="EY110" i="1"/>
  <c r="EY111" i="1"/>
  <c r="EY83" i="1"/>
  <c r="EY82" i="1"/>
  <c r="L82" i="1"/>
  <c r="L120" i="1"/>
  <c r="EX151" i="1"/>
  <c r="EW151" i="1"/>
  <c r="EV151" i="1"/>
  <c r="ET151" i="1"/>
  <c r="ES151" i="1"/>
  <c r="ER151" i="1"/>
  <c r="EQ151" i="1"/>
  <c r="EM151" i="1"/>
  <c r="EL151" i="1"/>
  <c r="EK151" i="1"/>
  <c r="EI151" i="1"/>
  <c r="EH151" i="1"/>
  <c r="EG151" i="1"/>
  <c r="EF151" i="1"/>
  <c r="EB151" i="1"/>
  <c r="EA151" i="1"/>
  <c r="DZ151" i="1"/>
  <c r="DX151" i="1"/>
  <c r="DW151" i="1"/>
  <c r="DV151" i="1"/>
  <c r="DU151" i="1"/>
  <c r="DQ151" i="1"/>
  <c r="DP151" i="1"/>
  <c r="DO151" i="1"/>
  <c r="DM151" i="1"/>
  <c r="DL151" i="1"/>
  <c r="DK151" i="1"/>
  <c r="DJ151" i="1"/>
  <c r="DF151" i="1"/>
  <c r="DE151" i="1"/>
  <c r="DD151" i="1"/>
  <c r="DB151" i="1"/>
  <c r="DA151" i="1"/>
  <c r="CZ151" i="1"/>
  <c r="CY151" i="1"/>
  <c r="CU151" i="1"/>
  <c r="CT151" i="1"/>
  <c r="CS151" i="1"/>
  <c r="CQ151" i="1"/>
  <c r="CP151" i="1"/>
  <c r="CO151" i="1"/>
  <c r="CN151" i="1"/>
  <c r="CJ151" i="1"/>
  <c r="CI151" i="1"/>
  <c r="CH151" i="1"/>
  <c r="CF151" i="1"/>
  <c r="CE151" i="1"/>
  <c r="CD151" i="1"/>
  <c r="CC151" i="1"/>
  <c r="BY151" i="1"/>
  <c r="BX151" i="1"/>
  <c r="BW151" i="1"/>
  <c r="BU151" i="1"/>
  <c r="BT151" i="1"/>
  <c r="BS151" i="1"/>
  <c r="BR151" i="1"/>
  <c r="BN151" i="1"/>
  <c r="BM151" i="1"/>
  <c r="BL151" i="1"/>
  <c r="BJ151" i="1"/>
  <c r="BI151" i="1"/>
  <c r="BH151" i="1"/>
  <c r="BG151" i="1"/>
  <c r="BC151" i="1"/>
  <c r="BB151" i="1"/>
  <c r="BA151" i="1"/>
  <c r="AY151" i="1"/>
  <c r="AX151" i="1"/>
  <c r="AW151" i="1"/>
  <c r="AV151" i="1"/>
  <c r="AR151" i="1"/>
  <c r="AQ151" i="1"/>
  <c r="AP151" i="1"/>
  <c r="AN151" i="1"/>
  <c r="AM151" i="1"/>
  <c r="AL151" i="1"/>
  <c r="AK151" i="1"/>
  <c r="AG151" i="1"/>
  <c r="AF151" i="1"/>
  <c r="AE151" i="1"/>
  <c r="AC151" i="1"/>
  <c r="AB151" i="1"/>
  <c r="AA151" i="1"/>
  <c r="Z151" i="1"/>
  <c r="V151" i="1"/>
  <c r="U151" i="1"/>
  <c r="T151" i="1"/>
  <c r="R151" i="1"/>
  <c r="Q151" i="1"/>
  <c r="P151" i="1"/>
  <c r="O151" i="1"/>
  <c r="K151" i="1"/>
  <c r="J151" i="1"/>
  <c r="I151" i="1"/>
  <c r="F151" i="1"/>
  <c r="E151" i="1"/>
  <c r="D151" i="1"/>
  <c r="C151" i="1"/>
  <c r="EY150" i="1"/>
  <c r="EN150" i="1"/>
  <c r="EC150" i="1"/>
  <c r="DR150" i="1"/>
  <c r="DG150" i="1"/>
  <c r="CV150" i="1"/>
  <c r="CK150" i="1"/>
  <c r="BZ150" i="1"/>
  <c r="BO150" i="1"/>
  <c r="BD150" i="1"/>
  <c r="AS150" i="1"/>
  <c r="AH150" i="1"/>
  <c r="W150" i="1"/>
  <c r="L150" i="1"/>
  <c r="EN148" i="1"/>
  <c r="EC148" i="1"/>
  <c r="DR148" i="1"/>
  <c r="DG148" i="1"/>
  <c r="CV148" i="1"/>
  <c r="CK148" i="1"/>
  <c r="BZ148" i="1"/>
  <c r="BO148" i="1"/>
  <c r="BD148" i="1"/>
  <c r="AS148" i="1"/>
  <c r="AH148" i="1"/>
  <c r="W148" i="1"/>
  <c r="L148" i="1"/>
  <c r="EN147" i="1"/>
  <c r="EC147" i="1"/>
  <c r="DR147" i="1"/>
  <c r="DG147" i="1"/>
  <c r="CV147" i="1"/>
  <c r="CK147" i="1"/>
  <c r="BZ147" i="1"/>
  <c r="BO147" i="1"/>
  <c r="BD147" i="1"/>
  <c r="AS147" i="1"/>
  <c r="AH147" i="1"/>
  <c r="W147" i="1"/>
  <c r="L147" i="1"/>
  <c r="EN146" i="1"/>
  <c r="EC146" i="1"/>
  <c r="DR146" i="1"/>
  <c r="DG146" i="1"/>
  <c r="CV146" i="1"/>
  <c r="CK146" i="1"/>
  <c r="BZ146" i="1"/>
  <c r="BO146" i="1"/>
  <c r="BD146" i="1"/>
  <c r="AS146" i="1"/>
  <c r="AH146" i="1"/>
  <c r="W146" i="1"/>
  <c r="L146" i="1"/>
  <c r="EN145" i="1"/>
  <c r="EC145" i="1"/>
  <c r="DR145" i="1"/>
  <c r="DG145" i="1"/>
  <c r="CV145" i="1"/>
  <c r="CK145" i="1"/>
  <c r="BZ145" i="1"/>
  <c r="BO145" i="1"/>
  <c r="BD145" i="1"/>
  <c r="AS145" i="1"/>
  <c r="AH145" i="1"/>
  <c r="W145" i="1"/>
  <c r="L145" i="1"/>
  <c r="EN144" i="1"/>
  <c r="EC144" i="1"/>
  <c r="DR144" i="1"/>
  <c r="DG144" i="1"/>
  <c r="CV144" i="1"/>
  <c r="CK144" i="1"/>
  <c r="BZ144" i="1"/>
  <c r="BO144" i="1"/>
  <c r="BD144" i="1"/>
  <c r="AS144" i="1"/>
  <c r="AH144" i="1"/>
  <c r="W144" i="1"/>
  <c r="L144" i="1"/>
  <c r="EN143" i="1"/>
  <c r="EC143" i="1"/>
  <c r="DR143" i="1"/>
  <c r="DG143" i="1"/>
  <c r="CV143" i="1"/>
  <c r="CK143" i="1"/>
  <c r="BZ143" i="1"/>
  <c r="BO143" i="1"/>
  <c r="BD143" i="1"/>
  <c r="AS143" i="1"/>
  <c r="AH143" i="1"/>
  <c r="W143" i="1"/>
  <c r="L143" i="1"/>
  <c r="EN142" i="1"/>
  <c r="EC142" i="1"/>
  <c r="DR142" i="1"/>
  <c r="DG142" i="1"/>
  <c r="CV142" i="1"/>
  <c r="CK142" i="1"/>
  <c r="BZ142" i="1"/>
  <c r="BO142" i="1"/>
  <c r="BD142" i="1"/>
  <c r="AS142" i="1"/>
  <c r="AH142" i="1"/>
  <c r="W142" i="1"/>
  <c r="L142" i="1"/>
  <c r="EN141" i="1"/>
  <c r="EC141" i="1"/>
  <c r="DR141" i="1"/>
  <c r="DG141" i="1"/>
  <c r="CV141" i="1"/>
  <c r="CK141" i="1"/>
  <c r="BZ141" i="1"/>
  <c r="BO141" i="1"/>
  <c r="BD141" i="1"/>
  <c r="AS141" i="1"/>
  <c r="AH141" i="1"/>
  <c r="W141" i="1"/>
  <c r="L141" i="1"/>
  <c r="EN140" i="1"/>
  <c r="EC140" i="1"/>
  <c r="DR140" i="1"/>
  <c r="DG140" i="1"/>
  <c r="CV140" i="1"/>
  <c r="CK140" i="1"/>
  <c r="BZ140" i="1"/>
  <c r="BO140" i="1"/>
  <c r="BD140" i="1"/>
  <c r="AS140" i="1"/>
  <c r="AH140" i="1"/>
  <c r="W140" i="1"/>
  <c r="L140" i="1"/>
  <c r="EN139" i="1"/>
  <c r="EC139" i="1"/>
  <c r="DR139" i="1"/>
  <c r="DG139" i="1"/>
  <c r="CV139" i="1"/>
  <c r="CK139" i="1"/>
  <c r="BZ139" i="1"/>
  <c r="BO139" i="1"/>
  <c r="BD139" i="1"/>
  <c r="AS139" i="1"/>
  <c r="AH139" i="1"/>
  <c r="W139" i="1"/>
  <c r="L139" i="1"/>
  <c r="EN138" i="1"/>
  <c r="EC138" i="1"/>
  <c r="DR138" i="1"/>
  <c r="DG138" i="1"/>
  <c r="CV138" i="1"/>
  <c r="CK138" i="1"/>
  <c r="BZ138" i="1"/>
  <c r="BO138" i="1"/>
  <c r="BD138" i="1"/>
  <c r="AS138" i="1"/>
  <c r="AH138" i="1"/>
  <c r="W138" i="1"/>
  <c r="L138" i="1"/>
  <c r="EN137" i="1"/>
  <c r="EC137" i="1"/>
  <c r="DR137" i="1"/>
  <c r="DG137" i="1"/>
  <c r="CV137" i="1"/>
  <c r="CK137" i="1"/>
  <c r="BZ137" i="1"/>
  <c r="BO137" i="1"/>
  <c r="BD137" i="1"/>
  <c r="AS137" i="1"/>
  <c r="AH137" i="1"/>
  <c r="W137" i="1"/>
  <c r="L137" i="1"/>
  <c r="EN136" i="1"/>
  <c r="EC136" i="1"/>
  <c r="DR136" i="1"/>
  <c r="DG136" i="1"/>
  <c r="CV136" i="1"/>
  <c r="CK136" i="1"/>
  <c r="BZ136" i="1"/>
  <c r="BO136" i="1"/>
  <c r="BD136" i="1"/>
  <c r="AS136" i="1"/>
  <c r="AH136" i="1"/>
  <c r="W136" i="1"/>
  <c r="L136" i="1"/>
  <c r="EN135" i="1"/>
  <c r="EC135" i="1"/>
  <c r="DR135" i="1"/>
  <c r="DG135" i="1"/>
  <c r="CV135" i="1"/>
  <c r="CK135" i="1"/>
  <c r="BZ135" i="1"/>
  <c r="BO135" i="1"/>
  <c r="BD135" i="1"/>
  <c r="AS135" i="1"/>
  <c r="AH135" i="1"/>
  <c r="W135" i="1"/>
  <c r="L135" i="1"/>
  <c r="EN134" i="1"/>
  <c r="EC134" i="1"/>
  <c r="DR134" i="1"/>
  <c r="DG134" i="1"/>
  <c r="CV134" i="1"/>
  <c r="CK134" i="1"/>
  <c r="BZ134" i="1"/>
  <c r="BO134" i="1"/>
  <c r="BD134" i="1"/>
  <c r="AS134" i="1"/>
  <c r="AH134" i="1"/>
  <c r="W134" i="1"/>
  <c r="L134" i="1"/>
  <c r="EN133" i="1"/>
  <c r="EC133" i="1"/>
  <c r="DR133" i="1"/>
  <c r="DG133" i="1"/>
  <c r="CV133" i="1"/>
  <c r="CK133" i="1"/>
  <c r="BZ133" i="1"/>
  <c r="BO133" i="1"/>
  <c r="BD133" i="1"/>
  <c r="AS133" i="1"/>
  <c r="AH133" i="1"/>
  <c r="W133" i="1"/>
  <c r="L133" i="1"/>
  <c r="EN132" i="1"/>
  <c r="EC132" i="1"/>
  <c r="DR132" i="1"/>
  <c r="DG132" i="1"/>
  <c r="CV132" i="1"/>
  <c r="CK132" i="1"/>
  <c r="BZ132" i="1"/>
  <c r="BO132" i="1"/>
  <c r="BD132" i="1"/>
  <c r="AS132" i="1"/>
  <c r="AH132" i="1"/>
  <c r="W132" i="1"/>
  <c r="L132" i="1"/>
  <c r="EN131" i="1"/>
  <c r="EC131" i="1"/>
  <c r="DR131" i="1"/>
  <c r="DG131" i="1"/>
  <c r="CV131" i="1"/>
  <c r="CK131" i="1"/>
  <c r="BZ131" i="1"/>
  <c r="BO131" i="1"/>
  <c r="BD131" i="1"/>
  <c r="AS131" i="1"/>
  <c r="AH131" i="1"/>
  <c r="W131" i="1"/>
  <c r="L131" i="1"/>
  <c r="EN130" i="1"/>
  <c r="EC130" i="1"/>
  <c r="DR130" i="1"/>
  <c r="DG130" i="1"/>
  <c r="CV130" i="1"/>
  <c r="CK130" i="1"/>
  <c r="BZ130" i="1"/>
  <c r="BO130" i="1"/>
  <c r="BD130" i="1"/>
  <c r="AS130" i="1"/>
  <c r="AH130" i="1"/>
  <c r="W130" i="1"/>
  <c r="L130" i="1"/>
  <c r="EN129" i="1"/>
  <c r="EC129" i="1"/>
  <c r="DR129" i="1"/>
  <c r="DG129" i="1"/>
  <c r="CV129" i="1"/>
  <c r="CK129" i="1"/>
  <c r="BZ129" i="1"/>
  <c r="BO129" i="1"/>
  <c r="BD129" i="1"/>
  <c r="AS129" i="1"/>
  <c r="AH129" i="1"/>
  <c r="W129" i="1"/>
  <c r="L129" i="1"/>
  <c r="EN128" i="1"/>
  <c r="EC128" i="1"/>
  <c r="DR128" i="1"/>
  <c r="DG128" i="1"/>
  <c r="CV128" i="1"/>
  <c r="CK128" i="1"/>
  <c r="BZ128" i="1"/>
  <c r="BO128" i="1"/>
  <c r="BD128" i="1"/>
  <c r="AS128" i="1"/>
  <c r="AH128" i="1"/>
  <c r="W128" i="1"/>
  <c r="L128" i="1"/>
  <c r="EN127" i="1"/>
  <c r="EC127" i="1"/>
  <c r="DR127" i="1"/>
  <c r="DG127" i="1"/>
  <c r="CV127" i="1"/>
  <c r="CK127" i="1"/>
  <c r="BZ127" i="1"/>
  <c r="BO127" i="1"/>
  <c r="BD127" i="1"/>
  <c r="AS127" i="1"/>
  <c r="AH127" i="1"/>
  <c r="W127" i="1"/>
  <c r="L127" i="1"/>
  <c r="EN126" i="1"/>
  <c r="EC126" i="1"/>
  <c r="DR126" i="1"/>
  <c r="DG126" i="1"/>
  <c r="CV126" i="1"/>
  <c r="CK126" i="1"/>
  <c r="BZ126" i="1"/>
  <c r="BO126" i="1"/>
  <c r="BD126" i="1"/>
  <c r="AS126" i="1"/>
  <c r="AH126" i="1"/>
  <c r="W126" i="1"/>
  <c r="L126" i="1"/>
  <c r="EN125" i="1"/>
  <c r="EC125" i="1"/>
  <c r="DR125" i="1"/>
  <c r="DG125" i="1"/>
  <c r="CV125" i="1"/>
  <c r="CK125" i="1"/>
  <c r="BZ125" i="1"/>
  <c r="BO125" i="1"/>
  <c r="BD125" i="1"/>
  <c r="AS125" i="1"/>
  <c r="AH125" i="1"/>
  <c r="W125" i="1"/>
  <c r="L125" i="1"/>
  <c r="EN124" i="1"/>
  <c r="EC124" i="1"/>
  <c r="DR124" i="1"/>
  <c r="DG124" i="1"/>
  <c r="CV124" i="1"/>
  <c r="CK124" i="1"/>
  <c r="BZ124" i="1"/>
  <c r="BO124" i="1"/>
  <c r="BD124" i="1"/>
  <c r="AS124" i="1"/>
  <c r="AH124" i="1"/>
  <c r="W124" i="1"/>
  <c r="L124" i="1"/>
  <c r="EN123" i="1"/>
  <c r="EC123" i="1"/>
  <c r="DR123" i="1"/>
  <c r="DG123" i="1"/>
  <c r="CV123" i="1"/>
  <c r="CK123" i="1"/>
  <c r="BZ123" i="1"/>
  <c r="BO123" i="1"/>
  <c r="BD123" i="1"/>
  <c r="AS123" i="1"/>
  <c r="AH123" i="1"/>
  <c r="W123" i="1"/>
  <c r="L123" i="1"/>
  <c r="EN122" i="1"/>
  <c r="EC122" i="1"/>
  <c r="DR122" i="1"/>
  <c r="DG122" i="1"/>
  <c r="CV122" i="1"/>
  <c r="CK122" i="1"/>
  <c r="BZ122" i="1"/>
  <c r="BO122" i="1"/>
  <c r="BD122" i="1"/>
  <c r="AS122" i="1"/>
  <c r="AH122" i="1"/>
  <c r="W122" i="1"/>
  <c r="L122" i="1"/>
  <c r="EN121" i="1"/>
  <c r="EC121" i="1"/>
  <c r="DR121" i="1"/>
  <c r="DG121" i="1"/>
  <c r="CV121" i="1"/>
  <c r="CK121" i="1"/>
  <c r="BZ121" i="1"/>
  <c r="BO121" i="1"/>
  <c r="BD121" i="1"/>
  <c r="AS121" i="1"/>
  <c r="AH121" i="1"/>
  <c r="W121" i="1"/>
  <c r="L121" i="1"/>
  <c r="EN120" i="1"/>
  <c r="EC120" i="1"/>
  <c r="DR120" i="1"/>
  <c r="DG120" i="1"/>
  <c r="CV120" i="1"/>
  <c r="CK120" i="1"/>
  <c r="BZ120" i="1"/>
  <c r="BO120" i="1"/>
  <c r="BD120" i="1"/>
  <c r="AS120" i="1"/>
  <c r="AH120" i="1"/>
  <c r="W120" i="1"/>
  <c r="EX112" i="1"/>
  <c r="EW112" i="1"/>
  <c r="EV112" i="1"/>
  <c r="ET112" i="1"/>
  <c r="ES112" i="1"/>
  <c r="ER112" i="1"/>
  <c r="EQ112" i="1"/>
  <c r="EM112" i="1"/>
  <c r="EL112" i="1"/>
  <c r="EK112" i="1"/>
  <c r="EI112" i="1"/>
  <c r="EH112" i="1"/>
  <c r="EG112" i="1"/>
  <c r="EF112" i="1"/>
  <c r="EB112" i="1"/>
  <c r="EA112" i="1"/>
  <c r="DZ112" i="1"/>
  <c r="DX112" i="1"/>
  <c r="DW112" i="1"/>
  <c r="DV112" i="1"/>
  <c r="DU112" i="1"/>
  <c r="DQ112" i="1"/>
  <c r="DP112" i="1"/>
  <c r="DO112" i="1"/>
  <c r="DM112" i="1"/>
  <c r="DL112" i="1"/>
  <c r="DK112" i="1"/>
  <c r="DJ112" i="1"/>
  <c r="DF112" i="1"/>
  <c r="DE112" i="1"/>
  <c r="DD112" i="1"/>
  <c r="DB112" i="1"/>
  <c r="DA112" i="1"/>
  <c r="CZ112" i="1"/>
  <c r="CY112" i="1"/>
  <c r="CU112" i="1"/>
  <c r="CT112" i="1"/>
  <c r="CS112" i="1"/>
  <c r="CQ112" i="1"/>
  <c r="CP112" i="1"/>
  <c r="CO112" i="1"/>
  <c r="CN112" i="1"/>
  <c r="CJ112" i="1"/>
  <c r="CI112" i="1"/>
  <c r="CH112" i="1"/>
  <c r="CF112" i="1"/>
  <c r="CE112" i="1"/>
  <c r="CD112" i="1"/>
  <c r="CC112" i="1"/>
  <c r="BY112" i="1"/>
  <c r="BX112" i="1"/>
  <c r="BW112" i="1"/>
  <c r="BU112" i="1"/>
  <c r="BT112" i="1"/>
  <c r="BS112" i="1"/>
  <c r="BR112" i="1"/>
  <c r="BN112" i="1"/>
  <c r="BM112" i="1"/>
  <c r="BL112" i="1"/>
  <c r="BJ112" i="1"/>
  <c r="BI112" i="1"/>
  <c r="BH112" i="1"/>
  <c r="BG112" i="1"/>
  <c r="BC112" i="1"/>
  <c r="BB112" i="1"/>
  <c r="BA112" i="1"/>
  <c r="AY112" i="1"/>
  <c r="AX112" i="1"/>
  <c r="AW112" i="1"/>
  <c r="AV112" i="1"/>
  <c r="AR112" i="1"/>
  <c r="AQ112" i="1"/>
  <c r="AP112" i="1"/>
  <c r="AN112" i="1"/>
  <c r="AM112" i="1"/>
  <c r="AL112" i="1"/>
  <c r="AK112" i="1"/>
  <c r="AG112" i="1"/>
  <c r="AF112" i="1"/>
  <c r="AE112" i="1"/>
  <c r="AC112" i="1"/>
  <c r="AB112" i="1"/>
  <c r="AA112" i="1"/>
  <c r="Z112" i="1"/>
  <c r="V112" i="1"/>
  <c r="U112" i="1"/>
  <c r="T112" i="1"/>
  <c r="R112" i="1"/>
  <c r="Q112" i="1"/>
  <c r="P112" i="1"/>
  <c r="O112" i="1"/>
  <c r="K112" i="1"/>
  <c r="J112" i="1"/>
  <c r="I112" i="1"/>
  <c r="F112" i="1"/>
  <c r="E112" i="1"/>
  <c r="D112" i="1"/>
  <c r="C112" i="1"/>
  <c r="EN111" i="1"/>
  <c r="EC111" i="1"/>
  <c r="DR111" i="1"/>
  <c r="DG111" i="1"/>
  <c r="CV111" i="1"/>
  <c r="CK111" i="1"/>
  <c r="BZ111" i="1"/>
  <c r="BO111" i="1"/>
  <c r="BD111" i="1"/>
  <c r="AS111" i="1"/>
  <c r="AH111" i="1"/>
  <c r="W111" i="1"/>
  <c r="L111" i="1"/>
  <c r="EN110" i="1"/>
  <c r="EC110" i="1"/>
  <c r="DR110" i="1"/>
  <c r="DG110" i="1"/>
  <c r="CV110" i="1"/>
  <c r="CK110" i="1"/>
  <c r="BZ110" i="1"/>
  <c r="BO110" i="1"/>
  <c r="BD110" i="1"/>
  <c r="AS110" i="1"/>
  <c r="AH110" i="1"/>
  <c r="W110" i="1"/>
  <c r="L110" i="1"/>
  <c r="EN109" i="1"/>
  <c r="EC109" i="1"/>
  <c r="DR109" i="1"/>
  <c r="DG109" i="1"/>
  <c r="CV109" i="1"/>
  <c r="CK109" i="1"/>
  <c r="BZ109" i="1"/>
  <c r="BO109" i="1"/>
  <c r="BD109" i="1"/>
  <c r="AS109" i="1"/>
  <c r="AH109" i="1"/>
  <c r="W109" i="1"/>
  <c r="L109" i="1"/>
  <c r="EN108" i="1"/>
  <c r="EC108" i="1"/>
  <c r="DR108" i="1"/>
  <c r="DG108" i="1"/>
  <c r="CV108" i="1"/>
  <c r="CK108" i="1"/>
  <c r="BZ108" i="1"/>
  <c r="BO108" i="1"/>
  <c r="BD108" i="1"/>
  <c r="AS108" i="1"/>
  <c r="AH108" i="1"/>
  <c r="W108" i="1"/>
  <c r="L108" i="1"/>
  <c r="EN107" i="1"/>
  <c r="EC107" i="1"/>
  <c r="DR107" i="1"/>
  <c r="DG107" i="1"/>
  <c r="CV107" i="1"/>
  <c r="CK107" i="1"/>
  <c r="BZ107" i="1"/>
  <c r="BO107" i="1"/>
  <c r="BD107" i="1"/>
  <c r="AS107" i="1"/>
  <c r="AH107" i="1"/>
  <c r="W107" i="1"/>
  <c r="L107" i="1"/>
  <c r="EN106" i="1"/>
  <c r="EC106" i="1"/>
  <c r="DR106" i="1"/>
  <c r="DG106" i="1"/>
  <c r="CV106" i="1"/>
  <c r="CK106" i="1"/>
  <c r="BZ106" i="1"/>
  <c r="BO106" i="1"/>
  <c r="BD106" i="1"/>
  <c r="AS106" i="1"/>
  <c r="AH106" i="1"/>
  <c r="W106" i="1"/>
  <c r="L106" i="1"/>
  <c r="EN105" i="1"/>
  <c r="EC105" i="1"/>
  <c r="DR105" i="1"/>
  <c r="DG105" i="1"/>
  <c r="CV105" i="1"/>
  <c r="CK105" i="1"/>
  <c r="BZ105" i="1"/>
  <c r="BO105" i="1"/>
  <c r="BD105" i="1"/>
  <c r="AS105" i="1"/>
  <c r="AH105" i="1"/>
  <c r="W105" i="1"/>
  <c r="L105" i="1"/>
  <c r="EN104" i="1"/>
  <c r="EC104" i="1"/>
  <c r="DR104" i="1"/>
  <c r="DG104" i="1"/>
  <c r="CV104" i="1"/>
  <c r="CK104" i="1"/>
  <c r="BZ104" i="1"/>
  <c r="BO104" i="1"/>
  <c r="BD104" i="1"/>
  <c r="AS104" i="1"/>
  <c r="AH104" i="1"/>
  <c r="W104" i="1"/>
  <c r="L104" i="1"/>
  <c r="EN103" i="1"/>
  <c r="EC103" i="1"/>
  <c r="DR103" i="1"/>
  <c r="DG103" i="1"/>
  <c r="CV103" i="1"/>
  <c r="CK103" i="1"/>
  <c r="BZ103" i="1"/>
  <c r="BO103" i="1"/>
  <c r="BD103" i="1"/>
  <c r="AS103" i="1"/>
  <c r="AH103" i="1"/>
  <c r="W103" i="1"/>
  <c r="L103" i="1"/>
  <c r="EN102" i="1"/>
  <c r="EC102" i="1"/>
  <c r="DR102" i="1"/>
  <c r="DG102" i="1"/>
  <c r="CV102" i="1"/>
  <c r="CK102" i="1"/>
  <c r="BZ102" i="1"/>
  <c r="BO102" i="1"/>
  <c r="BD102" i="1"/>
  <c r="AS102" i="1"/>
  <c r="AH102" i="1"/>
  <c r="W102" i="1"/>
  <c r="L102" i="1"/>
  <c r="EN101" i="1"/>
  <c r="EC101" i="1"/>
  <c r="DR101" i="1"/>
  <c r="DG101" i="1"/>
  <c r="CV101" i="1"/>
  <c r="CK101" i="1"/>
  <c r="BZ101" i="1"/>
  <c r="BO101" i="1"/>
  <c r="BD101" i="1"/>
  <c r="AS101" i="1"/>
  <c r="AH101" i="1"/>
  <c r="W101" i="1"/>
  <c r="L101" i="1"/>
  <c r="EN100" i="1"/>
  <c r="EC100" i="1"/>
  <c r="DR100" i="1"/>
  <c r="DG100" i="1"/>
  <c r="CV100" i="1"/>
  <c r="CK100" i="1"/>
  <c r="BZ100" i="1"/>
  <c r="BO100" i="1"/>
  <c r="BD100" i="1"/>
  <c r="AS100" i="1"/>
  <c r="AH100" i="1"/>
  <c r="W100" i="1"/>
  <c r="L100" i="1"/>
  <c r="EN99" i="1"/>
  <c r="EC99" i="1"/>
  <c r="DR99" i="1"/>
  <c r="DG99" i="1"/>
  <c r="CV99" i="1"/>
  <c r="CK99" i="1"/>
  <c r="BZ99" i="1"/>
  <c r="BO99" i="1"/>
  <c r="BD99" i="1"/>
  <c r="AS99" i="1"/>
  <c r="AH99" i="1"/>
  <c r="W99" i="1"/>
  <c r="L99" i="1"/>
  <c r="EN98" i="1"/>
  <c r="EC98" i="1"/>
  <c r="DR98" i="1"/>
  <c r="DG98" i="1"/>
  <c r="CV98" i="1"/>
  <c r="CK98" i="1"/>
  <c r="BZ98" i="1"/>
  <c r="BO98" i="1"/>
  <c r="BD98" i="1"/>
  <c r="AS98" i="1"/>
  <c r="AH98" i="1"/>
  <c r="W98" i="1"/>
  <c r="L98" i="1"/>
  <c r="EN97" i="1"/>
  <c r="EC97" i="1"/>
  <c r="DR97" i="1"/>
  <c r="DG97" i="1"/>
  <c r="CV97" i="1"/>
  <c r="CK97" i="1"/>
  <c r="BZ97" i="1"/>
  <c r="BO97" i="1"/>
  <c r="BD97" i="1"/>
  <c r="AS97" i="1"/>
  <c r="AH97" i="1"/>
  <c r="W97" i="1"/>
  <c r="L97" i="1"/>
  <c r="EN96" i="1"/>
  <c r="EC96" i="1"/>
  <c r="DR96" i="1"/>
  <c r="DG96" i="1"/>
  <c r="CV96" i="1"/>
  <c r="CK96" i="1"/>
  <c r="BZ96" i="1"/>
  <c r="BO96" i="1"/>
  <c r="BD96" i="1"/>
  <c r="AS96" i="1"/>
  <c r="AH96" i="1"/>
  <c r="W96" i="1"/>
  <c r="L96" i="1"/>
  <c r="EN95" i="1"/>
  <c r="EC95" i="1"/>
  <c r="DR95" i="1"/>
  <c r="DG95" i="1"/>
  <c r="CV95" i="1"/>
  <c r="CK95" i="1"/>
  <c r="BZ95" i="1"/>
  <c r="BO95" i="1"/>
  <c r="BD95" i="1"/>
  <c r="AS95" i="1"/>
  <c r="AH95" i="1"/>
  <c r="W95" i="1"/>
  <c r="L95" i="1"/>
  <c r="EN94" i="1"/>
  <c r="EC94" i="1"/>
  <c r="DR94" i="1"/>
  <c r="DG94" i="1"/>
  <c r="CV94" i="1"/>
  <c r="CK94" i="1"/>
  <c r="BZ94" i="1"/>
  <c r="BO94" i="1"/>
  <c r="BD94" i="1"/>
  <c r="AS94" i="1"/>
  <c r="AH94" i="1"/>
  <c r="W94" i="1"/>
  <c r="L94" i="1"/>
  <c r="EN93" i="1"/>
  <c r="EC93" i="1"/>
  <c r="DR93" i="1"/>
  <c r="DG93" i="1"/>
  <c r="CV93" i="1"/>
  <c r="CK93" i="1"/>
  <c r="BZ93" i="1"/>
  <c r="BO93" i="1"/>
  <c r="BD93" i="1"/>
  <c r="AS93" i="1"/>
  <c r="AH93" i="1"/>
  <c r="W93" i="1"/>
  <c r="L93" i="1"/>
  <c r="EN92" i="1"/>
  <c r="EC92" i="1"/>
  <c r="DR92" i="1"/>
  <c r="DG92" i="1"/>
  <c r="CV92" i="1"/>
  <c r="CK92" i="1"/>
  <c r="BZ92" i="1"/>
  <c r="BO92" i="1"/>
  <c r="BD92" i="1"/>
  <c r="AS92" i="1"/>
  <c r="AH92" i="1"/>
  <c r="W92" i="1"/>
  <c r="L92" i="1"/>
  <c r="EN91" i="1"/>
  <c r="EC91" i="1"/>
  <c r="DR91" i="1"/>
  <c r="DG91" i="1"/>
  <c r="CV91" i="1"/>
  <c r="CK91" i="1"/>
  <c r="BZ91" i="1"/>
  <c r="BO91" i="1"/>
  <c r="BD91" i="1"/>
  <c r="AS91" i="1"/>
  <c r="AH91" i="1"/>
  <c r="W91" i="1"/>
  <c r="L91" i="1"/>
  <c r="EN90" i="1"/>
  <c r="EC90" i="1"/>
  <c r="DR90" i="1"/>
  <c r="DG90" i="1"/>
  <c r="CV90" i="1"/>
  <c r="CK90" i="1"/>
  <c r="BZ90" i="1"/>
  <c r="BO90" i="1"/>
  <c r="BD90" i="1"/>
  <c r="AS90" i="1"/>
  <c r="AH90" i="1"/>
  <c r="W90" i="1"/>
  <c r="L90" i="1"/>
  <c r="EN89" i="1"/>
  <c r="EC89" i="1"/>
  <c r="DR89" i="1"/>
  <c r="DG89" i="1"/>
  <c r="CV89" i="1"/>
  <c r="CK89" i="1"/>
  <c r="BZ89" i="1"/>
  <c r="BO89" i="1"/>
  <c r="BD89" i="1"/>
  <c r="AS89" i="1"/>
  <c r="AH89" i="1"/>
  <c r="W89" i="1"/>
  <c r="L89" i="1"/>
  <c r="EN88" i="1"/>
  <c r="EC88" i="1"/>
  <c r="DR88" i="1"/>
  <c r="DG88" i="1"/>
  <c r="CV88" i="1"/>
  <c r="CK88" i="1"/>
  <c r="BZ88" i="1"/>
  <c r="BO88" i="1"/>
  <c r="BD88" i="1"/>
  <c r="AS88" i="1"/>
  <c r="AH88" i="1"/>
  <c r="W88" i="1"/>
  <c r="L88" i="1"/>
  <c r="EN87" i="1"/>
  <c r="EC87" i="1"/>
  <c r="DR87" i="1"/>
  <c r="DG87" i="1"/>
  <c r="CV87" i="1"/>
  <c r="CK87" i="1"/>
  <c r="BZ87" i="1"/>
  <c r="BO87" i="1"/>
  <c r="BD87" i="1"/>
  <c r="AS87" i="1"/>
  <c r="AH87" i="1"/>
  <c r="W87" i="1"/>
  <c r="L87" i="1"/>
  <c r="EN86" i="1"/>
  <c r="EC86" i="1"/>
  <c r="DR86" i="1"/>
  <c r="DG86" i="1"/>
  <c r="CV86" i="1"/>
  <c r="CK86" i="1"/>
  <c r="BZ86" i="1"/>
  <c r="BO86" i="1"/>
  <c r="BD86" i="1"/>
  <c r="AS86" i="1"/>
  <c r="AH86" i="1"/>
  <c r="W86" i="1"/>
  <c r="L86" i="1"/>
  <c r="EN85" i="1"/>
  <c r="EC85" i="1"/>
  <c r="DR85" i="1"/>
  <c r="DG85" i="1"/>
  <c r="CV85" i="1"/>
  <c r="CK85" i="1"/>
  <c r="BZ85" i="1"/>
  <c r="BO85" i="1"/>
  <c r="BD85" i="1"/>
  <c r="AS85" i="1"/>
  <c r="AH85" i="1"/>
  <c r="W85" i="1"/>
  <c r="L85" i="1"/>
  <c r="EN84" i="1"/>
  <c r="EC84" i="1"/>
  <c r="DR84" i="1"/>
  <c r="DG84" i="1"/>
  <c r="CV84" i="1"/>
  <c r="CK84" i="1"/>
  <c r="BZ84" i="1"/>
  <c r="BO84" i="1"/>
  <c r="BD84" i="1"/>
  <c r="AS84" i="1"/>
  <c r="AH84" i="1"/>
  <c r="W84" i="1"/>
  <c r="L84" i="1"/>
  <c r="EN83" i="1"/>
  <c r="EC83" i="1"/>
  <c r="DR83" i="1"/>
  <c r="DG83" i="1"/>
  <c r="CV83" i="1"/>
  <c r="CK83" i="1"/>
  <c r="BZ83" i="1"/>
  <c r="BO83" i="1"/>
  <c r="BD83" i="1"/>
  <c r="AS83" i="1"/>
  <c r="AH83" i="1"/>
  <c r="W83" i="1"/>
  <c r="L83" i="1"/>
  <c r="EN82" i="1"/>
  <c r="EC82" i="1"/>
  <c r="DR82" i="1"/>
  <c r="DG82" i="1"/>
  <c r="CV82" i="1"/>
  <c r="CK82" i="1"/>
  <c r="BZ82" i="1"/>
  <c r="BO82" i="1"/>
  <c r="BD82" i="1"/>
  <c r="AS82" i="1"/>
  <c r="AH82" i="1"/>
  <c r="W82" i="1"/>
  <c r="EC151" i="1" l="1"/>
  <c r="AS151" i="1"/>
  <c r="CK151" i="1"/>
  <c r="BO151" i="1"/>
  <c r="BZ151" i="1"/>
  <c r="BD151" i="1"/>
  <c r="EC112" i="1"/>
  <c r="DG151" i="1"/>
  <c r="DR151" i="1"/>
  <c r="CV151" i="1"/>
  <c r="AH151" i="1"/>
  <c r="EY151" i="1"/>
  <c r="L151" i="1"/>
  <c r="EN151" i="1"/>
  <c r="W151" i="1"/>
  <c r="EY112" i="1"/>
  <c r="AS112" i="1"/>
  <c r="BO112" i="1"/>
  <c r="CV112" i="1"/>
  <c r="CK112" i="1"/>
  <c r="BZ112" i="1"/>
  <c r="BD112" i="1"/>
  <c r="W112" i="1"/>
  <c r="DG112" i="1"/>
  <c r="AH112" i="1"/>
  <c r="DR112" i="1"/>
  <c r="EN112" i="1"/>
  <c r="L112" i="1"/>
  <c r="EX74" i="1" l="1"/>
  <c r="EW74" i="1"/>
  <c r="EV74" i="1"/>
  <c r="ET74" i="1"/>
  <c r="ES74" i="1"/>
  <c r="ER74" i="1"/>
  <c r="EQ74" i="1"/>
  <c r="EM74" i="1"/>
  <c r="EL74" i="1"/>
  <c r="EK74" i="1"/>
  <c r="EI74" i="1"/>
  <c r="EH74" i="1"/>
  <c r="EG74" i="1"/>
  <c r="EF74" i="1"/>
  <c r="EB74" i="1"/>
  <c r="EA74" i="1"/>
  <c r="DZ74" i="1"/>
  <c r="DX74" i="1"/>
  <c r="DW74" i="1"/>
  <c r="DV74" i="1"/>
  <c r="DU74" i="1"/>
  <c r="DQ74" i="1"/>
  <c r="DP74" i="1"/>
  <c r="DO74" i="1"/>
  <c r="DM74" i="1"/>
  <c r="DL74" i="1"/>
  <c r="DK74" i="1"/>
  <c r="DJ74" i="1"/>
  <c r="DF74" i="1"/>
  <c r="DE74" i="1"/>
  <c r="DD74" i="1"/>
  <c r="DB74" i="1"/>
  <c r="DA74" i="1"/>
  <c r="CZ74" i="1"/>
  <c r="CY74" i="1"/>
  <c r="CU74" i="1"/>
  <c r="CT74" i="1"/>
  <c r="CS74" i="1"/>
  <c r="CQ74" i="1"/>
  <c r="CP74" i="1"/>
  <c r="CO74" i="1"/>
  <c r="CN74" i="1"/>
  <c r="CJ74" i="1"/>
  <c r="CI74" i="1"/>
  <c r="CH74" i="1"/>
  <c r="CF74" i="1"/>
  <c r="CE74" i="1"/>
  <c r="CD74" i="1"/>
  <c r="CC74" i="1"/>
  <c r="BY74" i="1"/>
  <c r="BX74" i="1"/>
  <c r="BW74" i="1"/>
  <c r="BU74" i="1"/>
  <c r="BT74" i="1"/>
  <c r="BS74" i="1"/>
  <c r="BR74" i="1"/>
  <c r="BN74" i="1"/>
  <c r="BM74" i="1"/>
  <c r="BL74" i="1"/>
  <c r="BJ74" i="1"/>
  <c r="BI74" i="1"/>
  <c r="BH74" i="1"/>
  <c r="BG74" i="1"/>
  <c r="BC74" i="1"/>
  <c r="BB74" i="1"/>
  <c r="BA74" i="1"/>
  <c r="AY74" i="1"/>
  <c r="AX74" i="1"/>
  <c r="AW74" i="1"/>
  <c r="AV74" i="1"/>
  <c r="AR74" i="1"/>
  <c r="AQ74" i="1"/>
  <c r="AP74" i="1"/>
  <c r="AN74" i="1"/>
  <c r="AM74" i="1"/>
  <c r="AL74" i="1"/>
  <c r="AK74" i="1"/>
  <c r="AG74" i="1"/>
  <c r="AF74" i="1"/>
  <c r="AE74" i="1"/>
  <c r="AC74" i="1"/>
  <c r="AB74" i="1"/>
  <c r="AA74" i="1"/>
  <c r="Z74" i="1"/>
  <c r="V74" i="1"/>
  <c r="U74" i="1"/>
  <c r="T74" i="1"/>
  <c r="R74" i="1"/>
  <c r="Q74" i="1"/>
  <c r="P74" i="1"/>
  <c r="O74" i="1"/>
  <c r="K74" i="1"/>
  <c r="J74" i="1"/>
  <c r="I74" i="1"/>
  <c r="G74" i="1"/>
  <c r="F74" i="1"/>
  <c r="E74" i="1"/>
  <c r="D74" i="1"/>
  <c r="C74" i="1"/>
  <c r="EY73" i="1"/>
  <c r="EN73" i="1"/>
  <c r="EC73" i="1"/>
  <c r="DR73" i="1"/>
  <c r="DG73" i="1"/>
  <c r="CV73" i="1"/>
  <c r="CK73" i="1"/>
  <c r="BZ73" i="1"/>
  <c r="BO73" i="1"/>
  <c r="BD73" i="1"/>
  <c r="AS73" i="1"/>
  <c r="AH73" i="1"/>
  <c r="W73" i="1"/>
  <c r="L73" i="1"/>
  <c r="EY72" i="1"/>
  <c r="EN72" i="1"/>
  <c r="EC72" i="1"/>
  <c r="DR72" i="1"/>
  <c r="DG72" i="1"/>
  <c r="CV72" i="1"/>
  <c r="CK72" i="1"/>
  <c r="BZ72" i="1"/>
  <c r="BO72" i="1"/>
  <c r="BD72" i="1"/>
  <c r="AS72" i="1"/>
  <c r="AH72" i="1"/>
  <c r="W72" i="1"/>
  <c r="L72" i="1"/>
  <c r="EY71" i="1"/>
  <c r="EN71" i="1"/>
  <c r="EC71" i="1"/>
  <c r="DR71" i="1"/>
  <c r="DG71" i="1"/>
  <c r="CV71" i="1"/>
  <c r="CK71" i="1"/>
  <c r="BZ71" i="1"/>
  <c r="BO71" i="1"/>
  <c r="BD71" i="1"/>
  <c r="AS71" i="1"/>
  <c r="AH71" i="1"/>
  <c r="W71" i="1"/>
  <c r="L71" i="1"/>
  <c r="EY70" i="1"/>
  <c r="EN70" i="1"/>
  <c r="EC70" i="1"/>
  <c r="DR70" i="1"/>
  <c r="DG70" i="1"/>
  <c r="CV70" i="1"/>
  <c r="CK70" i="1"/>
  <c r="BZ70" i="1"/>
  <c r="BO70" i="1"/>
  <c r="BD70" i="1"/>
  <c r="AS70" i="1"/>
  <c r="AH70" i="1"/>
  <c r="W70" i="1"/>
  <c r="L70" i="1"/>
  <c r="EY69" i="1"/>
  <c r="EN69" i="1"/>
  <c r="EC69" i="1"/>
  <c r="DR69" i="1"/>
  <c r="DG69" i="1"/>
  <c r="CV69" i="1"/>
  <c r="CK69" i="1"/>
  <c r="BZ69" i="1"/>
  <c r="BO69" i="1"/>
  <c r="BD69" i="1"/>
  <c r="AS69" i="1"/>
  <c r="AH69" i="1"/>
  <c r="W69" i="1"/>
  <c r="L69" i="1"/>
  <c r="EY68" i="1"/>
  <c r="EN68" i="1"/>
  <c r="EC68" i="1"/>
  <c r="DR68" i="1"/>
  <c r="DG68" i="1"/>
  <c r="CV68" i="1"/>
  <c r="CK68" i="1"/>
  <c r="BZ68" i="1"/>
  <c r="BO68" i="1"/>
  <c r="BD68" i="1"/>
  <c r="AS68" i="1"/>
  <c r="AH68" i="1"/>
  <c r="W68" i="1"/>
  <c r="L68" i="1"/>
  <c r="EY67" i="1"/>
  <c r="EN67" i="1"/>
  <c r="EC67" i="1"/>
  <c r="DR67" i="1"/>
  <c r="DG67" i="1"/>
  <c r="CV67" i="1"/>
  <c r="CK67" i="1"/>
  <c r="BZ67" i="1"/>
  <c r="BO67" i="1"/>
  <c r="BD67" i="1"/>
  <c r="AS67" i="1"/>
  <c r="AH67" i="1"/>
  <c r="W67" i="1"/>
  <c r="L67" i="1"/>
  <c r="EY66" i="1"/>
  <c r="EN66" i="1"/>
  <c r="EC66" i="1"/>
  <c r="DR66" i="1"/>
  <c r="DG66" i="1"/>
  <c r="CV66" i="1"/>
  <c r="CK66" i="1"/>
  <c r="BZ66" i="1"/>
  <c r="BO66" i="1"/>
  <c r="BD66" i="1"/>
  <c r="AS66" i="1"/>
  <c r="AH66" i="1"/>
  <c r="W66" i="1"/>
  <c r="L66" i="1"/>
  <c r="EY65" i="1"/>
  <c r="EN65" i="1"/>
  <c r="EC65" i="1"/>
  <c r="DR65" i="1"/>
  <c r="DG65" i="1"/>
  <c r="CV65" i="1"/>
  <c r="CK65" i="1"/>
  <c r="BZ65" i="1"/>
  <c r="BO65" i="1"/>
  <c r="BD65" i="1"/>
  <c r="AS65" i="1"/>
  <c r="AH65" i="1"/>
  <c r="W65" i="1"/>
  <c r="L65" i="1"/>
  <c r="EY64" i="1"/>
  <c r="EN64" i="1"/>
  <c r="EC64" i="1"/>
  <c r="DR64" i="1"/>
  <c r="DG64" i="1"/>
  <c r="CV64" i="1"/>
  <c r="CK64" i="1"/>
  <c r="BZ64" i="1"/>
  <c r="BO64" i="1"/>
  <c r="BD64" i="1"/>
  <c r="AS64" i="1"/>
  <c r="AH64" i="1"/>
  <c r="W64" i="1"/>
  <c r="L64" i="1"/>
  <c r="EY63" i="1"/>
  <c r="EN63" i="1"/>
  <c r="EC63" i="1"/>
  <c r="DR63" i="1"/>
  <c r="DG63" i="1"/>
  <c r="CV63" i="1"/>
  <c r="CK63" i="1"/>
  <c r="BZ63" i="1"/>
  <c r="BO63" i="1"/>
  <c r="BD63" i="1"/>
  <c r="AS63" i="1"/>
  <c r="AH63" i="1"/>
  <c r="W63" i="1"/>
  <c r="L63" i="1"/>
  <c r="EY62" i="1"/>
  <c r="EN62" i="1"/>
  <c r="EC62" i="1"/>
  <c r="DR62" i="1"/>
  <c r="DG62" i="1"/>
  <c r="CV62" i="1"/>
  <c r="CK62" i="1"/>
  <c r="BZ62" i="1"/>
  <c r="BO62" i="1"/>
  <c r="BD62" i="1"/>
  <c r="AS62" i="1"/>
  <c r="AH62" i="1"/>
  <c r="W62" i="1"/>
  <c r="L62" i="1"/>
  <c r="EY61" i="1"/>
  <c r="EN61" i="1"/>
  <c r="EC61" i="1"/>
  <c r="DR61" i="1"/>
  <c r="DG61" i="1"/>
  <c r="CV61" i="1"/>
  <c r="CK61" i="1"/>
  <c r="BZ61" i="1"/>
  <c r="BO61" i="1"/>
  <c r="BD61" i="1"/>
  <c r="AS61" i="1"/>
  <c r="AH61" i="1"/>
  <c r="W61" i="1"/>
  <c r="L61" i="1"/>
  <c r="EY60" i="1"/>
  <c r="EN60" i="1"/>
  <c r="EC60" i="1"/>
  <c r="DR60" i="1"/>
  <c r="DG60" i="1"/>
  <c r="CV60" i="1"/>
  <c r="CK60" i="1"/>
  <c r="BZ60" i="1"/>
  <c r="BO60" i="1"/>
  <c r="BD60" i="1"/>
  <c r="AS60" i="1"/>
  <c r="AH60" i="1"/>
  <c r="W60" i="1"/>
  <c r="L60" i="1"/>
  <c r="EY59" i="1"/>
  <c r="EN59" i="1"/>
  <c r="EC59" i="1"/>
  <c r="DR59" i="1"/>
  <c r="DG59" i="1"/>
  <c r="CV59" i="1"/>
  <c r="CK59" i="1"/>
  <c r="BZ59" i="1"/>
  <c r="BO59" i="1"/>
  <c r="BD59" i="1"/>
  <c r="AS59" i="1"/>
  <c r="AH59" i="1"/>
  <c r="W59" i="1"/>
  <c r="L59" i="1"/>
  <c r="EY58" i="1"/>
  <c r="EN58" i="1"/>
  <c r="EC58" i="1"/>
  <c r="DR58" i="1"/>
  <c r="DG58" i="1"/>
  <c r="CV58" i="1"/>
  <c r="CK58" i="1"/>
  <c r="BZ58" i="1"/>
  <c r="BO58" i="1"/>
  <c r="BD58" i="1"/>
  <c r="AS58" i="1"/>
  <c r="AH58" i="1"/>
  <c r="W58" i="1"/>
  <c r="L58" i="1"/>
  <c r="EY57" i="1"/>
  <c r="EN57" i="1"/>
  <c r="EC57" i="1"/>
  <c r="DR57" i="1"/>
  <c r="DG57" i="1"/>
  <c r="CV57" i="1"/>
  <c r="CK57" i="1"/>
  <c r="BZ57" i="1"/>
  <c r="BO57" i="1"/>
  <c r="BD57" i="1"/>
  <c r="AS57" i="1"/>
  <c r="AH57" i="1"/>
  <c r="W57" i="1"/>
  <c r="L57" i="1"/>
  <c r="EY56" i="1"/>
  <c r="EN56" i="1"/>
  <c r="EC56" i="1"/>
  <c r="DR56" i="1"/>
  <c r="DG56" i="1"/>
  <c r="CV56" i="1"/>
  <c r="CK56" i="1"/>
  <c r="BZ56" i="1"/>
  <c r="BO56" i="1"/>
  <c r="BD56" i="1"/>
  <c r="AS56" i="1"/>
  <c r="AH56" i="1"/>
  <c r="W56" i="1"/>
  <c r="L56" i="1"/>
  <c r="EY55" i="1"/>
  <c r="EN55" i="1"/>
  <c r="EC55" i="1"/>
  <c r="DR55" i="1"/>
  <c r="DG55" i="1"/>
  <c r="CV55" i="1"/>
  <c r="CK55" i="1"/>
  <c r="BZ55" i="1"/>
  <c r="BO55" i="1"/>
  <c r="BD55" i="1"/>
  <c r="AS55" i="1"/>
  <c r="AH55" i="1"/>
  <c r="W55" i="1"/>
  <c r="L55" i="1"/>
  <c r="EY54" i="1"/>
  <c r="EN54" i="1"/>
  <c r="EC54" i="1"/>
  <c r="DR54" i="1"/>
  <c r="DG54" i="1"/>
  <c r="CV54" i="1"/>
  <c r="CK54" i="1"/>
  <c r="BZ54" i="1"/>
  <c r="BO54" i="1"/>
  <c r="BD54" i="1"/>
  <c r="AS54" i="1"/>
  <c r="AH54" i="1"/>
  <c r="W54" i="1"/>
  <c r="L54" i="1"/>
  <c r="EY53" i="1"/>
  <c r="EN53" i="1"/>
  <c r="EC53" i="1"/>
  <c r="DR53" i="1"/>
  <c r="DG53" i="1"/>
  <c r="CV53" i="1"/>
  <c r="CK53" i="1"/>
  <c r="BZ53" i="1"/>
  <c r="BO53" i="1"/>
  <c r="BD53" i="1"/>
  <c r="AS53" i="1"/>
  <c r="AH53" i="1"/>
  <c r="W53" i="1"/>
  <c r="L53" i="1"/>
  <c r="EY52" i="1"/>
  <c r="EN52" i="1"/>
  <c r="EC52" i="1"/>
  <c r="DR52" i="1"/>
  <c r="DG52" i="1"/>
  <c r="CV52" i="1"/>
  <c r="CK52" i="1"/>
  <c r="BZ52" i="1"/>
  <c r="BO52" i="1"/>
  <c r="BD52" i="1"/>
  <c r="AS52" i="1"/>
  <c r="AH52" i="1"/>
  <c r="W52" i="1"/>
  <c r="L52" i="1"/>
  <c r="EY51" i="1"/>
  <c r="EN51" i="1"/>
  <c r="EC51" i="1"/>
  <c r="DR51" i="1"/>
  <c r="DG51" i="1"/>
  <c r="CV51" i="1"/>
  <c r="CK51" i="1"/>
  <c r="BZ51" i="1"/>
  <c r="BO51" i="1"/>
  <c r="BD51" i="1"/>
  <c r="AS51" i="1"/>
  <c r="AH51" i="1"/>
  <c r="W51" i="1"/>
  <c r="L51" i="1"/>
  <c r="EY50" i="1"/>
  <c r="EN50" i="1"/>
  <c r="EC50" i="1"/>
  <c r="DR50" i="1"/>
  <c r="DG50" i="1"/>
  <c r="CV50" i="1"/>
  <c r="CK50" i="1"/>
  <c r="BZ50" i="1"/>
  <c r="BO50" i="1"/>
  <c r="BD50" i="1"/>
  <c r="AS50" i="1"/>
  <c r="AH50" i="1"/>
  <c r="W50" i="1"/>
  <c r="L50" i="1"/>
  <c r="EY49" i="1"/>
  <c r="EN49" i="1"/>
  <c r="EC49" i="1"/>
  <c r="DR49" i="1"/>
  <c r="DG49" i="1"/>
  <c r="CV49" i="1"/>
  <c r="CK49" i="1"/>
  <c r="BZ49" i="1"/>
  <c r="BO49" i="1"/>
  <c r="BD49" i="1"/>
  <c r="AS49" i="1"/>
  <c r="AH49" i="1"/>
  <c r="W49" i="1"/>
  <c r="L49" i="1"/>
  <c r="EY48" i="1"/>
  <c r="EN48" i="1"/>
  <c r="EC48" i="1"/>
  <c r="DR48" i="1"/>
  <c r="DG48" i="1"/>
  <c r="CV48" i="1"/>
  <c r="CK48" i="1"/>
  <c r="BZ48" i="1"/>
  <c r="BO48" i="1"/>
  <c r="BD48" i="1"/>
  <c r="AS48" i="1"/>
  <c r="AH48" i="1"/>
  <c r="W48" i="1"/>
  <c r="L48" i="1"/>
  <c r="EY47" i="1"/>
  <c r="EN47" i="1"/>
  <c r="EC47" i="1"/>
  <c r="DR47" i="1"/>
  <c r="DG47" i="1"/>
  <c r="CV47" i="1"/>
  <c r="CK47" i="1"/>
  <c r="BZ47" i="1"/>
  <c r="BO47" i="1"/>
  <c r="BD47" i="1"/>
  <c r="AS47" i="1"/>
  <c r="AH47" i="1"/>
  <c r="W47" i="1"/>
  <c r="L47" i="1"/>
  <c r="EY46" i="1"/>
  <c r="EN46" i="1"/>
  <c r="EC46" i="1"/>
  <c r="DR46" i="1"/>
  <c r="DG46" i="1"/>
  <c r="CV46" i="1"/>
  <c r="CK46" i="1"/>
  <c r="BZ46" i="1"/>
  <c r="BO46" i="1"/>
  <c r="BD46" i="1"/>
  <c r="AS46" i="1"/>
  <c r="AH46" i="1"/>
  <c r="W46" i="1"/>
  <c r="L46" i="1"/>
  <c r="EY45" i="1"/>
  <c r="EN45" i="1"/>
  <c r="EC45" i="1"/>
  <c r="DR45" i="1"/>
  <c r="DG45" i="1"/>
  <c r="CV45" i="1"/>
  <c r="CK45" i="1"/>
  <c r="BZ45" i="1"/>
  <c r="BO45" i="1"/>
  <c r="BD45" i="1"/>
  <c r="AS45" i="1"/>
  <c r="AH45" i="1"/>
  <c r="W45" i="1"/>
  <c r="L45" i="1"/>
  <c r="EY44" i="1"/>
  <c r="EN44" i="1"/>
  <c r="EC44" i="1"/>
  <c r="DR44" i="1"/>
  <c r="DG44" i="1"/>
  <c r="CV44" i="1"/>
  <c r="CK44" i="1"/>
  <c r="BZ44" i="1"/>
  <c r="BO44" i="1"/>
  <c r="BD44" i="1"/>
  <c r="AS44" i="1"/>
  <c r="AH44" i="1"/>
  <c r="W44" i="1"/>
  <c r="L44" i="1"/>
  <c r="EY43" i="1"/>
  <c r="EN43" i="1"/>
  <c r="EC43" i="1"/>
  <c r="DR43" i="1"/>
  <c r="DG43" i="1"/>
  <c r="CV43" i="1"/>
  <c r="CK43" i="1"/>
  <c r="BZ43" i="1"/>
  <c r="BO43" i="1"/>
  <c r="BD43" i="1"/>
  <c r="AS43" i="1"/>
  <c r="AH43" i="1"/>
  <c r="W43" i="1"/>
  <c r="L43" i="1"/>
  <c r="EX36" i="1"/>
  <c r="EW36" i="1"/>
  <c r="EV36" i="1"/>
  <c r="EM36" i="1"/>
  <c r="EL36" i="1"/>
  <c r="EK36" i="1"/>
  <c r="EB36" i="1"/>
  <c r="EA36" i="1"/>
  <c r="DZ36" i="1"/>
  <c r="DQ36" i="1"/>
  <c r="DP36" i="1"/>
  <c r="DO36" i="1"/>
  <c r="DF36" i="1"/>
  <c r="DE36" i="1"/>
  <c r="DD36" i="1"/>
  <c r="CU36" i="1"/>
  <c r="CT36" i="1"/>
  <c r="CS36" i="1"/>
  <c r="CJ36" i="1"/>
  <c r="CI36" i="1"/>
  <c r="CH36" i="1"/>
  <c r="BY36" i="1"/>
  <c r="BX36" i="1"/>
  <c r="BW36" i="1"/>
  <c r="BN36" i="1"/>
  <c r="BM36" i="1"/>
  <c r="BL36" i="1"/>
  <c r="BC36" i="1"/>
  <c r="BB36" i="1"/>
  <c r="BA36" i="1"/>
  <c r="AR36" i="1"/>
  <c r="AQ36" i="1"/>
  <c r="AP36" i="1"/>
  <c r="AG36" i="1"/>
  <c r="AF36" i="1"/>
  <c r="AE36" i="1"/>
  <c r="V36" i="1"/>
  <c r="U36" i="1"/>
  <c r="T36" i="1"/>
  <c r="K36" i="1"/>
  <c r="J36" i="1"/>
  <c r="I36" i="1"/>
  <c r="ET35" i="1"/>
  <c r="EY35" i="1" s="1"/>
  <c r="ES35" i="1"/>
  <c r="ER35" i="1"/>
  <c r="EQ35" i="1"/>
  <c r="EI35" i="1"/>
  <c r="EH35" i="1"/>
  <c r="EG35" i="1"/>
  <c r="EF35" i="1"/>
  <c r="DX35" i="1"/>
  <c r="EC35" i="1" s="1"/>
  <c r="DW35" i="1"/>
  <c r="DV35" i="1"/>
  <c r="DU35" i="1"/>
  <c r="DM35" i="1"/>
  <c r="DR35" i="1" s="1"/>
  <c r="DL35" i="1"/>
  <c r="DK35" i="1"/>
  <c r="DJ35" i="1"/>
  <c r="DB35" i="1"/>
  <c r="DA35" i="1"/>
  <c r="CZ35" i="1"/>
  <c r="CY35" i="1"/>
  <c r="CQ35" i="1"/>
  <c r="CV35" i="1" s="1"/>
  <c r="CP35" i="1"/>
  <c r="CO35" i="1"/>
  <c r="CN35" i="1"/>
  <c r="CF35" i="1"/>
  <c r="CK35" i="1" s="1"/>
  <c r="CE35" i="1"/>
  <c r="CD35" i="1"/>
  <c r="CC35" i="1"/>
  <c r="BU35" i="1"/>
  <c r="BT35" i="1"/>
  <c r="BS35" i="1"/>
  <c r="BR35" i="1"/>
  <c r="BJ35" i="1"/>
  <c r="BI35" i="1"/>
  <c r="BH35" i="1"/>
  <c r="BG35" i="1"/>
  <c r="AY35" i="1"/>
  <c r="AX35" i="1"/>
  <c r="AW35" i="1"/>
  <c r="AV35" i="1"/>
  <c r="AN35" i="1"/>
  <c r="AS35" i="1" s="1"/>
  <c r="AM35" i="1"/>
  <c r="AL35" i="1"/>
  <c r="AK35" i="1"/>
  <c r="AC35" i="1"/>
  <c r="AB35" i="1"/>
  <c r="AA35" i="1"/>
  <c r="Z35" i="1"/>
  <c r="R35" i="1"/>
  <c r="Q35" i="1"/>
  <c r="P35" i="1"/>
  <c r="O35" i="1"/>
  <c r="L35" i="1"/>
  <c r="F35" i="1"/>
  <c r="E35" i="1"/>
  <c r="D35" i="1"/>
  <c r="C35" i="1"/>
  <c r="EY34" i="1"/>
  <c r="EN34" i="1"/>
  <c r="EC34" i="1"/>
  <c r="DR34" i="1"/>
  <c r="DG34" i="1"/>
  <c r="CV34" i="1"/>
  <c r="CK34" i="1"/>
  <c r="BZ34" i="1"/>
  <c r="BO34" i="1"/>
  <c r="BD34" i="1"/>
  <c r="AS34" i="1"/>
  <c r="AH34" i="1"/>
  <c r="W34" i="1"/>
  <c r="L34" i="1"/>
  <c r="EY33" i="1"/>
  <c r="EN33" i="1"/>
  <c r="EC33" i="1"/>
  <c r="DR33" i="1"/>
  <c r="DG33" i="1"/>
  <c r="CV33" i="1"/>
  <c r="CK33" i="1"/>
  <c r="BZ33" i="1"/>
  <c r="BO33" i="1"/>
  <c r="BD33" i="1"/>
  <c r="AS33" i="1"/>
  <c r="AH33" i="1"/>
  <c r="W33" i="1"/>
  <c r="L33" i="1"/>
  <c r="EY32" i="1"/>
  <c r="EN32" i="1"/>
  <c r="EC32" i="1"/>
  <c r="DR32" i="1"/>
  <c r="DG32" i="1"/>
  <c r="CV32" i="1"/>
  <c r="CK32" i="1"/>
  <c r="BZ32" i="1"/>
  <c r="BO32" i="1"/>
  <c r="BD32" i="1"/>
  <c r="AS32" i="1"/>
  <c r="AH32" i="1"/>
  <c r="W32" i="1"/>
  <c r="L32" i="1"/>
  <c r="EY31" i="1"/>
  <c r="EN31" i="1"/>
  <c r="EC31" i="1"/>
  <c r="DR31" i="1"/>
  <c r="DG31" i="1"/>
  <c r="CV31" i="1"/>
  <c r="CK31" i="1"/>
  <c r="BZ31" i="1"/>
  <c r="BO31" i="1"/>
  <c r="BD31" i="1"/>
  <c r="AS31" i="1"/>
  <c r="AH31" i="1"/>
  <c r="W31" i="1"/>
  <c r="L31" i="1"/>
  <c r="EY30" i="1"/>
  <c r="EN30" i="1"/>
  <c r="EC30" i="1"/>
  <c r="DR30" i="1"/>
  <c r="DG30" i="1"/>
  <c r="CV30" i="1"/>
  <c r="CK30" i="1"/>
  <c r="BZ30" i="1"/>
  <c r="BO30" i="1"/>
  <c r="BD30" i="1"/>
  <c r="AS30" i="1"/>
  <c r="AH30" i="1"/>
  <c r="W30" i="1"/>
  <c r="L30" i="1"/>
  <c r="EY29" i="1"/>
  <c r="EN29" i="1"/>
  <c r="EC29" i="1"/>
  <c r="DR29" i="1"/>
  <c r="DG29" i="1"/>
  <c r="CV29" i="1"/>
  <c r="CK29" i="1"/>
  <c r="BZ29" i="1"/>
  <c r="BO29" i="1"/>
  <c r="BD29" i="1"/>
  <c r="AS29" i="1"/>
  <c r="AH29" i="1"/>
  <c r="W29" i="1"/>
  <c r="L29" i="1"/>
  <c r="EY28" i="1"/>
  <c r="EN28" i="1"/>
  <c r="EC28" i="1"/>
  <c r="DR28" i="1"/>
  <c r="DG28" i="1"/>
  <c r="CV28" i="1"/>
  <c r="CK28" i="1"/>
  <c r="BZ28" i="1"/>
  <c r="BO28" i="1"/>
  <c r="BD28" i="1"/>
  <c r="AS28" i="1"/>
  <c r="AH28" i="1"/>
  <c r="W28" i="1"/>
  <c r="L28" i="1"/>
  <c r="EY27" i="1"/>
  <c r="EN27" i="1"/>
  <c r="EC27" i="1"/>
  <c r="DR27" i="1"/>
  <c r="DG27" i="1"/>
  <c r="CV27" i="1"/>
  <c r="CK27" i="1"/>
  <c r="BZ27" i="1"/>
  <c r="BO27" i="1"/>
  <c r="BD27" i="1"/>
  <c r="AS27" i="1"/>
  <c r="AH27" i="1"/>
  <c r="W27" i="1"/>
  <c r="L27" i="1"/>
  <c r="EY26" i="1"/>
  <c r="EN26" i="1"/>
  <c r="EC26" i="1"/>
  <c r="DR26" i="1"/>
  <c r="DG26" i="1"/>
  <c r="CV26" i="1"/>
  <c r="CK26" i="1"/>
  <c r="BZ26" i="1"/>
  <c r="BO26" i="1"/>
  <c r="BD26" i="1"/>
  <c r="AS26" i="1"/>
  <c r="AH26" i="1"/>
  <c r="W26" i="1"/>
  <c r="L26" i="1"/>
  <c r="EY25" i="1"/>
  <c r="EN25" i="1"/>
  <c r="EC25" i="1"/>
  <c r="DR25" i="1"/>
  <c r="DG25" i="1"/>
  <c r="CV25" i="1"/>
  <c r="CK25" i="1"/>
  <c r="BZ25" i="1"/>
  <c r="BO25" i="1"/>
  <c r="BD25" i="1"/>
  <c r="AS25" i="1"/>
  <c r="AH25" i="1"/>
  <c r="W25" i="1"/>
  <c r="L25" i="1"/>
  <c r="EY24" i="1"/>
  <c r="EN24" i="1"/>
  <c r="EC24" i="1"/>
  <c r="DR24" i="1"/>
  <c r="DG24" i="1"/>
  <c r="CV24" i="1"/>
  <c r="CK24" i="1"/>
  <c r="BZ24" i="1"/>
  <c r="BO24" i="1"/>
  <c r="BD24" i="1"/>
  <c r="AS24" i="1"/>
  <c r="AH24" i="1"/>
  <c r="W24" i="1"/>
  <c r="L24" i="1"/>
  <c r="EY23" i="1"/>
  <c r="EN23" i="1"/>
  <c r="EC23" i="1"/>
  <c r="DR23" i="1"/>
  <c r="DG23" i="1"/>
  <c r="CV23" i="1"/>
  <c r="CK23" i="1"/>
  <c r="BZ23" i="1"/>
  <c r="BO23" i="1"/>
  <c r="BD23" i="1"/>
  <c r="AS23" i="1"/>
  <c r="AH23" i="1"/>
  <c r="W23" i="1"/>
  <c r="L23" i="1"/>
  <c r="EY22" i="1"/>
  <c r="EN22" i="1"/>
  <c r="EC22" i="1"/>
  <c r="DR22" i="1"/>
  <c r="DG22" i="1"/>
  <c r="CV22" i="1"/>
  <c r="CK22" i="1"/>
  <c r="BZ22" i="1"/>
  <c r="BO22" i="1"/>
  <c r="BD22" i="1"/>
  <c r="AS22" i="1"/>
  <c r="AH22" i="1"/>
  <c r="W22" i="1"/>
  <c r="L22" i="1"/>
  <c r="EY21" i="1"/>
  <c r="EN21" i="1"/>
  <c r="EC21" i="1"/>
  <c r="DR21" i="1"/>
  <c r="DG21" i="1"/>
  <c r="CV21" i="1"/>
  <c r="CK21" i="1"/>
  <c r="BZ21" i="1"/>
  <c r="BO21" i="1"/>
  <c r="BD21" i="1"/>
  <c r="AS21" i="1"/>
  <c r="AH21" i="1"/>
  <c r="W21" i="1"/>
  <c r="L21" i="1"/>
  <c r="EY20" i="1"/>
  <c r="EN20" i="1"/>
  <c r="EC20" i="1"/>
  <c r="DR20" i="1"/>
  <c r="DG20" i="1"/>
  <c r="CV20" i="1"/>
  <c r="CK20" i="1"/>
  <c r="BZ20" i="1"/>
  <c r="BO20" i="1"/>
  <c r="BD20" i="1"/>
  <c r="AS20" i="1"/>
  <c r="AH20" i="1"/>
  <c r="W20" i="1"/>
  <c r="L20" i="1"/>
  <c r="EY19" i="1"/>
  <c r="EN19" i="1"/>
  <c r="EC19" i="1"/>
  <c r="DR19" i="1"/>
  <c r="DG19" i="1"/>
  <c r="CV19" i="1"/>
  <c r="CK19" i="1"/>
  <c r="BZ19" i="1"/>
  <c r="BO19" i="1"/>
  <c r="BD19" i="1"/>
  <c r="AS19" i="1"/>
  <c r="AH19" i="1"/>
  <c r="W19" i="1"/>
  <c r="L19" i="1"/>
  <c r="EY18" i="1"/>
  <c r="EN18" i="1"/>
  <c r="EC18" i="1"/>
  <c r="DR18" i="1"/>
  <c r="DG18" i="1"/>
  <c r="CV18" i="1"/>
  <c r="CK18" i="1"/>
  <c r="BZ18" i="1"/>
  <c r="BO18" i="1"/>
  <c r="BD18" i="1"/>
  <c r="AS18" i="1"/>
  <c r="AH18" i="1"/>
  <c r="W18" i="1"/>
  <c r="L18" i="1"/>
  <c r="EY17" i="1"/>
  <c r="EN17" i="1"/>
  <c r="EC17" i="1"/>
  <c r="DR17" i="1"/>
  <c r="DG17" i="1"/>
  <c r="CV17" i="1"/>
  <c r="CK17" i="1"/>
  <c r="BZ17" i="1"/>
  <c r="BO17" i="1"/>
  <c r="BD17" i="1"/>
  <c r="AS17" i="1"/>
  <c r="AH17" i="1"/>
  <c r="W17" i="1"/>
  <c r="L17" i="1"/>
  <c r="EY16" i="1"/>
  <c r="EN16" i="1"/>
  <c r="EC16" i="1"/>
  <c r="DR16" i="1"/>
  <c r="DG16" i="1"/>
  <c r="CV16" i="1"/>
  <c r="CK16" i="1"/>
  <c r="BZ16" i="1"/>
  <c r="BO16" i="1"/>
  <c r="BD16" i="1"/>
  <c r="AS16" i="1"/>
  <c r="AH16" i="1"/>
  <c r="W16" i="1"/>
  <c r="L16" i="1"/>
  <c r="EY15" i="1"/>
  <c r="EN15" i="1"/>
  <c r="EC15" i="1"/>
  <c r="DR15" i="1"/>
  <c r="DG15" i="1"/>
  <c r="CV15" i="1"/>
  <c r="CK15" i="1"/>
  <c r="BZ15" i="1"/>
  <c r="BO15" i="1"/>
  <c r="BD15" i="1"/>
  <c r="AS15" i="1"/>
  <c r="AH15" i="1"/>
  <c r="W15" i="1"/>
  <c r="L15" i="1"/>
  <c r="EY14" i="1"/>
  <c r="EN14" i="1"/>
  <c r="EC14" i="1"/>
  <c r="DR14" i="1"/>
  <c r="DG14" i="1"/>
  <c r="CV14" i="1"/>
  <c r="CK14" i="1"/>
  <c r="BZ14" i="1"/>
  <c r="BO14" i="1"/>
  <c r="BD14" i="1"/>
  <c r="AS14" i="1"/>
  <c r="AH14" i="1"/>
  <c r="W14" i="1"/>
  <c r="L14" i="1"/>
  <c r="EY13" i="1"/>
  <c r="EN13" i="1"/>
  <c r="EC13" i="1"/>
  <c r="DR13" i="1"/>
  <c r="DG13" i="1"/>
  <c r="CV13" i="1"/>
  <c r="CK13" i="1"/>
  <c r="BZ13" i="1"/>
  <c r="BO13" i="1"/>
  <c r="BD13" i="1"/>
  <c r="AS13" i="1"/>
  <c r="AH13" i="1"/>
  <c r="W13" i="1"/>
  <c r="L13" i="1"/>
  <c r="EY12" i="1"/>
  <c r="EN12" i="1"/>
  <c r="EC12" i="1"/>
  <c r="DR12" i="1"/>
  <c r="DG12" i="1"/>
  <c r="CV12" i="1"/>
  <c r="CK12" i="1"/>
  <c r="BZ12" i="1"/>
  <c r="BO12" i="1"/>
  <c r="BD12" i="1"/>
  <c r="AS12" i="1"/>
  <c r="AH12" i="1"/>
  <c r="W12" i="1"/>
  <c r="L12" i="1"/>
  <c r="EY11" i="1"/>
  <c r="EN11" i="1"/>
  <c r="EC11" i="1"/>
  <c r="DR11" i="1"/>
  <c r="DG11" i="1"/>
  <c r="CV11" i="1"/>
  <c r="CK11" i="1"/>
  <c r="BZ11" i="1"/>
  <c r="BO11" i="1"/>
  <c r="BD11" i="1"/>
  <c r="AS11" i="1"/>
  <c r="AH11" i="1"/>
  <c r="W11" i="1"/>
  <c r="L11" i="1"/>
  <c r="EY10" i="1"/>
  <c r="EN10" i="1"/>
  <c r="EC10" i="1"/>
  <c r="DR10" i="1"/>
  <c r="DG10" i="1"/>
  <c r="CV10" i="1"/>
  <c r="CK10" i="1"/>
  <c r="BZ10" i="1"/>
  <c r="BO10" i="1"/>
  <c r="BD10" i="1"/>
  <c r="AS10" i="1"/>
  <c r="AH10" i="1"/>
  <c r="W10" i="1"/>
  <c r="L10" i="1"/>
  <c r="EY9" i="1"/>
  <c r="EN9" i="1"/>
  <c r="EC9" i="1"/>
  <c r="DR9" i="1"/>
  <c r="DG9" i="1"/>
  <c r="CV9" i="1"/>
  <c r="CK9" i="1"/>
  <c r="BZ9" i="1"/>
  <c r="BO9" i="1"/>
  <c r="BD9" i="1"/>
  <c r="AS9" i="1"/>
  <c r="AH9" i="1"/>
  <c r="W9" i="1"/>
  <c r="L9" i="1"/>
  <c r="EY8" i="1"/>
  <c r="EN8" i="1"/>
  <c r="EC8" i="1"/>
  <c r="DR8" i="1"/>
  <c r="DG8" i="1"/>
  <c r="CV8" i="1"/>
  <c r="CK8" i="1"/>
  <c r="BZ8" i="1"/>
  <c r="BO8" i="1"/>
  <c r="BD8" i="1"/>
  <c r="AS8" i="1"/>
  <c r="AH8" i="1"/>
  <c r="W8" i="1"/>
  <c r="L8" i="1"/>
  <c r="EY7" i="1"/>
  <c r="EN7" i="1"/>
  <c r="EC7" i="1"/>
  <c r="DR7" i="1"/>
  <c r="DG7" i="1"/>
  <c r="CV7" i="1"/>
  <c r="CK7" i="1"/>
  <c r="BZ7" i="1"/>
  <c r="BO7" i="1"/>
  <c r="BD7" i="1"/>
  <c r="AS7" i="1"/>
  <c r="AH7" i="1"/>
  <c r="W7" i="1"/>
  <c r="L7" i="1"/>
  <c r="EY6" i="1"/>
  <c r="EN6" i="1"/>
  <c r="EC6" i="1"/>
  <c r="DR6" i="1"/>
  <c r="DG6" i="1"/>
  <c r="CV6" i="1"/>
  <c r="CK6" i="1"/>
  <c r="BZ6" i="1"/>
  <c r="BO6" i="1"/>
  <c r="BD6" i="1"/>
  <c r="AS6" i="1"/>
  <c r="AH6" i="1"/>
  <c r="W6" i="1"/>
  <c r="L6" i="1"/>
  <c r="EY5" i="1"/>
  <c r="EN5" i="1"/>
  <c r="EC5" i="1"/>
  <c r="DR5" i="1"/>
  <c r="DG5" i="1"/>
  <c r="CV5" i="1"/>
  <c r="CK5" i="1"/>
  <c r="BZ5" i="1"/>
  <c r="BO5" i="1"/>
  <c r="BD5" i="1"/>
  <c r="AS5" i="1"/>
  <c r="AH5" i="1"/>
  <c r="W5" i="1"/>
  <c r="L5" i="1"/>
  <c r="DG36" i="1" l="1"/>
  <c r="W36" i="1"/>
  <c r="DR74" i="1"/>
  <c r="W74" i="1"/>
  <c r="EY74" i="1"/>
  <c r="EN74" i="1"/>
  <c r="BO36" i="1"/>
  <c r="BZ74" i="1"/>
  <c r="BD74" i="1"/>
  <c r="DR36" i="1"/>
  <c r="AS36" i="1"/>
  <c r="EC36" i="1"/>
  <c r="AH74" i="1"/>
  <c r="EY36" i="1"/>
  <c r="AS74" i="1"/>
  <c r="BO74" i="1"/>
  <c r="BD36" i="1"/>
  <c r="CK74" i="1"/>
  <c r="CV74" i="1"/>
  <c r="L74" i="1"/>
  <c r="EN36" i="1"/>
  <c r="DG74" i="1"/>
  <c r="AH36" i="1"/>
  <c r="CK36" i="1"/>
  <c r="BZ36" i="1"/>
  <c r="L36" i="1"/>
  <c r="CV36" i="1"/>
  <c r="EC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echavez</author>
  </authors>
  <commentList>
    <comment ref="BM18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NOTA DE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echavez</author>
  </authors>
  <commentList>
    <comment ref="S320" authorId="0" shapeId="0" xr:uid="{1FD3D2E6-AC80-4B57-B4C0-6451F3A40E42}">
      <text>
        <r>
          <rPr>
            <b/>
            <sz val="9"/>
            <color indexed="81"/>
            <rFont val="Tahoma"/>
            <family val="2"/>
          </rPr>
          <t>echavez:</t>
        </r>
        <r>
          <rPr>
            <sz val="9"/>
            <color indexed="81"/>
            <rFont val="Tahoma"/>
            <family val="2"/>
          </rPr>
          <t xml:space="preserve">
ND</t>
        </r>
      </text>
    </comment>
  </commentList>
</comments>
</file>

<file path=xl/sharedStrings.xml><?xml version="1.0" encoding="utf-8"?>
<sst xmlns="http://schemas.openxmlformats.org/spreadsheetml/2006/main" count="6970" uniqueCount="94">
  <si>
    <t>VENEZUELA</t>
  </si>
  <si>
    <t>COQUIMBO</t>
  </si>
  <si>
    <t>LA ESPERANZA</t>
  </si>
  <si>
    <t>EL PORVENIR</t>
  </si>
  <si>
    <t>REQUE</t>
  </si>
  <si>
    <t>LARCO</t>
  </si>
  <si>
    <t>LA RINCONADA</t>
  </si>
  <si>
    <t>GARZÓN</t>
  </si>
  <si>
    <t>PETIT THOUARS</t>
  </si>
  <si>
    <t>CASMA</t>
  </si>
  <si>
    <t>ESCORPIONES</t>
  </si>
  <si>
    <t>CACIQUE</t>
  </si>
  <si>
    <t>VILLA MARIA</t>
  </si>
  <si>
    <t>BILCON</t>
  </si>
  <si>
    <t>FECHA</t>
  </si>
  <si>
    <t>TARJ. CRED.</t>
  </si>
  <si>
    <t>DESCUENTO</t>
  </si>
  <si>
    <t>TOTAL</t>
  </si>
  <si>
    <t>LIQUIDOS</t>
  </si>
  <si>
    <t>GLP</t>
  </si>
  <si>
    <t>GNV</t>
  </si>
  <si>
    <t>RED COL</t>
  </si>
  <si>
    <t>C&amp;M</t>
  </si>
  <si>
    <t>PETROTHOR</t>
  </si>
  <si>
    <t>DESCUENTOS</t>
  </si>
  <si>
    <t>LIQUIDO</t>
  </si>
  <si>
    <t>LIQ</t>
  </si>
  <si>
    <t>LIQ.</t>
  </si>
  <si>
    <t>28. CATACAOS</t>
  </si>
  <si>
    <t>01. PUENTE PIEDRA</t>
  </si>
  <si>
    <t>04. CHILCA</t>
  </si>
  <si>
    <t>14. VIRU</t>
  </si>
  <si>
    <t>32. BRASIL</t>
  </si>
  <si>
    <t>43. MAKITA</t>
  </si>
  <si>
    <t>44. SAN PABLO</t>
  </si>
  <si>
    <t>50. TULIS</t>
  </si>
  <si>
    <t>54. HUANCHACO</t>
  </si>
  <si>
    <t>55. ENACE</t>
  </si>
  <si>
    <t>56. ACAPULCO</t>
  </si>
  <si>
    <t>31. SAN MARCOS</t>
  </si>
  <si>
    <t>35. MARIA EUGENIA</t>
  </si>
  <si>
    <t>49. QUISTOCOCHA</t>
  </si>
  <si>
    <t>60. VELITA</t>
  </si>
  <si>
    <t>DECUENTO</t>
  </si>
  <si>
    <t>EL PUERTO</t>
  </si>
  <si>
    <t>TOMAS VALLE</t>
  </si>
  <si>
    <t>VARIANTE</t>
  </si>
  <si>
    <t>JOYA 1</t>
  </si>
  <si>
    <t>SULLANA</t>
  </si>
  <si>
    <t>JOYA 2</t>
  </si>
  <si>
    <t>PUCUSANA</t>
  </si>
  <si>
    <t>CARAPONGO</t>
  </si>
  <si>
    <t>SHESSELL</t>
  </si>
  <si>
    <t>MALA</t>
  </si>
  <si>
    <t>TOTAL DSCTOS</t>
  </si>
  <si>
    <t>LÍQUIDOS</t>
  </si>
  <si>
    <t>1.-SAN BARTOLO</t>
  </si>
  <si>
    <t>2.-CUSCO</t>
  </si>
  <si>
    <t>3.-LAS AMERICAS</t>
  </si>
  <si>
    <t>4.-YAGUAL(GESMAR)</t>
  </si>
  <si>
    <t>5.-COAZAPA</t>
  </si>
  <si>
    <t>6.-SANTA INES</t>
  </si>
  <si>
    <t>7.-GRACO</t>
  </si>
  <si>
    <t>8.-CASUARINAS</t>
  </si>
  <si>
    <t>9.-CHINCHA</t>
  </si>
  <si>
    <t>10.-TITAS</t>
  </si>
  <si>
    <t>11.-SOLER</t>
  </si>
  <si>
    <t>12.-SOTELO</t>
  </si>
  <si>
    <t>13.-TROMPETEROS</t>
  </si>
  <si>
    <t>14.-TACNA</t>
  </si>
  <si>
    <t>15.-SUNAMPE</t>
  </si>
  <si>
    <t>TARJETAS Y DESCUENTOS BAUZATE Y MEZA</t>
  </si>
  <si>
    <t>TARJETAS CLEAN ENERGY</t>
  </si>
  <si>
    <t xml:space="preserve">TARJETAS Y DESCUENTOS SANTO TOMAS  </t>
  </si>
  <si>
    <t>TARJETAS Y DESCUENTOS BORJA</t>
  </si>
  <si>
    <t>TARJETAS Y DESCUENTOS MANCO CAPAC</t>
  </si>
  <si>
    <t>TARJETAS Y DESCUENTOS BARRIOS ALTOS</t>
  </si>
  <si>
    <t>TARJETAS Y DESCUENTOS SAN LUIS</t>
  </si>
  <si>
    <t>TARJETAS Y DESCUENTOS SAN ANTONIO</t>
  </si>
  <si>
    <t>TARJETAS Y DESCUENTOS BOLOGNESI</t>
  </si>
  <si>
    <t>Tarjetas</t>
  </si>
  <si>
    <t>Descuentos</t>
  </si>
  <si>
    <t>DSCTOS</t>
  </si>
  <si>
    <t>NC</t>
  </si>
  <si>
    <t>ND</t>
  </si>
  <si>
    <t>BAUZATE Y MEZA</t>
  </si>
  <si>
    <t xml:space="preserve"> CLEAN ENERGY</t>
  </si>
  <si>
    <t xml:space="preserve">SANTO TOMAS  </t>
  </si>
  <si>
    <t>BORJA</t>
  </si>
  <si>
    <t>MANCO CÁPAC</t>
  </si>
  <si>
    <t>BARRIOS ALTOS</t>
  </si>
  <si>
    <t>SAN LUIS</t>
  </si>
  <si>
    <t>SAN ANTONIO</t>
  </si>
  <si>
    <t>REDD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</si>
</sst>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#,##0.00;[Red]#,##0.00"/>
    <numFmt numFmtId="166" formatCode="dd/mm/yy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b/>
      <sz val="18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i/>
      <sz val="12"/>
      <name val="Arial"/>
      <family val="2"/>
    </font>
    <font>
      <b/>
      <sz val="9"/>
      <color indexed="81"/>
      <name val="Tahoma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FF"/>
      </patternFill>
    </fill>
  </fills>
  <borders count="8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2">
    <xf numFmtId="0" fontId="0" fillId="0" borderId="0" xfId="0"/>
    <xf numFmtId="0" fontId="2" fillId="0" borderId="0" xfId="0" applyFont="1"/>
    <xf numFmtId="16" fontId="3" fillId="2" borderId="1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4" borderId="4" xfId="0" applyNumberFormat="1" applyFont="1" applyFill="1" applyBorder="1" applyAlignment="1">
      <alignment horizontal="center"/>
    </xf>
    <xf numFmtId="49" fontId="5" fillId="5" borderId="4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center"/>
    </xf>
    <xf numFmtId="165" fontId="4" fillId="7" borderId="4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" fontId="3" fillId="2" borderId="5" xfId="0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  <xf numFmtId="49" fontId="5" fillId="4" borderId="8" xfId="0" applyNumberFormat="1" applyFont="1" applyFill="1" applyBorder="1" applyAlignment="1">
      <alignment horizontal="center"/>
    </xf>
    <xf numFmtId="49" fontId="5" fillId="5" borderId="8" xfId="0" applyNumberFormat="1" applyFont="1" applyFill="1" applyBorder="1" applyAlignment="1">
      <alignment horizontal="center"/>
    </xf>
    <xf numFmtId="49" fontId="5" fillId="6" borderId="8" xfId="0" applyNumberFormat="1" applyFont="1" applyFill="1" applyBorder="1" applyAlignment="1">
      <alignment horizontal="center"/>
    </xf>
    <xf numFmtId="165" fontId="5" fillId="3" borderId="8" xfId="0" applyNumberFormat="1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16" fontId="6" fillId="8" borderId="2" xfId="0" applyNumberFormat="1" applyFont="1" applyFill="1" applyBorder="1" applyAlignment="1">
      <alignment horizontal="center"/>
    </xf>
    <xf numFmtId="165" fontId="7" fillId="0" borderId="9" xfId="0" applyNumberFormat="1" applyFont="1" applyBorder="1"/>
    <xf numFmtId="165" fontId="7" fillId="0" borderId="10" xfId="0" applyNumberFormat="1" applyFont="1" applyBorder="1"/>
    <xf numFmtId="165" fontId="7" fillId="0" borderId="11" xfId="0" applyNumberFormat="1" applyFont="1" applyBorder="1"/>
    <xf numFmtId="165" fontId="7" fillId="9" borderId="10" xfId="0" applyNumberFormat="1" applyFont="1" applyFill="1" applyBorder="1"/>
    <xf numFmtId="164" fontId="8" fillId="0" borderId="0" xfId="0" applyNumberFormat="1" applyFont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43" fontId="8" fillId="0" borderId="13" xfId="1" applyFont="1" applyBorder="1" applyAlignment="1">
      <alignment horizontal="center"/>
    </xf>
    <xf numFmtId="165" fontId="9" fillId="0" borderId="10" xfId="0" applyNumberFormat="1" applyFont="1" applyBorder="1" applyAlignment="1">
      <alignment horizontal="right"/>
    </xf>
    <xf numFmtId="43" fontId="0" fillId="0" borderId="0" xfId="1" applyFont="1"/>
    <xf numFmtId="43" fontId="0" fillId="0" borderId="0" xfId="0" applyNumberFormat="1" applyAlignment="1">
      <alignment horizontal="center"/>
    </xf>
    <xf numFmtId="165" fontId="10" fillId="0" borderId="14" xfId="0" applyNumberFormat="1" applyFont="1" applyBorder="1"/>
    <xf numFmtId="165" fontId="10" fillId="0" borderId="15" xfId="0" applyNumberFormat="1" applyFont="1" applyBorder="1"/>
    <xf numFmtId="165" fontId="11" fillId="8" borderId="2" xfId="0" applyNumberFormat="1" applyFont="1" applyFill="1" applyBorder="1"/>
    <xf numFmtId="165" fontId="12" fillId="9" borderId="14" xfId="0" applyNumberFormat="1" applyFont="1" applyFill="1" applyBorder="1"/>
    <xf numFmtId="165" fontId="11" fillId="8" borderId="16" xfId="0" applyNumberFormat="1" applyFont="1" applyFill="1" applyBorder="1"/>
    <xf numFmtId="165" fontId="10" fillId="0" borderId="10" xfId="0" applyNumberFormat="1" applyFont="1" applyBorder="1"/>
    <xf numFmtId="165" fontId="12" fillId="9" borderId="15" xfId="0" applyNumberFormat="1" applyFont="1" applyFill="1" applyBorder="1"/>
    <xf numFmtId="165" fontId="11" fillId="10" borderId="2" xfId="0" applyNumberFormat="1" applyFont="1" applyFill="1" applyBorder="1"/>
    <xf numFmtId="43" fontId="0" fillId="0" borderId="0" xfId="0" applyNumberFormat="1"/>
    <xf numFmtId="165" fontId="11" fillId="8" borderId="3" xfId="0" applyNumberFormat="1" applyFont="1" applyFill="1" applyBorder="1"/>
    <xf numFmtId="43" fontId="0" fillId="0" borderId="17" xfId="1" applyFont="1" applyBorder="1" applyAlignment="1">
      <alignment horizontal="center"/>
    </xf>
    <xf numFmtId="165" fontId="10" fillId="0" borderId="2" xfId="0" applyNumberFormat="1" applyFont="1" applyBorder="1"/>
    <xf numFmtId="165" fontId="10" fillId="0" borderId="3" xfId="0" applyNumberFormat="1" applyFont="1" applyBorder="1"/>
    <xf numFmtId="16" fontId="6" fillId="8" borderId="17" xfId="0" applyNumberFormat="1" applyFont="1" applyFill="1" applyBorder="1" applyAlignment="1">
      <alignment horizontal="center"/>
    </xf>
    <xf numFmtId="165" fontId="7" fillId="0" borderId="18" xfId="0" applyNumberFormat="1" applyFont="1" applyBorder="1"/>
    <xf numFmtId="165" fontId="7" fillId="0" borderId="19" xfId="0" applyNumberFormat="1" applyFont="1" applyBorder="1"/>
    <xf numFmtId="165" fontId="7" fillId="0" borderId="20" xfId="0" applyNumberFormat="1" applyFont="1" applyBorder="1"/>
    <xf numFmtId="164" fontId="8" fillId="0" borderId="21" xfId="0" applyNumberFormat="1" applyFont="1" applyBorder="1" applyAlignment="1">
      <alignment horizontal="center"/>
    </xf>
    <xf numFmtId="164" fontId="8" fillId="0" borderId="22" xfId="0" applyNumberFormat="1" applyFont="1" applyBorder="1" applyAlignment="1">
      <alignment horizontal="center"/>
    </xf>
    <xf numFmtId="43" fontId="8" fillId="0" borderId="22" xfId="1" applyFont="1" applyBorder="1" applyAlignment="1">
      <alignment horizontal="center"/>
    </xf>
    <xf numFmtId="165" fontId="9" fillId="0" borderId="19" xfId="0" applyNumberFormat="1" applyFont="1" applyBorder="1" applyAlignment="1">
      <alignment horizontal="right"/>
    </xf>
    <xf numFmtId="165" fontId="7" fillId="9" borderId="19" xfId="0" applyNumberFormat="1" applyFont="1" applyFill="1" applyBorder="1"/>
    <xf numFmtId="165" fontId="10" fillId="0" borderId="23" xfId="0" applyNumberFormat="1" applyFont="1" applyBorder="1"/>
    <xf numFmtId="165" fontId="10" fillId="0" borderId="19" xfId="0" applyNumberFormat="1" applyFont="1" applyBorder="1"/>
    <xf numFmtId="165" fontId="11" fillId="8" borderId="17" xfId="0" applyNumberFormat="1" applyFont="1" applyFill="1" applyBorder="1"/>
    <xf numFmtId="165" fontId="12" fillId="9" borderId="23" xfId="0" applyNumberFormat="1" applyFont="1" applyFill="1" applyBorder="1"/>
    <xf numFmtId="165" fontId="11" fillId="8" borderId="0" xfId="0" applyNumberFormat="1" applyFont="1" applyFill="1"/>
    <xf numFmtId="165" fontId="12" fillId="9" borderId="19" xfId="0" applyNumberFormat="1" applyFont="1" applyFill="1" applyBorder="1"/>
    <xf numFmtId="165" fontId="11" fillId="10" borderId="17" xfId="0" applyNumberFormat="1" applyFont="1" applyFill="1" applyBorder="1"/>
    <xf numFmtId="165" fontId="11" fillId="8" borderId="24" xfId="0" applyNumberFormat="1" applyFont="1" applyFill="1" applyBorder="1"/>
    <xf numFmtId="165" fontId="10" fillId="0" borderId="17" xfId="0" applyNumberFormat="1" applyFont="1" applyBorder="1"/>
    <xf numFmtId="165" fontId="10" fillId="0" borderId="24" xfId="0" applyNumberFormat="1" applyFont="1" applyBorder="1"/>
    <xf numFmtId="165" fontId="7" fillId="9" borderId="25" xfId="0" applyNumberFormat="1" applyFont="1" applyFill="1" applyBorder="1"/>
    <xf numFmtId="165" fontId="9" fillId="0" borderId="26" xfId="0" applyNumberFormat="1" applyFont="1" applyBorder="1" applyAlignment="1">
      <alignment horizontal="right"/>
    </xf>
    <xf numFmtId="165" fontId="9" fillId="0" borderId="17" xfId="0" applyNumberFormat="1" applyFont="1" applyBorder="1" applyAlignment="1">
      <alignment horizontal="right"/>
    </xf>
    <xf numFmtId="165" fontId="9" fillId="9" borderId="19" xfId="0" applyNumberFormat="1" applyFont="1" applyFill="1" applyBorder="1" applyAlignment="1">
      <alignment horizontal="right"/>
    </xf>
    <xf numFmtId="0" fontId="0" fillId="8" borderId="17" xfId="0" applyFill="1" applyBorder="1"/>
    <xf numFmtId="0" fontId="0" fillId="8" borderId="24" xfId="0" applyFill="1" applyBorder="1"/>
    <xf numFmtId="165" fontId="10" fillId="0" borderId="25" xfId="0" applyNumberFormat="1" applyFont="1" applyBorder="1"/>
    <xf numFmtId="165" fontId="7" fillId="0" borderId="26" xfId="0" applyNumberFormat="1" applyFont="1" applyBorder="1"/>
    <xf numFmtId="165" fontId="7" fillId="0" borderId="25" xfId="0" applyNumberFormat="1" applyFont="1" applyBorder="1"/>
    <xf numFmtId="16" fontId="6" fillId="8" borderId="6" xfId="0" applyNumberFormat="1" applyFont="1" applyFill="1" applyBorder="1" applyAlignment="1">
      <alignment horizontal="center"/>
    </xf>
    <xf numFmtId="43" fontId="0" fillId="11" borderId="0" xfId="1" applyFont="1" applyFill="1"/>
    <xf numFmtId="165" fontId="13" fillId="12" borderId="27" xfId="0" applyNumberFormat="1" applyFont="1" applyFill="1" applyBorder="1"/>
    <xf numFmtId="165" fontId="13" fillId="12" borderId="28" xfId="0" applyNumberFormat="1" applyFont="1" applyFill="1" applyBorder="1"/>
    <xf numFmtId="164" fontId="8" fillId="0" borderId="29" xfId="0" applyNumberFormat="1" applyFont="1" applyBorder="1" applyAlignment="1">
      <alignment horizontal="center"/>
    </xf>
    <xf numFmtId="164" fontId="8" fillId="0" borderId="30" xfId="0" applyNumberFormat="1" applyFont="1" applyBorder="1" applyAlignment="1">
      <alignment horizontal="center"/>
    </xf>
    <xf numFmtId="43" fontId="8" fillId="0" borderId="30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43" fontId="13" fillId="0" borderId="0" xfId="1" applyFont="1" applyFill="1" applyBorder="1"/>
    <xf numFmtId="43" fontId="13" fillId="0" borderId="28" xfId="1" applyFont="1" applyBorder="1"/>
    <xf numFmtId="43" fontId="13" fillId="0" borderId="31" xfId="1" applyFont="1" applyBorder="1"/>
    <xf numFmtId="43" fontId="14" fillId="0" borderId="0" xfId="1" applyFont="1"/>
    <xf numFmtId="16" fontId="3" fillId="2" borderId="26" xfId="0" applyNumberFormat="1" applyFont="1" applyFill="1" applyBorder="1" applyAlignment="1">
      <alignment horizontal="center"/>
    </xf>
    <xf numFmtId="165" fontId="7" fillId="9" borderId="2" xfId="0" applyNumberFormat="1" applyFont="1" applyFill="1" applyBorder="1"/>
    <xf numFmtId="43" fontId="0" fillId="0" borderId="2" xfId="1" applyFont="1" applyBorder="1" applyAlignment="1">
      <alignment horizontal="center"/>
    </xf>
    <xf numFmtId="165" fontId="7" fillId="0" borderId="17" xfId="0" applyNumberFormat="1" applyFont="1" applyBorder="1"/>
    <xf numFmtId="165" fontId="7" fillId="9" borderId="17" xfId="0" applyNumberFormat="1" applyFont="1" applyFill="1" applyBorder="1"/>
    <xf numFmtId="165" fontId="7" fillId="0" borderId="5" xfId="0" applyNumberFormat="1" applyFont="1" applyBorder="1"/>
    <xf numFmtId="165" fontId="7" fillId="0" borderId="32" xfId="0" applyNumberFormat="1" applyFont="1" applyBorder="1"/>
    <xf numFmtId="165" fontId="7" fillId="0" borderId="33" xfId="0" applyNumberFormat="1" applyFont="1" applyBorder="1"/>
    <xf numFmtId="165" fontId="9" fillId="0" borderId="34" xfId="0" applyNumberFormat="1" applyFont="1" applyBorder="1" applyAlignment="1">
      <alignment horizontal="right"/>
    </xf>
    <xf numFmtId="165" fontId="7" fillId="9" borderId="34" xfId="0" applyNumberFormat="1" applyFont="1" applyFill="1" applyBorder="1"/>
    <xf numFmtId="165" fontId="10" fillId="0" borderId="34" xfId="0" applyNumberFormat="1" applyFont="1" applyBorder="1"/>
    <xf numFmtId="165" fontId="10" fillId="0" borderId="6" xfId="0" applyNumberFormat="1" applyFont="1" applyBorder="1"/>
    <xf numFmtId="165" fontId="10" fillId="0" borderId="35" xfId="0" applyNumberFormat="1" applyFont="1" applyBorder="1"/>
    <xf numFmtId="43" fontId="13" fillId="12" borderId="28" xfId="1" applyFont="1" applyFill="1" applyBorder="1"/>
    <xf numFmtId="165" fontId="7" fillId="9" borderId="11" xfId="0" applyNumberFormat="1" applyFont="1" applyFill="1" applyBorder="1"/>
    <xf numFmtId="165" fontId="7" fillId="9" borderId="20" xfId="0" applyNumberFormat="1" applyFont="1" applyFill="1" applyBorder="1"/>
    <xf numFmtId="16" fontId="6" fillId="8" borderId="26" xfId="0" applyNumberFormat="1" applyFont="1" applyFill="1" applyBorder="1" applyAlignment="1">
      <alignment horizontal="center"/>
    </xf>
    <xf numFmtId="165" fontId="0" fillId="8" borderId="24" xfId="0" applyNumberFormat="1" applyFill="1" applyBorder="1"/>
    <xf numFmtId="43" fontId="13" fillId="12" borderId="27" xfId="1" applyFont="1" applyFill="1" applyBorder="1"/>
    <xf numFmtId="43" fontId="15" fillId="0" borderId="0" xfId="1" applyFont="1" applyFill="1" applyBorder="1"/>
    <xf numFmtId="43" fontId="15" fillId="0" borderId="28" xfId="1" applyFont="1" applyBorder="1"/>
    <xf numFmtId="43" fontId="15" fillId="0" borderId="31" xfId="1" applyFont="1" applyBorder="1"/>
    <xf numFmtId="43" fontId="13" fillId="12" borderId="36" xfId="1" applyFont="1" applyFill="1" applyBorder="1"/>
    <xf numFmtId="165" fontId="13" fillId="0" borderId="0" xfId="0" applyNumberFormat="1" applyFont="1"/>
    <xf numFmtId="43" fontId="14" fillId="0" borderId="0" xfId="1" applyFont="1" applyFill="1"/>
    <xf numFmtId="16" fontId="6" fillId="8" borderId="37" xfId="0" applyNumberFormat="1" applyFont="1" applyFill="1" applyBorder="1" applyAlignment="1">
      <alignment horizontal="center"/>
    </xf>
    <xf numFmtId="16" fontId="6" fillId="8" borderId="18" xfId="0" applyNumberFormat="1" applyFont="1" applyFill="1" applyBorder="1" applyAlignment="1">
      <alignment horizontal="center"/>
    </xf>
    <xf numFmtId="165" fontId="12" fillId="9" borderId="10" xfId="0" applyNumberFormat="1" applyFont="1" applyFill="1" applyBorder="1"/>
    <xf numFmtId="165" fontId="7" fillId="0" borderId="0" xfId="0" applyNumberFormat="1" applyFont="1"/>
    <xf numFmtId="165" fontId="12" fillId="9" borderId="38" xfId="0" applyNumberFormat="1" applyFont="1" applyFill="1" applyBorder="1"/>
    <xf numFmtId="165" fontId="12" fillId="9" borderId="25" xfId="0" applyNumberFormat="1" applyFont="1" applyFill="1" applyBorder="1"/>
    <xf numFmtId="165" fontId="12" fillId="0" borderId="25" xfId="0" applyNumberFormat="1" applyFont="1" applyBorder="1"/>
    <xf numFmtId="16" fontId="17" fillId="2" borderId="39" xfId="0" applyNumberFormat="1" applyFont="1" applyFill="1" applyBorder="1" applyAlignment="1">
      <alignment horizontal="center"/>
    </xf>
    <xf numFmtId="165" fontId="17" fillId="3" borderId="39" xfId="0" applyNumberFormat="1" applyFont="1" applyFill="1" applyBorder="1" applyAlignment="1">
      <alignment horizontal="center"/>
    </xf>
    <xf numFmtId="49" fontId="17" fillId="3" borderId="39" xfId="0" applyNumberFormat="1" applyFont="1" applyFill="1" applyBorder="1" applyAlignment="1">
      <alignment horizontal="center"/>
    </xf>
    <xf numFmtId="16" fontId="18" fillId="0" borderId="39" xfId="0" applyNumberFormat="1" applyFont="1" applyBorder="1" applyAlignment="1">
      <alignment horizontal="center"/>
    </xf>
    <xf numFmtId="165" fontId="18" fillId="0" borderId="39" xfId="0" applyNumberFormat="1" applyFont="1" applyBorder="1"/>
    <xf numFmtId="43" fontId="0" fillId="0" borderId="39" xfId="1" applyFont="1" applyBorder="1"/>
    <xf numFmtId="0" fontId="19" fillId="0" borderId="39" xfId="0" applyFont="1" applyBorder="1"/>
    <xf numFmtId="165" fontId="20" fillId="10" borderId="39" xfId="0" applyNumberFormat="1" applyFont="1" applyFill="1" applyBorder="1"/>
    <xf numFmtId="0" fontId="0" fillId="0" borderId="39" xfId="0" applyBorder="1"/>
    <xf numFmtId="165" fontId="20" fillId="0" borderId="39" xfId="0" applyNumberFormat="1" applyFont="1" applyBorder="1"/>
    <xf numFmtId="43" fontId="16" fillId="0" borderId="0" xfId="1" applyFont="1"/>
    <xf numFmtId="0" fontId="16" fillId="0" borderId="0" xfId="0" applyFont="1"/>
    <xf numFmtId="0" fontId="2" fillId="0" borderId="0" xfId="0" applyFont="1" applyAlignment="1">
      <alignment horizontal="left"/>
    </xf>
    <xf numFmtId="165" fontId="4" fillId="3" borderId="2" xfId="0" applyNumberFormat="1" applyFont="1" applyFill="1" applyBorder="1" applyAlignment="1">
      <alignment horizontal="center"/>
    </xf>
    <xf numFmtId="49" fontId="4" fillId="13" borderId="1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49" fontId="4" fillId="6" borderId="4" xfId="0" applyNumberFormat="1" applyFont="1" applyFill="1" applyBorder="1" applyAlignment="1">
      <alignment horizontal="center"/>
    </xf>
    <xf numFmtId="49" fontId="4" fillId="13" borderId="2" xfId="0" applyNumberFormat="1" applyFont="1" applyFill="1" applyBorder="1" applyAlignment="1">
      <alignment horizontal="center"/>
    </xf>
    <xf numFmtId="165" fontId="4" fillId="3" borderId="41" xfId="0" applyNumberFormat="1" applyFont="1" applyFill="1" applyBorder="1" applyAlignment="1">
      <alignment horizontal="center"/>
    </xf>
    <xf numFmtId="49" fontId="4" fillId="13" borderId="41" xfId="0" applyNumberFormat="1" applyFont="1" applyFill="1" applyBorder="1" applyAlignment="1">
      <alignment horizontal="center"/>
    </xf>
    <xf numFmtId="49" fontId="4" fillId="13" borderId="13" xfId="0" applyNumberFormat="1" applyFont="1" applyFill="1" applyBorder="1" applyAlignment="1">
      <alignment horizontal="center"/>
    </xf>
    <xf numFmtId="165" fontId="4" fillId="3" borderId="39" xfId="0" applyNumberFormat="1" applyFont="1" applyFill="1" applyBorder="1" applyAlignment="1">
      <alignment horizontal="center"/>
    </xf>
    <xf numFmtId="49" fontId="4" fillId="13" borderId="39" xfId="0" applyNumberFormat="1" applyFont="1" applyFill="1" applyBorder="1" applyAlignment="1">
      <alignment horizontal="center"/>
    </xf>
    <xf numFmtId="165" fontId="4" fillId="3" borderId="17" xfId="0" applyNumberFormat="1" applyFont="1" applyFill="1" applyBorder="1" applyAlignment="1">
      <alignment horizontal="center"/>
    </xf>
    <xf numFmtId="49" fontId="4" fillId="13" borderId="26" xfId="0" applyNumberFormat="1" applyFont="1" applyFill="1" applyBorder="1" applyAlignment="1">
      <alignment horizontal="center"/>
    </xf>
    <xf numFmtId="49" fontId="4" fillId="4" borderId="8" xfId="0" applyNumberFormat="1" applyFont="1" applyFill="1" applyBorder="1" applyAlignment="1">
      <alignment horizontal="center"/>
    </xf>
    <xf numFmtId="49" fontId="4" fillId="5" borderId="8" xfId="0" applyNumberFormat="1" applyFont="1" applyFill="1" applyBorder="1" applyAlignment="1">
      <alignment horizontal="center"/>
    </xf>
    <xf numFmtId="49" fontId="4" fillId="6" borderId="8" xfId="0" applyNumberFormat="1" applyFont="1" applyFill="1" applyBorder="1" applyAlignment="1">
      <alignment horizontal="center"/>
    </xf>
    <xf numFmtId="165" fontId="4" fillId="3" borderId="8" xfId="0" applyNumberFormat="1" applyFont="1" applyFill="1" applyBorder="1" applyAlignment="1">
      <alignment horizontal="center"/>
    </xf>
    <xf numFmtId="49" fontId="4" fillId="13" borderId="17" xfId="0" applyNumberFormat="1" applyFont="1" applyFill="1" applyBorder="1" applyAlignment="1">
      <alignment horizontal="center"/>
    </xf>
    <xf numFmtId="49" fontId="4" fillId="13" borderId="30" xfId="0" applyNumberFormat="1" applyFont="1" applyFill="1" applyBorder="1" applyAlignment="1">
      <alignment horizontal="center"/>
    </xf>
    <xf numFmtId="16" fontId="9" fillId="0" borderId="43" xfId="0" applyNumberFormat="1" applyFont="1" applyBorder="1" applyAlignment="1">
      <alignment horizontal="center" wrapText="1"/>
    </xf>
    <xf numFmtId="4" fontId="9" fillId="0" borderId="39" xfId="0" applyNumberFormat="1" applyFont="1" applyBorder="1" applyAlignment="1">
      <alignment horizontal="right" wrapText="1"/>
    </xf>
    <xf numFmtId="164" fontId="8" fillId="0" borderId="44" xfId="0" applyNumberFormat="1" applyFont="1" applyBorder="1" applyAlignment="1">
      <alignment horizontal="center"/>
    </xf>
    <xf numFmtId="4" fontId="9" fillId="0" borderId="43" xfId="0" applyNumberFormat="1" applyFont="1" applyBorder="1" applyAlignment="1">
      <alignment horizontal="right" wrapText="1"/>
    </xf>
    <xf numFmtId="0" fontId="12" fillId="0" borderId="39" xfId="0" applyFont="1" applyBorder="1" applyAlignment="1">
      <alignment horizontal="right" wrapText="1"/>
    </xf>
    <xf numFmtId="4" fontId="9" fillId="0" borderId="44" xfId="0" applyNumberFormat="1" applyFont="1" applyBorder="1" applyAlignment="1">
      <alignment horizontal="right" wrapText="1"/>
    </xf>
    <xf numFmtId="0" fontId="0" fillId="0" borderId="39" xfId="0" applyBorder="1" applyAlignment="1">
      <alignment wrapText="1"/>
    </xf>
    <xf numFmtId="0" fontId="12" fillId="14" borderId="39" xfId="0" applyFont="1" applyFill="1" applyBorder="1" applyAlignment="1">
      <alignment horizontal="right" wrapText="1"/>
    </xf>
    <xf numFmtId="0" fontId="9" fillId="0" borderId="39" xfId="0" applyFont="1" applyBorder="1" applyAlignment="1">
      <alignment horizontal="right" wrapText="1"/>
    </xf>
    <xf numFmtId="0" fontId="12" fillId="14" borderId="45" xfId="0" applyFont="1" applyFill="1" applyBorder="1" applyAlignment="1">
      <alignment horizontal="right" wrapText="1"/>
    </xf>
    <xf numFmtId="0" fontId="9" fillId="0" borderId="43" xfId="0" applyFont="1" applyBorder="1" applyAlignment="1">
      <alignment horizontal="right" wrapText="1"/>
    </xf>
    <xf numFmtId="0" fontId="0" fillId="14" borderId="39" xfId="0" applyFill="1" applyBorder="1" applyAlignment="1">
      <alignment wrapText="1"/>
    </xf>
    <xf numFmtId="0" fontId="12" fillId="14" borderId="46" xfId="0" applyFont="1" applyFill="1" applyBorder="1" applyAlignment="1">
      <alignment horizontal="right" wrapText="1"/>
    </xf>
    <xf numFmtId="0" fontId="14" fillId="14" borderId="45" xfId="0" applyFont="1" applyFill="1" applyBorder="1" applyAlignment="1">
      <alignment wrapText="1"/>
    </xf>
    <xf numFmtId="164" fontId="8" fillId="0" borderId="45" xfId="0" applyNumberFormat="1" applyFont="1" applyBorder="1" applyAlignment="1">
      <alignment horizontal="center"/>
    </xf>
    <xf numFmtId="0" fontId="0" fillId="0" borderId="39" xfId="0" applyBorder="1" applyAlignment="1">
      <alignment horizontal="right" wrapText="1"/>
    </xf>
    <xf numFmtId="165" fontId="21" fillId="10" borderId="45" xfId="0" applyNumberFormat="1" applyFont="1" applyFill="1" applyBorder="1"/>
    <xf numFmtId="164" fontId="8" fillId="0" borderId="47" xfId="0" applyNumberFormat="1" applyFont="1" applyBorder="1" applyAlignment="1">
      <alignment horizontal="center"/>
    </xf>
    <xf numFmtId="4" fontId="9" fillId="0" borderId="47" xfId="0" applyNumberFormat="1" applyFont="1" applyBorder="1" applyAlignment="1">
      <alignment horizontal="right" wrapText="1"/>
    </xf>
    <xf numFmtId="0" fontId="9" fillId="14" borderId="39" xfId="0" applyFont="1" applyFill="1" applyBorder="1" applyAlignment="1">
      <alignment horizontal="right" wrapText="1"/>
    </xf>
    <xf numFmtId="0" fontId="0" fillId="14" borderId="48" xfId="0" applyFill="1" applyBorder="1" applyAlignment="1">
      <alignment wrapText="1"/>
    </xf>
    <xf numFmtId="0" fontId="14" fillId="14" borderId="48" xfId="0" applyFont="1" applyFill="1" applyBorder="1" applyAlignment="1">
      <alignment wrapText="1"/>
    </xf>
    <xf numFmtId="164" fontId="8" fillId="0" borderId="48" xfId="0" applyNumberFormat="1" applyFont="1" applyBorder="1" applyAlignment="1">
      <alignment horizontal="center"/>
    </xf>
    <xf numFmtId="165" fontId="21" fillId="10" borderId="48" xfId="0" applyNumberFormat="1" applyFont="1" applyFill="1" applyBorder="1"/>
    <xf numFmtId="0" fontId="9" fillId="15" borderId="39" xfId="0" applyFont="1" applyFill="1" applyBorder="1" applyAlignment="1">
      <alignment horizontal="right" wrapText="1"/>
    </xf>
    <xf numFmtId="0" fontId="0" fillId="14" borderId="39" xfId="0" applyFill="1" applyBorder="1" applyAlignment="1">
      <alignment horizontal="right" wrapText="1"/>
    </xf>
    <xf numFmtId="0" fontId="22" fillId="14" borderId="48" xfId="0" applyFont="1" applyFill="1" applyBorder="1" applyAlignment="1">
      <alignment horizontal="right" wrapText="1"/>
    </xf>
    <xf numFmtId="0" fontId="12" fillId="14" borderId="48" xfId="0" applyFont="1" applyFill="1" applyBorder="1" applyAlignment="1">
      <alignment horizontal="right" wrapText="1"/>
    </xf>
    <xf numFmtId="4" fontId="22" fillId="14" borderId="48" xfId="0" applyNumberFormat="1" applyFont="1" applyFill="1" applyBorder="1" applyAlignment="1">
      <alignment horizontal="right" wrapText="1"/>
    </xf>
    <xf numFmtId="0" fontId="23" fillId="14" borderId="48" xfId="0" applyFont="1" applyFill="1" applyBorder="1" applyAlignment="1">
      <alignment horizontal="right" wrapText="1"/>
    </xf>
    <xf numFmtId="0" fontId="0" fillId="0" borderId="43" xfId="0" applyBorder="1" applyAlignment="1">
      <alignment horizontal="right" wrapText="1"/>
    </xf>
    <xf numFmtId="0" fontId="0" fillId="14" borderId="46" xfId="0" applyFill="1" applyBorder="1" applyAlignment="1">
      <alignment horizontal="right" wrapText="1"/>
    </xf>
    <xf numFmtId="4" fontId="12" fillId="14" borderId="39" xfId="0" applyNumberFormat="1" applyFont="1" applyFill="1" applyBorder="1" applyAlignment="1">
      <alignment horizontal="right" wrapText="1"/>
    </xf>
    <xf numFmtId="164" fontId="8" fillId="0" borderId="16" xfId="0" applyNumberFormat="1" applyFont="1" applyBorder="1" applyAlignment="1">
      <alignment horizontal="center"/>
    </xf>
    <xf numFmtId="4" fontId="9" fillId="0" borderId="16" xfId="0" applyNumberFormat="1" applyFont="1" applyBorder="1" applyAlignment="1">
      <alignment horizontal="right" wrapText="1"/>
    </xf>
    <xf numFmtId="0" fontId="0" fillId="14" borderId="49" xfId="0" applyFill="1" applyBorder="1" applyAlignment="1">
      <alignment wrapText="1"/>
    </xf>
    <xf numFmtId="0" fontId="14" fillId="14" borderId="50" xfId="0" applyFont="1" applyFill="1" applyBorder="1" applyAlignment="1">
      <alignment wrapText="1"/>
    </xf>
    <xf numFmtId="164" fontId="8" fillId="0" borderId="49" xfId="0" applyNumberFormat="1" applyFont="1" applyBorder="1" applyAlignment="1">
      <alignment horizontal="center"/>
    </xf>
    <xf numFmtId="164" fontId="11" fillId="0" borderId="48" xfId="0" applyNumberFormat="1" applyFont="1" applyBorder="1"/>
    <xf numFmtId="43" fontId="13" fillId="0" borderId="51" xfId="1" applyFont="1" applyBorder="1" applyAlignment="1">
      <alignment horizontal="center"/>
    </xf>
    <xf numFmtId="43" fontId="13" fillId="0" borderId="52" xfId="1" applyFont="1" applyBorder="1"/>
    <xf numFmtId="43" fontId="13" fillId="0" borderId="53" xfId="1" applyFont="1" applyBorder="1"/>
    <xf numFmtId="43" fontId="13" fillId="0" borderId="54" xfId="1" applyFont="1" applyBorder="1" applyAlignment="1">
      <alignment horizontal="center"/>
    </xf>
    <xf numFmtId="43" fontId="13" fillId="0" borderId="55" xfId="1" applyFont="1" applyBorder="1"/>
    <xf numFmtId="43" fontId="13" fillId="0" borderId="56" xfId="1" applyFont="1" applyBorder="1"/>
    <xf numFmtId="43" fontId="13" fillId="0" borderId="6" xfId="1" applyFont="1" applyBorder="1" applyAlignment="1">
      <alignment horizontal="center"/>
    </xf>
    <xf numFmtId="43" fontId="13" fillId="0" borderId="6" xfId="1" applyFont="1" applyBorder="1"/>
    <xf numFmtId="43" fontId="13" fillId="0" borderId="57" xfId="1" applyFont="1" applyBorder="1" applyAlignment="1">
      <alignment horizontal="center"/>
    </xf>
    <xf numFmtId="43" fontId="13" fillId="0" borderId="52" xfId="1" applyFont="1" applyFill="1" applyBorder="1"/>
    <xf numFmtId="43" fontId="13" fillId="0" borderId="58" xfId="1" applyFont="1" applyBorder="1"/>
    <xf numFmtId="16" fontId="0" fillId="0" borderId="0" xfId="0" applyNumberFormat="1" applyAlignment="1">
      <alignment horizontal="center"/>
    </xf>
    <xf numFmtId="164" fontId="21" fillId="0" borderId="0" xfId="0" applyNumberFormat="1" applyFont="1"/>
    <xf numFmtId="165" fontId="11" fillId="0" borderId="0" xfId="0" applyNumberFormat="1" applyFont="1"/>
    <xf numFmtId="0" fontId="2" fillId="0" borderId="0" xfId="0" applyFont="1" applyAlignment="1">
      <alignment horizontal="center"/>
    </xf>
    <xf numFmtId="164" fontId="15" fillId="0" borderId="0" xfId="0" applyNumberFormat="1" applyFont="1"/>
    <xf numFmtId="165" fontId="4" fillId="13" borderId="2" xfId="0" applyNumberFormat="1" applyFont="1" applyFill="1" applyBorder="1" applyAlignment="1">
      <alignment horizontal="center"/>
    </xf>
    <xf numFmtId="165" fontId="4" fillId="3" borderId="46" xfId="0" applyNumberFormat="1" applyFont="1" applyFill="1" applyBorder="1" applyAlignment="1">
      <alignment horizontal="center"/>
    </xf>
    <xf numFmtId="165" fontId="4" fillId="13" borderId="17" xfId="0" applyNumberFormat="1" applyFont="1" applyFill="1" applyBorder="1" applyAlignment="1">
      <alignment horizontal="center"/>
    </xf>
    <xf numFmtId="16" fontId="4" fillId="2" borderId="6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/>
    </xf>
    <xf numFmtId="0" fontId="0" fillId="14" borderId="0" xfId="0" applyFill="1" applyAlignment="1">
      <alignment wrapText="1"/>
    </xf>
    <xf numFmtId="43" fontId="13" fillId="0" borderId="0" xfId="1" applyFont="1" applyBorder="1"/>
    <xf numFmtId="16" fontId="4" fillId="2" borderId="1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5" fillId="7" borderId="4" xfId="0" applyNumberFormat="1" applyFont="1" applyFill="1" applyBorder="1" applyAlignment="1">
      <alignment horizontal="center"/>
    </xf>
    <xf numFmtId="0" fontId="19" fillId="0" borderId="0" xfId="0" applyFont="1"/>
    <xf numFmtId="43" fontId="5" fillId="7" borderId="4" xfId="1" applyFont="1" applyFill="1" applyBorder="1" applyAlignment="1">
      <alignment horizontal="center"/>
    </xf>
    <xf numFmtId="16" fontId="4" fillId="2" borderId="5" xfId="0" applyNumberFormat="1" applyFont="1" applyFill="1" applyBorder="1" applyAlignment="1">
      <alignment horizontal="center"/>
    </xf>
    <xf numFmtId="165" fontId="4" fillId="3" borderId="6" xfId="0" applyNumberFormat="1" applyFont="1" applyFill="1" applyBorder="1" applyAlignment="1">
      <alignment horizontal="center"/>
    </xf>
    <xf numFmtId="165" fontId="4" fillId="3" borderId="7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43" fontId="5" fillId="3" borderId="8" xfId="1" applyFont="1" applyFill="1" applyBorder="1" applyAlignment="1">
      <alignment horizontal="center"/>
    </xf>
    <xf numFmtId="4" fontId="11" fillId="8" borderId="2" xfId="0" applyNumberFormat="1" applyFont="1" applyFill="1" applyBorder="1"/>
    <xf numFmtId="4" fontId="11" fillId="8" borderId="3" xfId="0" applyNumberFormat="1" applyFont="1" applyFill="1" applyBorder="1"/>
    <xf numFmtId="4" fontId="11" fillId="8" borderId="16" xfId="0" applyNumberFormat="1" applyFont="1" applyFill="1" applyBorder="1"/>
    <xf numFmtId="2" fontId="19" fillId="0" borderId="0" xfId="0" applyNumberFormat="1" applyFont="1"/>
    <xf numFmtId="164" fontId="8" fillId="0" borderId="13" xfId="1" applyNumberFormat="1" applyFont="1" applyBorder="1" applyAlignment="1">
      <alignment horizontal="center"/>
    </xf>
    <xf numFmtId="4" fontId="11" fillId="8" borderId="17" xfId="0" applyNumberFormat="1" applyFont="1" applyFill="1" applyBorder="1"/>
    <xf numFmtId="4" fontId="11" fillId="8" borderId="24" xfId="0" applyNumberFormat="1" applyFont="1" applyFill="1" applyBorder="1"/>
    <xf numFmtId="4" fontId="11" fillId="8" borderId="0" xfId="0" applyNumberFormat="1" applyFont="1" applyFill="1"/>
    <xf numFmtId="165" fontId="11" fillId="10" borderId="6" xfId="0" applyNumberFormat="1" applyFont="1" applyFill="1" applyBorder="1"/>
    <xf numFmtId="165" fontId="11" fillId="8" borderId="52" xfId="0" applyNumberFormat="1" applyFont="1" applyFill="1" applyBorder="1"/>
    <xf numFmtId="165" fontId="11" fillId="8" borderId="59" xfId="0" applyNumberFormat="1" applyFont="1" applyFill="1" applyBorder="1"/>
    <xf numFmtId="43" fontId="13" fillId="16" borderId="27" xfId="1" applyFont="1" applyFill="1" applyBorder="1"/>
    <xf numFmtId="43" fontId="13" fillId="16" borderId="28" xfId="1" applyFont="1" applyFill="1" applyBorder="1"/>
    <xf numFmtId="43" fontId="13" fillId="16" borderId="60" xfId="1" applyFont="1" applyFill="1" applyBorder="1"/>
    <xf numFmtId="43" fontId="8" fillId="0" borderId="12" xfId="1" applyFont="1" applyBorder="1" applyAlignment="1">
      <alignment horizontal="center"/>
    </xf>
    <xf numFmtId="43" fontId="8" fillId="0" borderId="21" xfId="1" applyFont="1" applyBorder="1" applyAlignment="1">
      <alignment horizontal="center"/>
    </xf>
    <xf numFmtId="43" fontId="16" fillId="0" borderId="0" xfId="1" applyFont="1" applyFill="1" applyBorder="1"/>
    <xf numFmtId="43" fontId="16" fillId="0" borderId="28" xfId="1" applyFont="1" applyBorder="1"/>
    <xf numFmtId="43" fontId="16" fillId="0" borderId="31" xfId="1" applyFont="1" applyBorder="1"/>
    <xf numFmtId="43" fontId="8" fillId="0" borderId="29" xfId="1" applyFont="1" applyBorder="1" applyAlignment="1">
      <alignment horizontal="center"/>
    </xf>
    <xf numFmtId="43" fontId="13" fillId="0" borderId="8" xfId="1" applyFont="1" applyBorder="1"/>
    <xf numFmtId="43" fontId="0" fillId="0" borderId="17" xfId="1" applyFont="1" applyBorder="1"/>
    <xf numFmtId="43" fontId="0" fillId="0" borderId="6" xfId="1" applyFont="1" applyBorder="1"/>
    <xf numFmtId="43" fontId="8" fillId="0" borderId="62" xfId="1" applyFont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43" fontId="0" fillId="0" borderId="0" xfId="1" applyFont="1" applyAlignment="1">
      <alignment horizontal="right"/>
    </xf>
    <xf numFmtId="43" fontId="17" fillId="3" borderId="39" xfId="1" applyFont="1" applyFill="1" applyBorder="1" applyAlignment="1">
      <alignment horizontal="center"/>
    </xf>
    <xf numFmtId="43" fontId="17" fillId="3" borderId="39" xfId="1" applyFont="1" applyFill="1" applyBorder="1" applyAlignment="1">
      <alignment horizontal="right"/>
    </xf>
    <xf numFmtId="165" fontId="25" fillId="3" borderId="39" xfId="0" applyNumberFormat="1" applyFont="1" applyFill="1" applyBorder="1" applyAlignment="1">
      <alignment horizontal="center"/>
    </xf>
    <xf numFmtId="49" fontId="25" fillId="3" borderId="39" xfId="0" applyNumberFormat="1" applyFont="1" applyFill="1" applyBorder="1" applyAlignment="1">
      <alignment horizontal="center"/>
    </xf>
    <xf numFmtId="43" fontId="18" fillId="0" borderId="39" xfId="1" applyFont="1" applyBorder="1"/>
    <xf numFmtId="43" fontId="19" fillId="0" borderId="39" xfId="1" applyFont="1" applyBorder="1" applyAlignment="1">
      <alignment horizontal="right"/>
    </xf>
    <xf numFmtId="43" fontId="20" fillId="10" borderId="39" xfId="1" applyFont="1" applyFill="1" applyBorder="1"/>
    <xf numFmtId="2" fontId="0" fillId="0" borderId="39" xfId="0" applyNumberFormat="1" applyBorder="1"/>
    <xf numFmtId="165" fontId="20" fillId="10" borderId="39" xfId="0" applyNumberFormat="1" applyFont="1" applyFill="1" applyBorder="1" applyAlignment="1">
      <alignment horizontal="right"/>
    </xf>
    <xf numFmtId="165" fontId="0" fillId="0" borderId="39" xfId="0" applyNumberFormat="1" applyBorder="1"/>
    <xf numFmtId="165" fontId="16" fillId="0" borderId="39" xfId="0" applyNumberFormat="1" applyFont="1" applyBorder="1"/>
    <xf numFmtId="2" fontId="0" fillId="0" borderId="39" xfId="1" applyNumberFormat="1" applyFont="1" applyBorder="1"/>
    <xf numFmtId="43" fontId="26" fillId="10" borderId="0" xfId="1" applyFont="1" applyFill="1"/>
    <xf numFmtId="43" fontId="18" fillId="0" borderId="0" xfId="1" applyFont="1" applyAlignment="1">
      <alignment horizontal="center"/>
    </xf>
    <xf numFmtId="165" fontId="11" fillId="10" borderId="0" xfId="0" applyNumberFormat="1" applyFont="1" applyFill="1"/>
    <xf numFmtId="16" fontId="18" fillId="0" borderId="0" xfId="0" applyNumberFormat="1" applyFont="1" applyAlignment="1">
      <alignment horizontal="center"/>
    </xf>
    <xf numFmtId="43" fontId="0" fillId="0" borderId="0" xfId="1" applyFont="1" applyFill="1" applyBorder="1"/>
    <xf numFmtId="43" fontId="19" fillId="0" borderId="39" xfId="1" applyFont="1" applyBorder="1"/>
    <xf numFmtId="43" fontId="13" fillId="0" borderId="0" xfId="1" applyFont="1"/>
    <xf numFmtId="43" fontId="27" fillId="10" borderId="0" xfId="1" applyFont="1" applyFill="1"/>
    <xf numFmtId="43" fontId="28" fillId="0" borderId="0" xfId="1" applyFont="1" applyAlignment="1">
      <alignment horizontal="center"/>
    </xf>
    <xf numFmtId="165" fontId="11" fillId="10" borderId="39" xfId="0" applyNumberFormat="1" applyFont="1" applyFill="1" applyBorder="1"/>
    <xf numFmtId="0" fontId="14" fillId="0" borderId="0" xfId="0" applyFont="1"/>
    <xf numFmtId="0" fontId="13" fillId="0" borderId="0" xfId="0" applyFont="1"/>
    <xf numFmtId="0" fontId="29" fillId="0" borderId="0" xfId="0" applyFont="1"/>
    <xf numFmtId="0" fontId="13" fillId="11" borderId="39" xfId="0" applyFont="1" applyFill="1" applyBorder="1" applyAlignment="1">
      <alignment horizontal="center"/>
    </xf>
    <xf numFmtId="43" fontId="30" fillId="0" borderId="0" xfId="1" applyFont="1" applyAlignment="1">
      <alignment horizontal="center"/>
    </xf>
    <xf numFmtId="43" fontId="30" fillId="4" borderId="4" xfId="1" applyFont="1" applyFill="1" applyBorder="1" applyAlignment="1">
      <alignment horizontal="center"/>
    </xf>
    <xf numFmtId="43" fontId="30" fillId="5" borderId="4" xfId="1" applyFont="1" applyFill="1" applyBorder="1" applyAlignment="1">
      <alignment horizontal="center"/>
    </xf>
    <xf numFmtId="43" fontId="30" fillId="6" borderId="4" xfId="1" applyFont="1" applyFill="1" applyBorder="1" applyAlignment="1">
      <alignment horizontal="center"/>
    </xf>
    <xf numFmtId="43" fontId="30" fillId="7" borderId="4" xfId="1" applyFont="1" applyFill="1" applyBorder="1" applyAlignment="1">
      <alignment horizontal="center"/>
    </xf>
    <xf numFmtId="165" fontId="30" fillId="3" borderId="4" xfId="0" applyNumberFormat="1" applyFont="1" applyFill="1" applyBorder="1" applyAlignment="1">
      <alignment horizontal="center"/>
    </xf>
    <xf numFmtId="165" fontId="30" fillId="3" borderId="28" xfId="0" applyNumberFormat="1" applyFont="1" applyFill="1" applyBorder="1" applyAlignment="1">
      <alignment horizontal="center"/>
    </xf>
    <xf numFmtId="165" fontId="30" fillId="11" borderId="63" xfId="0" applyNumberFormat="1" applyFont="1" applyFill="1" applyBorder="1" applyAlignment="1">
      <alignment horizontal="center"/>
    </xf>
    <xf numFmtId="165" fontId="30" fillId="11" borderId="4" xfId="0" applyNumberFormat="1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3" fontId="30" fillId="4" borderId="8" xfId="1" applyFont="1" applyFill="1" applyBorder="1" applyAlignment="1">
      <alignment horizontal="center"/>
    </xf>
    <xf numFmtId="43" fontId="30" fillId="5" borderId="8" xfId="1" applyFont="1" applyFill="1" applyBorder="1" applyAlignment="1">
      <alignment horizontal="center"/>
    </xf>
    <xf numFmtId="43" fontId="30" fillId="6" borderId="8" xfId="1" applyFont="1" applyFill="1" applyBorder="1" applyAlignment="1">
      <alignment horizontal="center"/>
    </xf>
    <xf numFmtId="43" fontId="30" fillId="3" borderId="8" xfId="1" applyFont="1" applyFill="1" applyBorder="1" applyAlignment="1">
      <alignment horizontal="center"/>
    </xf>
    <xf numFmtId="165" fontId="30" fillId="3" borderId="61" xfId="0" applyNumberFormat="1" applyFont="1" applyFill="1" applyBorder="1" applyAlignment="1">
      <alignment horizontal="center"/>
    </xf>
    <xf numFmtId="165" fontId="30" fillId="11" borderId="64" xfId="0" applyNumberFormat="1" applyFont="1" applyFill="1" applyBorder="1" applyAlignment="1">
      <alignment horizontal="center"/>
    </xf>
    <xf numFmtId="165" fontId="30" fillId="11" borderId="61" xfId="0" applyNumberFormat="1" applyFont="1" applyFill="1" applyBorder="1" applyAlignment="1">
      <alignment horizontal="center"/>
    </xf>
    <xf numFmtId="16" fontId="31" fillId="0" borderId="39" xfId="0" applyNumberFormat="1" applyFont="1" applyBorder="1" applyAlignment="1">
      <alignment horizontal="center"/>
    </xf>
    <xf numFmtId="165" fontId="32" fillId="0" borderId="39" xfId="0" applyNumberFormat="1" applyFont="1" applyBorder="1"/>
    <xf numFmtId="165" fontId="30" fillId="10" borderId="39" xfId="0" applyNumberFormat="1" applyFont="1" applyFill="1" applyBorder="1"/>
    <xf numFmtId="43" fontId="31" fillId="0" borderId="0" xfId="1" applyFont="1" applyAlignment="1">
      <alignment horizontal="center"/>
    </xf>
    <xf numFmtId="43" fontId="31" fillId="0" borderId="12" xfId="1" applyFont="1" applyBorder="1" applyAlignment="1">
      <alignment horizontal="center"/>
    </xf>
    <xf numFmtId="43" fontId="31" fillId="0" borderId="13" xfId="1" applyFont="1" applyBorder="1" applyAlignment="1">
      <alignment horizontal="center"/>
    </xf>
    <xf numFmtId="165" fontId="31" fillId="0" borderId="39" xfId="0" applyNumberFormat="1" applyFont="1" applyBorder="1"/>
    <xf numFmtId="43" fontId="31" fillId="0" borderId="21" xfId="1" applyFont="1" applyBorder="1" applyAlignment="1">
      <alignment horizontal="center"/>
    </xf>
    <xf numFmtId="43" fontId="31" fillId="0" borderId="22" xfId="1" applyFont="1" applyBorder="1" applyAlignment="1">
      <alignment horizontal="center"/>
    </xf>
    <xf numFmtId="43" fontId="31" fillId="0" borderId="29" xfId="1" applyFont="1" applyBorder="1" applyAlignment="1">
      <alignment horizontal="center"/>
    </xf>
    <xf numFmtId="43" fontId="31" fillId="0" borderId="30" xfId="1" applyFont="1" applyBorder="1" applyAlignment="1">
      <alignment horizontal="center"/>
    </xf>
    <xf numFmtId="165" fontId="33" fillId="17" borderId="6" xfId="0" applyNumberFormat="1" applyFont="1" applyFill="1" applyBorder="1"/>
    <xf numFmtId="165" fontId="33" fillId="17" borderId="7" xfId="0" applyNumberFormat="1" applyFont="1" applyFill="1" applyBorder="1"/>
    <xf numFmtId="165" fontId="33" fillId="17" borderId="8" xfId="0" applyNumberFormat="1" applyFont="1" applyFill="1" applyBorder="1"/>
    <xf numFmtId="165" fontId="33" fillId="18" borderId="28" xfId="0" applyNumberFormat="1" applyFont="1" applyFill="1" applyBorder="1"/>
    <xf numFmtId="16" fontId="13" fillId="0" borderId="0" xfId="0" applyNumberFormat="1" applyFont="1" applyAlignment="1">
      <alignment horizontal="center"/>
    </xf>
    <xf numFmtId="43" fontId="4" fillId="4" borderId="4" xfId="1" applyFont="1" applyFill="1" applyBorder="1" applyAlignment="1">
      <alignment horizontal="center"/>
    </xf>
    <xf numFmtId="43" fontId="4" fillId="5" borderId="4" xfId="1" applyFont="1" applyFill="1" applyBorder="1" applyAlignment="1">
      <alignment horizontal="center"/>
    </xf>
    <xf numFmtId="43" fontId="4" fillId="6" borderId="4" xfId="1" applyFont="1" applyFill="1" applyBorder="1" applyAlignment="1">
      <alignment horizontal="center"/>
    </xf>
    <xf numFmtId="43" fontId="4" fillId="4" borderId="8" xfId="1" applyFont="1" applyFill="1" applyBorder="1" applyAlignment="1">
      <alignment horizontal="center"/>
    </xf>
    <xf numFmtId="43" fontId="4" fillId="5" borderId="8" xfId="1" applyFont="1" applyFill="1" applyBorder="1" applyAlignment="1">
      <alignment horizontal="center"/>
    </xf>
    <xf numFmtId="43" fontId="4" fillId="6" borderId="8" xfId="1" applyFont="1" applyFill="1" applyBorder="1" applyAlignment="1">
      <alignment horizontal="center"/>
    </xf>
    <xf numFmtId="49" fontId="5" fillId="6" borderId="63" xfId="0" applyNumberFormat="1" applyFont="1" applyFill="1" applyBorder="1" applyAlignment="1">
      <alignment horizontal="center"/>
    </xf>
    <xf numFmtId="49" fontId="5" fillId="6" borderId="36" xfId="0" applyNumberFormat="1" applyFont="1" applyFill="1" applyBorder="1" applyAlignment="1">
      <alignment horizontal="center"/>
    </xf>
    <xf numFmtId="43" fontId="0" fillId="0" borderId="26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11" fillId="8" borderId="16" xfId="1" applyFont="1" applyFill="1" applyBorder="1"/>
    <xf numFmtId="43" fontId="8" fillId="0" borderId="0" xfId="1" applyFont="1" applyAlignment="1">
      <alignment horizontal="center"/>
    </xf>
    <xf numFmtId="43" fontId="11" fillId="8" borderId="0" xfId="1" applyFont="1" applyFill="1"/>
    <xf numFmtId="43" fontId="8" fillId="0" borderId="65" xfId="1" applyFont="1" applyBorder="1" applyAlignment="1">
      <alignment horizont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2" borderId="26" xfId="0" applyNumberFormat="1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165" fontId="10" fillId="0" borderId="26" xfId="0" applyNumberFormat="1" applyFont="1" applyBorder="1"/>
    <xf numFmtId="43" fontId="13" fillId="12" borderId="8" xfId="1" applyFont="1" applyFill="1" applyBorder="1"/>
    <xf numFmtId="165" fontId="4" fillId="10" borderId="39" xfId="0" applyNumberFormat="1" applyFont="1" applyFill="1" applyBorder="1"/>
    <xf numFmtId="0" fontId="0" fillId="14" borderId="46" xfId="0" applyFill="1" applyBorder="1" applyAlignment="1">
      <alignment wrapText="1"/>
    </xf>
    <xf numFmtId="0" fontId="0" fillId="0" borderId="48" xfId="0" applyBorder="1" applyAlignment="1">
      <alignment wrapText="1"/>
    </xf>
    <xf numFmtId="0" fontId="9" fillId="0" borderId="48" xfId="0" applyFont="1" applyBorder="1" applyAlignment="1">
      <alignment horizontal="right" wrapText="1"/>
    </xf>
    <xf numFmtId="0" fontId="0" fillId="0" borderId="46" xfId="0" applyBorder="1" applyAlignment="1">
      <alignment wrapText="1"/>
    </xf>
    <xf numFmtId="165" fontId="32" fillId="19" borderId="39" xfId="0" applyNumberFormat="1" applyFont="1" applyFill="1" applyBorder="1"/>
    <xf numFmtId="0" fontId="9" fillId="0" borderId="46" xfId="0" applyFont="1" applyBorder="1" applyAlignment="1">
      <alignment horizontal="right" wrapText="1"/>
    </xf>
    <xf numFmtId="4" fontId="9" fillId="0" borderId="46" xfId="0" applyNumberFormat="1" applyFont="1" applyBorder="1" applyAlignment="1">
      <alignment horizontal="right" wrapText="1"/>
    </xf>
    <xf numFmtId="49" fontId="3" fillId="4" borderId="4" xfId="0" applyNumberFormat="1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49" fontId="3" fillId="6" borderId="4" xfId="0" applyNumberFormat="1" applyFont="1" applyFill="1" applyBorder="1" applyAlignment="1">
      <alignment horizontal="center"/>
    </xf>
    <xf numFmtId="49" fontId="3" fillId="4" borderId="8" xfId="0" applyNumberFormat="1" applyFont="1" applyFill="1" applyBorder="1" applyAlignment="1">
      <alignment horizontal="center"/>
    </xf>
    <xf numFmtId="49" fontId="3" fillId="5" borderId="8" xfId="0" applyNumberFormat="1" applyFont="1" applyFill="1" applyBorder="1" applyAlignment="1">
      <alignment horizontal="center"/>
    </xf>
    <xf numFmtId="49" fontId="3" fillId="6" borderId="8" xfId="0" applyNumberFormat="1" applyFont="1" applyFill="1" applyBorder="1" applyAlignment="1">
      <alignment horizontal="center"/>
    </xf>
    <xf numFmtId="4" fontId="0" fillId="0" borderId="0" xfId="0" applyNumberFormat="1"/>
    <xf numFmtId="43" fontId="8" fillId="18" borderId="22" xfId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64" fontId="8" fillId="18" borderId="22" xfId="0" applyNumberFormat="1" applyFont="1" applyFill="1" applyBorder="1" applyAlignment="1">
      <alignment horizontal="center"/>
    </xf>
    <xf numFmtId="164" fontId="8" fillId="18" borderId="30" xfId="0" applyNumberFormat="1" applyFont="1" applyFill="1" applyBorder="1" applyAlignment="1">
      <alignment horizontal="center"/>
    </xf>
    <xf numFmtId="164" fontId="0" fillId="0" borderId="0" xfId="0" applyNumberFormat="1"/>
    <xf numFmtId="165" fontId="18" fillId="11" borderId="39" xfId="0" applyNumberFormat="1" applyFont="1" applyFill="1" applyBorder="1"/>
    <xf numFmtId="165" fontId="18" fillId="20" borderId="39" xfId="0" applyNumberFormat="1" applyFont="1" applyFill="1" applyBorder="1"/>
    <xf numFmtId="165" fontId="20" fillId="20" borderId="39" xfId="0" applyNumberFormat="1" applyFont="1" applyFill="1" applyBorder="1"/>
    <xf numFmtId="16" fontId="9" fillId="0" borderId="1" xfId="0" applyNumberFormat="1" applyFont="1" applyBorder="1" applyAlignment="1">
      <alignment horizontal="center" wrapText="1"/>
    </xf>
    <xf numFmtId="4" fontId="9" fillId="0" borderId="2" xfId="0" applyNumberFormat="1" applyFont="1" applyBorder="1" applyAlignment="1">
      <alignment horizontal="right" wrapText="1"/>
    </xf>
    <xf numFmtId="0" fontId="0" fillId="0" borderId="43" xfId="0" applyBorder="1" applyAlignment="1">
      <alignment wrapText="1"/>
    </xf>
    <xf numFmtId="0" fontId="0" fillId="14" borderId="47" xfId="0" applyFill="1" applyBorder="1" applyAlignment="1">
      <alignment wrapText="1"/>
    </xf>
    <xf numFmtId="0" fontId="12" fillId="14" borderId="47" xfId="0" applyFont="1" applyFill="1" applyBorder="1" applyAlignment="1">
      <alignment horizontal="right" wrapText="1"/>
    </xf>
    <xf numFmtId="0" fontId="12" fillId="14" borderId="16" xfId="0" applyFont="1" applyFill="1" applyBorder="1" applyAlignment="1">
      <alignment horizontal="right" wrapText="1"/>
    </xf>
    <xf numFmtId="0" fontId="0" fillId="14" borderId="66" xfId="0" applyFill="1" applyBorder="1" applyAlignment="1">
      <alignment wrapText="1"/>
    </xf>
    <xf numFmtId="4" fontId="12" fillId="14" borderId="43" xfId="0" applyNumberFormat="1" applyFont="1" applyFill="1" applyBorder="1" applyAlignment="1">
      <alignment horizontal="right" wrapText="1"/>
    </xf>
    <xf numFmtId="4" fontId="9" fillId="0" borderId="67" xfId="0" applyNumberFormat="1" applyFont="1" applyBorder="1" applyAlignment="1">
      <alignment horizontal="right" wrapText="1"/>
    </xf>
    <xf numFmtId="4" fontId="9" fillId="0" borderId="68" xfId="0" applyNumberFormat="1" applyFont="1" applyBorder="1" applyAlignment="1">
      <alignment horizontal="right" wrapText="1"/>
    </xf>
    <xf numFmtId="4" fontId="9" fillId="0" borderId="69" xfId="0" applyNumberFormat="1" applyFont="1" applyBorder="1" applyAlignment="1">
      <alignment horizontal="right" wrapText="1"/>
    </xf>
    <xf numFmtId="4" fontId="9" fillId="0" borderId="70" xfId="0" applyNumberFormat="1" applyFont="1" applyBorder="1" applyAlignment="1">
      <alignment horizontal="right" wrapText="1"/>
    </xf>
    <xf numFmtId="4" fontId="9" fillId="0" borderId="71" xfId="0" applyNumberFormat="1" applyFont="1" applyBorder="1" applyAlignment="1">
      <alignment horizontal="right" wrapText="1"/>
    </xf>
    <xf numFmtId="4" fontId="9" fillId="0" borderId="72" xfId="0" applyNumberFormat="1" applyFont="1" applyBorder="1" applyAlignment="1">
      <alignment horizontal="right" wrapText="1"/>
    </xf>
    <xf numFmtId="0" fontId="12" fillId="14" borderId="67" xfId="0" applyFont="1" applyFill="1" applyBorder="1" applyAlignment="1">
      <alignment horizontal="right" wrapText="1"/>
    </xf>
    <xf numFmtId="0" fontId="0" fillId="14" borderId="69" xfId="0" applyFill="1" applyBorder="1" applyAlignment="1">
      <alignment wrapText="1"/>
    </xf>
    <xf numFmtId="0" fontId="12" fillId="14" borderId="69" xfId="0" applyFont="1" applyFill="1" applyBorder="1" applyAlignment="1">
      <alignment horizontal="right" wrapText="1"/>
    </xf>
    <xf numFmtId="0" fontId="12" fillId="0" borderId="67" xfId="0" applyFont="1" applyBorder="1" applyAlignment="1">
      <alignment horizontal="right" wrapText="1"/>
    </xf>
    <xf numFmtId="0" fontId="12" fillId="0" borderId="69" xfId="0" applyFont="1" applyBorder="1" applyAlignment="1">
      <alignment horizontal="right" wrapText="1"/>
    </xf>
    <xf numFmtId="0" fontId="12" fillId="0" borderId="71" xfId="0" applyFont="1" applyBorder="1" applyAlignment="1">
      <alignment horizontal="right" wrapText="1"/>
    </xf>
    <xf numFmtId="4" fontId="9" fillId="0" borderId="73" xfId="0" applyNumberFormat="1" applyFont="1" applyBorder="1" applyAlignment="1">
      <alignment horizontal="right" wrapText="1"/>
    </xf>
    <xf numFmtId="4" fontId="9" fillId="0" borderId="74" xfId="0" applyNumberFormat="1" applyFont="1" applyBorder="1" applyAlignment="1">
      <alignment horizontal="right" wrapText="1"/>
    </xf>
    <xf numFmtId="4" fontId="9" fillId="0" borderId="75" xfId="0" applyNumberFormat="1" applyFont="1" applyBorder="1" applyAlignment="1">
      <alignment horizontal="right" wrapText="1"/>
    </xf>
    <xf numFmtId="4" fontId="9" fillId="0" borderId="76" xfId="0" applyNumberFormat="1" applyFont="1" applyBorder="1" applyAlignment="1">
      <alignment horizontal="right" wrapText="1"/>
    </xf>
    <xf numFmtId="0" fontId="9" fillId="0" borderId="76" xfId="0" applyFont="1" applyBorder="1" applyAlignment="1">
      <alignment horizontal="right" wrapText="1"/>
    </xf>
    <xf numFmtId="4" fontId="9" fillId="0" borderId="77" xfId="0" applyNumberFormat="1" applyFont="1" applyBorder="1" applyAlignment="1">
      <alignment horizontal="right" wrapText="1"/>
    </xf>
    <xf numFmtId="4" fontId="9" fillId="0" borderId="78" xfId="0" applyNumberFormat="1" applyFont="1" applyBorder="1" applyAlignment="1">
      <alignment horizontal="right" wrapText="1"/>
    </xf>
    <xf numFmtId="0" fontId="9" fillId="14" borderId="73" xfId="0" applyFont="1" applyFill="1" applyBorder="1" applyAlignment="1">
      <alignment horizontal="right" wrapText="1"/>
    </xf>
    <xf numFmtId="0" fontId="0" fillId="14" borderId="75" xfId="0" applyFill="1" applyBorder="1" applyAlignment="1">
      <alignment wrapText="1"/>
    </xf>
    <xf numFmtId="0" fontId="9" fillId="14" borderId="75" xfId="0" applyFont="1" applyFill="1" applyBorder="1" applyAlignment="1">
      <alignment horizontal="right" wrapText="1"/>
    </xf>
    <xf numFmtId="0" fontId="9" fillId="14" borderId="77" xfId="0" applyFont="1" applyFill="1" applyBorder="1" applyAlignment="1">
      <alignment horizontal="right" wrapText="1"/>
    </xf>
    <xf numFmtId="0" fontId="9" fillId="0" borderId="70" xfId="0" applyFont="1" applyBorder="1" applyAlignment="1">
      <alignment horizontal="right" wrapText="1"/>
    </xf>
    <xf numFmtId="4" fontId="9" fillId="0" borderId="79" xfId="0" applyNumberFormat="1" applyFont="1" applyBorder="1" applyAlignment="1">
      <alignment horizontal="right" wrapText="1"/>
    </xf>
    <xf numFmtId="0" fontId="9" fillId="0" borderId="80" xfId="0" applyFont="1" applyBorder="1" applyAlignment="1">
      <alignment horizontal="right" wrapText="1"/>
    </xf>
    <xf numFmtId="0" fontId="0" fillId="14" borderId="79" xfId="0" applyFill="1" applyBorder="1" applyAlignment="1">
      <alignment wrapText="1"/>
    </xf>
    <xf numFmtId="0" fontId="9" fillId="0" borderId="69" xfId="0" applyFont="1" applyBorder="1" applyAlignment="1">
      <alignment horizontal="right" wrapText="1"/>
    </xf>
    <xf numFmtId="0" fontId="12" fillId="14" borderId="71" xfId="0" applyFont="1" applyFill="1" applyBorder="1" applyAlignment="1">
      <alignment horizontal="right" wrapText="1"/>
    </xf>
    <xf numFmtId="0" fontId="9" fillId="0" borderId="68" xfId="0" applyFont="1" applyBorder="1" applyAlignment="1">
      <alignment horizontal="right" wrapText="1"/>
    </xf>
    <xf numFmtId="0" fontId="9" fillId="0" borderId="67" xfId="0" applyFont="1" applyBorder="1" applyAlignment="1">
      <alignment horizontal="right" wrapText="1"/>
    </xf>
    <xf numFmtId="0" fontId="9" fillId="0" borderId="72" xfId="0" applyFont="1" applyBorder="1" applyAlignment="1">
      <alignment horizontal="right" wrapText="1"/>
    </xf>
    <xf numFmtId="0" fontId="0" fillId="14" borderId="71" xfId="0" applyFill="1" applyBorder="1" applyAlignment="1">
      <alignment wrapText="1"/>
    </xf>
    <xf numFmtId="0" fontId="9" fillId="0" borderId="71" xfId="0" applyFont="1" applyBorder="1" applyAlignment="1">
      <alignment horizontal="right" wrapText="1"/>
    </xf>
    <xf numFmtId="164" fontId="8" fillId="0" borderId="39" xfId="0" applyNumberFormat="1" applyFont="1" applyBorder="1" applyAlignment="1">
      <alignment horizontal="center"/>
    </xf>
    <xf numFmtId="4" fontId="35" fillId="0" borderId="39" xfId="0" applyNumberFormat="1" applyFont="1" applyBorder="1" applyAlignment="1">
      <alignment horizontal="right" wrapText="1"/>
    </xf>
    <xf numFmtId="0" fontId="35" fillId="0" borderId="39" xfId="0" applyFont="1" applyBorder="1" applyAlignment="1">
      <alignment horizontal="right" wrapText="1"/>
    </xf>
    <xf numFmtId="0" fontId="12" fillId="14" borderId="81" xfId="0" applyFont="1" applyFill="1" applyBorder="1" applyAlignment="1">
      <alignment horizontal="right" wrapText="1"/>
    </xf>
    <xf numFmtId="2" fontId="19" fillId="0" borderId="39" xfId="0" applyNumberFormat="1" applyFont="1" applyBorder="1"/>
    <xf numFmtId="2" fontId="19" fillId="0" borderId="39" xfId="1" applyNumberFormat="1" applyFont="1" applyBorder="1"/>
    <xf numFmtId="43" fontId="8" fillId="0" borderId="45" xfId="1" applyFont="1" applyBorder="1" applyAlignment="1">
      <alignment horizontal="center"/>
    </xf>
    <xf numFmtId="49" fontId="5" fillId="4" borderId="61" xfId="0" applyNumberFormat="1" applyFont="1" applyFill="1" applyBorder="1" applyAlignment="1">
      <alignment horizontal="center"/>
    </xf>
    <xf numFmtId="49" fontId="5" fillId="5" borderId="61" xfId="0" applyNumberFormat="1" applyFont="1" applyFill="1" applyBorder="1" applyAlignment="1">
      <alignment horizontal="center"/>
    </xf>
    <xf numFmtId="49" fontId="5" fillId="6" borderId="61" xfId="0" applyNumberFormat="1" applyFont="1" applyFill="1" applyBorder="1" applyAlignment="1">
      <alignment horizontal="center"/>
    </xf>
    <xf numFmtId="43" fontId="0" fillId="0" borderId="1" xfId="1" applyFont="1" applyBorder="1"/>
    <xf numFmtId="43" fontId="0" fillId="0" borderId="3" xfId="1" applyFont="1" applyBorder="1" applyAlignment="1">
      <alignment horizontal="center"/>
    </xf>
    <xf numFmtId="43" fontId="0" fillId="0" borderId="26" xfId="1" applyFont="1" applyBorder="1"/>
    <xf numFmtId="43" fontId="0" fillId="0" borderId="24" xfId="1" applyFont="1" applyBorder="1" applyAlignment="1">
      <alignment horizontal="center"/>
    </xf>
    <xf numFmtId="43" fontId="0" fillId="0" borderId="5" xfId="1" applyFont="1" applyBorder="1"/>
    <xf numFmtId="43" fontId="0" fillId="0" borderId="7" xfId="1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8" fillId="0" borderId="17" xfId="1" applyFont="1" applyBorder="1" applyAlignment="1">
      <alignment horizontal="center"/>
    </xf>
    <xf numFmtId="43" fontId="8" fillId="0" borderId="6" xfId="1" applyFont="1" applyBorder="1" applyAlignment="1">
      <alignment horizontal="center"/>
    </xf>
    <xf numFmtId="43" fontId="0" fillId="0" borderId="82" xfId="1" applyFont="1" applyBorder="1"/>
    <xf numFmtId="43" fontId="0" fillId="0" borderId="83" xfId="1" applyFont="1" applyBorder="1"/>
    <xf numFmtId="43" fontId="0" fillId="0" borderId="45" xfId="1" applyFont="1" applyBorder="1" applyAlignment="1">
      <alignment horizontal="center"/>
    </xf>
    <xf numFmtId="43" fontId="0" fillId="0" borderId="48" xfId="1" applyFont="1" applyBorder="1" applyAlignment="1">
      <alignment horizontal="center"/>
    </xf>
    <xf numFmtId="0" fontId="9" fillId="11" borderId="39" xfId="0" applyFont="1" applyFill="1" applyBorder="1" applyAlignment="1">
      <alignment horizontal="right" wrapText="1"/>
    </xf>
    <xf numFmtId="165" fontId="10" fillId="11" borderId="23" xfId="0" applyNumberFormat="1" applyFont="1" applyFill="1" applyBorder="1"/>
    <xf numFmtId="165" fontId="10" fillId="11" borderId="19" xfId="0" applyNumberFormat="1" applyFont="1" applyFill="1" applyBorder="1"/>
    <xf numFmtId="0" fontId="0" fillId="11" borderId="17" xfId="0" applyFill="1" applyBorder="1"/>
    <xf numFmtId="165" fontId="12" fillId="21" borderId="23" xfId="0" applyNumberFormat="1" applyFont="1" applyFill="1" applyBorder="1"/>
    <xf numFmtId="4" fontId="11" fillId="11" borderId="24" xfId="0" applyNumberFormat="1" applyFont="1" applyFill="1" applyBorder="1"/>
    <xf numFmtId="4" fontId="11" fillId="11" borderId="17" xfId="0" applyNumberFormat="1" applyFont="1" applyFill="1" applyBorder="1"/>
    <xf numFmtId="0" fontId="27" fillId="11" borderId="39" xfId="0" applyFont="1" applyFill="1" applyBorder="1" applyAlignment="1">
      <alignment horizontal="center"/>
    </xf>
    <xf numFmtId="0" fontId="27" fillId="11" borderId="2" xfId="0" applyFont="1" applyFill="1" applyBorder="1" applyAlignment="1">
      <alignment horizontal="center"/>
    </xf>
    <xf numFmtId="165" fontId="36" fillId="10" borderId="39" xfId="0" applyNumberFormat="1" applyFont="1" applyFill="1" applyBorder="1"/>
    <xf numFmtId="165" fontId="32" fillId="11" borderId="39" xfId="0" applyNumberFormat="1" applyFont="1" applyFill="1" applyBorder="1"/>
    <xf numFmtId="43" fontId="8" fillId="11" borderId="21" xfId="1" applyFont="1" applyFill="1" applyBorder="1" applyAlignment="1">
      <alignment horizontal="center"/>
    </xf>
    <xf numFmtId="43" fontId="16" fillId="12" borderId="27" xfId="1" applyFont="1" applyFill="1" applyBorder="1"/>
    <xf numFmtId="43" fontId="16" fillId="12" borderId="28" xfId="1" applyFont="1" applyFill="1" applyBorder="1"/>
    <xf numFmtId="43" fontId="13" fillId="0" borderId="84" xfId="1" applyFont="1" applyBorder="1"/>
    <xf numFmtId="43" fontId="15" fillId="0" borderId="84" xfId="1" applyFont="1" applyBorder="1"/>
    <xf numFmtId="43" fontId="8" fillId="0" borderId="48" xfId="1" applyFont="1" applyBorder="1" applyAlignment="1">
      <alignment horizontal="center"/>
    </xf>
    <xf numFmtId="43" fontId="16" fillId="0" borderId="84" xfId="1" applyFont="1" applyBorder="1"/>
    <xf numFmtId="0" fontId="0" fillId="11" borderId="0" xfId="0" applyFill="1"/>
    <xf numFmtId="43" fontId="8" fillId="11" borderId="2" xfId="1" applyFont="1" applyFill="1" applyBorder="1" applyAlignment="1">
      <alignment horizontal="center"/>
    </xf>
    <xf numFmtId="43" fontId="8" fillId="11" borderId="17" xfId="1" applyFont="1" applyFill="1" applyBorder="1" applyAlignment="1">
      <alignment horizontal="center"/>
    </xf>
    <xf numFmtId="43" fontId="0" fillId="11" borderId="0" xfId="0" applyNumberFormat="1" applyFill="1" applyAlignment="1">
      <alignment horizontal="center"/>
    </xf>
    <xf numFmtId="43" fontId="14" fillId="11" borderId="0" xfId="1" applyFont="1" applyFill="1"/>
    <xf numFmtId="0" fontId="14" fillId="11" borderId="0" xfId="0" applyFont="1" applyFill="1"/>
    <xf numFmtId="166" fontId="18" fillId="0" borderId="39" xfId="0" applyNumberFormat="1" applyFont="1" applyBorder="1" applyAlignment="1">
      <alignment horizont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2" borderId="2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" fontId="4" fillId="2" borderId="39" xfId="0" applyNumberFormat="1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16" fontId="4" fillId="2" borderId="40" xfId="0" applyNumberFormat="1" applyFont="1" applyFill="1" applyBorder="1" applyAlignment="1">
      <alignment horizontal="center" vertical="center"/>
    </xf>
    <xf numFmtId="16" fontId="4" fillId="2" borderId="4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EX150"/>
  <sheetViews>
    <sheetView topLeftCell="A75" zoomScale="90" zoomScaleNormal="90" workbookViewId="0">
      <selection activeCell="B115" sqref="B115:P115"/>
    </sheetView>
  </sheetViews>
  <sheetFormatPr baseColWidth="10" defaultRowHeight="15" x14ac:dyDescent="0.25"/>
  <cols>
    <col min="1" max="1" width="6.28515625" customWidth="1"/>
    <col min="2" max="2" width="8.5703125" customWidth="1"/>
    <col min="3" max="3" width="18.42578125" bestFit="1" customWidth="1"/>
    <col min="4" max="4" width="19.85546875" customWidth="1"/>
    <col min="5" max="5" width="16.85546875" customWidth="1"/>
    <col min="6" max="6" width="1.42578125" customWidth="1"/>
    <col min="7" max="7" width="14.7109375" customWidth="1"/>
    <col min="8" max="9" width="11.28515625" customWidth="1"/>
    <col min="10" max="10" width="22" bestFit="1" customWidth="1"/>
    <col min="12" max="12" width="11.42578125" customWidth="1"/>
    <col min="13" max="13" width="20.85546875" customWidth="1"/>
    <col min="14" max="14" width="21.28515625" customWidth="1"/>
    <col min="15" max="15" width="17.85546875" customWidth="1"/>
    <col min="16" max="16" width="1.42578125" customWidth="1"/>
    <col min="17" max="17" width="11.42578125" customWidth="1"/>
    <col min="18" max="19" width="12.85546875" customWidth="1"/>
    <col min="20" max="20" width="13.140625" customWidth="1"/>
    <col min="21" max="21" width="14" customWidth="1"/>
    <col min="24" max="24" width="20.5703125" customWidth="1"/>
    <col min="25" max="25" width="18.42578125" bestFit="1" customWidth="1"/>
    <col min="26" max="26" width="15.42578125" bestFit="1" customWidth="1"/>
    <col min="27" max="27" width="1.42578125" customWidth="1"/>
    <col min="28" max="31" width="13" customWidth="1"/>
    <col min="32" max="32" width="22" bestFit="1" customWidth="1"/>
    <col min="35" max="35" width="18.42578125" bestFit="1" customWidth="1"/>
    <col min="36" max="36" width="18" customWidth="1"/>
    <col min="37" max="37" width="20.140625" bestFit="1" customWidth="1"/>
    <col min="38" max="38" width="1.42578125" customWidth="1"/>
    <col min="39" max="42" width="13" customWidth="1"/>
    <col min="43" max="43" width="22" bestFit="1" customWidth="1"/>
    <col min="46" max="46" width="14.85546875" customWidth="1"/>
    <col min="47" max="47" width="16.28515625" customWidth="1"/>
    <col min="48" max="48" width="14.42578125" customWidth="1"/>
    <col min="49" max="49" width="12.140625" customWidth="1"/>
    <col min="50" max="50" width="1.42578125" customWidth="1"/>
    <col min="51" max="51" width="10.5703125" customWidth="1"/>
    <col min="52" max="53" width="10.140625" customWidth="1"/>
    <col min="54" max="54" width="11.7109375" customWidth="1"/>
    <col min="57" max="57" width="18.140625" customWidth="1"/>
    <col min="58" max="58" width="20.28515625" customWidth="1"/>
    <col min="59" max="59" width="15.42578125" customWidth="1"/>
    <col min="60" max="60" width="15.42578125" bestFit="1" customWidth="1"/>
    <col min="61" max="61" width="1.42578125" customWidth="1"/>
    <col min="62" max="64" width="9.85546875" customWidth="1"/>
    <col min="65" max="65" width="22" bestFit="1" customWidth="1"/>
    <col min="68" max="68" width="13.7109375" customWidth="1"/>
    <col min="69" max="69" width="13.85546875" customWidth="1"/>
    <col min="70" max="70" width="14.85546875" customWidth="1"/>
    <col min="71" max="71" width="14.5703125" customWidth="1"/>
    <col min="72" max="72" width="1.42578125" customWidth="1"/>
    <col min="73" max="73" width="12.28515625" customWidth="1"/>
    <col min="74" max="75" width="11.5703125" customWidth="1"/>
    <col min="76" max="76" width="12.28515625" customWidth="1"/>
    <col min="77" max="77" width="16.28515625" customWidth="1"/>
    <col min="80" max="80" width="15.140625" customWidth="1"/>
    <col min="81" max="81" width="18.140625" customWidth="1"/>
    <col min="82" max="82" width="15.42578125" bestFit="1" customWidth="1"/>
    <col min="83" max="83" width="1.42578125" customWidth="1"/>
    <col min="84" max="86" width="14.28515625" customWidth="1"/>
    <col min="87" max="87" width="22" bestFit="1" customWidth="1"/>
    <col min="90" max="90" width="19.5703125" customWidth="1"/>
    <col min="91" max="91" width="18.42578125" customWidth="1"/>
    <col min="92" max="92" width="18.28515625" customWidth="1"/>
    <col min="93" max="93" width="1.42578125" customWidth="1"/>
    <col min="94" max="96" width="11.85546875" customWidth="1"/>
    <col min="97" max="97" width="16.140625" customWidth="1"/>
    <col min="100" max="101" width="14.5703125" customWidth="1"/>
    <col min="102" max="102" width="6.85546875" customWidth="1"/>
    <col min="103" max="103" width="15.42578125" bestFit="1" customWidth="1"/>
    <col min="104" max="104" width="1.42578125" customWidth="1"/>
    <col min="105" max="105" width="12.85546875" customWidth="1"/>
    <col min="106" max="106" width="12" customWidth="1"/>
    <col min="107" max="107" width="12.85546875" customWidth="1"/>
    <col min="108" max="108" width="14.42578125" customWidth="1"/>
    <col min="111" max="111" width="19.85546875" customWidth="1"/>
    <col min="112" max="112" width="17.7109375" customWidth="1"/>
    <col min="113" max="113" width="15.42578125" bestFit="1" customWidth="1"/>
    <col min="114" max="114" width="1.42578125" customWidth="1"/>
    <col min="115" max="117" width="13.140625" customWidth="1"/>
    <col min="118" max="118" width="17.42578125" customWidth="1"/>
    <col min="121" max="121" width="18.7109375" customWidth="1"/>
    <col min="122" max="122" width="15.42578125" bestFit="1" customWidth="1"/>
    <col min="123" max="123" width="1.42578125" customWidth="1"/>
    <col min="124" max="126" width="12.28515625" customWidth="1"/>
    <col min="127" max="127" width="14.28515625" customWidth="1"/>
    <col min="130" max="130" width="17.42578125" customWidth="1"/>
    <col min="131" max="131" width="15.42578125" bestFit="1" customWidth="1"/>
    <col min="132" max="132" width="1.42578125" customWidth="1"/>
    <col min="133" max="135" width="11.85546875" customWidth="1"/>
    <col min="136" max="136" width="13.42578125" customWidth="1"/>
    <col min="139" max="139" width="18.5703125" customWidth="1"/>
    <col min="140" max="140" width="17.7109375" customWidth="1"/>
    <col min="141" max="141" width="1.42578125" customWidth="1"/>
    <col min="142" max="144" width="12.5703125" customWidth="1"/>
    <col min="145" max="145" width="15" customWidth="1"/>
    <col min="148" max="148" width="18.7109375" customWidth="1"/>
    <col min="149" max="149" width="15.42578125" bestFit="1" customWidth="1"/>
    <col min="150" max="150" width="1.42578125" customWidth="1"/>
    <col min="151" max="153" width="12.5703125" customWidth="1"/>
    <col min="154" max="154" width="15" customWidth="1"/>
  </cols>
  <sheetData>
    <row r="1" spans="2:154" ht="6" customHeight="1" x14ac:dyDescent="0.25"/>
    <row r="2" spans="2:154" ht="18" hidden="1" customHeight="1" x14ac:dyDescent="0.35">
      <c r="B2" s="446" t="s">
        <v>28</v>
      </c>
      <c r="C2" s="446"/>
      <c r="D2" s="130"/>
      <c r="E2" s="130"/>
      <c r="F2" s="130"/>
      <c r="G2" s="130"/>
      <c r="H2" s="130"/>
      <c r="I2" s="130"/>
      <c r="J2" s="130"/>
      <c r="K2" s="130"/>
      <c r="L2" s="446" t="s">
        <v>29</v>
      </c>
      <c r="M2" s="446"/>
      <c r="N2" s="446"/>
      <c r="P2" s="130"/>
      <c r="Q2" s="130"/>
      <c r="R2" s="130"/>
      <c r="S2" s="130"/>
      <c r="T2" s="130"/>
      <c r="U2" s="130"/>
      <c r="W2" s="446" t="s">
        <v>30</v>
      </c>
      <c r="X2" s="446"/>
      <c r="AA2" s="130"/>
      <c r="AB2" s="130"/>
      <c r="AC2" s="130"/>
      <c r="AD2" s="130"/>
      <c r="AE2" s="130"/>
      <c r="AF2" s="130"/>
      <c r="AH2" s="446" t="s">
        <v>31</v>
      </c>
      <c r="AI2" s="446"/>
      <c r="AL2" s="130"/>
      <c r="AM2" s="130"/>
      <c r="AN2" s="130"/>
      <c r="AO2" s="130"/>
      <c r="AP2" s="130"/>
      <c r="AQ2" s="130"/>
      <c r="AS2" s="446" t="s">
        <v>32</v>
      </c>
      <c r="AT2" s="446"/>
      <c r="AX2" s="130"/>
      <c r="AY2" s="130"/>
      <c r="AZ2" s="130"/>
      <c r="BA2" s="130"/>
      <c r="BB2" s="130"/>
      <c r="BD2" s="446" t="s">
        <v>33</v>
      </c>
      <c r="BE2" s="446"/>
      <c r="BI2" s="130"/>
      <c r="BJ2" s="130"/>
      <c r="BK2" s="130"/>
      <c r="BL2" s="130"/>
      <c r="BM2" s="130"/>
      <c r="BO2" s="446" t="s">
        <v>34</v>
      </c>
      <c r="BP2" s="446"/>
      <c r="BT2" s="130"/>
      <c r="BU2" s="130"/>
      <c r="BV2" s="130"/>
      <c r="BW2" s="130"/>
      <c r="BX2" s="130"/>
      <c r="BY2" s="130"/>
      <c r="CA2" s="446" t="s">
        <v>35</v>
      </c>
      <c r="CB2" s="446"/>
      <c r="CE2" s="130"/>
      <c r="CF2" s="130"/>
      <c r="CG2" s="130"/>
      <c r="CH2" s="130"/>
      <c r="CI2" s="130"/>
      <c r="CK2" s="446" t="s">
        <v>36</v>
      </c>
      <c r="CL2" s="446"/>
      <c r="CO2" s="130"/>
      <c r="CP2" s="130"/>
      <c r="CQ2" s="130"/>
      <c r="CR2" s="130"/>
      <c r="CS2" s="130"/>
      <c r="CU2" s="446" t="s">
        <v>37</v>
      </c>
      <c r="CV2" s="446"/>
      <c r="CZ2" s="130"/>
      <c r="DA2" s="130"/>
      <c r="DB2" s="130"/>
      <c r="DC2" s="130"/>
      <c r="DD2" s="130"/>
      <c r="DF2" s="446" t="s">
        <v>38</v>
      </c>
      <c r="DG2" s="446"/>
      <c r="DJ2" s="130"/>
      <c r="DK2" s="130"/>
      <c r="DL2" s="130"/>
      <c r="DM2" s="130"/>
      <c r="DN2" s="130"/>
      <c r="DP2" s="446" t="s">
        <v>39</v>
      </c>
      <c r="DQ2" s="446"/>
      <c r="DS2" s="130"/>
      <c r="DT2" s="130"/>
      <c r="DU2" s="130"/>
      <c r="DV2" s="130"/>
      <c r="DW2" s="130"/>
      <c r="DY2" s="131" t="s">
        <v>40</v>
      </c>
      <c r="DZ2" s="131"/>
      <c r="EB2" s="130"/>
      <c r="EC2" s="130"/>
      <c r="ED2" s="130"/>
      <c r="EE2" s="130"/>
      <c r="EF2" s="130"/>
      <c r="EH2" s="446" t="s">
        <v>41</v>
      </c>
      <c r="EI2" s="446"/>
      <c r="EK2" s="130"/>
      <c r="EL2" s="130"/>
      <c r="EM2" s="130"/>
      <c r="EN2" s="130"/>
      <c r="EO2" s="130"/>
      <c r="EQ2" s="446" t="s">
        <v>42</v>
      </c>
      <c r="ER2" s="446"/>
      <c r="ET2" s="130"/>
      <c r="EU2" s="130"/>
      <c r="EV2" s="130"/>
      <c r="EW2" s="130"/>
      <c r="EX2" s="130"/>
    </row>
    <row r="3" spans="2:154" ht="7.5" hidden="1" customHeight="1" thickBot="1" x14ac:dyDescent="0.3"/>
    <row r="4" spans="2:154" hidden="1" x14ac:dyDescent="0.25">
      <c r="B4" s="444" t="s">
        <v>14</v>
      </c>
      <c r="C4" s="132" t="s">
        <v>15</v>
      </c>
      <c r="D4" s="132" t="s">
        <v>15</v>
      </c>
      <c r="E4" s="133" t="s">
        <v>16</v>
      </c>
      <c r="F4" s="6"/>
      <c r="G4" s="134" t="s">
        <v>16</v>
      </c>
      <c r="H4" s="135" t="s">
        <v>16</v>
      </c>
      <c r="I4" s="136" t="s">
        <v>16</v>
      </c>
      <c r="J4" s="10" t="s">
        <v>17</v>
      </c>
      <c r="L4" s="444" t="s">
        <v>14</v>
      </c>
      <c r="M4" s="132" t="s">
        <v>15</v>
      </c>
      <c r="N4" s="132" t="s">
        <v>15</v>
      </c>
      <c r="O4" s="137" t="s">
        <v>16</v>
      </c>
      <c r="P4" s="6"/>
      <c r="Q4" s="134" t="s">
        <v>16</v>
      </c>
      <c r="R4" s="135" t="s">
        <v>16</v>
      </c>
      <c r="S4" s="135"/>
      <c r="T4" s="136" t="s">
        <v>16</v>
      </c>
      <c r="U4" s="10" t="s">
        <v>17</v>
      </c>
      <c r="W4" s="444" t="s">
        <v>14</v>
      </c>
      <c r="X4" s="132" t="s">
        <v>15</v>
      </c>
      <c r="Y4" s="132" t="s">
        <v>15</v>
      </c>
      <c r="Z4" s="137" t="s">
        <v>16</v>
      </c>
      <c r="AA4" s="6"/>
      <c r="AB4" s="134" t="s">
        <v>16</v>
      </c>
      <c r="AC4" s="135" t="s">
        <v>16</v>
      </c>
      <c r="AD4" s="135"/>
      <c r="AE4" s="136" t="s">
        <v>16</v>
      </c>
      <c r="AF4" s="10" t="s">
        <v>17</v>
      </c>
      <c r="AH4" s="444" t="s">
        <v>14</v>
      </c>
      <c r="AI4" s="132" t="s">
        <v>15</v>
      </c>
      <c r="AJ4" s="132" t="s">
        <v>15</v>
      </c>
      <c r="AK4" s="137" t="s">
        <v>16</v>
      </c>
      <c r="AL4" s="6"/>
      <c r="AM4" s="134" t="s">
        <v>16</v>
      </c>
      <c r="AN4" s="134"/>
      <c r="AO4" s="135" t="s">
        <v>16</v>
      </c>
      <c r="AP4" s="136" t="s">
        <v>16</v>
      </c>
      <c r="AQ4" s="10" t="s">
        <v>17</v>
      </c>
      <c r="AS4" s="444" t="s">
        <v>14</v>
      </c>
      <c r="AT4" s="132" t="s">
        <v>15</v>
      </c>
      <c r="AU4" s="132" t="s">
        <v>15</v>
      </c>
      <c r="AV4" s="132" t="s">
        <v>15</v>
      </c>
      <c r="AW4" s="137" t="s">
        <v>16</v>
      </c>
      <c r="AX4" s="6"/>
      <c r="AY4" s="134" t="s">
        <v>16</v>
      </c>
      <c r="AZ4" s="135" t="s">
        <v>16</v>
      </c>
      <c r="BA4" s="136" t="s">
        <v>83</v>
      </c>
      <c r="BB4" s="10" t="s">
        <v>17</v>
      </c>
      <c r="BD4" s="449" t="s">
        <v>14</v>
      </c>
      <c r="BE4" s="138" t="s">
        <v>15</v>
      </c>
      <c r="BF4" s="138" t="s">
        <v>15</v>
      </c>
      <c r="BG4" s="140" t="s">
        <v>43</v>
      </c>
      <c r="BH4" s="139" t="s">
        <v>16</v>
      </c>
      <c r="BI4" s="6"/>
      <c r="BJ4" s="134" t="s">
        <v>16</v>
      </c>
      <c r="BK4" s="135" t="s">
        <v>16</v>
      </c>
      <c r="BL4" s="136" t="s">
        <v>16</v>
      </c>
      <c r="BM4" s="10" t="s">
        <v>17</v>
      </c>
      <c r="BO4" s="449" t="s">
        <v>14</v>
      </c>
      <c r="BP4" s="138" t="s">
        <v>15</v>
      </c>
      <c r="BQ4" s="138" t="s">
        <v>15</v>
      </c>
      <c r="BR4" s="140" t="s">
        <v>16</v>
      </c>
      <c r="BS4" s="139" t="s">
        <v>16</v>
      </c>
      <c r="BT4" s="6"/>
      <c r="BU4" s="134" t="s">
        <v>16</v>
      </c>
      <c r="BV4" s="135" t="s">
        <v>16</v>
      </c>
      <c r="BW4" s="135"/>
      <c r="BX4" s="346" t="s">
        <v>83</v>
      </c>
      <c r="BY4" s="10" t="s">
        <v>17</v>
      </c>
      <c r="CA4" s="444" t="s">
        <v>14</v>
      </c>
      <c r="CB4" s="132" t="s">
        <v>15</v>
      </c>
      <c r="CC4" s="132" t="s">
        <v>15</v>
      </c>
      <c r="CD4" s="137" t="s">
        <v>16</v>
      </c>
      <c r="CE4" s="6"/>
      <c r="CF4" s="134" t="s">
        <v>16</v>
      </c>
      <c r="CG4" s="135" t="s">
        <v>16</v>
      </c>
      <c r="CH4" s="136" t="s">
        <v>16</v>
      </c>
      <c r="CI4" s="10" t="s">
        <v>17</v>
      </c>
      <c r="CK4" s="444" t="s">
        <v>14</v>
      </c>
      <c r="CL4" s="132" t="s">
        <v>15</v>
      </c>
      <c r="CM4" s="132" t="s">
        <v>15</v>
      </c>
      <c r="CN4" s="137" t="s">
        <v>16</v>
      </c>
      <c r="CO4" s="6"/>
      <c r="CP4" s="134" t="s">
        <v>16</v>
      </c>
      <c r="CQ4" s="135" t="s">
        <v>16</v>
      </c>
      <c r="CR4" s="346" t="s">
        <v>84</v>
      </c>
      <c r="CS4" s="10" t="s">
        <v>17</v>
      </c>
      <c r="CU4" s="444" t="s">
        <v>14</v>
      </c>
      <c r="CV4" s="132" t="s">
        <v>15</v>
      </c>
      <c r="CW4" s="132" t="s">
        <v>15</v>
      </c>
      <c r="CY4" s="137" t="s">
        <v>16</v>
      </c>
      <c r="CZ4" s="6"/>
      <c r="DA4" s="134" t="s">
        <v>16</v>
      </c>
      <c r="DB4" s="135" t="s">
        <v>16</v>
      </c>
      <c r="DC4" s="136" t="s">
        <v>16</v>
      </c>
      <c r="DD4" s="10" t="s">
        <v>17</v>
      </c>
      <c r="DF4" s="444" t="s">
        <v>14</v>
      </c>
      <c r="DG4" s="132" t="s">
        <v>15</v>
      </c>
      <c r="DH4" s="132" t="s">
        <v>15</v>
      </c>
      <c r="DI4" s="137" t="s">
        <v>16</v>
      </c>
      <c r="DJ4" s="6"/>
      <c r="DK4" s="134" t="s">
        <v>16</v>
      </c>
      <c r="DL4" s="135" t="s">
        <v>16</v>
      </c>
      <c r="DM4" s="136" t="s">
        <v>16</v>
      </c>
      <c r="DN4" s="10" t="s">
        <v>17</v>
      </c>
      <c r="DP4" s="444" t="s">
        <v>14</v>
      </c>
      <c r="DQ4" s="132" t="s">
        <v>15</v>
      </c>
      <c r="DR4" s="137" t="s">
        <v>16</v>
      </c>
      <c r="DS4" s="6"/>
      <c r="DT4" s="134" t="s">
        <v>16</v>
      </c>
      <c r="DU4" s="135" t="s">
        <v>16</v>
      </c>
      <c r="DV4" s="136" t="s">
        <v>16</v>
      </c>
      <c r="DW4" s="10" t="s">
        <v>17</v>
      </c>
      <c r="DY4" s="444" t="s">
        <v>14</v>
      </c>
      <c r="DZ4" s="132" t="s">
        <v>15</v>
      </c>
      <c r="EA4" s="137" t="s">
        <v>16</v>
      </c>
      <c r="EB4" s="6"/>
      <c r="EC4" s="134" t="s">
        <v>16</v>
      </c>
      <c r="ED4" s="135" t="s">
        <v>16</v>
      </c>
      <c r="EE4" s="136" t="s">
        <v>16</v>
      </c>
      <c r="EF4" s="10" t="s">
        <v>17</v>
      </c>
      <c r="EH4" s="447" t="s">
        <v>14</v>
      </c>
      <c r="EI4" s="141" t="s">
        <v>15</v>
      </c>
      <c r="EJ4" s="142" t="s">
        <v>16</v>
      </c>
      <c r="EK4" s="6"/>
      <c r="EL4" s="134" t="s">
        <v>16</v>
      </c>
      <c r="EM4" s="135" t="s">
        <v>16</v>
      </c>
      <c r="EN4" s="136" t="s">
        <v>16</v>
      </c>
      <c r="EO4" s="10" t="s">
        <v>17</v>
      </c>
      <c r="EQ4" s="447" t="s">
        <v>14</v>
      </c>
      <c r="ER4" s="141" t="s">
        <v>15</v>
      </c>
      <c r="ES4" s="142" t="s">
        <v>16</v>
      </c>
      <c r="ET4" s="6"/>
      <c r="EU4" s="134" t="s">
        <v>16</v>
      </c>
      <c r="EV4" s="135" t="s">
        <v>16</v>
      </c>
      <c r="EW4" s="136" t="s">
        <v>16</v>
      </c>
      <c r="EX4" s="10" t="s">
        <v>17</v>
      </c>
    </row>
    <row r="5" spans="2:154" ht="15.75" hidden="1" thickBot="1" x14ac:dyDescent="0.3">
      <c r="B5" s="445"/>
      <c r="C5" s="143" t="s">
        <v>18</v>
      </c>
      <c r="D5" s="143" t="s">
        <v>19</v>
      </c>
      <c r="E5" s="144" t="s">
        <v>25</v>
      </c>
      <c r="F5" s="6"/>
      <c r="G5" s="145" t="s">
        <v>21</v>
      </c>
      <c r="H5" s="146" t="s">
        <v>22</v>
      </c>
      <c r="I5" s="147" t="s">
        <v>23</v>
      </c>
      <c r="J5" s="148" t="s">
        <v>24</v>
      </c>
      <c r="L5" s="445"/>
      <c r="M5" s="143" t="s">
        <v>18</v>
      </c>
      <c r="N5" s="143" t="s">
        <v>19</v>
      </c>
      <c r="O5" s="149" t="s">
        <v>25</v>
      </c>
      <c r="P5" s="6"/>
      <c r="Q5" s="145" t="s">
        <v>21</v>
      </c>
      <c r="R5" s="146" t="s">
        <v>22</v>
      </c>
      <c r="S5" s="146"/>
      <c r="T5" s="147" t="s">
        <v>23</v>
      </c>
      <c r="U5" s="148" t="s">
        <v>24</v>
      </c>
      <c r="W5" s="445"/>
      <c r="X5" s="143" t="s">
        <v>18</v>
      </c>
      <c r="Y5" s="143" t="s">
        <v>19</v>
      </c>
      <c r="Z5" s="149" t="s">
        <v>25</v>
      </c>
      <c r="AA5" s="6"/>
      <c r="AB5" s="145" t="s">
        <v>21</v>
      </c>
      <c r="AC5" s="146" t="s">
        <v>22</v>
      </c>
      <c r="AD5" s="146"/>
      <c r="AE5" s="147" t="s">
        <v>23</v>
      </c>
      <c r="AF5" s="148" t="s">
        <v>24</v>
      </c>
      <c r="AH5" s="445"/>
      <c r="AI5" s="143" t="s">
        <v>18</v>
      </c>
      <c r="AJ5" s="143" t="s">
        <v>19</v>
      </c>
      <c r="AK5" s="149" t="s">
        <v>25</v>
      </c>
      <c r="AL5" s="6"/>
      <c r="AM5" s="145" t="s">
        <v>21</v>
      </c>
      <c r="AN5" s="145"/>
      <c r="AO5" s="146" t="s">
        <v>22</v>
      </c>
      <c r="AP5" s="147" t="s">
        <v>23</v>
      </c>
      <c r="AQ5" s="148" t="s">
        <v>24</v>
      </c>
      <c r="AS5" s="445"/>
      <c r="AT5" s="143" t="s">
        <v>18</v>
      </c>
      <c r="AU5" s="143" t="s">
        <v>19</v>
      </c>
      <c r="AV5" s="143" t="s">
        <v>20</v>
      </c>
      <c r="AW5" s="149" t="s">
        <v>25</v>
      </c>
      <c r="AX5" s="6"/>
      <c r="AY5" s="145" t="s">
        <v>21</v>
      </c>
      <c r="AZ5" s="146" t="s">
        <v>22</v>
      </c>
      <c r="BA5" s="147" t="s">
        <v>22</v>
      </c>
      <c r="BB5" s="148" t="s">
        <v>24</v>
      </c>
      <c r="BD5" s="450"/>
      <c r="BE5" s="132" t="s">
        <v>18</v>
      </c>
      <c r="BF5" s="132" t="s">
        <v>19</v>
      </c>
      <c r="BG5" s="150" t="s">
        <v>19</v>
      </c>
      <c r="BH5" s="137" t="s">
        <v>25</v>
      </c>
      <c r="BI5" s="6"/>
      <c r="BJ5" s="145" t="s">
        <v>21</v>
      </c>
      <c r="BK5" s="146" t="s">
        <v>22</v>
      </c>
      <c r="BL5" s="147" t="s">
        <v>23</v>
      </c>
      <c r="BM5" s="148" t="s">
        <v>24</v>
      </c>
      <c r="BO5" s="450"/>
      <c r="BP5" s="132" t="s">
        <v>18</v>
      </c>
      <c r="BQ5" s="132" t="s">
        <v>19</v>
      </c>
      <c r="BR5" s="150" t="s">
        <v>19</v>
      </c>
      <c r="BS5" s="137" t="s">
        <v>25</v>
      </c>
      <c r="BT5" s="6"/>
      <c r="BU5" s="145" t="s">
        <v>21</v>
      </c>
      <c r="BV5" s="146" t="s">
        <v>22</v>
      </c>
      <c r="BW5" s="146"/>
      <c r="BX5" s="347" t="s">
        <v>22</v>
      </c>
      <c r="BY5" s="148" t="s">
        <v>24</v>
      </c>
      <c r="CA5" s="445"/>
      <c r="CB5" s="143" t="s">
        <v>18</v>
      </c>
      <c r="CC5" s="143" t="s">
        <v>19</v>
      </c>
      <c r="CD5" s="149" t="s">
        <v>25</v>
      </c>
      <c r="CE5" s="6"/>
      <c r="CF5" s="145" t="s">
        <v>21</v>
      </c>
      <c r="CG5" s="146" t="s">
        <v>22</v>
      </c>
      <c r="CH5" s="147" t="s">
        <v>23</v>
      </c>
      <c r="CI5" s="148" t="s">
        <v>24</v>
      </c>
      <c r="CK5" s="445"/>
      <c r="CL5" s="143" t="s">
        <v>18</v>
      </c>
      <c r="CM5" s="143" t="s">
        <v>19</v>
      </c>
      <c r="CN5" s="149" t="s">
        <v>25</v>
      </c>
      <c r="CO5" s="6"/>
      <c r="CP5" s="145" t="s">
        <v>21</v>
      </c>
      <c r="CQ5" s="146" t="s">
        <v>22</v>
      </c>
      <c r="CR5" s="347" t="s">
        <v>22</v>
      </c>
      <c r="CS5" s="148" t="s">
        <v>24</v>
      </c>
      <c r="CU5" s="445"/>
      <c r="CV5" s="143" t="s">
        <v>18</v>
      </c>
      <c r="CW5" s="143" t="s">
        <v>19</v>
      </c>
      <c r="CY5" s="149" t="s">
        <v>25</v>
      </c>
      <c r="CZ5" s="6"/>
      <c r="DA5" s="145" t="s">
        <v>21</v>
      </c>
      <c r="DB5" s="146" t="s">
        <v>22</v>
      </c>
      <c r="DC5" s="147" t="s">
        <v>23</v>
      </c>
      <c r="DD5" s="148" t="s">
        <v>24</v>
      </c>
      <c r="DF5" s="445"/>
      <c r="DG5" s="143" t="s">
        <v>18</v>
      </c>
      <c r="DH5" s="143" t="s">
        <v>19</v>
      </c>
      <c r="DI5" s="149" t="s">
        <v>25</v>
      </c>
      <c r="DJ5" s="6"/>
      <c r="DK5" s="145" t="s">
        <v>21</v>
      </c>
      <c r="DL5" s="146" t="s">
        <v>22</v>
      </c>
      <c r="DM5" s="147" t="s">
        <v>23</v>
      </c>
      <c r="DN5" s="148" t="s">
        <v>24</v>
      </c>
      <c r="DP5" s="445"/>
      <c r="DQ5" s="143" t="s">
        <v>18</v>
      </c>
      <c r="DR5" s="149" t="s">
        <v>25</v>
      </c>
      <c r="DS5" s="6"/>
      <c r="DT5" s="145" t="s">
        <v>21</v>
      </c>
      <c r="DU5" s="146" t="s">
        <v>22</v>
      </c>
      <c r="DV5" s="147" t="s">
        <v>23</v>
      </c>
      <c r="DW5" s="148" t="s">
        <v>24</v>
      </c>
      <c r="DY5" s="445"/>
      <c r="DZ5" s="143" t="s">
        <v>18</v>
      </c>
      <c r="EA5" s="149" t="s">
        <v>25</v>
      </c>
      <c r="EB5" s="6"/>
      <c r="EC5" s="145" t="s">
        <v>21</v>
      </c>
      <c r="ED5" s="146" t="s">
        <v>22</v>
      </c>
      <c r="EE5" s="147" t="s">
        <v>23</v>
      </c>
      <c r="EF5" s="148" t="s">
        <v>24</v>
      </c>
      <c r="EH5" s="448"/>
      <c r="EI5" s="132" t="s">
        <v>18</v>
      </c>
      <c r="EJ5" s="137" t="s">
        <v>25</v>
      </c>
      <c r="EK5" s="6"/>
      <c r="EL5" s="145" t="s">
        <v>21</v>
      </c>
      <c r="EM5" s="146" t="s">
        <v>22</v>
      </c>
      <c r="EN5" s="147" t="s">
        <v>23</v>
      </c>
      <c r="EO5" s="148" t="s">
        <v>24</v>
      </c>
      <c r="EQ5" s="448"/>
      <c r="ER5" s="132" t="s">
        <v>18</v>
      </c>
      <c r="ES5" s="137" t="s">
        <v>25</v>
      </c>
      <c r="ET5" s="6"/>
      <c r="EU5" s="145" t="s">
        <v>21</v>
      </c>
      <c r="EV5" s="146" t="s">
        <v>22</v>
      </c>
      <c r="EW5" s="147" t="s">
        <v>23</v>
      </c>
      <c r="EX5" s="148" t="s">
        <v>24</v>
      </c>
    </row>
    <row r="6" spans="2:154" ht="15.75" hidden="1" x14ac:dyDescent="0.25">
      <c r="B6" s="151">
        <v>46023</v>
      </c>
      <c r="C6" s="152">
        <v>3180.84</v>
      </c>
      <c r="D6" s="152">
        <v>1008.85</v>
      </c>
      <c r="E6" s="153"/>
      <c r="F6" s="27"/>
      <c r="G6" s="32">
        <v>125.44499999999994</v>
      </c>
      <c r="H6" s="33"/>
      <c r="I6" s="29"/>
      <c r="J6" s="30">
        <f t="shared" ref="J6:J36" si="0">SUM(E6:I6)</f>
        <v>125.44499999999994</v>
      </c>
      <c r="L6" s="151">
        <v>46023</v>
      </c>
      <c r="M6" s="152">
        <v>19071.330000000002</v>
      </c>
      <c r="N6" s="154">
        <v>2675.66</v>
      </c>
      <c r="O6" s="155">
        <v>27.31</v>
      </c>
      <c r="P6" s="27"/>
      <c r="Q6" s="246"/>
      <c r="R6" s="246">
        <v>129.55887016000008</v>
      </c>
      <c r="S6" s="246"/>
      <c r="T6" s="246"/>
      <c r="U6" s="248">
        <f t="shared" ref="U6:U36" si="1">SUM(O6:T6)</f>
        <v>156.86887016000009</v>
      </c>
      <c r="W6" s="151">
        <v>46023</v>
      </c>
      <c r="X6" s="152">
        <v>17005.66</v>
      </c>
      <c r="Y6" s="156"/>
      <c r="Z6" s="157"/>
      <c r="AA6" s="27"/>
      <c r="AB6" s="239"/>
      <c r="AC6" s="239">
        <v>54.147389361142828</v>
      </c>
      <c r="AD6" s="239"/>
      <c r="AE6" s="239"/>
      <c r="AF6" s="30">
        <f t="shared" ref="AF6:AF36" si="2">SUM(Z6:AE6)</f>
        <v>54.147389361142828</v>
      </c>
      <c r="AH6" s="151">
        <v>46023</v>
      </c>
      <c r="AI6" s="152">
        <v>6744.2</v>
      </c>
      <c r="AJ6" s="154">
        <v>1540.38</v>
      </c>
      <c r="AK6" s="158">
        <v>26.34</v>
      </c>
      <c r="AL6" s="27"/>
      <c r="AM6" s="32">
        <v>126.86475000000002</v>
      </c>
      <c r="AN6" s="32"/>
      <c r="AO6" s="42"/>
      <c r="AP6" s="29"/>
      <c r="AQ6" s="30">
        <f t="shared" ref="AQ6:AQ36" si="3">SUM(AK6:AP6)</f>
        <v>153.20475000000002</v>
      </c>
      <c r="AS6" s="151">
        <v>46023</v>
      </c>
      <c r="AT6" s="152">
        <v>6524.56</v>
      </c>
      <c r="AU6" s="159">
        <v>767.21</v>
      </c>
      <c r="AV6" s="152">
        <v>1812.88</v>
      </c>
      <c r="AW6" s="160"/>
      <c r="AX6" s="27"/>
      <c r="AY6" s="32"/>
      <c r="AZ6" s="30">
        <v>96.571921412571342</v>
      </c>
      <c r="BA6" s="29"/>
      <c r="BB6" s="30">
        <f t="shared" ref="BB6:BB36" si="4">SUM(AW6:BA6)</f>
        <v>96.571921412571342</v>
      </c>
      <c r="BD6" s="151">
        <v>46023</v>
      </c>
      <c r="BE6" s="152">
        <v>1247.44</v>
      </c>
      <c r="BF6" s="161">
        <v>896.5</v>
      </c>
      <c r="BG6" s="158">
        <v>1</v>
      </c>
      <c r="BH6" s="158">
        <v>8.93</v>
      </c>
      <c r="BI6" s="27"/>
      <c r="BJ6" s="28"/>
      <c r="BK6" s="42"/>
      <c r="BL6" s="44"/>
      <c r="BM6" s="30">
        <f>SUM(BH6:BL6)</f>
        <v>8.93</v>
      </c>
      <c r="BO6" s="151">
        <v>46023</v>
      </c>
      <c r="BP6" s="159">
        <v>1224.52</v>
      </c>
      <c r="BQ6" s="161">
        <v>1037.28</v>
      </c>
      <c r="BR6" s="162"/>
      <c r="BS6" s="163">
        <v>54.42</v>
      </c>
      <c r="BT6" s="27"/>
      <c r="BU6" s="32"/>
      <c r="BV6" s="42">
        <v>191.78019251257149</v>
      </c>
      <c r="BW6" s="42"/>
      <c r="BX6" s="29"/>
      <c r="BY6" s="30">
        <f t="shared" ref="BY6:BY36" si="5">SUM(BS6:BX6)</f>
        <v>246.2001925125715</v>
      </c>
      <c r="BZ6" s="344"/>
      <c r="CA6" s="151">
        <v>46023</v>
      </c>
      <c r="CB6" s="152">
        <v>3597.95</v>
      </c>
      <c r="CC6" s="159">
        <v>1458.93</v>
      </c>
      <c r="CD6" s="164"/>
      <c r="CE6" s="27"/>
      <c r="CF6" s="32">
        <v>45.439030000000002</v>
      </c>
      <c r="CG6" s="42"/>
      <c r="CH6" s="44"/>
      <c r="CI6" s="30">
        <f t="shared" ref="CI6:CI36" si="6">SUM(CD6:CH6)</f>
        <v>45.439030000000002</v>
      </c>
      <c r="CK6" s="151">
        <v>46023</v>
      </c>
      <c r="CL6" s="152">
        <v>1407.29</v>
      </c>
      <c r="CM6" s="161">
        <v>184.14</v>
      </c>
      <c r="CN6" s="158">
        <v>117.57</v>
      </c>
      <c r="CO6" s="27"/>
      <c r="CP6" s="28"/>
      <c r="CQ6" s="33">
        <v>22.958848514285705</v>
      </c>
      <c r="CR6" s="29"/>
      <c r="CS6" s="30">
        <f t="shared" ref="CS6:CS36" si="7">SUM(CN6:CR6)</f>
        <v>140.5288485142857</v>
      </c>
      <c r="CU6" s="151">
        <v>46023</v>
      </c>
      <c r="CV6" s="159">
        <v>656.13</v>
      </c>
      <c r="CW6" s="159">
        <v>503.1</v>
      </c>
      <c r="CY6" s="158">
        <v>113.38</v>
      </c>
      <c r="CZ6" s="27"/>
      <c r="DA6" s="32">
        <v>13.054079999999971</v>
      </c>
      <c r="DB6" s="33"/>
      <c r="DC6" s="44"/>
      <c r="DD6" s="30">
        <f>SUM(CY6:DC6)</f>
        <v>126.43407999999997</v>
      </c>
      <c r="DF6" s="151">
        <v>46023</v>
      </c>
      <c r="DG6" s="159">
        <v>180</v>
      </c>
      <c r="DH6" s="161">
        <v>697.27</v>
      </c>
      <c r="DI6" s="162"/>
      <c r="DJ6" s="27"/>
      <c r="DK6" s="32">
        <v>29.940750000000008</v>
      </c>
      <c r="DL6" s="42"/>
      <c r="DM6" s="44"/>
      <c r="DN6" s="30">
        <f t="shared" ref="DN6:DN36" si="8">SUM(DI6:DM6)</f>
        <v>29.940750000000008</v>
      </c>
      <c r="DP6" s="151">
        <v>46023</v>
      </c>
      <c r="DQ6" s="159">
        <v>405</v>
      </c>
      <c r="DR6" s="165"/>
      <c r="DS6" s="27"/>
      <c r="DT6" s="32"/>
      <c r="DU6" s="29"/>
      <c r="DV6" s="29"/>
      <c r="DW6" s="30">
        <f t="shared" ref="DW6:DW36" si="9">SUM(DR6:DV6)</f>
        <v>0</v>
      </c>
      <c r="DY6" s="151">
        <v>46023</v>
      </c>
      <c r="DZ6" s="166">
        <v>147</v>
      </c>
      <c r="EA6" s="167"/>
      <c r="EB6" s="27"/>
      <c r="EC6" s="28"/>
      <c r="ED6" s="29"/>
      <c r="EE6" s="29"/>
      <c r="EF6" s="30">
        <f t="shared" ref="EF6:EF36" si="10">SUM(EA6:EE6)</f>
        <v>0</v>
      </c>
      <c r="EH6" s="151">
        <v>46023</v>
      </c>
      <c r="EI6" s="161">
        <v>1714.54</v>
      </c>
      <c r="EJ6" s="162"/>
      <c r="EK6" s="27"/>
      <c r="EL6" s="28"/>
      <c r="EM6" s="29"/>
      <c r="EN6" s="29"/>
      <c r="EO6" s="30">
        <f t="shared" ref="EO6:EO36" si="11">SUM(EJ6:EN6)</f>
        <v>0</v>
      </c>
      <c r="EQ6" s="151">
        <v>46023</v>
      </c>
      <c r="ER6" s="159">
        <v>1299.8399999999999</v>
      </c>
      <c r="ES6" s="165"/>
      <c r="ET6" s="27"/>
      <c r="EU6" s="32"/>
      <c r="EV6" s="29"/>
      <c r="EW6" s="29"/>
      <c r="EX6" s="30">
        <f t="shared" ref="EX6:EX36" si="12">SUM(ES6:EW6)</f>
        <v>0</v>
      </c>
    </row>
    <row r="7" spans="2:154" ht="15.75" hidden="1" x14ac:dyDescent="0.25">
      <c r="B7" s="151">
        <v>46024</v>
      </c>
      <c r="C7" s="152">
        <v>3420.54</v>
      </c>
      <c r="D7" s="152">
        <v>1531.33</v>
      </c>
      <c r="E7" s="168"/>
      <c r="F7" s="27"/>
      <c r="G7" s="32">
        <v>292.48124999999987</v>
      </c>
      <c r="H7" s="33"/>
      <c r="I7" s="52"/>
      <c r="J7" s="53">
        <f t="shared" si="0"/>
        <v>292.48124999999987</v>
      </c>
      <c r="L7" s="151">
        <v>46024</v>
      </c>
      <c r="M7" s="152">
        <v>19079.63</v>
      </c>
      <c r="N7" s="154">
        <v>2556.02</v>
      </c>
      <c r="O7" s="155">
        <v>85.39</v>
      </c>
      <c r="P7" s="27"/>
      <c r="Q7" s="246">
        <v>67.682559999999967</v>
      </c>
      <c r="R7" s="246"/>
      <c r="S7" s="246"/>
      <c r="T7" s="246">
        <v>41.088833700000066</v>
      </c>
      <c r="U7" s="53">
        <f t="shared" si="1"/>
        <v>194.16139370000002</v>
      </c>
      <c r="W7" s="151">
        <v>46024</v>
      </c>
      <c r="X7" s="152">
        <v>29385.19</v>
      </c>
      <c r="Y7" s="169"/>
      <c r="Z7" s="170">
        <v>105.74</v>
      </c>
      <c r="AA7" s="27"/>
      <c r="AB7" s="240">
        <v>264.85562999999996</v>
      </c>
      <c r="AC7" s="240"/>
      <c r="AD7" s="240"/>
      <c r="AE7" s="240"/>
      <c r="AF7" s="53">
        <f t="shared" si="2"/>
        <v>370.59562999999997</v>
      </c>
      <c r="AH7" s="151">
        <v>46024</v>
      </c>
      <c r="AI7" s="152">
        <v>6465.01</v>
      </c>
      <c r="AJ7" s="154">
        <v>1093.8800000000001</v>
      </c>
      <c r="AK7" s="158">
        <v>209.37</v>
      </c>
      <c r="AL7" s="27"/>
      <c r="AM7" s="32">
        <v>506.74156000000005</v>
      </c>
      <c r="AN7" s="32"/>
      <c r="AO7" s="42"/>
      <c r="AP7" s="52"/>
      <c r="AQ7" s="53">
        <f t="shared" si="3"/>
        <v>716.11156000000005</v>
      </c>
      <c r="AS7" s="151">
        <v>46024</v>
      </c>
      <c r="AT7" s="152">
        <v>8587.01</v>
      </c>
      <c r="AU7" s="159">
        <v>980.84</v>
      </c>
      <c r="AV7" s="152">
        <v>2903.43</v>
      </c>
      <c r="AW7" s="171"/>
      <c r="AX7" s="27"/>
      <c r="AY7" s="32">
        <v>1.889999999999997</v>
      </c>
      <c r="AZ7" s="53"/>
      <c r="BA7" s="52"/>
      <c r="BB7" s="53">
        <f t="shared" si="4"/>
        <v>1.889999999999997</v>
      </c>
      <c r="BD7" s="151">
        <v>46024</v>
      </c>
      <c r="BE7" s="152">
        <v>1426.04</v>
      </c>
      <c r="BF7" s="161">
        <v>854.16</v>
      </c>
      <c r="BG7" s="158">
        <v>2.9</v>
      </c>
      <c r="BH7" s="158">
        <v>77.86</v>
      </c>
      <c r="BI7" s="27"/>
      <c r="BJ7" s="51"/>
      <c r="BK7" s="42"/>
      <c r="BL7" s="44"/>
      <c r="BM7" s="53">
        <f t="shared" ref="BM7:BM36" si="13">SUM(BH7:BL7)</f>
        <v>77.86</v>
      </c>
      <c r="BO7" s="151">
        <v>46024</v>
      </c>
      <c r="BP7" s="159">
        <v>1076.6500000000001</v>
      </c>
      <c r="BQ7" s="161">
        <v>483.01</v>
      </c>
      <c r="BR7" s="158">
        <v>0.61</v>
      </c>
      <c r="BS7" s="163">
        <v>50.87</v>
      </c>
      <c r="BT7" s="27"/>
      <c r="BU7" s="32">
        <v>14.484428000000008</v>
      </c>
      <c r="BV7" s="42">
        <v>905.23262309542872</v>
      </c>
      <c r="BW7" s="42"/>
      <c r="BX7" s="52"/>
      <c r="BY7" s="53">
        <f t="shared" si="5"/>
        <v>970.58705109542871</v>
      </c>
      <c r="CA7" s="151">
        <v>46024</v>
      </c>
      <c r="CB7" s="152">
        <v>7816.21</v>
      </c>
      <c r="CC7" s="159">
        <v>936.06</v>
      </c>
      <c r="CD7" s="172"/>
      <c r="CE7" s="27"/>
      <c r="CF7" s="32">
        <v>165.15862999999985</v>
      </c>
      <c r="CG7" s="42"/>
      <c r="CH7" s="44"/>
      <c r="CI7" s="53">
        <f t="shared" si="6"/>
        <v>165.15862999999985</v>
      </c>
      <c r="CK7" s="151">
        <v>46024</v>
      </c>
      <c r="CL7" s="152">
        <v>5464.37</v>
      </c>
      <c r="CM7" s="161">
        <v>384.69</v>
      </c>
      <c r="CN7" s="158">
        <v>293.77</v>
      </c>
      <c r="CO7" s="27"/>
      <c r="CP7" s="51"/>
      <c r="CQ7" s="33">
        <v>150.56158681142853</v>
      </c>
      <c r="CR7" s="52"/>
      <c r="CS7" s="53">
        <f t="shared" si="7"/>
        <v>444.33158681142851</v>
      </c>
      <c r="CU7" s="151">
        <v>46024</v>
      </c>
      <c r="CV7" s="152">
        <v>1321.24</v>
      </c>
      <c r="CW7" s="159">
        <v>1036.9000000000001</v>
      </c>
      <c r="CY7" s="162"/>
      <c r="CZ7" s="27"/>
      <c r="DA7" s="32">
        <v>29.511189999999999</v>
      </c>
      <c r="DB7" s="33"/>
      <c r="DC7" s="44"/>
      <c r="DD7" s="53">
        <f t="shared" ref="DD7:DD36" si="14">SUM(CY7:DC7)</f>
        <v>29.511189999999999</v>
      </c>
      <c r="DF7" s="151">
        <v>46024</v>
      </c>
      <c r="DG7" s="159">
        <v>876.49</v>
      </c>
      <c r="DH7" s="161">
        <v>431.4</v>
      </c>
      <c r="DI7" s="162"/>
      <c r="DJ7" s="27"/>
      <c r="DK7" s="32">
        <v>450.68730000000011</v>
      </c>
      <c r="DL7" s="42">
        <v>33.241949988571406</v>
      </c>
      <c r="DM7" s="44"/>
      <c r="DN7" s="53">
        <f t="shared" si="8"/>
        <v>483.92924998857154</v>
      </c>
      <c r="DP7" s="151">
        <v>46024</v>
      </c>
      <c r="DQ7" s="159">
        <v>639.58000000000004</v>
      </c>
      <c r="DR7" s="173"/>
      <c r="DS7" s="27"/>
      <c r="DT7" s="32"/>
      <c r="DU7" s="52"/>
      <c r="DV7" s="52"/>
      <c r="DW7" s="53">
        <f t="shared" si="9"/>
        <v>0</v>
      </c>
      <c r="DY7" s="151">
        <v>46024</v>
      </c>
      <c r="DZ7" s="159">
        <v>398.85</v>
      </c>
      <c r="EA7" s="174"/>
      <c r="EB7" s="27"/>
      <c r="EC7" s="51"/>
      <c r="ED7" s="52"/>
      <c r="EE7" s="52"/>
      <c r="EF7" s="53">
        <f t="shared" si="10"/>
        <v>0</v>
      </c>
      <c r="EH7" s="151">
        <v>46024</v>
      </c>
      <c r="EI7" s="154">
        <v>1271.3</v>
      </c>
      <c r="EJ7" s="162"/>
      <c r="EK7" s="27"/>
      <c r="EL7" s="51"/>
      <c r="EM7" s="52"/>
      <c r="EN7" s="52"/>
      <c r="EO7" s="53">
        <f t="shared" si="11"/>
        <v>0</v>
      </c>
      <c r="EQ7" s="151">
        <v>46024</v>
      </c>
      <c r="ER7" s="152">
        <v>1405.41</v>
      </c>
      <c r="ES7" s="173"/>
      <c r="ET7" s="27"/>
      <c r="EU7" s="32">
        <v>87.271919999999966</v>
      </c>
      <c r="EV7" s="52"/>
      <c r="EW7" s="52"/>
      <c r="EX7" s="53">
        <f t="shared" si="12"/>
        <v>87.271919999999966</v>
      </c>
    </row>
    <row r="8" spans="2:154" ht="15.75" hidden="1" x14ac:dyDescent="0.25">
      <c r="B8" s="151">
        <v>46025</v>
      </c>
      <c r="C8" s="152">
        <v>3287.53</v>
      </c>
      <c r="D8" s="152">
        <v>1747.24</v>
      </c>
      <c r="E8" s="168"/>
      <c r="F8" s="27"/>
      <c r="G8" s="32">
        <v>69.569999999999965</v>
      </c>
      <c r="H8" s="33">
        <v>573.74187225142805</v>
      </c>
      <c r="I8" s="52"/>
      <c r="J8" s="53">
        <f t="shared" si="0"/>
        <v>643.31187225142799</v>
      </c>
      <c r="L8" s="151">
        <v>46025</v>
      </c>
      <c r="M8" s="152">
        <v>18951.580000000002</v>
      </c>
      <c r="N8" s="154">
        <v>2893.89</v>
      </c>
      <c r="O8" s="155">
        <v>42.17</v>
      </c>
      <c r="P8" s="27"/>
      <c r="Q8" s="246">
        <v>14.104409999999973</v>
      </c>
      <c r="R8" s="246"/>
      <c r="S8" s="246"/>
      <c r="T8" s="246">
        <v>21.405692400000049</v>
      </c>
      <c r="U8" s="53">
        <f t="shared" si="1"/>
        <v>77.680102400000024</v>
      </c>
      <c r="W8" s="151">
        <v>46025</v>
      </c>
      <c r="X8" s="152">
        <v>27980.68</v>
      </c>
      <c r="Y8" s="169"/>
      <c r="Z8" s="170">
        <v>7.41</v>
      </c>
      <c r="AA8" s="27"/>
      <c r="AB8" s="240">
        <v>116.19770999999994</v>
      </c>
      <c r="AC8" s="240">
        <v>881.46790997142807</v>
      </c>
      <c r="AD8" s="240"/>
      <c r="AE8" s="240"/>
      <c r="AF8" s="53">
        <f t="shared" si="2"/>
        <v>1005.0756199714281</v>
      </c>
      <c r="AH8" s="151">
        <v>46025</v>
      </c>
      <c r="AI8" s="152">
        <v>5513.02</v>
      </c>
      <c r="AJ8" s="161">
        <v>829.3</v>
      </c>
      <c r="AK8" s="158">
        <v>207.9</v>
      </c>
      <c r="AL8" s="27"/>
      <c r="AM8" s="32">
        <v>260.08237000000003</v>
      </c>
      <c r="AN8" s="32"/>
      <c r="AO8" s="42">
        <v>45.940049485714269</v>
      </c>
      <c r="AP8" s="52"/>
      <c r="AQ8" s="53">
        <f t="shared" si="3"/>
        <v>513.92241948571427</v>
      </c>
      <c r="AS8" s="151">
        <v>46025</v>
      </c>
      <c r="AT8" s="152">
        <v>10371.92</v>
      </c>
      <c r="AU8" s="159">
        <v>821.07</v>
      </c>
      <c r="AV8" s="152">
        <v>3201.59</v>
      </c>
      <c r="AW8" s="171"/>
      <c r="AX8" s="27"/>
      <c r="AY8" s="32">
        <v>1.1199999999999974</v>
      </c>
      <c r="AZ8" s="53">
        <v>151.04766417142852</v>
      </c>
      <c r="BA8" s="52"/>
      <c r="BB8" s="53">
        <f t="shared" si="4"/>
        <v>152.16766417142853</v>
      </c>
      <c r="BD8" s="151">
        <v>46025</v>
      </c>
      <c r="BE8" s="152">
        <v>1245.55</v>
      </c>
      <c r="BF8" s="161">
        <v>937.41</v>
      </c>
      <c r="BG8" s="158">
        <v>2.85</v>
      </c>
      <c r="BH8" s="158">
        <v>16.260000000000002</v>
      </c>
      <c r="BI8" s="27"/>
      <c r="BJ8" s="51"/>
      <c r="BK8" s="42"/>
      <c r="BL8" s="44"/>
      <c r="BM8" s="53">
        <f t="shared" si="13"/>
        <v>16.260000000000002</v>
      </c>
      <c r="BO8" s="151">
        <v>46025</v>
      </c>
      <c r="BP8" s="159">
        <v>1300.25</v>
      </c>
      <c r="BQ8" s="161">
        <v>988</v>
      </c>
      <c r="BR8" s="158">
        <v>1.27</v>
      </c>
      <c r="BS8" s="163">
        <v>105.94</v>
      </c>
      <c r="BT8" s="27"/>
      <c r="BU8" s="32"/>
      <c r="BV8" s="42">
        <v>665.88589588914272</v>
      </c>
      <c r="BW8" s="42"/>
      <c r="BX8" s="52"/>
      <c r="BY8" s="53">
        <f t="shared" si="5"/>
        <v>771.82589588914266</v>
      </c>
      <c r="CA8" s="151">
        <v>46025</v>
      </c>
      <c r="CB8" s="152">
        <v>5374.53</v>
      </c>
      <c r="CC8" s="152">
        <v>1427.67</v>
      </c>
      <c r="CD8" s="172"/>
      <c r="CE8" s="27"/>
      <c r="CF8" s="32"/>
      <c r="CG8" s="42"/>
      <c r="CH8" s="44"/>
      <c r="CI8" s="53">
        <f t="shared" si="6"/>
        <v>0</v>
      </c>
      <c r="CK8" s="151">
        <v>46025</v>
      </c>
      <c r="CL8" s="152">
        <v>9490.73</v>
      </c>
      <c r="CM8" s="161">
        <v>437.57</v>
      </c>
      <c r="CN8" s="158">
        <v>537.72</v>
      </c>
      <c r="CO8" s="27"/>
      <c r="CP8" s="51"/>
      <c r="CQ8" s="33">
        <v>481.65359984000003</v>
      </c>
      <c r="CR8" s="52"/>
      <c r="CS8" s="53">
        <f t="shared" si="7"/>
        <v>1019.37359984</v>
      </c>
      <c r="CU8" s="151">
        <v>46025</v>
      </c>
      <c r="CV8" s="152">
        <v>3637.88</v>
      </c>
      <c r="CW8" s="159">
        <v>233.1</v>
      </c>
      <c r="CY8" s="162"/>
      <c r="CZ8" s="27"/>
      <c r="DA8" s="32">
        <v>73.657650000000046</v>
      </c>
      <c r="DB8" s="33"/>
      <c r="DC8" s="44"/>
      <c r="DD8" s="53">
        <f t="shared" si="14"/>
        <v>73.657650000000046</v>
      </c>
      <c r="DF8" s="151">
        <v>46025</v>
      </c>
      <c r="DG8" s="175">
        <v>0</v>
      </c>
      <c r="DH8" s="161">
        <v>328.05</v>
      </c>
      <c r="DI8" s="162"/>
      <c r="DJ8" s="27"/>
      <c r="DK8" s="32">
        <v>23.000000000000014</v>
      </c>
      <c r="DL8" s="42"/>
      <c r="DM8" s="44"/>
      <c r="DN8" s="53">
        <f t="shared" si="8"/>
        <v>23.000000000000014</v>
      </c>
      <c r="DP8" s="151">
        <v>46025</v>
      </c>
      <c r="DQ8" s="159">
        <v>576.58000000000004</v>
      </c>
      <c r="DR8" s="173"/>
      <c r="DS8" s="27"/>
      <c r="DT8" s="32"/>
      <c r="DU8" s="52"/>
      <c r="DV8" s="52"/>
      <c r="DW8" s="53">
        <f t="shared" si="9"/>
        <v>0</v>
      </c>
      <c r="DY8" s="151">
        <v>46025</v>
      </c>
      <c r="DZ8" s="166">
        <v>0</v>
      </c>
      <c r="EA8" s="174"/>
      <c r="EB8" s="27"/>
      <c r="EC8" s="51"/>
      <c r="ED8" s="52"/>
      <c r="EE8" s="52"/>
      <c r="EF8" s="53">
        <f t="shared" si="10"/>
        <v>0</v>
      </c>
      <c r="EH8" s="151">
        <v>46025</v>
      </c>
      <c r="EI8" s="161">
        <v>2455.4</v>
      </c>
      <c r="EJ8" s="176">
        <v>30</v>
      </c>
      <c r="EK8" s="27"/>
      <c r="EL8" s="51"/>
      <c r="EM8" s="52"/>
      <c r="EN8" s="52"/>
      <c r="EO8" s="53">
        <f t="shared" si="11"/>
        <v>30</v>
      </c>
      <c r="EQ8" s="151">
        <v>46025</v>
      </c>
      <c r="ER8" s="152">
        <v>1580.54</v>
      </c>
      <c r="ES8" s="173"/>
      <c r="ET8" s="27"/>
      <c r="EU8" s="32">
        <v>18.485612999999972</v>
      </c>
      <c r="EV8" s="52"/>
      <c r="EW8" s="52"/>
      <c r="EX8" s="53">
        <f t="shared" si="12"/>
        <v>18.485612999999972</v>
      </c>
    </row>
    <row r="9" spans="2:154" ht="15.75" hidden="1" x14ac:dyDescent="0.25">
      <c r="B9" s="151">
        <v>46026</v>
      </c>
      <c r="C9" s="152">
        <v>2030.47</v>
      </c>
      <c r="D9" s="152">
        <v>1600.23</v>
      </c>
      <c r="E9" s="168"/>
      <c r="F9" s="27"/>
      <c r="G9" s="32"/>
      <c r="H9" s="33"/>
      <c r="I9" s="52"/>
      <c r="J9" s="53">
        <f t="shared" si="0"/>
        <v>0</v>
      </c>
      <c r="L9" s="151">
        <v>46026</v>
      </c>
      <c r="M9" s="152">
        <v>15098.71</v>
      </c>
      <c r="N9" s="154">
        <v>2317.79</v>
      </c>
      <c r="O9" s="155">
        <v>48.88</v>
      </c>
      <c r="P9" s="27"/>
      <c r="Q9" s="246">
        <v>17.726500000000016</v>
      </c>
      <c r="R9" s="246"/>
      <c r="S9" s="246"/>
      <c r="T9" s="246"/>
      <c r="U9" s="53">
        <f t="shared" si="1"/>
        <v>66.606500000000011</v>
      </c>
      <c r="W9" s="151">
        <v>46026</v>
      </c>
      <c r="X9" s="152">
        <v>20248.32</v>
      </c>
      <c r="Y9" s="169"/>
      <c r="Z9" s="170">
        <v>69.13</v>
      </c>
      <c r="AA9" s="27"/>
      <c r="AB9" s="240">
        <v>13.376999999999995</v>
      </c>
      <c r="AC9" s="240">
        <v>22.074546796571369</v>
      </c>
      <c r="AD9" s="240"/>
      <c r="AE9" s="240"/>
      <c r="AF9" s="53">
        <f t="shared" si="2"/>
        <v>104.58154679657136</v>
      </c>
      <c r="AH9" s="151">
        <v>46026</v>
      </c>
      <c r="AI9" s="152">
        <v>5574.02</v>
      </c>
      <c r="AJ9" s="161">
        <v>775.41</v>
      </c>
      <c r="AK9" s="158">
        <v>0</v>
      </c>
      <c r="AL9" s="27"/>
      <c r="AM9" s="32">
        <v>338.25814000000008</v>
      </c>
      <c r="AN9" s="32"/>
      <c r="AO9" s="42">
        <v>63.121155428571399</v>
      </c>
      <c r="AP9" s="52"/>
      <c r="AQ9" s="53">
        <f t="shared" si="3"/>
        <v>401.37929542857148</v>
      </c>
      <c r="AS9" s="151">
        <v>46026</v>
      </c>
      <c r="AT9" s="152">
        <v>11259.35</v>
      </c>
      <c r="AU9" s="159">
        <v>931.09</v>
      </c>
      <c r="AV9" s="152">
        <v>2769.03</v>
      </c>
      <c r="AW9" s="171"/>
      <c r="AX9" s="27"/>
      <c r="AY9" s="32"/>
      <c r="AZ9" s="53"/>
      <c r="BA9" s="52"/>
      <c r="BB9" s="53">
        <f t="shared" si="4"/>
        <v>0</v>
      </c>
      <c r="BD9" s="151">
        <v>46026</v>
      </c>
      <c r="BE9" s="152">
        <v>1382.91</v>
      </c>
      <c r="BF9" s="161">
        <v>1090.8</v>
      </c>
      <c r="BG9" s="158">
        <v>2.44</v>
      </c>
      <c r="BH9" s="158">
        <v>33.200000000000003</v>
      </c>
      <c r="BI9" s="27"/>
      <c r="BJ9" s="51"/>
      <c r="BK9" s="42"/>
      <c r="BL9" s="44"/>
      <c r="BM9" s="53">
        <f t="shared" si="13"/>
        <v>33.200000000000003</v>
      </c>
      <c r="BO9" s="151">
        <v>46026</v>
      </c>
      <c r="BP9" s="159">
        <v>872.01</v>
      </c>
      <c r="BQ9" s="161">
        <v>719.07</v>
      </c>
      <c r="BR9" s="162"/>
      <c r="BS9" s="163">
        <v>98.36</v>
      </c>
      <c r="BT9" s="27"/>
      <c r="BU9" s="32">
        <v>15.055037999999968</v>
      </c>
      <c r="BV9" s="42">
        <v>755.73243230057165</v>
      </c>
      <c r="BW9" s="42"/>
      <c r="BX9" s="52"/>
      <c r="BY9" s="53">
        <f t="shared" si="5"/>
        <v>869.14747030057163</v>
      </c>
      <c r="CA9" s="151">
        <v>46026</v>
      </c>
      <c r="CB9" s="152">
        <v>6679.69</v>
      </c>
      <c r="CC9" s="159">
        <v>1549.26</v>
      </c>
      <c r="CD9" s="177"/>
      <c r="CE9" s="27"/>
      <c r="CF9" s="32">
        <v>63.75186999999994</v>
      </c>
      <c r="CG9" s="42"/>
      <c r="CH9" s="44"/>
      <c r="CI9" s="53">
        <f t="shared" si="6"/>
        <v>63.75186999999994</v>
      </c>
      <c r="CK9" s="151">
        <v>46026</v>
      </c>
      <c r="CL9" s="152">
        <v>2903.32</v>
      </c>
      <c r="CM9" s="161">
        <v>427.29</v>
      </c>
      <c r="CN9" s="158">
        <v>138.03</v>
      </c>
      <c r="CO9" s="27"/>
      <c r="CP9" s="51"/>
      <c r="CQ9" s="33">
        <v>144.74170281142852</v>
      </c>
      <c r="CR9" s="52"/>
      <c r="CS9" s="53">
        <f t="shared" si="7"/>
        <v>282.77170281142855</v>
      </c>
      <c r="CU9" s="151">
        <v>46026</v>
      </c>
      <c r="CV9" s="152">
        <v>1482.64</v>
      </c>
      <c r="CW9" s="159">
        <v>1016.3</v>
      </c>
      <c r="CY9" s="158">
        <v>45.53</v>
      </c>
      <c r="CZ9" s="27"/>
      <c r="DA9" s="32">
        <v>7.8300000000000054</v>
      </c>
      <c r="DB9" s="33"/>
      <c r="DC9" s="44">
        <v>0.60346229999998968</v>
      </c>
      <c r="DD9" s="53">
        <f t="shared" si="14"/>
        <v>53.963462299999996</v>
      </c>
      <c r="DF9" s="151">
        <v>46026</v>
      </c>
      <c r="DG9" s="159">
        <v>1149.3399999999999</v>
      </c>
      <c r="DH9" s="161">
        <v>453.84</v>
      </c>
      <c r="DI9" s="162"/>
      <c r="DJ9" s="27"/>
      <c r="DK9" s="32">
        <v>123.99070000000006</v>
      </c>
      <c r="DL9" s="42"/>
      <c r="DM9" s="44"/>
      <c r="DN9" s="53">
        <f t="shared" si="8"/>
        <v>123.99070000000006</v>
      </c>
      <c r="DP9" s="151">
        <v>46026</v>
      </c>
      <c r="DQ9" s="159">
        <v>745.27</v>
      </c>
      <c r="DR9" s="173"/>
      <c r="DS9" s="27"/>
      <c r="DT9" s="32"/>
      <c r="DU9" s="52"/>
      <c r="DV9" s="52"/>
      <c r="DW9" s="53">
        <f t="shared" si="9"/>
        <v>0</v>
      </c>
      <c r="DY9" s="151">
        <v>46026</v>
      </c>
      <c r="DZ9" s="159">
        <v>100.5</v>
      </c>
      <c r="EA9" s="174"/>
      <c r="EB9" s="27"/>
      <c r="EC9" s="51"/>
      <c r="ED9" s="52"/>
      <c r="EE9" s="52"/>
      <c r="EF9" s="53">
        <f t="shared" si="10"/>
        <v>0</v>
      </c>
      <c r="EH9" s="151">
        <v>46026</v>
      </c>
      <c r="EI9" s="161">
        <v>2345.5</v>
      </c>
      <c r="EJ9" s="158">
        <v>20</v>
      </c>
      <c r="EK9" s="27"/>
      <c r="EL9" s="51"/>
      <c r="EM9" s="52"/>
      <c r="EN9" s="52"/>
      <c r="EO9" s="53">
        <f t="shared" si="11"/>
        <v>20</v>
      </c>
      <c r="EQ9" s="151">
        <v>46026</v>
      </c>
      <c r="ER9" s="152">
        <v>1070.72</v>
      </c>
      <c r="ES9" s="173"/>
      <c r="ET9" s="27"/>
      <c r="EU9" s="32">
        <v>91.799999999999983</v>
      </c>
      <c r="EV9" s="52"/>
      <c r="EW9" s="52"/>
      <c r="EX9" s="53">
        <f t="shared" si="12"/>
        <v>91.799999999999983</v>
      </c>
    </row>
    <row r="10" spans="2:154" ht="15.75" hidden="1" x14ac:dyDescent="0.25">
      <c r="B10" s="151">
        <v>46027</v>
      </c>
      <c r="C10" s="152">
        <v>2508.6</v>
      </c>
      <c r="D10" s="152">
        <v>1551.5</v>
      </c>
      <c r="E10" s="168"/>
      <c r="F10" s="27"/>
      <c r="G10" s="32">
        <v>397.81041999999991</v>
      </c>
      <c r="H10" s="33"/>
      <c r="I10" s="52"/>
      <c r="J10" s="53">
        <f t="shared" si="0"/>
        <v>397.81041999999991</v>
      </c>
      <c r="L10" s="151">
        <v>46027</v>
      </c>
      <c r="M10" s="152">
        <v>14194.59</v>
      </c>
      <c r="N10" s="154">
        <v>1347.54</v>
      </c>
      <c r="O10" s="155">
        <v>57.35</v>
      </c>
      <c r="P10" s="27"/>
      <c r="Q10" s="246">
        <v>19.028459999999995</v>
      </c>
      <c r="R10" s="246"/>
      <c r="S10" s="246"/>
      <c r="T10" s="246"/>
      <c r="U10" s="53">
        <f t="shared" si="1"/>
        <v>76.37845999999999</v>
      </c>
      <c r="W10" s="151">
        <v>46027</v>
      </c>
      <c r="X10" s="152">
        <v>25284.65</v>
      </c>
      <c r="Y10" s="169"/>
      <c r="Z10" s="170">
        <v>157.4</v>
      </c>
      <c r="AA10" s="27"/>
      <c r="AB10" s="240">
        <v>49.383839999999964</v>
      </c>
      <c r="AC10" s="240">
        <v>88.853000603428413</v>
      </c>
      <c r="AD10" s="240"/>
      <c r="AE10" s="240"/>
      <c r="AF10" s="53">
        <f t="shared" si="2"/>
        <v>295.63684060342837</v>
      </c>
      <c r="AH10" s="151">
        <v>46027</v>
      </c>
      <c r="AI10" s="152">
        <v>5709.37</v>
      </c>
      <c r="AJ10" s="161">
        <v>993.54</v>
      </c>
      <c r="AK10" s="158">
        <v>0</v>
      </c>
      <c r="AL10" s="27"/>
      <c r="AM10" s="32">
        <v>556.33556000000021</v>
      </c>
      <c r="AN10" s="32"/>
      <c r="AO10" s="42">
        <v>85.601738057142825</v>
      </c>
      <c r="AP10" s="52"/>
      <c r="AQ10" s="53">
        <f t="shared" si="3"/>
        <v>641.93729805714304</v>
      </c>
      <c r="AS10" s="151">
        <v>46027</v>
      </c>
      <c r="AT10" s="152">
        <v>11370.5</v>
      </c>
      <c r="AU10" s="152">
        <v>1007.8</v>
      </c>
      <c r="AV10" s="152">
        <v>4289.25</v>
      </c>
      <c r="AW10" s="171"/>
      <c r="AX10" s="27"/>
      <c r="AY10" s="32"/>
      <c r="AZ10" s="53">
        <v>196.38160759542842</v>
      </c>
      <c r="BA10" s="52"/>
      <c r="BB10" s="53">
        <f t="shared" si="4"/>
        <v>196.38160759542842</v>
      </c>
      <c r="BD10" s="151">
        <v>46027</v>
      </c>
      <c r="BE10" s="152">
        <v>1177.1199999999999</v>
      </c>
      <c r="BF10" s="161">
        <v>1076.52</v>
      </c>
      <c r="BG10" s="158">
        <v>1.31</v>
      </c>
      <c r="BH10" s="158">
        <v>58.25</v>
      </c>
      <c r="BI10" s="27"/>
      <c r="BJ10" s="51"/>
      <c r="BK10" s="42"/>
      <c r="BL10" s="44"/>
      <c r="BM10" s="53">
        <f t="shared" si="13"/>
        <v>58.25</v>
      </c>
      <c r="BO10" s="151">
        <v>46027</v>
      </c>
      <c r="BP10" s="159">
        <v>650.52</v>
      </c>
      <c r="BQ10" s="161">
        <v>433.22</v>
      </c>
      <c r="BR10" s="158">
        <v>0.62</v>
      </c>
      <c r="BS10" s="163">
        <v>101.05</v>
      </c>
      <c r="BT10" s="27"/>
      <c r="BU10" s="32"/>
      <c r="BV10" s="42">
        <v>1413.7250005839999</v>
      </c>
      <c r="BW10" s="42"/>
      <c r="BX10" s="52"/>
      <c r="BY10" s="53">
        <f t="shared" si="5"/>
        <v>1514.7750005839998</v>
      </c>
      <c r="CA10" s="151">
        <v>46027</v>
      </c>
      <c r="CB10" s="152">
        <v>5144.57</v>
      </c>
      <c r="CC10" s="159">
        <v>996.33</v>
      </c>
      <c r="CD10" s="177"/>
      <c r="CE10" s="27"/>
      <c r="CF10" s="32">
        <v>34.556339999999977</v>
      </c>
      <c r="CG10" s="42"/>
      <c r="CH10" s="44"/>
      <c r="CI10" s="53">
        <f t="shared" si="6"/>
        <v>34.556339999999977</v>
      </c>
      <c r="CK10" s="151">
        <v>46027</v>
      </c>
      <c r="CL10" s="152">
        <v>4013.8</v>
      </c>
      <c r="CM10" s="161">
        <v>511.82</v>
      </c>
      <c r="CN10" s="158">
        <v>177.03</v>
      </c>
      <c r="CO10" s="27"/>
      <c r="CP10" s="51"/>
      <c r="CQ10" s="33">
        <v>244.53727290285707</v>
      </c>
      <c r="CR10" s="52"/>
      <c r="CS10" s="53">
        <f t="shared" si="7"/>
        <v>421.5672729028571</v>
      </c>
      <c r="CU10" s="151">
        <v>46027</v>
      </c>
      <c r="CV10" s="159">
        <v>698.55</v>
      </c>
      <c r="CW10" s="159">
        <v>796.9</v>
      </c>
      <c r="CY10" s="158">
        <v>8.6199999999999992</v>
      </c>
      <c r="CZ10" s="27"/>
      <c r="DA10" s="32">
        <v>23.247169999999983</v>
      </c>
      <c r="DB10" s="33"/>
      <c r="DC10" s="44"/>
      <c r="DD10" s="53">
        <f t="shared" si="14"/>
        <v>31.86716999999998</v>
      </c>
      <c r="DF10" s="151">
        <v>46027</v>
      </c>
      <c r="DG10" s="159">
        <v>444.22</v>
      </c>
      <c r="DH10" s="161">
        <v>593.57000000000005</v>
      </c>
      <c r="DI10" s="162"/>
      <c r="DJ10" s="27"/>
      <c r="DK10" s="32">
        <v>388.12960000000021</v>
      </c>
      <c r="DL10" s="42">
        <v>39.183883657142815</v>
      </c>
      <c r="DM10" s="44"/>
      <c r="DN10" s="53">
        <f t="shared" si="8"/>
        <v>427.31348365714302</v>
      </c>
      <c r="DP10" s="151">
        <v>46027</v>
      </c>
      <c r="DQ10" s="159">
        <v>447.52</v>
      </c>
      <c r="DR10" s="173"/>
      <c r="DS10" s="27"/>
      <c r="DT10" s="32"/>
      <c r="DU10" s="52"/>
      <c r="DV10" s="52"/>
      <c r="DW10" s="53">
        <f t="shared" si="9"/>
        <v>0</v>
      </c>
      <c r="DY10" s="151">
        <v>46027</v>
      </c>
      <c r="DZ10" s="159">
        <v>414</v>
      </c>
      <c r="EA10" s="174"/>
      <c r="EB10" s="27"/>
      <c r="EC10" s="51"/>
      <c r="ED10" s="52"/>
      <c r="EE10" s="52"/>
      <c r="EF10" s="53">
        <f t="shared" si="10"/>
        <v>0</v>
      </c>
      <c r="EH10" s="151">
        <v>46027</v>
      </c>
      <c r="EI10" s="161">
        <v>2074.85</v>
      </c>
      <c r="EJ10" s="176">
        <v>30</v>
      </c>
      <c r="EK10" s="27"/>
      <c r="EL10" s="51"/>
      <c r="EM10" s="52"/>
      <c r="EN10" s="52"/>
      <c r="EO10" s="53">
        <f t="shared" si="11"/>
        <v>30</v>
      </c>
      <c r="EQ10" s="151">
        <v>46027</v>
      </c>
      <c r="ER10" s="159">
        <v>1398.89</v>
      </c>
      <c r="ES10" s="173"/>
      <c r="ET10" s="27"/>
      <c r="EU10" s="32">
        <v>368.70739499999979</v>
      </c>
      <c r="EV10" s="52"/>
      <c r="EW10" s="52"/>
      <c r="EX10" s="53">
        <f t="shared" si="12"/>
        <v>368.70739499999979</v>
      </c>
    </row>
    <row r="11" spans="2:154" ht="15.75" hidden="1" x14ac:dyDescent="0.25">
      <c r="B11" s="151">
        <v>46028</v>
      </c>
      <c r="C11" s="152">
        <v>2683.87</v>
      </c>
      <c r="D11" s="159">
        <v>1540.22</v>
      </c>
      <c r="E11" s="168"/>
      <c r="F11" s="27"/>
      <c r="G11" s="32">
        <v>567.19124999999985</v>
      </c>
      <c r="H11" s="33">
        <v>193.77141154742847</v>
      </c>
      <c r="I11" s="52"/>
      <c r="J11" s="53">
        <f t="shared" si="0"/>
        <v>760.9626615474283</v>
      </c>
      <c r="L11" s="151">
        <v>46028</v>
      </c>
      <c r="M11" s="152">
        <v>13173.47</v>
      </c>
      <c r="N11" s="154">
        <v>2517.77</v>
      </c>
      <c r="O11" s="155">
        <v>48.95</v>
      </c>
      <c r="P11" s="27"/>
      <c r="Q11" s="246">
        <v>19.125259999999997</v>
      </c>
      <c r="R11" s="246"/>
      <c r="S11" s="246"/>
      <c r="T11" s="246"/>
      <c r="U11" s="53">
        <f t="shared" si="1"/>
        <v>68.07526</v>
      </c>
      <c r="W11" s="151">
        <v>46028</v>
      </c>
      <c r="X11" s="152">
        <v>17637.89</v>
      </c>
      <c r="Y11" s="169"/>
      <c r="Z11" s="170">
        <v>26.02</v>
      </c>
      <c r="AA11" s="27"/>
      <c r="AB11" s="240">
        <v>103.0551899999999</v>
      </c>
      <c r="AC11" s="240">
        <v>2280.7852255999978</v>
      </c>
      <c r="AD11" s="240"/>
      <c r="AE11" s="240"/>
      <c r="AF11" s="53">
        <f t="shared" si="2"/>
        <v>2409.8604155999979</v>
      </c>
      <c r="AH11" s="151">
        <v>46028</v>
      </c>
      <c r="AI11" s="152">
        <v>5647</v>
      </c>
      <c r="AJ11" s="161">
        <v>773.23</v>
      </c>
      <c r="AK11" s="158">
        <v>0</v>
      </c>
      <c r="AL11" s="27"/>
      <c r="AM11" s="32">
        <v>424.00844999999993</v>
      </c>
      <c r="AN11" s="32"/>
      <c r="AO11" s="42"/>
      <c r="AP11" s="52"/>
      <c r="AQ11" s="53">
        <f t="shared" si="3"/>
        <v>424.00844999999993</v>
      </c>
      <c r="AS11" s="151">
        <v>46028</v>
      </c>
      <c r="AT11" s="152">
        <v>11288.21</v>
      </c>
      <c r="AU11" s="159">
        <v>964.25</v>
      </c>
      <c r="AV11" s="152">
        <v>3753.13</v>
      </c>
      <c r="AW11" s="171"/>
      <c r="AX11" s="27"/>
      <c r="AY11" s="32">
        <v>5.6753899999999824</v>
      </c>
      <c r="AZ11" s="53">
        <v>0</v>
      </c>
      <c r="BA11" s="52"/>
      <c r="BB11" s="53">
        <f t="shared" si="4"/>
        <v>5.6753899999999824</v>
      </c>
      <c r="BD11" s="151">
        <v>46028</v>
      </c>
      <c r="BE11" s="152">
        <v>1224.19</v>
      </c>
      <c r="BF11" s="161">
        <v>963.25</v>
      </c>
      <c r="BG11" s="158">
        <v>1.06</v>
      </c>
      <c r="BH11" s="158">
        <v>18.940000000000001</v>
      </c>
      <c r="BI11" s="27"/>
      <c r="BJ11" s="51"/>
      <c r="BK11" s="42"/>
      <c r="BL11" s="44"/>
      <c r="BM11" s="53">
        <f t="shared" si="13"/>
        <v>18.940000000000001</v>
      </c>
      <c r="BO11" s="151">
        <v>46028</v>
      </c>
      <c r="BP11" s="159">
        <v>798.84</v>
      </c>
      <c r="BQ11" s="161">
        <v>517.61</v>
      </c>
      <c r="BR11" s="158">
        <v>0.79</v>
      </c>
      <c r="BS11" s="163">
        <v>129.31</v>
      </c>
      <c r="BT11" s="27"/>
      <c r="BU11" s="32">
        <v>27.195987000000031</v>
      </c>
      <c r="BV11" s="42">
        <v>1250.3913575708566</v>
      </c>
      <c r="BW11" s="42"/>
      <c r="BX11" s="52"/>
      <c r="BY11" s="53">
        <f t="shared" si="5"/>
        <v>1406.8973445708566</v>
      </c>
      <c r="CA11" s="151">
        <v>46028</v>
      </c>
      <c r="CB11" s="152">
        <v>3963.14</v>
      </c>
      <c r="CC11" s="159">
        <v>906.45</v>
      </c>
      <c r="CD11" s="172"/>
      <c r="CE11" s="27"/>
      <c r="CF11" s="32">
        <v>81.534049999999993</v>
      </c>
      <c r="CG11" s="42"/>
      <c r="CH11" s="44"/>
      <c r="CI11" s="53">
        <f t="shared" si="6"/>
        <v>81.534049999999993</v>
      </c>
      <c r="CK11" s="151">
        <v>46028</v>
      </c>
      <c r="CL11" s="152">
        <v>5114.75</v>
      </c>
      <c r="CM11" s="161">
        <v>489.66</v>
      </c>
      <c r="CN11" s="158">
        <v>345.61</v>
      </c>
      <c r="CO11" s="27"/>
      <c r="CP11" s="51"/>
      <c r="CQ11" s="33">
        <v>684.68896395428578</v>
      </c>
      <c r="CR11" s="52"/>
      <c r="CS11" s="53">
        <f t="shared" si="7"/>
        <v>1030.2989639542857</v>
      </c>
      <c r="CU11" s="151">
        <v>46028</v>
      </c>
      <c r="CV11" s="159">
        <v>2159.27</v>
      </c>
      <c r="CW11" s="159">
        <v>840.7</v>
      </c>
      <c r="CY11" s="158">
        <v>7</v>
      </c>
      <c r="CZ11" s="27"/>
      <c r="DA11" s="32">
        <v>44.547060000000016</v>
      </c>
      <c r="DB11" s="33"/>
      <c r="DC11" s="44"/>
      <c r="DD11" s="53">
        <f t="shared" si="14"/>
        <v>51.547060000000016</v>
      </c>
      <c r="DF11" s="151">
        <v>46028</v>
      </c>
      <c r="DG11" s="152">
        <v>1229.22</v>
      </c>
      <c r="DH11" s="161">
        <v>219.91</v>
      </c>
      <c r="DI11" s="162"/>
      <c r="DJ11" s="27"/>
      <c r="DK11" s="32">
        <v>40.307500000000019</v>
      </c>
      <c r="DL11" s="42"/>
      <c r="DM11" s="44"/>
      <c r="DN11" s="53">
        <f t="shared" si="8"/>
        <v>40.307500000000019</v>
      </c>
      <c r="DP11" s="151">
        <v>46028</v>
      </c>
      <c r="DQ11" s="159">
        <v>736.42</v>
      </c>
      <c r="DR11" s="173"/>
      <c r="DS11" s="27"/>
      <c r="DT11" s="32"/>
      <c r="DU11" s="52"/>
      <c r="DV11" s="52"/>
      <c r="DW11" s="53">
        <f t="shared" si="9"/>
        <v>0</v>
      </c>
      <c r="DY11" s="151">
        <v>46028</v>
      </c>
      <c r="DZ11" s="166">
        <v>118.5</v>
      </c>
      <c r="EA11" s="174"/>
      <c r="EB11" s="27"/>
      <c r="EC11" s="51"/>
      <c r="ED11" s="52"/>
      <c r="EE11" s="52"/>
      <c r="EF11" s="53">
        <f t="shared" si="10"/>
        <v>0</v>
      </c>
      <c r="EH11" s="151">
        <v>46028</v>
      </c>
      <c r="EI11" s="161">
        <v>786.4</v>
      </c>
      <c r="EJ11" s="176">
        <v>1696.76</v>
      </c>
      <c r="EK11" s="27"/>
      <c r="EL11" s="51"/>
      <c r="EM11" s="52"/>
      <c r="EN11" s="52"/>
      <c r="EO11" s="53">
        <f t="shared" si="11"/>
        <v>1696.76</v>
      </c>
      <c r="EQ11" s="151">
        <v>46028</v>
      </c>
      <c r="ER11" s="152">
        <v>1941.14</v>
      </c>
      <c r="ES11" s="173"/>
      <c r="ET11" s="27"/>
      <c r="EU11" s="32">
        <v>42.916538999999979</v>
      </c>
      <c r="EV11" s="52"/>
      <c r="EW11" s="52"/>
      <c r="EX11" s="53">
        <f t="shared" si="12"/>
        <v>42.916538999999979</v>
      </c>
    </row>
    <row r="12" spans="2:154" ht="15.75" hidden="1" x14ac:dyDescent="0.25">
      <c r="B12" s="151">
        <v>46029</v>
      </c>
      <c r="C12" s="152">
        <v>2186.42</v>
      </c>
      <c r="D12" s="152">
        <v>1106.6099999999999</v>
      </c>
      <c r="E12" s="168"/>
      <c r="F12" s="27"/>
      <c r="G12" s="32">
        <v>362.75475999999992</v>
      </c>
      <c r="H12" s="33"/>
      <c r="I12" s="52"/>
      <c r="J12" s="53">
        <f t="shared" si="0"/>
        <v>362.75475999999992</v>
      </c>
      <c r="L12" s="151">
        <v>46029</v>
      </c>
      <c r="M12" s="152">
        <v>12151.11</v>
      </c>
      <c r="N12" s="154">
        <v>1624.09</v>
      </c>
      <c r="O12" s="155">
        <v>32.5</v>
      </c>
      <c r="P12" s="27"/>
      <c r="Q12" s="246">
        <v>14.361479999999972</v>
      </c>
      <c r="R12" s="246"/>
      <c r="S12" s="246"/>
      <c r="T12" s="246"/>
      <c r="U12" s="53">
        <f t="shared" si="1"/>
        <v>46.861479999999972</v>
      </c>
      <c r="W12" s="151">
        <v>46029</v>
      </c>
      <c r="X12" s="152">
        <v>39826.080000000002</v>
      </c>
      <c r="Y12" s="169"/>
      <c r="Z12" s="170">
        <v>3.63</v>
      </c>
      <c r="AA12" s="27"/>
      <c r="AB12" s="240">
        <v>119.1921199999999</v>
      </c>
      <c r="AC12" s="240">
        <v>171.65246069714271</v>
      </c>
      <c r="AD12" s="240"/>
      <c r="AE12" s="240"/>
      <c r="AF12" s="53">
        <f t="shared" si="2"/>
        <v>294.47458069714264</v>
      </c>
      <c r="AH12" s="151">
        <v>46029</v>
      </c>
      <c r="AI12" s="152">
        <v>4971.5600000000004</v>
      </c>
      <c r="AJ12" s="161">
        <v>925.47</v>
      </c>
      <c r="AK12" s="158">
        <v>196.02</v>
      </c>
      <c r="AL12" s="27"/>
      <c r="AM12" s="32">
        <v>666.05385999999999</v>
      </c>
      <c r="AN12" s="32"/>
      <c r="AO12" s="42">
        <v>49.851949714285723</v>
      </c>
      <c r="AP12" s="52"/>
      <c r="AQ12" s="53">
        <f t="shared" si="3"/>
        <v>911.92580971428572</v>
      </c>
      <c r="AS12" s="151">
        <v>46029</v>
      </c>
      <c r="AT12" s="152">
        <v>12574.4</v>
      </c>
      <c r="AU12" s="152">
        <v>1052.46</v>
      </c>
      <c r="AV12" s="152">
        <v>3813.9</v>
      </c>
      <c r="AW12" s="171"/>
      <c r="AX12" s="27"/>
      <c r="AY12" s="32">
        <v>12.469809999999974</v>
      </c>
      <c r="AZ12" s="53">
        <v>96.31083550285706</v>
      </c>
      <c r="BA12" s="52"/>
      <c r="BB12" s="53">
        <f t="shared" si="4"/>
        <v>108.78064550285703</v>
      </c>
      <c r="BD12" s="151">
        <v>46029</v>
      </c>
      <c r="BE12" s="159">
        <v>955.39</v>
      </c>
      <c r="BF12" s="161">
        <v>1059.78</v>
      </c>
      <c r="BG12" s="158">
        <v>0.76</v>
      </c>
      <c r="BH12" s="158">
        <v>24.49</v>
      </c>
      <c r="BI12" s="27"/>
      <c r="BJ12" s="51"/>
      <c r="BK12" s="42"/>
      <c r="BL12" s="44"/>
      <c r="BM12" s="53">
        <f t="shared" si="13"/>
        <v>24.49</v>
      </c>
      <c r="BO12" s="151">
        <v>46029</v>
      </c>
      <c r="BP12" s="159">
        <v>632.03</v>
      </c>
      <c r="BQ12" s="161">
        <v>466.32</v>
      </c>
      <c r="BR12" s="158">
        <v>0.85</v>
      </c>
      <c r="BS12" s="163">
        <v>413.53</v>
      </c>
      <c r="BT12" s="27"/>
      <c r="BU12" s="32">
        <v>32.596515000000011</v>
      </c>
      <c r="BV12" s="42">
        <v>739.41237547199978</v>
      </c>
      <c r="BW12" s="42"/>
      <c r="BX12" s="52"/>
      <c r="BY12" s="53">
        <f t="shared" si="5"/>
        <v>1185.5388904719998</v>
      </c>
      <c r="CA12" s="151">
        <v>46029</v>
      </c>
      <c r="CB12" s="152">
        <v>4500.87</v>
      </c>
      <c r="CC12" s="159">
        <v>727.67</v>
      </c>
      <c r="CD12" s="177"/>
      <c r="CE12" s="27"/>
      <c r="CF12" s="32">
        <v>163.74635999999995</v>
      </c>
      <c r="CG12" s="42"/>
      <c r="CH12" s="44"/>
      <c r="CI12" s="53">
        <f t="shared" si="6"/>
        <v>163.74635999999995</v>
      </c>
      <c r="CK12" s="151">
        <v>46029</v>
      </c>
      <c r="CL12" s="152">
        <v>2903.27</v>
      </c>
      <c r="CM12" s="161">
        <v>484.85</v>
      </c>
      <c r="CN12" s="158">
        <v>186.54</v>
      </c>
      <c r="CO12" s="27"/>
      <c r="CP12" s="51"/>
      <c r="CQ12" s="33">
        <v>170.28162637714291</v>
      </c>
      <c r="CR12" s="52"/>
      <c r="CS12" s="53">
        <f t="shared" si="7"/>
        <v>356.82162637714293</v>
      </c>
      <c r="CU12" s="151">
        <v>46029</v>
      </c>
      <c r="CV12" s="159">
        <v>380.78</v>
      </c>
      <c r="CW12" s="159">
        <v>731.8</v>
      </c>
      <c r="CY12" s="158">
        <v>3.91</v>
      </c>
      <c r="CZ12" s="27"/>
      <c r="DA12" s="32">
        <v>29.420640000000006</v>
      </c>
      <c r="DB12" s="33"/>
      <c r="DC12" s="44"/>
      <c r="DD12" s="53">
        <f t="shared" si="14"/>
        <v>33.330640000000002</v>
      </c>
      <c r="DF12" s="151">
        <v>46029</v>
      </c>
      <c r="DG12" s="152">
        <v>6906.34</v>
      </c>
      <c r="DH12" s="161">
        <v>577.66999999999996</v>
      </c>
      <c r="DI12" s="162"/>
      <c r="DJ12" s="27"/>
      <c r="DK12" s="32">
        <v>62.162749999999988</v>
      </c>
      <c r="DL12" s="42">
        <v>248.23859441142864</v>
      </c>
      <c r="DM12" s="44"/>
      <c r="DN12" s="53">
        <f t="shared" si="8"/>
        <v>310.40134441142862</v>
      </c>
      <c r="DP12" s="151">
        <v>46029</v>
      </c>
      <c r="DQ12" s="159">
        <v>887</v>
      </c>
      <c r="DR12" s="173"/>
      <c r="DS12" s="27"/>
      <c r="DT12" s="32"/>
      <c r="DU12" s="52"/>
      <c r="DV12" s="52"/>
      <c r="DW12" s="53">
        <f t="shared" si="9"/>
        <v>0</v>
      </c>
      <c r="DY12" s="151">
        <v>46029</v>
      </c>
      <c r="DZ12" s="159">
        <v>198</v>
      </c>
      <c r="EA12" s="174"/>
      <c r="EB12" s="27"/>
      <c r="EC12" s="51"/>
      <c r="ED12" s="52"/>
      <c r="EE12" s="52"/>
      <c r="EF12" s="53">
        <f t="shared" si="10"/>
        <v>0</v>
      </c>
      <c r="EH12" s="151">
        <v>46029</v>
      </c>
      <c r="EI12" s="161">
        <v>2081.41</v>
      </c>
      <c r="EJ12" s="176">
        <v>0</v>
      </c>
      <c r="EK12" s="27"/>
      <c r="EL12" s="51"/>
      <c r="EM12" s="52"/>
      <c r="EN12" s="52"/>
      <c r="EO12" s="53">
        <f t="shared" si="11"/>
        <v>0</v>
      </c>
      <c r="EQ12" s="151">
        <v>46029</v>
      </c>
      <c r="ER12" s="152">
        <v>3232.33</v>
      </c>
      <c r="ES12" s="173"/>
      <c r="ET12" s="27"/>
      <c r="EU12" s="32">
        <v>17.531657999999993</v>
      </c>
      <c r="EV12" s="52"/>
      <c r="EW12" s="52"/>
      <c r="EX12" s="53">
        <f t="shared" si="12"/>
        <v>17.531657999999993</v>
      </c>
    </row>
    <row r="13" spans="2:154" ht="15.75" hidden="1" x14ac:dyDescent="0.25">
      <c r="B13" s="151">
        <v>46030</v>
      </c>
      <c r="C13" s="152">
        <v>2313.9</v>
      </c>
      <c r="D13" s="159">
        <v>1141.55</v>
      </c>
      <c r="E13" s="168"/>
      <c r="F13" s="27"/>
      <c r="G13" s="32">
        <v>588.98331999999994</v>
      </c>
      <c r="H13" s="33">
        <v>28.189284205714259</v>
      </c>
      <c r="I13" s="52"/>
      <c r="J13" s="53">
        <f t="shared" si="0"/>
        <v>617.17260420571415</v>
      </c>
      <c r="L13" s="151">
        <v>46030</v>
      </c>
      <c r="M13" s="152">
        <v>13507.23</v>
      </c>
      <c r="N13" s="154">
        <v>1952.26</v>
      </c>
      <c r="O13" s="155">
        <v>62</v>
      </c>
      <c r="P13" s="27"/>
      <c r="Q13" s="246">
        <v>22.085620000000006</v>
      </c>
      <c r="R13" s="246">
        <v>13.780055868571679</v>
      </c>
      <c r="S13" s="246"/>
      <c r="T13" s="246"/>
      <c r="U13" s="53">
        <f t="shared" si="1"/>
        <v>97.865675868571685</v>
      </c>
      <c r="W13" s="151">
        <v>46030</v>
      </c>
      <c r="X13" s="152">
        <v>16213.77</v>
      </c>
      <c r="Y13" s="169"/>
      <c r="Z13" s="170">
        <v>3.03</v>
      </c>
      <c r="AA13" s="27"/>
      <c r="AB13" s="240">
        <v>58.647069999999971</v>
      </c>
      <c r="AC13" s="240">
        <v>52.311251319999911</v>
      </c>
      <c r="AD13" s="240"/>
      <c r="AE13" s="240"/>
      <c r="AF13" s="53">
        <f t="shared" si="2"/>
        <v>113.98832131999988</v>
      </c>
      <c r="AH13" s="151">
        <v>46030</v>
      </c>
      <c r="AI13" s="152">
        <v>4460.01</v>
      </c>
      <c r="AJ13" s="161">
        <v>963.2</v>
      </c>
      <c r="AK13" s="158">
        <v>187.11</v>
      </c>
      <c r="AL13" s="27"/>
      <c r="AM13" s="32">
        <v>537.66980999999998</v>
      </c>
      <c r="AN13" s="32"/>
      <c r="AO13" s="42">
        <v>116.20791611428569</v>
      </c>
      <c r="AP13" s="52"/>
      <c r="AQ13" s="53">
        <f t="shared" si="3"/>
        <v>840.98772611428569</v>
      </c>
      <c r="AS13" s="151">
        <v>46030</v>
      </c>
      <c r="AT13" s="152">
        <v>10331.19</v>
      </c>
      <c r="AU13" s="152">
        <v>1003.3</v>
      </c>
      <c r="AV13" s="152">
        <v>1521.55</v>
      </c>
      <c r="AW13" s="171"/>
      <c r="AX13" s="27"/>
      <c r="AY13" s="32">
        <v>1.889999999999997</v>
      </c>
      <c r="AZ13" s="53">
        <v>156.88793849142849</v>
      </c>
      <c r="BA13" s="52"/>
      <c r="BB13" s="53">
        <f t="shared" si="4"/>
        <v>158.77793849142847</v>
      </c>
      <c r="BD13" s="151">
        <v>46030</v>
      </c>
      <c r="BE13" s="159">
        <v>892.94</v>
      </c>
      <c r="BF13" s="161">
        <v>962.27</v>
      </c>
      <c r="BG13" s="158">
        <v>0</v>
      </c>
      <c r="BH13" s="158">
        <v>11.52</v>
      </c>
      <c r="BI13" s="27"/>
      <c r="BJ13" s="51"/>
      <c r="BK13" s="42"/>
      <c r="BL13" s="44"/>
      <c r="BM13" s="53">
        <f t="shared" si="13"/>
        <v>11.52</v>
      </c>
      <c r="BO13" s="151">
        <v>46030</v>
      </c>
      <c r="BP13" s="159">
        <v>643.09</v>
      </c>
      <c r="BQ13" s="161">
        <v>599.16999999999996</v>
      </c>
      <c r="BR13" s="158">
        <v>2.57</v>
      </c>
      <c r="BS13" s="163">
        <v>62.14</v>
      </c>
      <c r="BT13" s="27"/>
      <c r="BU13" s="32">
        <v>105.12129300000005</v>
      </c>
      <c r="BV13" s="42">
        <v>1842.6705453205702</v>
      </c>
      <c r="BW13" s="42"/>
      <c r="BX13" s="52"/>
      <c r="BY13" s="53">
        <f t="shared" si="5"/>
        <v>2009.9318383205703</v>
      </c>
      <c r="CA13" s="151">
        <v>46030</v>
      </c>
      <c r="CB13" s="152">
        <v>3195.04</v>
      </c>
      <c r="CC13" s="152">
        <v>1223.31</v>
      </c>
      <c r="CD13" s="172"/>
      <c r="CE13" s="27"/>
      <c r="CF13" s="32">
        <v>144.46964999999992</v>
      </c>
      <c r="CG13" s="42"/>
      <c r="CH13" s="44"/>
      <c r="CI13" s="53">
        <f t="shared" si="6"/>
        <v>144.46964999999992</v>
      </c>
      <c r="CK13" s="151">
        <v>46030</v>
      </c>
      <c r="CL13" s="152">
        <v>4439.5600000000004</v>
      </c>
      <c r="CM13" s="161">
        <v>325.98</v>
      </c>
      <c r="CN13" s="158">
        <v>272.54000000000002</v>
      </c>
      <c r="CO13" s="27"/>
      <c r="CP13" s="51"/>
      <c r="CQ13" s="33">
        <v>200.2473719314286</v>
      </c>
      <c r="CR13" s="52"/>
      <c r="CS13" s="53">
        <f t="shared" si="7"/>
        <v>472.78737193142865</v>
      </c>
      <c r="CU13" s="151">
        <v>46030</v>
      </c>
      <c r="CV13" s="152">
        <v>2387.0300000000002</v>
      </c>
      <c r="CW13" s="159">
        <v>729.7</v>
      </c>
      <c r="CY13" s="158">
        <v>7</v>
      </c>
      <c r="CZ13" s="27"/>
      <c r="DA13" s="32">
        <v>68.118339999999989</v>
      </c>
      <c r="DB13" s="33">
        <v>13.391670656000016</v>
      </c>
      <c r="DC13" s="44"/>
      <c r="DD13" s="53">
        <f t="shared" si="14"/>
        <v>88.510010656000006</v>
      </c>
      <c r="DF13" s="151">
        <v>46030</v>
      </c>
      <c r="DG13" s="152">
        <v>1129.8900000000001</v>
      </c>
      <c r="DH13" s="161">
        <v>534.37</v>
      </c>
      <c r="DI13" s="162"/>
      <c r="DJ13" s="27"/>
      <c r="DK13" s="32">
        <v>261.822</v>
      </c>
      <c r="DL13" s="42"/>
      <c r="DM13" s="44"/>
      <c r="DN13" s="53">
        <f t="shared" si="8"/>
        <v>261.822</v>
      </c>
      <c r="DP13" s="151">
        <v>46030</v>
      </c>
      <c r="DQ13" s="152">
        <v>1770.13</v>
      </c>
      <c r="DR13" s="173"/>
      <c r="DS13" s="27"/>
      <c r="DT13" s="32"/>
      <c r="DU13" s="52"/>
      <c r="DV13" s="52"/>
      <c r="DW13" s="53">
        <f t="shared" si="9"/>
        <v>0</v>
      </c>
      <c r="DY13" s="151">
        <v>46030</v>
      </c>
      <c r="DZ13" s="166">
        <v>1060</v>
      </c>
      <c r="EA13" s="174"/>
      <c r="EB13" s="27"/>
      <c r="EC13" s="51"/>
      <c r="ED13" s="52"/>
      <c r="EE13" s="52"/>
      <c r="EF13" s="53">
        <f t="shared" si="10"/>
        <v>0</v>
      </c>
      <c r="EH13" s="151">
        <v>46030</v>
      </c>
      <c r="EI13" s="154">
        <v>1823.9</v>
      </c>
      <c r="EJ13" s="176">
        <v>1600</v>
      </c>
      <c r="EK13" s="27"/>
      <c r="EL13" s="51"/>
      <c r="EM13" s="52"/>
      <c r="EN13" s="52"/>
      <c r="EO13" s="53">
        <f t="shared" si="11"/>
        <v>1600</v>
      </c>
      <c r="EQ13" s="151">
        <v>46030</v>
      </c>
      <c r="ER13" s="152">
        <v>1790.76</v>
      </c>
      <c r="ES13" s="173"/>
      <c r="ET13" s="27"/>
      <c r="EU13" s="32">
        <v>155.01332700000003</v>
      </c>
      <c r="EV13" s="52"/>
      <c r="EW13" s="52"/>
      <c r="EX13" s="53">
        <f t="shared" si="12"/>
        <v>155.01332700000003</v>
      </c>
    </row>
    <row r="14" spans="2:154" ht="15.75" hidden="1" x14ac:dyDescent="0.25">
      <c r="B14" s="151">
        <v>46031</v>
      </c>
      <c r="C14" s="152">
        <v>4134.26</v>
      </c>
      <c r="D14" s="152">
        <v>1507.97</v>
      </c>
      <c r="E14" s="168"/>
      <c r="F14" s="27"/>
      <c r="G14" s="32">
        <v>2183.9430699999998</v>
      </c>
      <c r="H14" s="33">
        <v>80.993964474285633</v>
      </c>
      <c r="I14" s="52"/>
      <c r="J14" s="53">
        <f t="shared" si="0"/>
        <v>2264.9370344742856</v>
      </c>
      <c r="L14" s="151">
        <v>46031</v>
      </c>
      <c r="M14" s="152">
        <v>16219.2</v>
      </c>
      <c r="N14" s="154">
        <v>2007.22</v>
      </c>
      <c r="O14" s="155">
        <v>88.88</v>
      </c>
      <c r="P14" s="27"/>
      <c r="Q14" s="246"/>
      <c r="R14" s="246">
        <v>388.21095299485711</v>
      </c>
      <c r="S14" s="246"/>
      <c r="T14" s="246">
        <v>55.911714300000085</v>
      </c>
      <c r="U14" s="53">
        <f t="shared" si="1"/>
        <v>533.00266729485725</v>
      </c>
      <c r="W14" s="151">
        <v>46031</v>
      </c>
      <c r="X14" s="152">
        <v>24024.71</v>
      </c>
      <c r="Y14" s="169"/>
      <c r="Z14" s="170">
        <v>101.3</v>
      </c>
      <c r="AA14" s="27"/>
      <c r="AB14" s="240">
        <v>19.679999999999978</v>
      </c>
      <c r="AC14" s="240">
        <v>733.69342721142789</v>
      </c>
      <c r="AD14" s="240"/>
      <c r="AE14" s="240"/>
      <c r="AF14" s="53">
        <f t="shared" si="2"/>
        <v>854.67342721142791</v>
      </c>
      <c r="AH14" s="151">
        <v>46031</v>
      </c>
      <c r="AI14" s="152">
        <v>6426.52</v>
      </c>
      <c r="AJ14" s="161">
        <v>833.64</v>
      </c>
      <c r="AK14" s="158">
        <v>0</v>
      </c>
      <c r="AL14" s="27"/>
      <c r="AM14" s="32">
        <v>294.98870999999991</v>
      </c>
      <c r="AN14" s="32"/>
      <c r="AO14" s="42"/>
      <c r="AP14" s="52"/>
      <c r="AQ14" s="53">
        <f t="shared" si="3"/>
        <v>294.98870999999991</v>
      </c>
      <c r="AS14" s="151">
        <v>46031</v>
      </c>
      <c r="AT14" s="152">
        <v>13034.62</v>
      </c>
      <c r="AU14" s="159">
        <v>934.62</v>
      </c>
      <c r="AV14" s="152">
        <v>1752.63</v>
      </c>
      <c r="AW14" s="178"/>
      <c r="AX14" s="27"/>
      <c r="AY14" s="32"/>
      <c r="AZ14" s="53">
        <v>111.56934353142843</v>
      </c>
      <c r="BA14" s="52"/>
      <c r="BB14" s="53">
        <f t="shared" si="4"/>
        <v>111.56934353142843</v>
      </c>
      <c r="BD14" s="151">
        <v>46031</v>
      </c>
      <c r="BE14" s="159">
        <v>835.59</v>
      </c>
      <c r="BF14" s="161">
        <v>997.91</v>
      </c>
      <c r="BG14" s="158">
        <v>0</v>
      </c>
      <c r="BH14" s="158">
        <v>55.43</v>
      </c>
      <c r="BI14" s="27"/>
      <c r="BJ14" s="51"/>
      <c r="BK14" s="42"/>
      <c r="BL14" s="44"/>
      <c r="BM14" s="53">
        <f t="shared" si="13"/>
        <v>55.43</v>
      </c>
      <c r="BO14" s="151">
        <v>46031</v>
      </c>
      <c r="BP14" s="159">
        <v>724.85</v>
      </c>
      <c r="BQ14" s="161">
        <v>394.41</v>
      </c>
      <c r="BR14" s="158">
        <v>0.88</v>
      </c>
      <c r="BS14" s="163">
        <v>96.75</v>
      </c>
      <c r="BT14" s="27"/>
      <c r="BU14" s="32"/>
      <c r="BV14" s="42">
        <v>1629.6126188039996</v>
      </c>
      <c r="BW14" s="42"/>
      <c r="BX14" s="52"/>
      <c r="BY14" s="53">
        <f t="shared" si="5"/>
        <v>1726.3626188039996</v>
      </c>
      <c r="CA14" s="151">
        <v>46031</v>
      </c>
      <c r="CB14" s="152">
        <v>5069.17</v>
      </c>
      <c r="CC14" s="159">
        <v>992.17</v>
      </c>
      <c r="CD14" s="177"/>
      <c r="CE14" s="27"/>
      <c r="CF14" s="32">
        <v>98.22684999999997</v>
      </c>
      <c r="CG14" s="42"/>
      <c r="CH14" s="44">
        <v>5.5072961999999954</v>
      </c>
      <c r="CI14" s="53">
        <f t="shared" si="6"/>
        <v>103.73414619999997</v>
      </c>
      <c r="CK14" s="151">
        <v>46031</v>
      </c>
      <c r="CL14" s="152">
        <v>4390.57</v>
      </c>
      <c r="CM14" s="161">
        <v>205.17</v>
      </c>
      <c r="CN14" s="158">
        <v>286.57</v>
      </c>
      <c r="CO14" s="27"/>
      <c r="CP14" s="51"/>
      <c r="CQ14" s="33">
        <v>457.00538633142872</v>
      </c>
      <c r="CR14" s="52"/>
      <c r="CS14" s="53">
        <f t="shared" si="7"/>
        <v>743.57538633142872</v>
      </c>
      <c r="CU14" s="151">
        <v>46031</v>
      </c>
      <c r="CV14" s="159">
        <v>377</v>
      </c>
      <c r="CW14" s="159">
        <v>1063.8</v>
      </c>
      <c r="CY14" s="158">
        <v>157.80000000000001</v>
      </c>
      <c r="CZ14" s="27"/>
      <c r="DA14" s="32">
        <v>38.328630000000018</v>
      </c>
      <c r="DB14" s="33">
        <v>40.823559154285704</v>
      </c>
      <c r="DC14" s="44"/>
      <c r="DD14" s="53">
        <f t="shared" si="14"/>
        <v>236.95218915428575</v>
      </c>
      <c r="DF14" s="151">
        <v>46031</v>
      </c>
      <c r="DG14" s="152">
        <v>1099.99</v>
      </c>
      <c r="DH14" s="161">
        <v>279.87</v>
      </c>
      <c r="DI14" s="162"/>
      <c r="DJ14" s="27"/>
      <c r="DK14" s="32">
        <v>511.6182500000001</v>
      </c>
      <c r="DL14" s="42"/>
      <c r="DM14" s="44"/>
      <c r="DN14" s="53">
        <f t="shared" si="8"/>
        <v>511.6182500000001</v>
      </c>
      <c r="DP14" s="151">
        <v>46031</v>
      </c>
      <c r="DQ14" s="159">
        <v>869.67</v>
      </c>
      <c r="DR14" s="173"/>
      <c r="DS14" s="27"/>
      <c r="DT14" s="32"/>
      <c r="DU14" s="52"/>
      <c r="DV14" s="52"/>
      <c r="DW14" s="53">
        <f t="shared" si="9"/>
        <v>0</v>
      </c>
      <c r="DY14" s="151">
        <v>46031</v>
      </c>
      <c r="DZ14" s="159">
        <v>505.6</v>
      </c>
      <c r="EA14" s="174"/>
      <c r="EB14" s="27"/>
      <c r="EC14" s="51"/>
      <c r="ED14" s="52"/>
      <c r="EE14" s="52"/>
      <c r="EF14" s="53">
        <f t="shared" si="10"/>
        <v>0</v>
      </c>
      <c r="EH14" s="151">
        <v>46031</v>
      </c>
      <c r="EI14" s="154">
        <v>1446</v>
      </c>
      <c r="EJ14" s="162"/>
      <c r="EK14" s="27"/>
      <c r="EL14" s="51"/>
      <c r="EM14" s="52"/>
      <c r="EN14" s="52"/>
      <c r="EO14" s="53">
        <f t="shared" si="11"/>
        <v>0</v>
      </c>
      <c r="EQ14" s="151">
        <v>46031</v>
      </c>
      <c r="ER14" s="152">
        <v>1734.48</v>
      </c>
      <c r="ES14" s="173"/>
      <c r="ET14" s="27"/>
      <c r="EU14" s="32">
        <v>157.82154899999992</v>
      </c>
      <c r="EV14" s="52"/>
      <c r="EW14" s="52"/>
      <c r="EX14" s="53">
        <f t="shared" si="12"/>
        <v>157.82154899999992</v>
      </c>
    </row>
    <row r="15" spans="2:154" ht="15.75" hidden="1" x14ac:dyDescent="0.25">
      <c r="B15" s="151">
        <v>46032</v>
      </c>
      <c r="C15" s="152">
        <v>2631.43</v>
      </c>
      <c r="D15" s="152">
        <v>1166.8699999999999</v>
      </c>
      <c r="E15" s="168"/>
      <c r="F15" s="27"/>
      <c r="G15" s="32">
        <v>606.93334999999979</v>
      </c>
      <c r="H15" s="33"/>
      <c r="I15" s="52"/>
      <c r="J15" s="53">
        <f t="shared" si="0"/>
        <v>606.93334999999979</v>
      </c>
      <c r="L15" s="151">
        <v>46032</v>
      </c>
      <c r="M15" s="152">
        <v>19922.13</v>
      </c>
      <c r="N15" s="154">
        <v>2582.41</v>
      </c>
      <c r="O15" s="158">
        <v>44.33</v>
      </c>
      <c r="P15" s="27"/>
      <c r="Q15" s="246">
        <v>18.334620000000001</v>
      </c>
      <c r="R15" s="246">
        <v>217.68104178857129</v>
      </c>
      <c r="S15" s="246"/>
      <c r="T15" s="246"/>
      <c r="U15" s="53">
        <f t="shared" si="1"/>
        <v>280.34566178857131</v>
      </c>
      <c r="W15" s="151">
        <v>46032</v>
      </c>
      <c r="X15" s="152">
        <v>25063.19</v>
      </c>
      <c r="Y15" s="169"/>
      <c r="Z15" s="170">
        <v>43.07</v>
      </c>
      <c r="AA15" s="27"/>
      <c r="AB15" s="240">
        <v>46.266989999999993</v>
      </c>
      <c r="AC15" s="240">
        <v>461.48212537714244</v>
      </c>
      <c r="AD15" s="240"/>
      <c r="AE15" s="240"/>
      <c r="AF15" s="53">
        <f t="shared" si="2"/>
        <v>550.81911537714245</v>
      </c>
      <c r="AH15" s="151">
        <v>46032</v>
      </c>
      <c r="AI15" s="152">
        <v>5435.22</v>
      </c>
      <c r="AJ15" s="161">
        <v>709.59</v>
      </c>
      <c r="AK15" s="158">
        <v>0</v>
      </c>
      <c r="AL15" s="27"/>
      <c r="AM15" s="32">
        <v>947.43532999999957</v>
      </c>
      <c r="AN15" s="32"/>
      <c r="AO15" s="42">
        <v>98.42058938971428</v>
      </c>
      <c r="AP15" s="52"/>
      <c r="AQ15" s="53">
        <f t="shared" si="3"/>
        <v>1045.8559193897138</v>
      </c>
      <c r="AS15" s="151">
        <v>46032</v>
      </c>
      <c r="AT15" s="152">
        <v>13600.36</v>
      </c>
      <c r="AU15" s="152">
        <v>1367.11</v>
      </c>
      <c r="AV15" s="152">
        <v>4016.15</v>
      </c>
      <c r="AW15" s="171"/>
      <c r="AX15" s="27"/>
      <c r="AY15" s="32">
        <v>8.2800000000000047</v>
      </c>
      <c r="AZ15" s="53">
        <v>259.91739803999991</v>
      </c>
      <c r="BA15" s="52"/>
      <c r="BB15" s="53">
        <f t="shared" si="4"/>
        <v>268.19739803999994</v>
      </c>
      <c r="BD15" s="151">
        <v>46032</v>
      </c>
      <c r="BE15" s="152">
        <v>1200.47</v>
      </c>
      <c r="BF15" s="161">
        <v>1079.6099999999999</v>
      </c>
      <c r="BG15" s="158">
        <v>1.1299999999999999</v>
      </c>
      <c r="BH15" s="158">
        <v>9.85</v>
      </c>
      <c r="BI15" s="27"/>
      <c r="BJ15" s="51"/>
      <c r="BK15" s="42"/>
      <c r="BL15" s="44"/>
      <c r="BM15" s="53">
        <f t="shared" si="13"/>
        <v>9.85</v>
      </c>
      <c r="BO15" s="151">
        <v>46032</v>
      </c>
      <c r="BP15" s="159">
        <v>1982.35</v>
      </c>
      <c r="BQ15" s="161">
        <v>424.06</v>
      </c>
      <c r="BR15" s="158">
        <v>0</v>
      </c>
      <c r="BS15" s="163">
        <v>147.63999999999999</v>
      </c>
      <c r="BT15" s="27"/>
      <c r="BU15" s="32">
        <v>15.679314000000005</v>
      </c>
      <c r="BV15" s="42">
        <v>1178.8473581382848</v>
      </c>
      <c r="BW15" s="42"/>
      <c r="BX15" s="52"/>
      <c r="BY15" s="53">
        <f t="shared" si="5"/>
        <v>1342.1666721382849</v>
      </c>
      <c r="CA15" s="151">
        <v>46032</v>
      </c>
      <c r="CB15" s="152">
        <v>3553.77</v>
      </c>
      <c r="CC15" s="159">
        <v>895.46</v>
      </c>
      <c r="CD15" s="177"/>
      <c r="CE15" s="27"/>
      <c r="CF15" s="32">
        <v>225.45666999999992</v>
      </c>
      <c r="CG15" s="42"/>
      <c r="CH15" s="44"/>
      <c r="CI15" s="53">
        <f t="shared" si="6"/>
        <v>225.45666999999992</v>
      </c>
      <c r="CK15" s="151">
        <v>46032</v>
      </c>
      <c r="CL15" s="152">
        <v>2072.42</v>
      </c>
      <c r="CM15" s="161">
        <v>144.49</v>
      </c>
      <c r="CN15" s="158">
        <v>186.32</v>
      </c>
      <c r="CO15" s="27"/>
      <c r="CP15" s="51"/>
      <c r="CQ15" s="33">
        <v>95.842071840000017</v>
      </c>
      <c r="CR15" s="52"/>
      <c r="CS15" s="53">
        <f t="shared" si="7"/>
        <v>282.16207184000001</v>
      </c>
      <c r="CU15" s="151">
        <v>46032</v>
      </c>
      <c r="CV15" s="152">
        <v>1457.61</v>
      </c>
      <c r="CW15" s="159">
        <v>734.8</v>
      </c>
      <c r="CY15" s="158">
        <v>75.59</v>
      </c>
      <c r="CZ15" s="27"/>
      <c r="DA15" s="32">
        <v>11.55583</v>
      </c>
      <c r="DB15" s="33"/>
      <c r="DC15" s="44"/>
      <c r="DD15" s="53">
        <f t="shared" si="14"/>
        <v>87.145830000000004</v>
      </c>
      <c r="DF15" s="151">
        <v>46032</v>
      </c>
      <c r="DG15" s="152">
        <v>1071.1300000000001</v>
      </c>
      <c r="DH15" s="161">
        <v>433.45</v>
      </c>
      <c r="DI15" s="162"/>
      <c r="DJ15" s="27"/>
      <c r="DK15" s="32">
        <v>106.45525000000001</v>
      </c>
      <c r="DL15" s="42"/>
      <c r="DM15" s="44"/>
      <c r="DN15" s="53">
        <f t="shared" si="8"/>
        <v>106.45525000000001</v>
      </c>
      <c r="DP15" s="151">
        <v>46032</v>
      </c>
      <c r="DQ15" s="159">
        <v>406</v>
      </c>
      <c r="DR15" s="173"/>
      <c r="DS15" s="27"/>
      <c r="DT15" s="32"/>
      <c r="DU15" s="52"/>
      <c r="DV15" s="52"/>
      <c r="DW15" s="53">
        <f t="shared" si="9"/>
        <v>0</v>
      </c>
      <c r="DY15" s="151">
        <v>46032</v>
      </c>
      <c r="DZ15" s="166">
        <v>870</v>
      </c>
      <c r="EA15" s="174"/>
      <c r="EB15" s="27"/>
      <c r="EC15" s="51"/>
      <c r="ED15" s="52"/>
      <c r="EE15" s="52"/>
      <c r="EF15" s="53">
        <f t="shared" si="10"/>
        <v>0</v>
      </c>
      <c r="EH15" s="151">
        <v>46032</v>
      </c>
      <c r="EI15" s="161">
        <v>2045.31</v>
      </c>
      <c r="EJ15" s="176">
        <v>10</v>
      </c>
      <c r="EK15" s="27"/>
      <c r="EL15" s="51"/>
      <c r="EM15" s="52"/>
      <c r="EN15" s="52"/>
      <c r="EO15" s="53">
        <f t="shared" si="11"/>
        <v>10</v>
      </c>
      <c r="EQ15" s="151">
        <v>46032</v>
      </c>
      <c r="ER15" s="152">
        <v>1426.81</v>
      </c>
      <c r="ES15" s="173"/>
      <c r="ET15" s="27"/>
      <c r="EU15" s="32">
        <v>12.453128999999983</v>
      </c>
      <c r="EV15" s="52"/>
      <c r="EW15" s="52"/>
      <c r="EX15" s="53">
        <f t="shared" si="12"/>
        <v>12.453128999999983</v>
      </c>
    </row>
    <row r="16" spans="2:154" ht="15.75" hidden="1" x14ac:dyDescent="0.25">
      <c r="B16" s="151">
        <v>46033</v>
      </c>
      <c r="C16" s="152">
        <v>3347.04</v>
      </c>
      <c r="D16" s="152">
        <v>1191.02</v>
      </c>
      <c r="E16" s="168"/>
      <c r="F16" s="27"/>
      <c r="G16" s="32">
        <v>136.74513999999994</v>
      </c>
      <c r="H16" s="33"/>
      <c r="I16" s="52"/>
      <c r="J16" s="53">
        <f t="shared" si="0"/>
        <v>136.74513999999994</v>
      </c>
      <c r="L16" s="151">
        <v>46033</v>
      </c>
      <c r="M16" s="152">
        <v>13736.44</v>
      </c>
      <c r="N16" s="154">
        <v>2439.29</v>
      </c>
      <c r="O16" s="158">
        <v>17.37</v>
      </c>
      <c r="P16" s="27"/>
      <c r="Q16" s="246">
        <v>12.789539999999988</v>
      </c>
      <c r="R16" s="246"/>
      <c r="S16" s="246"/>
      <c r="T16" s="246"/>
      <c r="U16" s="53">
        <f t="shared" si="1"/>
        <v>30.159539999999989</v>
      </c>
      <c r="W16" s="151">
        <v>46033</v>
      </c>
      <c r="X16" s="152">
        <v>29115.01</v>
      </c>
      <c r="Y16" s="169"/>
      <c r="Z16" s="170">
        <v>1.08</v>
      </c>
      <c r="AA16" s="27"/>
      <c r="AB16" s="240">
        <v>266.14601999999968</v>
      </c>
      <c r="AC16" s="240"/>
      <c r="AD16" s="240"/>
      <c r="AE16" s="240"/>
      <c r="AF16" s="53">
        <f t="shared" si="2"/>
        <v>267.22601999999966</v>
      </c>
      <c r="AH16" s="151">
        <v>46033</v>
      </c>
      <c r="AI16" s="152">
        <v>4495.62</v>
      </c>
      <c r="AJ16" s="154">
        <v>1232.0899999999999</v>
      </c>
      <c r="AK16" s="158">
        <v>0</v>
      </c>
      <c r="AL16" s="27"/>
      <c r="AM16" s="32">
        <v>93.56617999999996</v>
      </c>
      <c r="AN16" s="32"/>
      <c r="AO16" s="42"/>
      <c r="AP16" s="52"/>
      <c r="AQ16" s="53">
        <f t="shared" si="3"/>
        <v>93.56617999999996</v>
      </c>
      <c r="AS16" s="151">
        <v>46033</v>
      </c>
      <c r="AT16" s="152">
        <v>14456.28</v>
      </c>
      <c r="AU16" s="152">
        <v>1197.27</v>
      </c>
      <c r="AV16" s="152">
        <v>2783.52</v>
      </c>
      <c r="AW16" s="171"/>
      <c r="AX16" s="27"/>
      <c r="AY16" s="32"/>
      <c r="AZ16" s="53">
        <v>11.621913222857103</v>
      </c>
      <c r="BA16" s="52"/>
      <c r="BB16" s="53">
        <f t="shared" si="4"/>
        <v>11.621913222857103</v>
      </c>
      <c r="BD16" s="151">
        <v>46033</v>
      </c>
      <c r="BE16" s="159">
        <v>945.3</v>
      </c>
      <c r="BF16" s="161">
        <v>1131.72</v>
      </c>
      <c r="BG16" s="158">
        <v>1.77</v>
      </c>
      <c r="BH16" s="158">
        <v>21.42</v>
      </c>
      <c r="BI16" s="27"/>
      <c r="BJ16" s="51"/>
      <c r="BK16" s="42"/>
      <c r="BL16" s="44"/>
      <c r="BM16" s="53">
        <f t="shared" si="13"/>
        <v>21.42</v>
      </c>
      <c r="BO16" s="151">
        <v>46033</v>
      </c>
      <c r="BP16" s="159">
        <v>953.83</v>
      </c>
      <c r="BQ16" s="161">
        <v>399.73</v>
      </c>
      <c r="BR16" s="158">
        <v>0</v>
      </c>
      <c r="BS16" s="163">
        <v>92</v>
      </c>
      <c r="BT16" s="27"/>
      <c r="BU16" s="32">
        <v>17.306456999999995</v>
      </c>
      <c r="BV16" s="42">
        <v>1935.0808128359993</v>
      </c>
      <c r="BW16" s="42"/>
      <c r="BX16" s="52"/>
      <c r="BY16" s="53">
        <f t="shared" si="5"/>
        <v>2044.3872698359992</v>
      </c>
      <c r="CA16" s="151">
        <v>46033</v>
      </c>
      <c r="CB16" s="152">
        <v>4603.7</v>
      </c>
      <c r="CC16" s="159">
        <v>969.31</v>
      </c>
      <c r="CD16" s="177"/>
      <c r="CE16" s="27"/>
      <c r="CF16" s="32">
        <v>66.106040000000007</v>
      </c>
      <c r="CG16" s="42"/>
      <c r="CH16" s="44"/>
      <c r="CI16" s="53">
        <f t="shared" si="6"/>
        <v>66.106040000000007</v>
      </c>
      <c r="CK16" s="151">
        <v>46033</v>
      </c>
      <c r="CL16" s="152">
        <v>2627.03</v>
      </c>
      <c r="CM16" s="161">
        <v>487.07</v>
      </c>
      <c r="CN16" s="158">
        <v>248.26</v>
      </c>
      <c r="CO16" s="27"/>
      <c r="CP16" s="51"/>
      <c r="CQ16" s="33"/>
      <c r="CR16" s="52"/>
      <c r="CS16" s="53">
        <f t="shared" si="7"/>
        <v>248.26</v>
      </c>
      <c r="CU16" s="151">
        <v>46033</v>
      </c>
      <c r="CV16" s="159">
        <v>1498.03</v>
      </c>
      <c r="CW16" s="159">
        <v>872.5</v>
      </c>
      <c r="CY16" s="162"/>
      <c r="CZ16" s="27"/>
      <c r="DA16" s="32">
        <v>24.987899999999968</v>
      </c>
      <c r="DB16" s="33"/>
      <c r="DC16" s="44"/>
      <c r="DD16" s="53">
        <f t="shared" si="14"/>
        <v>24.987899999999968</v>
      </c>
      <c r="DF16" s="151">
        <v>46033</v>
      </c>
      <c r="DG16" s="159">
        <v>669</v>
      </c>
      <c r="DH16" s="161">
        <v>549.63</v>
      </c>
      <c r="DI16" s="162"/>
      <c r="DJ16" s="27"/>
      <c r="DK16" s="32">
        <v>119.82849999999999</v>
      </c>
      <c r="DL16" s="42"/>
      <c r="DM16" s="44"/>
      <c r="DN16" s="53">
        <f t="shared" si="8"/>
        <v>119.82849999999999</v>
      </c>
      <c r="DP16" s="151">
        <v>46033</v>
      </c>
      <c r="DQ16" s="159">
        <v>413</v>
      </c>
      <c r="DR16" s="173"/>
      <c r="DS16" s="27"/>
      <c r="DT16" s="32"/>
      <c r="DU16" s="52"/>
      <c r="DV16" s="52"/>
      <c r="DW16" s="53">
        <f t="shared" si="9"/>
        <v>0</v>
      </c>
      <c r="DY16" s="151">
        <v>46033</v>
      </c>
      <c r="DZ16" s="159">
        <v>334</v>
      </c>
      <c r="EA16" s="174"/>
      <c r="EB16" s="27"/>
      <c r="EC16" s="51"/>
      <c r="ED16" s="52"/>
      <c r="EE16" s="52"/>
      <c r="EF16" s="53">
        <f t="shared" si="10"/>
        <v>0</v>
      </c>
      <c r="EH16" s="151">
        <v>46033</v>
      </c>
      <c r="EI16" s="154">
        <v>2037.8</v>
      </c>
      <c r="EJ16" s="158">
        <v>0</v>
      </c>
      <c r="EK16" s="27"/>
      <c r="EL16" s="51"/>
      <c r="EM16" s="52"/>
      <c r="EN16" s="52"/>
      <c r="EO16" s="53">
        <f t="shared" si="11"/>
        <v>0</v>
      </c>
      <c r="EQ16" s="151">
        <v>46033</v>
      </c>
      <c r="ER16" s="159">
        <v>622.04</v>
      </c>
      <c r="ES16" s="173"/>
      <c r="ET16" s="27"/>
      <c r="EU16" s="32"/>
      <c r="EV16" s="52"/>
      <c r="EW16" s="52"/>
      <c r="EX16" s="53">
        <f t="shared" si="12"/>
        <v>0</v>
      </c>
    </row>
    <row r="17" spans="2:154" ht="15.75" hidden="1" x14ac:dyDescent="0.25">
      <c r="B17" s="151">
        <v>46034</v>
      </c>
      <c r="C17" s="152">
        <v>3257.72</v>
      </c>
      <c r="D17" s="152">
        <v>1423.79</v>
      </c>
      <c r="E17" s="168"/>
      <c r="F17" s="27"/>
      <c r="G17" s="32">
        <v>591.37896999999975</v>
      </c>
      <c r="H17" s="33"/>
      <c r="I17" s="52"/>
      <c r="J17" s="53">
        <f t="shared" si="0"/>
        <v>591.37896999999975</v>
      </c>
      <c r="L17" s="151">
        <v>46034</v>
      </c>
      <c r="M17" s="152">
        <v>15193.91</v>
      </c>
      <c r="N17" s="154">
        <v>2580.56</v>
      </c>
      <c r="O17" s="158">
        <v>63</v>
      </c>
      <c r="P17" s="27"/>
      <c r="Q17" s="246">
        <v>15.53877</v>
      </c>
      <c r="R17" s="246"/>
      <c r="S17" s="246"/>
      <c r="T17" s="246"/>
      <c r="U17" s="53">
        <f t="shared" si="1"/>
        <v>78.53877</v>
      </c>
      <c r="W17" s="151">
        <v>46034</v>
      </c>
      <c r="X17" s="152">
        <v>24140.74</v>
      </c>
      <c r="Y17" s="169"/>
      <c r="Z17" s="170">
        <v>5.07</v>
      </c>
      <c r="AA17" s="27"/>
      <c r="AB17" s="240"/>
      <c r="AC17" s="240">
        <v>151.19788367999985</v>
      </c>
      <c r="AD17" s="240"/>
      <c r="AE17" s="240"/>
      <c r="AF17" s="53">
        <f t="shared" si="2"/>
        <v>156.26788367999984</v>
      </c>
      <c r="AH17" s="151">
        <v>46034</v>
      </c>
      <c r="AI17" s="152">
        <v>5478.03</v>
      </c>
      <c r="AJ17" s="161">
        <v>928.72</v>
      </c>
      <c r="AK17" s="158">
        <v>0</v>
      </c>
      <c r="AL17" s="27"/>
      <c r="AM17" s="32">
        <v>923.67559999999969</v>
      </c>
      <c r="AN17" s="32"/>
      <c r="AO17" s="42">
        <v>92.116583748571486</v>
      </c>
      <c r="AP17" s="52"/>
      <c r="AQ17" s="53">
        <f t="shared" si="3"/>
        <v>1015.7921837485712</v>
      </c>
      <c r="AS17" s="151">
        <v>46034</v>
      </c>
      <c r="AT17" s="152">
        <v>12056.48</v>
      </c>
      <c r="AU17" s="152">
        <v>1036.6300000000001</v>
      </c>
      <c r="AV17" s="152">
        <v>4249.22</v>
      </c>
      <c r="AW17" s="171"/>
      <c r="AX17" s="27"/>
      <c r="AY17" s="32">
        <v>60.466239999999999</v>
      </c>
      <c r="AZ17" s="53">
        <v>12.146890611428518</v>
      </c>
      <c r="BA17" s="52"/>
      <c r="BB17" s="53">
        <f t="shared" si="4"/>
        <v>72.613130611428517</v>
      </c>
      <c r="BD17" s="151">
        <v>46034</v>
      </c>
      <c r="BE17" s="152">
        <v>1098.48</v>
      </c>
      <c r="BF17" s="154">
        <v>1065.45</v>
      </c>
      <c r="BG17" s="158">
        <v>1.8</v>
      </c>
      <c r="BH17" s="158">
        <v>151.49</v>
      </c>
      <c r="BI17" s="27"/>
      <c r="BJ17" s="51"/>
      <c r="BK17" s="42"/>
      <c r="BL17" s="44"/>
      <c r="BM17" s="53">
        <f t="shared" si="13"/>
        <v>151.49</v>
      </c>
      <c r="BO17" s="151">
        <v>46034</v>
      </c>
      <c r="BP17" s="159">
        <v>276.98</v>
      </c>
      <c r="BQ17" s="161">
        <v>438.5</v>
      </c>
      <c r="BR17" s="158">
        <v>0.76</v>
      </c>
      <c r="BS17" s="163">
        <v>16.38</v>
      </c>
      <c r="BT17" s="27"/>
      <c r="BU17" s="32">
        <v>59.225565000000046</v>
      </c>
      <c r="BV17" s="42">
        <v>1263.8605653099996</v>
      </c>
      <c r="BW17" s="42"/>
      <c r="BX17" s="52">
        <v>377.41428571428571</v>
      </c>
      <c r="BY17" s="345">
        <f t="shared" si="5"/>
        <v>1716.8804160242853</v>
      </c>
      <c r="CA17" s="151">
        <v>46034</v>
      </c>
      <c r="CB17" s="152">
        <v>4252.01</v>
      </c>
      <c r="CC17" s="159">
        <v>1104.18</v>
      </c>
      <c r="CD17" s="172"/>
      <c r="CE17" s="27"/>
      <c r="CF17" s="32">
        <v>95.398500000000013</v>
      </c>
      <c r="CG17" s="42"/>
      <c r="CH17" s="44"/>
      <c r="CI17" s="53">
        <f t="shared" si="6"/>
        <v>95.398500000000013</v>
      </c>
      <c r="CK17" s="151">
        <v>46034</v>
      </c>
      <c r="CL17" s="152">
        <v>3726.99</v>
      </c>
      <c r="CM17" s="161">
        <v>416.3</v>
      </c>
      <c r="CN17" s="158">
        <v>62.32</v>
      </c>
      <c r="CO17" s="27"/>
      <c r="CP17" s="51"/>
      <c r="CQ17" s="33">
        <v>617.75472912000021</v>
      </c>
      <c r="CR17" s="52"/>
      <c r="CS17" s="53">
        <f t="shared" si="7"/>
        <v>680.07472912000026</v>
      </c>
      <c r="CU17" s="151">
        <v>46034</v>
      </c>
      <c r="CV17" s="159">
        <v>823.8</v>
      </c>
      <c r="CW17" s="159">
        <v>740.6</v>
      </c>
      <c r="CY17" s="158">
        <v>33.07</v>
      </c>
      <c r="CZ17" s="27"/>
      <c r="DA17" s="32">
        <v>152.35245999999989</v>
      </c>
      <c r="DB17" s="33">
        <v>22.776174308571399</v>
      </c>
      <c r="DC17" s="44">
        <v>2.3234533999999982</v>
      </c>
      <c r="DD17" s="53">
        <f t="shared" si="14"/>
        <v>210.52208770857129</v>
      </c>
      <c r="DF17" s="151">
        <v>46034</v>
      </c>
      <c r="DG17" s="159">
        <v>969.93</v>
      </c>
      <c r="DH17" s="161">
        <v>434.42</v>
      </c>
      <c r="DI17" s="176">
        <v>4.2300000000000004</v>
      </c>
      <c r="DJ17" s="27"/>
      <c r="DK17" s="32">
        <v>347.46525000000008</v>
      </c>
      <c r="DL17" s="42"/>
      <c r="DM17" s="44"/>
      <c r="DN17" s="53">
        <f t="shared" si="8"/>
        <v>351.6952500000001</v>
      </c>
      <c r="DP17" s="151">
        <v>46034</v>
      </c>
      <c r="DQ17" s="159">
        <v>579.05999999999995</v>
      </c>
      <c r="DR17" s="173"/>
      <c r="DS17" s="27"/>
      <c r="DT17" s="32"/>
      <c r="DU17" s="52"/>
      <c r="DV17" s="52"/>
      <c r="DW17" s="53">
        <f t="shared" si="9"/>
        <v>0</v>
      </c>
      <c r="DY17" s="151">
        <v>46034</v>
      </c>
      <c r="DZ17" s="159">
        <v>450</v>
      </c>
      <c r="EA17" s="174"/>
      <c r="EB17" s="27"/>
      <c r="EC17" s="51"/>
      <c r="ED17" s="52"/>
      <c r="EE17" s="52"/>
      <c r="EF17" s="53">
        <f t="shared" si="10"/>
        <v>0</v>
      </c>
      <c r="EH17" s="151">
        <v>46034</v>
      </c>
      <c r="EI17" s="154">
        <v>1245.3</v>
      </c>
      <c r="EJ17" s="176">
        <v>920</v>
      </c>
      <c r="EK17" s="27"/>
      <c r="EL17" s="51"/>
      <c r="EM17" s="52"/>
      <c r="EN17" s="52"/>
      <c r="EO17" s="53">
        <f t="shared" si="11"/>
        <v>920</v>
      </c>
      <c r="EQ17" s="151">
        <v>46034</v>
      </c>
      <c r="ER17" s="152">
        <v>1878.32</v>
      </c>
      <c r="ES17" s="173"/>
      <c r="ET17" s="27"/>
      <c r="EU17" s="32">
        <v>84.541586999999993</v>
      </c>
      <c r="EV17" s="52"/>
      <c r="EW17" s="52"/>
      <c r="EX17" s="53">
        <f t="shared" si="12"/>
        <v>84.541586999999993</v>
      </c>
    </row>
    <row r="18" spans="2:154" ht="15.75" hidden="1" x14ac:dyDescent="0.25">
      <c r="B18" s="151">
        <v>46035</v>
      </c>
      <c r="C18" s="152">
        <v>4100.95</v>
      </c>
      <c r="D18" s="152">
        <v>1413.12</v>
      </c>
      <c r="E18" s="168"/>
      <c r="F18" s="27"/>
      <c r="G18" s="32">
        <v>621.39063999999985</v>
      </c>
      <c r="H18" s="33">
        <v>1062.7617415923801</v>
      </c>
      <c r="I18" s="52"/>
      <c r="J18" s="53">
        <f t="shared" si="0"/>
        <v>1684.1523815923799</v>
      </c>
      <c r="L18" s="151">
        <v>46035</v>
      </c>
      <c r="M18" s="152">
        <v>15393.62</v>
      </c>
      <c r="N18" s="154">
        <v>2697.59</v>
      </c>
      <c r="O18" s="158">
        <v>35.57</v>
      </c>
      <c r="P18" s="27"/>
      <c r="Q18" s="246">
        <v>188.10000000000014</v>
      </c>
      <c r="R18" s="246"/>
      <c r="S18" s="246"/>
      <c r="T18" s="246"/>
      <c r="U18" s="53">
        <f t="shared" si="1"/>
        <v>223.67000000000013</v>
      </c>
      <c r="W18" s="151">
        <v>46035</v>
      </c>
      <c r="X18" s="152">
        <v>9887.59</v>
      </c>
      <c r="Y18" s="169"/>
      <c r="Z18" s="170">
        <v>8.66</v>
      </c>
      <c r="AA18" s="27"/>
      <c r="AB18" s="240">
        <v>9.7091999999999956</v>
      </c>
      <c r="AC18" s="240"/>
      <c r="AD18" s="240"/>
      <c r="AE18" s="240"/>
      <c r="AF18" s="53">
        <f t="shared" si="2"/>
        <v>18.369199999999996</v>
      </c>
      <c r="AH18" s="151">
        <v>46035</v>
      </c>
      <c r="AI18" s="152">
        <v>4070.73</v>
      </c>
      <c r="AJ18" s="161">
        <v>721.04</v>
      </c>
      <c r="AK18" s="158">
        <v>0</v>
      </c>
      <c r="AL18" s="27"/>
      <c r="AM18" s="32">
        <v>705.16515000000015</v>
      </c>
      <c r="AN18" s="32"/>
      <c r="AO18" s="42"/>
      <c r="AP18" s="52"/>
      <c r="AQ18" s="53">
        <f t="shared" si="3"/>
        <v>705.16515000000015</v>
      </c>
      <c r="AS18" s="151">
        <v>46035</v>
      </c>
      <c r="AT18" s="152">
        <v>12106.9</v>
      </c>
      <c r="AU18" s="152">
        <v>1019.75</v>
      </c>
      <c r="AV18" s="152">
        <v>3657.03</v>
      </c>
      <c r="AW18" s="171"/>
      <c r="AX18" s="27"/>
      <c r="AY18" s="32">
        <v>1.6569600000000015</v>
      </c>
      <c r="AZ18" s="53">
        <v>207.81256111542857</v>
      </c>
      <c r="BA18" s="52"/>
      <c r="BB18" s="53">
        <f t="shared" si="4"/>
        <v>209.46952111542856</v>
      </c>
      <c r="BD18" s="151">
        <v>46035</v>
      </c>
      <c r="BE18" s="159">
        <v>995.95</v>
      </c>
      <c r="BF18" s="161">
        <v>873.36</v>
      </c>
      <c r="BG18" s="158">
        <v>0</v>
      </c>
      <c r="BH18" s="158">
        <v>30.64</v>
      </c>
      <c r="BI18" s="27"/>
      <c r="BJ18" s="51"/>
      <c r="BK18" s="42"/>
      <c r="BL18" s="44"/>
      <c r="BM18" s="53">
        <f t="shared" si="13"/>
        <v>30.64</v>
      </c>
      <c r="BO18" s="151">
        <v>46035</v>
      </c>
      <c r="BP18" s="159">
        <v>470.3</v>
      </c>
      <c r="BQ18" s="161">
        <v>479.08</v>
      </c>
      <c r="BR18" s="162"/>
      <c r="BS18" s="163">
        <v>51.9</v>
      </c>
      <c r="BT18" s="27"/>
      <c r="BU18" s="32">
        <v>38.760483000000022</v>
      </c>
      <c r="BV18" s="42">
        <v>1959.834494129524</v>
      </c>
      <c r="BW18" s="42"/>
      <c r="BX18" s="52">
        <v>377.41428571428571</v>
      </c>
      <c r="BY18" s="345">
        <f t="shared" si="5"/>
        <v>2427.9092628438098</v>
      </c>
      <c r="CA18" s="151">
        <v>46035</v>
      </c>
      <c r="CB18" s="152">
        <v>3903.78</v>
      </c>
      <c r="CC18" s="159">
        <v>727.14</v>
      </c>
      <c r="CD18" s="179"/>
      <c r="CE18" s="27"/>
      <c r="CF18" s="32">
        <v>167.32013999999995</v>
      </c>
      <c r="CG18" s="42"/>
      <c r="CH18" s="44"/>
      <c r="CI18" s="53">
        <f t="shared" si="6"/>
        <v>167.32013999999995</v>
      </c>
      <c r="CK18" s="151">
        <v>46035</v>
      </c>
      <c r="CL18" s="152">
        <v>10624.93</v>
      </c>
      <c r="CM18" s="161">
        <v>273.86</v>
      </c>
      <c r="CN18" s="158">
        <v>1016.63</v>
      </c>
      <c r="CO18" s="27"/>
      <c r="CP18" s="51"/>
      <c r="CQ18" s="33">
        <v>154.2978752438095</v>
      </c>
      <c r="CR18" s="52"/>
      <c r="CS18" s="53">
        <f t="shared" si="7"/>
        <v>1170.9278752438095</v>
      </c>
      <c r="CU18" s="151">
        <v>46035</v>
      </c>
      <c r="CV18" s="159">
        <v>926.02</v>
      </c>
      <c r="CW18" s="159">
        <v>938.6</v>
      </c>
      <c r="CY18" s="158">
        <v>117.81</v>
      </c>
      <c r="CZ18" s="27"/>
      <c r="DA18" s="32">
        <v>67.977099999999936</v>
      </c>
      <c r="DB18" s="33"/>
      <c r="DC18" s="44"/>
      <c r="DD18" s="53">
        <f t="shared" si="14"/>
        <v>185.78709999999995</v>
      </c>
      <c r="DF18" s="151">
        <v>46035</v>
      </c>
      <c r="DG18" s="152">
        <v>1144.2</v>
      </c>
      <c r="DH18" s="161">
        <v>146.36000000000001</v>
      </c>
      <c r="DI18" s="162"/>
      <c r="DJ18" s="27"/>
      <c r="DK18" s="32">
        <v>31.696500000000015</v>
      </c>
      <c r="DL18" s="42"/>
      <c r="DM18" s="44"/>
      <c r="DN18" s="53">
        <f t="shared" si="8"/>
        <v>31.696500000000015</v>
      </c>
      <c r="DP18" s="151">
        <v>46035</v>
      </c>
      <c r="DQ18" s="159">
        <v>603.09</v>
      </c>
      <c r="DR18" s="173"/>
      <c r="DS18" s="27"/>
      <c r="DT18" s="32"/>
      <c r="DU18" s="52"/>
      <c r="DV18" s="52"/>
      <c r="DW18" s="53">
        <f t="shared" si="9"/>
        <v>0</v>
      </c>
      <c r="DY18" s="151">
        <v>46035</v>
      </c>
      <c r="DZ18" s="166">
        <v>496</v>
      </c>
      <c r="EA18" s="174"/>
      <c r="EB18" s="27"/>
      <c r="EC18" s="51"/>
      <c r="ED18" s="52"/>
      <c r="EE18" s="52"/>
      <c r="EF18" s="53">
        <f t="shared" si="10"/>
        <v>0</v>
      </c>
      <c r="EH18" s="151">
        <v>46035</v>
      </c>
      <c r="EI18" s="154">
        <v>1668</v>
      </c>
      <c r="EJ18" s="176">
        <v>30</v>
      </c>
      <c r="EK18" s="27"/>
      <c r="EL18" s="51"/>
      <c r="EM18" s="52"/>
      <c r="EN18" s="52"/>
      <c r="EO18" s="53">
        <f t="shared" si="11"/>
        <v>30</v>
      </c>
      <c r="EQ18" s="151">
        <v>46035</v>
      </c>
      <c r="ER18" s="159">
        <v>1491.5</v>
      </c>
      <c r="ES18" s="173"/>
      <c r="ET18" s="27"/>
      <c r="EU18" s="32">
        <v>51.063902999999968</v>
      </c>
      <c r="EV18" s="52"/>
      <c r="EW18" s="52"/>
      <c r="EX18" s="53">
        <f t="shared" si="12"/>
        <v>51.063902999999968</v>
      </c>
    </row>
    <row r="19" spans="2:154" ht="15.75" hidden="1" x14ac:dyDescent="0.25">
      <c r="B19" s="151">
        <v>46036</v>
      </c>
      <c r="C19" s="152">
        <v>2484.2800000000002</v>
      </c>
      <c r="D19" s="152">
        <v>1253.5999999999999</v>
      </c>
      <c r="E19" s="168"/>
      <c r="F19" s="27"/>
      <c r="G19" s="32">
        <v>317.0611899999999</v>
      </c>
      <c r="H19" s="33">
        <v>583.10628571428515</v>
      </c>
      <c r="I19" s="52"/>
      <c r="J19" s="53">
        <f t="shared" si="0"/>
        <v>900.16747571428505</v>
      </c>
      <c r="L19" s="151">
        <v>46036</v>
      </c>
      <c r="M19" s="152">
        <v>14123.01</v>
      </c>
      <c r="N19" s="154">
        <v>2196.13</v>
      </c>
      <c r="O19" s="158">
        <v>55.36</v>
      </c>
      <c r="P19" s="27"/>
      <c r="Q19" s="246">
        <v>31.783770000000004</v>
      </c>
      <c r="R19" s="246"/>
      <c r="S19" s="246"/>
      <c r="T19" s="246"/>
      <c r="U19" s="53">
        <f t="shared" si="1"/>
        <v>87.143770000000004</v>
      </c>
      <c r="W19" s="151">
        <v>46036</v>
      </c>
      <c r="X19" s="152">
        <v>11876.69</v>
      </c>
      <c r="Y19" s="169"/>
      <c r="Z19" s="170">
        <v>4.34</v>
      </c>
      <c r="AA19" s="27"/>
      <c r="AB19" s="240">
        <v>54.979650000000007</v>
      </c>
      <c r="AC19" s="240"/>
      <c r="AD19" s="240"/>
      <c r="AE19" s="240"/>
      <c r="AF19" s="53">
        <f t="shared" si="2"/>
        <v>59.31965000000001</v>
      </c>
      <c r="AH19" s="151">
        <v>46036</v>
      </c>
      <c r="AI19" s="152">
        <v>4974.37</v>
      </c>
      <c r="AJ19" s="161">
        <v>886.76</v>
      </c>
      <c r="AK19" s="158">
        <v>0</v>
      </c>
      <c r="AL19" s="27"/>
      <c r="AM19" s="32">
        <v>904.8370299999998</v>
      </c>
      <c r="AN19" s="32"/>
      <c r="AO19" s="42">
        <v>48.249564022857157</v>
      </c>
      <c r="AP19" s="52"/>
      <c r="AQ19" s="53">
        <f t="shared" si="3"/>
        <v>953.08659402285696</v>
      </c>
      <c r="AS19" s="151">
        <v>46036</v>
      </c>
      <c r="AT19" s="152">
        <v>13251.94</v>
      </c>
      <c r="AU19" s="152">
        <v>1153.3399999999999</v>
      </c>
      <c r="AV19" s="152">
        <v>4653.47</v>
      </c>
      <c r="AW19" s="178"/>
      <c r="AX19" s="27"/>
      <c r="AY19" s="32">
        <v>2.9172000000000082</v>
      </c>
      <c r="AZ19" s="53">
        <v>0</v>
      </c>
      <c r="BA19" s="52"/>
      <c r="BB19" s="53">
        <f t="shared" si="4"/>
        <v>2.9172000000000082</v>
      </c>
      <c r="BD19" s="151">
        <v>46036</v>
      </c>
      <c r="BE19" s="159">
        <v>764</v>
      </c>
      <c r="BF19" s="161">
        <v>978.23</v>
      </c>
      <c r="BG19" s="162"/>
      <c r="BH19" s="158">
        <v>10.78</v>
      </c>
      <c r="BI19" s="27"/>
      <c r="BJ19" s="51"/>
      <c r="BK19" s="42"/>
      <c r="BL19" s="44"/>
      <c r="BM19" s="53">
        <f t="shared" si="13"/>
        <v>10.78</v>
      </c>
      <c r="BO19" s="151">
        <v>46036</v>
      </c>
      <c r="BP19" s="159">
        <v>432.25</v>
      </c>
      <c r="BQ19" s="161">
        <v>479.6</v>
      </c>
      <c r="BR19" s="158">
        <v>0.53</v>
      </c>
      <c r="BS19" s="163">
        <v>35.979999999999997</v>
      </c>
      <c r="BT19" s="27"/>
      <c r="BU19" s="32">
        <v>125.09758800000006</v>
      </c>
      <c r="BV19" s="42">
        <v>1360.5168635916189</v>
      </c>
      <c r="BW19" s="42"/>
      <c r="BX19" s="52">
        <v>377.41428571428571</v>
      </c>
      <c r="BY19" s="345">
        <f t="shared" si="5"/>
        <v>1899.0087373059046</v>
      </c>
      <c r="CA19" s="151">
        <v>46036</v>
      </c>
      <c r="CB19" s="152">
        <v>3268.49</v>
      </c>
      <c r="CC19" s="159">
        <v>704.71</v>
      </c>
      <c r="CD19" s="177"/>
      <c r="CE19" s="27"/>
      <c r="CF19" s="32">
        <v>242.36645999999999</v>
      </c>
      <c r="CG19" s="42">
        <v>27.047670508571457</v>
      </c>
      <c r="CH19" s="44"/>
      <c r="CI19" s="53">
        <f t="shared" si="6"/>
        <v>269.41413050857147</v>
      </c>
      <c r="CK19" s="151">
        <v>46036</v>
      </c>
      <c r="CL19" s="152">
        <v>3317.32</v>
      </c>
      <c r="CM19" s="161">
        <v>345.89</v>
      </c>
      <c r="CN19" s="158">
        <v>441.6</v>
      </c>
      <c r="CO19" s="27"/>
      <c r="CP19" s="51"/>
      <c r="CQ19" s="33">
        <v>434.52302419428571</v>
      </c>
      <c r="CR19" s="52"/>
      <c r="CS19" s="53">
        <f t="shared" si="7"/>
        <v>876.12302419428579</v>
      </c>
      <c r="CU19" s="151">
        <v>46036</v>
      </c>
      <c r="CV19" s="152">
        <v>1074.77</v>
      </c>
      <c r="CW19" s="159">
        <v>570.4</v>
      </c>
      <c r="CY19" s="158">
        <v>82.14</v>
      </c>
      <c r="CZ19" s="27"/>
      <c r="DA19" s="32">
        <v>68.12943999999996</v>
      </c>
      <c r="DB19" s="33"/>
      <c r="DC19" s="44"/>
      <c r="DD19" s="53">
        <f t="shared" si="14"/>
        <v>150.26943999999997</v>
      </c>
      <c r="DF19" s="151">
        <v>46036</v>
      </c>
      <c r="DG19" s="152">
        <v>1091.47</v>
      </c>
      <c r="DH19" s="161">
        <v>284.76</v>
      </c>
      <c r="DI19" s="162"/>
      <c r="DJ19" s="27"/>
      <c r="DK19" s="32">
        <v>162.12075000000002</v>
      </c>
      <c r="DL19" s="42"/>
      <c r="DM19" s="44"/>
      <c r="DN19" s="53">
        <f t="shared" si="8"/>
        <v>162.12075000000002</v>
      </c>
      <c r="DP19" s="151">
        <v>46036</v>
      </c>
      <c r="DQ19" s="159">
        <v>904.65</v>
      </c>
      <c r="DR19" s="173"/>
      <c r="DS19" s="27"/>
      <c r="DT19" s="32"/>
      <c r="DU19" s="52"/>
      <c r="DV19" s="52"/>
      <c r="DW19" s="53">
        <f t="shared" si="9"/>
        <v>0</v>
      </c>
      <c r="DY19" s="151">
        <v>46036</v>
      </c>
      <c r="DZ19" s="159">
        <v>50.5</v>
      </c>
      <c r="EA19" s="174"/>
      <c r="EB19" s="27"/>
      <c r="EC19" s="51"/>
      <c r="ED19" s="52"/>
      <c r="EE19" s="52"/>
      <c r="EF19" s="53">
        <f t="shared" si="10"/>
        <v>0</v>
      </c>
      <c r="EH19" s="151">
        <v>46036</v>
      </c>
      <c r="EI19" s="161">
        <v>1765.62</v>
      </c>
      <c r="EJ19" s="176">
        <v>55</v>
      </c>
      <c r="EK19" s="27"/>
      <c r="EL19" s="51"/>
      <c r="EM19" s="52"/>
      <c r="EN19" s="52"/>
      <c r="EO19" s="53">
        <f t="shared" si="11"/>
        <v>55</v>
      </c>
      <c r="EQ19" s="151">
        <v>46036</v>
      </c>
      <c r="ER19" s="152">
        <v>1506.91</v>
      </c>
      <c r="ES19" s="173"/>
      <c r="ET19" s="27"/>
      <c r="EU19" s="32">
        <v>8.3612969999999969</v>
      </c>
      <c r="EV19" s="52"/>
      <c r="EW19" s="52"/>
      <c r="EX19" s="53">
        <f t="shared" si="12"/>
        <v>8.3612969999999969</v>
      </c>
    </row>
    <row r="20" spans="2:154" ht="15.75" hidden="1" x14ac:dyDescent="0.25">
      <c r="B20" s="151">
        <v>46037</v>
      </c>
      <c r="C20" s="152">
        <v>2684</v>
      </c>
      <c r="D20" s="152">
        <v>1110.8699999999999</v>
      </c>
      <c r="E20" s="168"/>
      <c r="F20" s="27"/>
      <c r="G20" s="32">
        <v>752.10407999999961</v>
      </c>
      <c r="H20" s="33"/>
      <c r="I20" s="52"/>
      <c r="J20" s="53">
        <f t="shared" si="0"/>
        <v>752.10407999999961</v>
      </c>
      <c r="L20" s="151">
        <v>46037</v>
      </c>
      <c r="M20" s="152">
        <v>16107.84</v>
      </c>
      <c r="N20" s="154">
        <v>2154.21</v>
      </c>
      <c r="O20" s="158">
        <v>74.48</v>
      </c>
      <c r="P20" s="27"/>
      <c r="Q20" s="246">
        <v>26.819429999999997</v>
      </c>
      <c r="R20" s="246">
        <v>124.17673244190485</v>
      </c>
      <c r="S20" s="246"/>
      <c r="T20" s="246"/>
      <c r="U20" s="53">
        <f t="shared" si="1"/>
        <v>225.47616244190485</v>
      </c>
      <c r="W20" s="151">
        <v>46037</v>
      </c>
      <c r="X20" s="152">
        <v>14929.88</v>
      </c>
      <c r="Y20" s="169"/>
      <c r="Z20" s="170">
        <v>1.81</v>
      </c>
      <c r="AA20" s="27"/>
      <c r="AB20" s="240">
        <v>119.41600000000003</v>
      </c>
      <c r="AC20" s="240"/>
      <c r="AD20" s="240"/>
      <c r="AE20" s="240"/>
      <c r="AF20" s="53">
        <f t="shared" si="2"/>
        <v>121.22600000000003</v>
      </c>
      <c r="AH20" s="151">
        <v>46037</v>
      </c>
      <c r="AI20" s="152">
        <v>3983.9</v>
      </c>
      <c r="AJ20" s="161">
        <v>564.1</v>
      </c>
      <c r="AK20" s="158">
        <v>3.23</v>
      </c>
      <c r="AL20" s="27"/>
      <c r="AM20" s="32">
        <v>35.066400000000002</v>
      </c>
      <c r="AN20" s="32"/>
      <c r="AO20" s="42">
        <v>159.62716112571434</v>
      </c>
      <c r="AP20" s="52"/>
      <c r="AQ20" s="53">
        <f t="shared" si="3"/>
        <v>197.92356112571434</v>
      </c>
      <c r="AS20" s="151">
        <v>46037</v>
      </c>
      <c r="AT20" s="152">
        <v>14594.88</v>
      </c>
      <c r="AU20" s="152">
        <v>1050.08</v>
      </c>
      <c r="AV20" s="152">
        <v>4113.5200000000004</v>
      </c>
      <c r="AW20" s="171"/>
      <c r="AX20" s="27"/>
      <c r="AY20" s="32">
        <v>2.0630999999999968</v>
      </c>
      <c r="AZ20" s="53">
        <v>241.8223815862857</v>
      </c>
      <c r="BA20" s="52"/>
      <c r="BB20" s="53">
        <f t="shared" si="4"/>
        <v>243.88548158628569</v>
      </c>
      <c r="BD20" s="151">
        <v>46037</v>
      </c>
      <c r="BE20" s="152">
        <v>1025.21</v>
      </c>
      <c r="BF20" s="161">
        <v>1182.6099999999999</v>
      </c>
      <c r="BG20" s="162"/>
      <c r="BH20" s="158">
        <v>63.33</v>
      </c>
      <c r="BI20" s="27"/>
      <c r="BJ20" s="51"/>
      <c r="BK20" s="42"/>
      <c r="BL20" s="44"/>
      <c r="BM20" s="53">
        <f t="shared" si="13"/>
        <v>63.33</v>
      </c>
      <c r="BO20" s="151">
        <v>46037</v>
      </c>
      <c r="BP20" s="159">
        <v>352.1</v>
      </c>
      <c r="BQ20" s="161">
        <v>494.58</v>
      </c>
      <c r="BR20" s="158">
        <v>2.2400000000000002</v>
      </c>
      <c r="BS20" s="163">
        <v>42.02</v>
      </c>
      <c r="BT20" s="27"/>
      <c r="BU20" s="32"/>
      <c r="BV20" s="42">
        <v>834.66627939657178</v>
      </c>
      <c r="BW20" s="42"/>
      <c r="BX20" s="52">
        <v>377.41428571428571</v>
      </c>
      <c r="BY20" s="345">
        <f t="shared" si="5"/>
        <v>1254.1005651108576</v>
      </c>
      <c r="CA20" s="151">
        <v>46037</v>
      </c>
      <c r="CB20" s="152">
        <v>4746.74</v>
      </c>
      <c r="CC20" s="159">
        <v>579.29999999999995</v>
      </c>
      <c r="CD20" s="177"/>
      <c r="CE20" s="27"/>
      <c r="CF20" s="32">
        <v>225.15769999999995</v>
      </c>
      <c r="CG20" s="42"/>
      <c r="CH20" s="44"/>
      <c r="CI20" s="53">
        <f t="shared" si="6"/>
        <v>225.15769999999995</v>
      </c>
      <c r="CK20" s="151">
        <v>46037</v>
      </c>
      <c r="CL20" s="152">
        <v>5844.92</v>
      </c>
      <c r="CM20" s="161">
        <v>284.08999999999997</v>
      </c>
      <c r="CN20" s="158">
        <v>292.13</v>
      </c>
      <c r="CO20" s="27"/>
      <c r="CP20" s="51"/>
      <c r="CQ20" s="33">
        <v>179.95491317523815</v>
      </c>
      <c r="CR20" s="52"/>
      <c r="CS20" s="53">
        <f t="shared" si="7"/>
        <v>472.08491317523817</v>
      </c>
      <c r="CU20" s="151">
        <v>46037</v>
      </c>
      <c r="CV20" s="159">
        <v>985.64</v>
      </c>
      <c r="CW20" s="159">
        <v>773.8</v>
      </c>
      <c r="CY20" s="158">
        <v>49.24</v>
      </c>
      <c r="CZ20" s="27"/>
      <c r="DA20" s="32">
        <v>16.361689999999982</v>
      </c>
      <c r="DB20" s="33"/>
      <c r="DC20" s="44"/>
      <c r="DD20" s="53">
        <f t="shared" si="14"/>
        <v>65.601689999999991</v>
      </c>
      <c r="DF20" s="151">
        <v>46037</v>
      </c>
      <c r="DG20" s="152">
        <v>1600.05</v>
      </c>
      <c r="DH20" s="161">
        <v>410.09</v>
      </c>
      <c r="DI20" s="176">
        <v>1.28</v>
      </c>
      <c r="DJ20" s="27"/>
      <c r="DK20" s="32">
        <v>410.09107999999986</v>
      </c>
      <c r="DL20" s="42"/>
      <c r="DM20" s="44"/>
      <c r="DN20" s="53">
        <f t="shared" si="8"/>
        <v>411.37107999999984</v>
      </c>
      <c r="DP20" s="151">
        <v>46037</v>
      </c>
      <c r="DQ20" s="159">
        <v>606.02</v>
      </c>
      <c r="DR20" s="173"/>
      <c r="DS20" s="27"/>
      <c r="DT20" s="32"/>
      <c r="DU20" s="52"/>
      <c r="DV20" s="52"/>
      <c r="DW20" s="53">
        <f t="shared" si="9"/>
        <v>0</v>
      </c>
      <c r="DY20" s="151">
        <v>46037</v>
      </c>
      <c r="DZ20" s="166">
        <v>106</v>
      </c>
      <c r="EA20" s="174"/>
      <c r="EB20" s="27"/>
      <c r="EC20" s="51"/>
      <c r="ED20" s="52"/>
      <c r="EE20" s="52"/>
      <c r="EF20" s="53">
        <f t="shared" si="10"/>
        <v>0</v>
      </c>
      <c r="EH20" s="151">
        <v>46037</v>
      </c>
      <c r="EI20" s="154">
        <v>2224.4</v>
      </c>
      <c r="EJ20" s="176">
        <v>60</v>
      </c>
      <c r="EK20" s="27"/>
      <c r="EL20" s="51"/>
      <c r="EM20" s="52"/>
      <c r="EN20" s="52"/>
      <c r="EO20" s="53">
        <f t="shared" si="11"/>
        <v>60</v>
      </c>
      <c r="EQ20" s="151">
        <v>46037</v>
      </c>
      <c r="ER20" s="159">
        <v>1899.72</v>
      </c>
      <c r="ES20" s="173"/>
      <c r="ET20" s="27"/>
      <c r="EU20" s="32">
        <v>15.829881000000004</v>
      </c>
      <c r="EV20" s="52"/>
      <c r="EW20" s="52"/>
      <c r="EX20" s="53">
        <f t="shared" si="12"/>
        <v>15.829881000000004</v>
      </c>
    </row>
    <row r="21" spans="2:154" ht="15.75" hidden="1" x14ac:dyDescent="0.25">
      <c r="B21" s="151">
        <v>46038</v>
      </c>
      <c r="C21" s="152">
        <v>2921.08</v>
      </c>
      <c r="D21" s="152">
        <v>1295.21</v>
      </c>
      <c r="E21" s="168"/>
      <c r="F21" s="27"/>
      <c r="G21" s="32">
        <v>472.13109999999983</v>
      </c>
      <c r="H21" s="33">
        <v>132.55908658285711</v>
      </c>
      <c r="I21" s="52"/>
      <c r="J21" s="53">
        <f t="shared" si="0"/>
        <v>604.690186582857</v>
      </c>
      <c r="L21" s="151">
        <v>46038</v>
      </c>
      <c r="M21" s="152">
        <v>16002.6</v>
      </c>
      <c r="N21" s="154">
        <v>2419.7399999999998</v>
      </c>
      <c r="O21" s="158">
        <v>78.67</v>
      </c>
      <c r="P21" s="27"/>
      <c r="Q21" s="246">
        <v>19.159129999999983</v>
      </c>
      <c r="R21" s="246"/>
      <c r="S21" s="246"/>
      <c r="T21" s="246">
        <v>86.369731999999914</v>
      </c>
      <c r="U21" s="53">
        <f t="shared" si="1"/>
        <v>184.19886199999991</v>
      </c>
      <c r="W21" s="151">
        <v>46038</v>
      </c>
      <c r="X21" s="152">
        <v>20684.53</v>
      </c>
      <c r="Y21" s="169"/>
      <c r="Z21" s="170">
        <v>12.91</v>
      </c>
      <c r="AA21" s="27"/>
      <c r="AB21" s="240">
        <v>11.907560000000004</v>
      </c>
      <c r="AC21" s="240">
        <v>84.377321926095249</v>
      </c>
      <c r="AD21" s="240"/>
      <c r="AE21" s="240"/>
      <c r="AF21" s="53">
        <f t="shared" si="2"/>
        <v>109.19488192609525</v>
      </c>
      <c r="AH21" s="151">
        <v>46038</v>
      </c>
      <c r="AI21" s="152">
        <v>5441.69</v>
      </c>
      <c r="AJ21" s="161">
        <v>582.53</v>
      </c>
      <c r="AK21" s="162"/>
      <c r="AL21" s="27"/>
      <c r="AM21" s="32">
        <v>688.31163000000004</v>
      </c>
      <c r="AN21" s="32"/>
      <c r="AO21" s="42"/>
      <c r="AP21" s="52"/>
      <c r="AQ21" s="53">
        <f t="shared" si="3"/>
        <v>688.31163000000004</v>
      </c>
      <c r="AS21" s="151">
        <v>46038</v>
      </c>
      <c r="AT21" s="152">
        <v>16213.63</v>
      </c>
      <c r="AU21" s="152">
        <v>1227.02</v>
      </c>
      <c r="AV21" s="152">
        <v>4820.53</v>
      </c>
      <c r="AW21" s="171"/>
      <c r="AX21" s="27"/>
      <c r="AY21" s="32">
        <v>4.0595499999999873</v>
      </c>
      <c r="AZ21" s="53">
        <v>146.21716047238095</v>
      </c>
      <c r="BA21" s="52"/>
      <c r="BB21" s="53">
        <f t="shared" si="4"/>
        <v>150.27671047238096</v>
      </c>
      <c r="BD21" s="151">
        <v>46038</v>
      </c>
      <c r="BE21" s="159">
        <v>976.44</v>
      </c>
      <c r="BF21" s="161">
        <v>1287.7</v>
      </c>
      <c r="BG21" s="162"/>
      <c r="BH21" s="158">
        <v>42.77</v>
      </c>
      <c r="BI21" s="27"/>
      <c r="BJ21" s="51"/>
      <c r="BK21" s="42"/>
      <c r="BL21" s="44"/>
      <c r="BM21" s="53">
        <f t="shared" si="13"/>
        <v>42.77</v>
      </c>
      <c r="BO21" s="151">
        <v>46038</v>
      </c>
      <c r="BP21" s="159">
        <v>892.1</v>
      </c>
      <c r="BQ21" s="161">
        <v>458.64</v>
      </c>
      <c r="BR21" s="158">
        <v>0.54</v>
      </c>
      <c r="BS21" s="163">
        <v>95.56</v>
      </c>
      <c r="BT21" s="27"/>
      <c r="BU21" s="32"/>
      <c r="BV21" s="42">
        <v>879.73748657219107</v>
      </c>
      <c r="BW21" s="42"/>
      <c r="BX21" s="52">
        <v>377.41428571428571</v>
      </c>
      <c r="BY21" s="345">
        <f t="shared" si="5"/>
        <v>1352.7117722864768</v>
      </c>
      <c r="CA21" s="151">
        <v>46038</v>
      </c>
      <c r="CB21" s="152">
        <v>4172.71</v>
      </c>
      <c r="CC21" s="159">
        <v>1045.0999999999999</v>
      </c>
      <c r="CD21" s="179"/>
      <c r="CE21" s="27"/>
      <c r="CF21" s="32">
        <v>20.476500000000001</v>
      </c>
      <c r="CG21" s="42"/>
      <c r="CH21" s="44"/>
      <c r="CI21" s="53">
        <f t="shared" si="6"/>
        <v>20.476500000000001</v>
      </c>
      <c r="CK21" s="151">
        <v>46038</v>
      </c>
      <c r="CL21" s="152">
        <v>3287.17</v>
      </c>
      <c r="CM21" s="161">
        <v>211.06</v>
      </c>
      <c r="CN21" s="158">
        <v>230.69</v>
      </c>
      <c r="CO21" s="27"/>
      <c r="CP21" s="51"/>
      <c r="CQ21" s="33">
        <v>55.724666862857163</v>
      </c>
      <c r="CR21" s="52"/>
      <c r="CS21" s="53">
        <f t="shared" si="7"/>
        <v>286.41466686285719</v>
      </c>
      <c r="CU21" s="151">
        <v>46038</v>
      </c>
      <c r="CV21" s="159">
        <v>864.84</v>
      </c>
      <c r="CW21" s="159">
        <v>610.4</v>
      </c>
      <c r="CY21" s="162"/>
      <c r="CZ21" s="27"/>
      <c r="DA21" s="32">
        <v>40.66817999999995</v>
      </c>
      <c r="DB21" s="33">
        <v>50.388696718095176</v>
      </c>
      <c r="DC21" s="44"/>
      <c r="DD21" s="53">
        <f t="shared" si="14"/>
        <v>91.056876718095126</v>
      </c>
      <c r="DF21" s="151">
        <v>46038</v>
      </c>
      <c r="DG21" s="159">
        <v>940.33</v>
      </c>
      <c r="DH21" s="161">
        <v>359.25</v>
      </c>
      <c r="DI21" s="162"/>
      <c r="DJ21" s="27"/>
      <c r="DK21" s="32">
        <v>338.32043999999985</v>
      </c>
      <c r="DL21" s="42">
        <v>41.08151892952381</v>
      </c>
      <c r="DM21" s="44">
        <v>42.471232199999974</v>
      </c>
      <c r="DN21" s="53">
        <f t="shared" si="8"/>
        <v>421.8731911295236</v>
      </c>
      <c r="DP21" s="151">
        <v>46038</v>
      </c>
      <c r="DQ21" s="159">
        <v>449.59</v>
      </c>
      <c r="DR21" s="173"/>
      <c r="DS21" s="27"/>
      <c r="DT21" s="32"/>
      <c r="DU21" s="52"/>
      <c r="DV21" s="52"/>
      <c r="DW21" s="53">
        <f t="shared" si="9"/>
        <v>0</v>
      </c>
      <c r="DY21" s="151">
        <v>46038</v>
      </c>
      <c r="DZ21" s="159">
        <v>590.51</v>
      </c>
      <c r="EA21" s="174"/>
      <c r="EB21" s="27"/>
      <c r="EC21" s="51"/>
      <c r="ED21" s="52"/>
      <c r="EE21" s="52"/>
      <c r="EF21" s="53">
        <f t="shared" si="10"/>
        <v>0</v>
      </c>
      <c r="EH21" s="151">
        <v>46038</v>
      </c>
      <c r="EI21" s="161">
        <v>992.2</v>
      </c>
      <c r="EJ21" s="162"/>
      <c r="EK21" s="27"/>
      <c r="EL21" s="51"/>
      <c r="EM21" s="52"/>
      <c r="EN21" s="52"/>
      <c r="EO21" s="53">
        <f t="shared" si="11"/>
        <v>0</v>
      </c>
      <c r="EQ21" s="151">
        <v>46038</v>
      </c>
      <c r="ER21" s="152">
        <v>1757.7</v>
      </c>
      <c r="ES21" s="173"/>
      <c r="ET21" s="27"/>
      <c r="EU21" s="32">
        <v>2.197538999999999</v>
      </c>
      <c r="EV21" s="52"/>
      <c r="EW21" s="52"/>
      <c r="EX21" s="53">
        <f t="shared" si="12"/>
        <v>2.197538999999999</v>
      </c>
    </row>
    <row r="22" spans="2:154" ht="15.75" hidden="1" x14ac:dyDescent="0.25">
      <c r="B22" s="151">
        <v>46039</v>
      </c>
      <c r="C22" s="152">
        <v>2869.97</v>
      </c>
      <c r="D22" s="152">
        <v>1757.98</v>
      </c>
      <c r="E22" s="168"/>
      <c r="F22" s="27"/>
      <c r="G22" s="32">
        <v>747.28891999999973</v>
      </c>
      <c r="H22" s="33">
        <v>18.128569904761903</v>
      </c>
      <c r="I22" s="52"/>
      <c r="J22" s="53">
        <f t="shared" si="0"/>
        <v>765.41748990476162</v>
      </c>
      <c r="L22" s="151">
        <v>46039</v>
      </c>
      <c r="M22" s="152">
        <v>20967.55</v>
      </c>
      <c r="N22" s="154">
        <v>2282.88</v>
      </c>
      <c r="O22" s="158">
        <v>50.6</v>
      </c>
      <c r="P22" s="27"/>
      <c r="Q22" s="246"/>
      <c r="R22" s="246"/>
      <c r="S22" s="246"/>
      <c r="T22" s="246"/>
      <c r="U22" s="53">
        <f t="shared" si="1"/>
        <v>50.6</v>
      </c>
      <c r="W22" s="151">
        <v>46039</v>
      </c>
      <c r="X22" s="152">
        <v>26562.49</v>
      </c>
      <c r="Y22" s="169"/>
      <c r="Z22" s="170">
        <v>3.63</v>
      </c>
      <c r="AA22" s="27"/>
      <c r="AB22" s="240"/>
      <c r="AC22" s="240">
        <v>34.469694979047603</v>
      </c>
      <c r="AD22" s="240"/>
      <c r="AE22" s="240"/>
      <c r="AF22" s="53">
        <f t="shared" si="2"/>
        <v>38.099694979047605</v>
      </c>
      <c r="AH22" s="151">
        <v>46039</v>
      </c>
      <c r="AI22" s="152">
        <v>4832.3900000000003</v>
      </c>
      <c r="AJ22" s="154">
        <v>1054.78</v>
      </c>
      <c r="AK22" s="162"/>
      <c r="AL22" s="27"/>
      <c r="AM22" s="32">
        <v>508.25973000000022</v>
      </c>
      <c r="AN22" s="32"/>
      <c r="AO22" s="42"/>
      <c r="AP22" s="52"/>
      <c r="AQ22" s="53">
        <f t="shared" si="3"/>
        <v>508.25973000000022</v>
      </c>
      <c r="AS22" s="151">
        <v>46039</v>
      </c>
      <c r="AT22" s="152">
        <v>15645</v>
      </c>
      <c r="AU22" s="152">
        <v>1278.21</v>
      </c>
      <c r="AV22" s="152">
        <v>5087.45</v>
      </c>
      <c r="AW22" s="171"/>
      <c r="AX22" s="27"/>
      <c r="AY22" s="32">
        <v>2.2967400000000016</v>
      </c>
      <c r="AZ22" s="53">
        <v>90.93085572876187</v>
      </c>
      <c r="BA22" s="52"/>
      <c r="BB22" s="53">
        <f t="shared" si="4"/>
        <v>93.22759572876187</v>
      </c>
      <c r="BD22" s="151">
        <v>46039</v>
      </c>
      <c r="BE22" s="152">
        <v>1040.6500000000001</v>
      </c>
      <c r="BF22" s="161">
        <v>1178.73</v>
      </c>
      <c r="BG22" s="158">
        <v>0.64</v>
      </c>
      <c r="BH22" s="158">
        <v>4.57</v>
      </c>
      <c r="BI22" s="27"/>
      <c r="BJ22" s="51"/>
      <c r="BK22" s="42"/>
      <c r="BL22" s="44"/>
      <c r="BM22" s="53">
        <f t="shared" si="13"/>
        <v>4.57</v>
      </c>
      <c r="BO22" s="151">
        <v>46039</v>
      </c>
      <c r="BP22" s="159">
        <v>1312.93</v>
      </c>
      <c r="BQ22" s="161">
        <v>722.03</v>
      </c>
      <c r="BR22" s="158">
        <v>0.86</v>
      </c>
      <c r="BS22" s="163">
        <v>46.92</v>
      </c>
      <c r="BT22" s="27"/>
      <c r="BU22" s="32">
        <v>10.001840000000001</v>
      </c>
      <c r="BV22" s="42">
        <v>1342.7438690636193</v>
      </c>
      <c r="BW22" s="42"/>
      <c r="BX22" s="52">
        <v>377.41428571428571</v>
      </c>
      <c r="BY22" s="345">
        <f t="shared" si="5"/>
        <v>1777.0799947779051</v>
      </c>
      <c r="CA22" s="151">
        <v>46039</v>
      </c>
      <c r="CB22" s="152">
        <v>3204.5</v>
      </c>
      <c r="CC22" s="159">
        <v>889.87</v>
      </c>
      <c r="CD22" s="179"/>
      <c r="CE22" s="27"/>
      <c r="CF22" s="32">
        <v>45.12815999999998</v>
      </c>
      <c r="CG22" s="42"/>
      <c r="CH22" s="44"/>
      <c r="CI22" s="53">
        <f t="shared" si="6"/>
        <v>45.12815999999998</v>
      </c>
      <c r="CK22" s="151">
        <v>46039</v>
      </c>
      <c r="CL22" s="152">
        <v>3470.21</v>
      </c>
      <c r="CM22" s="161">
        <v>194.59</v>
      </c>
      <c r="CN22" s="158">
        <v>350.51</v>
      </c>
      <c r="CO22" s="27"/>
      <c r="CP22" s="51"/>
      <c r="CQ22" s="33">
        <v>185.35403663428565</v>
      </c>
      <c r="CR22" s="52"/>
      <c r="CS22" s="53">
        <f t="shared" si="7"/>
        <v>535.86403663428564</v>
      </c>
      <c r="CU22" s="151">
        <v>46039</v>
      </c>
      <c r="CV22" s="159">
        <v>137.54</v>
      </c>
      <c r="CW22" s="159">
        <v>616</v>
      </c>
      <c r="CY22" s="158">
        <v>5.12</v>
      </c>
      <c r="CZ22" s="27"/>
      <c r="DA22" s="32">
        <v>33.413249999999948</v>
      </c>
      <c r="DB22" s="33"/>
      <c r="DC22" s="44"/>
      <c r="DD22" s="53">
        <f t="shared" si="14"/>
        <v>38.533249999999946</v>
      </c>
      <c r="DF22" s="151">
        <v>46039</v>
      </c>
      <c r="DG22" s="152">
        <v>1289.99</v>
      </c>
      <c r="DH22" s="161">
        <v>666.96</v>
      </c>
      <c r="DI22" s="162"/>
      <c r="DJ22" s="27"/>
      <c r="DK22" s="32">
        <v>171.33139999999995</v>
      </c>
      <c r="DL22" s="42"/>
      <c r="DM22" s="44"/>
      <c r="DN22" s="53">
        <f t="shared" si="8"/>
        <v>171.33139999999995</v>
      </c>
      <c r="DP22" s="151">
        <v>46039</v>
      </c>
      <c r="DQ22" s="159">
        <v>530.04</v>
      </c>
      <c r="DR22" s="173"/>
      <c r="DS22" s="27"/>
      <c r="DT22" s="32"/>
      <c r="DU22" s="52"/>
      <c r="DV22" s="52"/>
      <c r="DW22" s="53">
        <f t="shared" si="9"/>
        <v>0</v>
      </c>
      <c r="DY22" s="151">
        <v>46039</v>
      </c>
      <c r="DZ22" s="166">
        <v>410</v>
      </c>
      <c r="EA22" s="174"/>
      <c r="EB22" s="27"/>
      <c r="EC22" s="51"/>
      <c r="ED22" s="52"/>
      <c r="EE22" s="52"/>
      <c r="EF22" s="53">
        <f t="shared" si="10"/>
        <v>0</v>
      </c>
      <c r="EH22" s="151">
        <v>46039</v>
      </c>
      <c r="EI22" s="161">
        <v>2966.5</v>
      </c>
      <c r="EJ22" s="176">
        <v>30</v>
      </c>
      <c r="EK22" s="27"/>
      <c r="EL22" s="51"/>
      <c r="EM22" s="52"/>
      <c r="EN22" s="52"/>
      <c r="EO22" s="53">
        <f t="shared" si="11"/>
        <v>30</v>
      </c>
      <c r="EQ22" s="151">
        <v>46039</v>
      </c>
      <c r="ER22" s="152">
        <v>1704.23</v>
      </c>
      <c r="ES22" s="173"/>
      <c r="ET22" s="27"/>
      <c r="EU22" s="32">
        <v>148.887438</v>
      </c>
      <c r="EV22" s="52"/>
      <c r="EW22" s="52"/>
      <c r="EX22" s="53">
        <f t="shared" si="12"/>
        <v>148.887438</v>
      </c>
    </row>
    <row r="23" spans="2:154" ht="15.75" hidden="1" x14ac:dyDescent="0.25">
      <c r="B23" s="151">
        <v>46040</v>
      </c>
      <c r="C23" s="152">
        <v>2367.9699999999998</v>
      </c>
      <c r="D23" s="152">
        <v>1648.73</v>
      </c>
      <c r="E23" s="168"/>
      <c r="F23" s="27"/>
      <c r="G23" s="32">
        <v>187.67363999999992</v>
      </c>
      <c r="H23" s="33"/>
      <c r="I23" s="52"/>
      <c r="J23" s="53">
        <f t="shared" si="0"/>
        <v>187.67363999999992</v>
      </c>
      <c r="L23" s="151">
        <v>46040</v>
      </c>
      <c r="M23" s="152">
        <v>13229.67</v>
      </c>
      <c r="N23" s="154">
        <v>1929.15</v>
      </c>
      <c r="O23" s="158">
        <v>23.22</v>
      </c>
      <c r="P23" s="27"/>
      <c r="Q23" s="246"/>
      <c r="R23" s="246">
        <v>100.29478480000012</v>
      </c>
      <c r="S23" s="246"/>
      <c r="T23" s="246"/>
      <c r="U23" s="53">
        <f t="shared" si="1"/>
        <v>123.51478480000011</v>
      </c>
      <c r="W23" s="151">
        <v>46040</v>
      </c>
      <c r="X23" s="152">
        <v>30715.75</v>
      </c>
      <c r="Y23" s="169"/>
      <c r="Z23" s="170">
        <v>0</v>
      </c>
      <c r="AA23" s="27"/>
      <c r="AB23" s="240">
        <v>26.091659999999997</v>
      </c>
      <c r="AC23" s="240"/>
      <c r="AD23" s="240"/>
      <c r="AE23" s="240"/>
      <c r="AF23" s="53">
        <f t="shared" si="2"/>
        <v>26.091659999999997</v>
      </c>
      <c r="AH23" s="151">
        <v>46040</v>
      </c>
      <c r="AI23" s="152">
        <v>4396.68</v>
      </c>
      <c r="AJ23" s="161">
        <v>912.47</v>
      </c>
      <c r="AK23" s="162"/>
      <c r="AL23" s="27"/>
      <c r="AM23" s="32">
        <v>144.82768000000004</v>
      </c>
      <c r="AN23" s="32"/>
      <c r="AO23" s="42"/>
      <c r="AP23" s="52"/>
      <c r="AQ23" s="53">
        <f t="shared" si="3"/>
        <v>144.82768000000004</v>
      </c>
      <c r="AS23" s="151">
        <v>46040</v>
      </c>
      <c r="AT23" s="152">
        <v>11783.54</v>
      </c>
      <c r="AU23" s="159">
        <v>866.62</v>
      </c>
      <c r="AV23" s="152">
        <v>2846.15</v>
      </c>
      <c r="AW23" s="171"/>
      <c r="AX23" s="27"/>
      <c r="AY23" s="32">
        <v>8.2276799999999923</v>
      </c>
      <c r="AZ23" s="53"/>
      <c r="BA23" s="52"/>
      <c r="BB23" s="53">
        <f t="shared" si="4"/>
        <v>8.2276799999999923</v>
      </c>
      <c r="BD23" s="151">
        <v>46040</v>
      </c>
      <c r="BE23" s="152">
        <v>1108.3900000000001</v>
      </c>
      <c r="BF23" s="161">
        <v>1209.96</v>
      </c>
      <c r="BG23" s="158">
        <v>0</v>
      </c>
      <c r="BH23" s="158">
        <v>5.98</v>
      </c>
      <c r="BI23" s="27"/>
      <c r="BJ23" s="51"/>
      <c r="BK23" s="42"/>
      <c r="BL23" s="44"/>
      <c r="BM23" s="53">
        <f t="shared" si="13"/>
        <v>5.98</v>
      </c>
      <c r="BO23" s="151">
        <v>46040</v>
      </c>
      <c r="BP23" s="152">
        <v>1002.58</v>
      </c>
      <c r="BQ23" s="161">
        <v>691.26</v>
      </c>
      <c r="BR23" s="158">
        <v>1.4</v>
      </c>
      <c r="BS23" s="163">
        <v>84.95</v>
      </c>
      <c r="BT23" s="27"/>
      <c r="BU23" s="32">
        <v>11.402668000000006</v>
      </c>
      <c r="BV23" s="42">
        <v>716.29958070400039</v>
      </c>
      <c r="BW23" s="42"/>
      <c r="BX23" s="52">
        <v>377.41428571428571</v>
      </c>
      <c r="BY23" s="345">
        <f t="shared" si="5"/>
        <v>1190.0665344182862</v>
      </c>
      <c r="CA23" s="151">
        <v>46040</v>
      </c>
      <c r="CB23" s="152">
        <v>3459.6</v>
      </c>
      <c r="CC23" s="159">
        <v>952.61</v>
      </c>
      <c r="CD23" s="177"/>
      <c r="CE23" s="27"/>
      <c r="CF23" s="32">
        <v>28.187039999999975</v>
      </c>
      <c r="CG23" s="42"/>
      <c r="CH23" s="44"/>
      <c r="CI23" s="53">
        <f t="shared" si="6"/>
        <v>28.187039999999975</v>
      </c>
      <c r="CK23" s="151">
        <v>46040</v>
      </c>
      <c r="CL23" s="152">
        <v>2939.53</v>
      </c>
      <c r="CM23" s="161">
        <v>408.39</v>
      </c>
      <c r="CN23" s="158">
        <v>317.10000000000002</v>
      </c>
      <c r="CO23" s="27"/>
      <c r="CP23" s="51"/>
      <c r="CQ23" s="33"/>
      <c r="CR23" s="52"/>
      <c r="CS23" s="53">
        <f t="shared" si="7"/>
        <v>317.10000000000002</v>
      </c>
      <c r="CU23" s="151">
        <v>46040</v>
      </c>
      <c r="CV23" s="159">
        <v>845.76</v>
      </c>
      <c r="CW23" s="159">
        <v>913.6</v>
      </c>
      <c r="CY23" s="158">
        <v>70.180000000000007</v>
      </c>
      <c r="CZ23" s="27"/>
      <c r="DA23" s="32">
        <v>22.832759999999979</v>
      </c>
      <c r="DB23" s="33"/>
      <c r="DC23" s="44"/>
      <c r="DD23" s="53">
        <f t="shared" si="14"/>
        <v>93.012759999999986</v>
      </c>
      <c r="DF23" s="151">
        <v>46040</v>
      </c>
      <c r="DG23" s="159">
        <v>978.42</v>
      </c>
      <c r="DH23" s="161">
        <v>455.51</v>
      </c>
      <c r="DI23" s="162"/>
      <c r="DJ23" s="27"/>
      <c r="DK23" s="32">
        <v>83.50564</v>
      </c>
      <c r="DL23" s="42"/>
      <c r="DM23" s="44"/>
      <c r="DN23" s="53">
        <f t="shared" si="8"/>
        <v>83.50564</v>
      </c>
      <c r="DP23" s="151">
        <v>46040</v>
      </c>
      <c r="DQ23" s="159">
        <v>650.01</v>
      </c>
      <c r="DR23" s="173">
        <v>27</v>
      </c>
      <c r="DS23" s="27"/>
      <c r="DT23" s="32"/>
      <c r="DU23" s="52"/>
      <c r="DV23" s="52"/>
      <c r="DW23" s="53">
        <f t="shared" si="9"/>
        <v>27</v>
      </c>
      <c r="DY23" s="151">
        <v>46040</v>
      </c>
      <c r="DZ23" s="159">
        <v>319.8</v>
      </c>
      <c r="EA23" s="174"/>
      <c r="EB23" s="27"/>
      <c r="EC23" s="51"/>
      <c r="ED23" s="52"/>
      <c r="EE23" s="52"/>
      <c r="EF23" s="53">
        <f t="shared" si="10"/>
        <v>0</v>
      </c>
      <c r="EH23" s="151">
        <v>46040</v>
      </c>
      <c r="EI23" s="154">
        <v>2061.9</v>
      </c>
      <c r="EJ23" s="162"/>
      <c r="EK23" s="27"/>
      <c r="EL23" s="51"/>
      <c r="EM23" s="52"/>
      <c r="EN23" s="52"/>
      <c r="EO23" s="53">
        <f t="shared" si="11"/>
        <v>0</v>
      </c>
      <c r="EQ23" s="151">
        <v>46040</v>
      </c>
      <c r="ER23" s="159">
        <v>966.09</v>
      </c>
      <c r="ES23" s="173"/>
      <c r="ET23" s="27"/>
      <c r="EU23" s="32">
        <v>14.255144999999999</v>
      </c>
      <c r="EV23" s="52"/>
      <c r="EW23" s="52"/>
      <c r="EX23" s="53">
        <f t="shared" si="12"/>
        <v>14.255144999999999</v>
      </c>
    </row>
    <row r="24" spans="2:154" ht="15.75" hidden="1" x14ac:dyDescent="0.25">
      <c r="B24" s="151">
        <v>46041</v>
      </c>
      <c r="C24" s="152">
        <v>4919.3900000000003</v>
      </c>
      <c r="D24" s="159">
        <v>877.16</v>
      </c>
      <c r="E24" s="168"/>
      <c r="F24" s="27"/>
      <c r="G24" s="32">
        <v>902.96219999999971</v>
      </c>
      <c r="H24" s="33"/>
      <c r="I24" s="52"/>
      <c r="J24" s="53">
        <f t="shared" si="0"/>
        <v>902.96219999999971</v>
      </c>
      <c r="L24" s="151">
        <v>46041</v>
      </c>
      <c r="M24" s="152">
        <v>13257.54</v>
      </c>
      <c r="N24" s="154">
        <v>1947.36</v>
      </c>
      <c r="O24" s="158">
        <v>62.3</v>
      </c>
      <c r="P24" s="27"/>
      <c r="Q24" s="246">
        <v>29.849700000000013</v>
      </c>
      <c r="R24" s="246"/>
      <c r="S24" s="246"/>
      <c r="T24" s="246"/>
      <c r="U24" s="53">
        <f t="shared" si="1"/>
        <v>92.14970000000001</v>
      </c>
      <c r="W24" s="151">
        <v>46041</v>
      </c>
      <c r="X24" s="152">
        <v>20381.54</v>
      </c>
      <c r="Y24" s="169"/>
      <c r="Z24" s="170">
        <v>9.0299999999999994</v>
      </c>
      <c r="AA24" s="27"/>
      <c r="AB24" s="240">
        <v>6.9691799999999962</v>
      </c>
      <c r="AC24" s="240">
        <v>100.53159685180952</v>
      </c>
      <c r="AD24" s="240"/>
      <c r="AE24" s="240"/>
      <c r="AF24" s="53">
        <f t="shared" si="2"/>
        <v>116.53077685180952</v>
      </c>
      <c r="AH24" s="151">
        <v>46041</v>
      </c>
      <c r="AI24" s="152">
        <v>4192.58</v>
      </c>
      <c r="AJ24" s="161">
        <v>689.32</v>
      </c>
      <c r="AK24" s="162"/>
      <c r="AL24" s="27"/>
      <c r="AM24" s="32">
        <v>890.00592000000006</v>
      </c>
      <c r="AN24" s="32"/>
      <c r="AO24" s="42"/>
      <c r="AP24" s="52"/>
      <c r="AQ24" s="53">
        <f t="shared" si="3"/>
        <v>890.00592000000006</v>
      </c>
      <c r="AS24" s="151">
        <v>46041</v>
      </c>
      <c r="AT24" s="152">
        <v>14242.01</v>
      </c>
      <c r="AU24" s="159">
        <v>999.59</v>
      </c>
      <c r="AV24" s="152">
        <v>3395.4</v>
      </c>
      <c r="AW24" s="171"/>
      <c r="AX24" s="27"/>
      <c r="AY24" s="32">
        <v>1.0964100000000023</v>
      </c>
      <c r="AZ24" s="53">
        <v>191.19423656228568</v>
      </c>
      <c r="BA24" s="52"/>
      <c r="BB24" s="53">
        <f t="shared" si="4"/>
        <v>192.29064656228567</v>
      </c>
      <c r="BD24" s="151">
        <v>46041</v>
      </c>
      <c r="BE24" s="159">
        <v>945.19</v>
      </c>
      <c r="BF24" s="161">
        <v>1194</v>
      </c>
      <c r="BG24" s="158">
        <v>0.79</v>
      </c>
      <c r="BH24" s="158">
        <v>18.68</v>
      </c>
      <c r="BI24" s="27"/>
      <c r="BJ24" s="51"/>
      <c r="BK24" s="42"/>
      <c r="BL24" s="44"/>
      <c r="BM24" s="53">
        <f t="shared" si="13"/>
        <v>18.68</v>
      </c>
      <c r="BO24" s="151">
        <v>46041</v>
      </c>
      <c r="BP24" s="159">
        <v>659.76</v>
      </c>
      <c r="BQ24" s="161">
        <v>724.68</v>
      </c>
      <c r="BR24" s="158">
        <v>4</v>
      </c>
      <c r="BS24" s="163">
        <v>49</v>
      </c>
      <c r="BT24" s="27"/>
      <c r="BU24" s="32">
        <v>49.204688000000061</v>
      </c>
      <c r="BV24" s="42">
        <v>1192.6349900800003</v>
      </c>
      <c r="BW24" s="42"/>
      <c r="BX24" s="52"/>
      <c r="BY24" s="53">
        <f t="shared" si="5"/>
        <v>1290.8396780800003</v>
      </c>
      <c r="CA24" s="151">
        <v>46041</v>
      </c>
      <c r="CB24" s="152">
        <v>6716.08</v>
      </c>
      <c r="CC24" s="159">
        <v>705.97</v>
      </c>
      <c r="CD24" s="179"/>
      <c r="CE24" s="27"/>
      <c r="CF24" s="32">
        <v>136.42726999999996</v>
      </c>
      <c r="CG24" s="42"/>
      <c r="CH24" s="44"/>
      <c r="CI24" s="53">
        <f t="shared" si="6"/>
        <v>136.42726999999996</v>
      </c>
      <c r="CK24" s="151">
        <v>46041</v>
      </c>
      <c r="CL24" s="152">
        <v>5233.78</v>
      </c>
      <c r="CM24" s="161">
        <v>266.83</v>
      </c>
      <c r="CN24" s="158">
        <v>454.91</v>
      </c>
      <c r="CO24" s="27"/>
      <c r="CP24" s="51"/>
      <c r="CQ24" s="33">
        <v>65.511978320000026</v>
      </c>
      <c r="CR24" s="52"/>
      <c r="CS24" s="53">
        <f t="shared" si="7"/>
        <v>520.42197832000011</v>
      </c>
      <c r="CU24" s="151">
        <v>46041</v>
      </c>
      <c r="CV24" s="159">
        <v>653.89</v>
      </c>
      <c r="CW24" s="159">
        <v>377.9</v>
      </c>
      <c r="CY24" s="158">
        <v>17.77</v>
      </c>
      <c r="CZ24" s="27"/>
      <c r="DA24" s="32">
        <v>107.45771999999995</v>
      </c>
      <c r="DB24" s="33"/>
      <c r="DC24" s="44"/>
      <c r="DD24" s="53">
        <f t="shared" si="14"/>
        <v>125.22771999999995</v>
      </c>
      <c r="DF24" s="151">
        <v>46041</v>
      </c>
      <c r="DG24" s="159">
        <v>903.48</v>
      </c>
      <c r="DH24" s="161">
        <v>441.49</v>
      </c>
      <c r="DI24" s="162"/>
      <c r="DJ24" s="27"/>
      <c r="DK24" s="32">
        <v>526.09275999999988</v>
      </c>
      <c r="DL24" s="42"/>
      <c r="DM24" s="44"/>
      <c r="DN24" s="53">
        <f t="shared" si="8"/>
        <v>526.09275999999988</v>
      </c>
      <c r="DP24" s="151">
        <v>46041</v>
      </c>
      <c r="DQ24" s="159">
        <v>875.48</v>
      </c>
      <c r="DR24" s="173"/>
      <c r="DS24" s="27"/>
      <c r="DT24" s="32"/>
      <c r="DU24" s="52"/>
      <c r="DV24" s="52"/>
      <c r="DW24" s="53">
        <f t="shared" si="9"/>
        <v>0</v>
      </c>
      <c r="DY24" s="151">
        <v>46041</v>
      </c>
      <c r="DZ24" s="159">
        <v>0</v>
      </c>
      <c r="EA24" s="174"/>
      <c r="EB24" s="27"/>
      <c r="EC24" s="51"/>
      <c r="ED24" s="52"/>
      <c r="EE24" s="52"/>
      <c r="EF24" s="53">
        <f t="shared" si="10"/>
        <v>0</v>
      </c>
      <c r="EH24" s="151">
        <v>46041</v>
      </c>
      <c r="EI24" s="154">
        <v>1319.9</v>
      </c>
      <c r="EJ24" s="176">
        <v>75</v>
      </c>
      <c r="EK24" s="27"/>
      <c r="EL24" s="51"/>
      <c r="EM24" s="52"/>
      <c r="EN24" s="52"/>
      <c r="EO24" s="53">
        <f t="shared" si="11"/>
        <v>75</v>
      </c>
      <c r="EQ24" s="151">
        <v>46041</v>
      </c>
      <c r="ER24" s="152">
        <v>1092.6400000000001</v>
      </c>
      <c r="ES24" s="173"/>
      <c r="ET24" s="27"/>
      <c r="EU24" s="32">
        <v>78.509906999999956</v>
      </c>
      <c r="EV24" s="52"/>
      <c r="EW24" s="52"/>
      <c r="EX24" s="53">
        <f t="shared" si="12"/>
        <v>78.509906999999956</v>
      </c>
    </row>
    <row r="25" spans="2:154" ht="15.75" hidden="1" x14ac:dyDescent="0.25">
      <c r="B25" s="151">
        <v>46042</v>
      </c>
      <c r="C25" s="152">
        <v>2500.94</v>
      </c>
      <c r="D25" s="159">
        <v>804.13</v>
      </c>
      <c r="E25" s="168"/>
      <c r="F25" s="27"/>
      <c r="G25" s="32">
        <v>358.67589999999984</v>
      </c>
      <c r="H25" s="33">
        <v>670.07567388857137</v>
      </c>
      <c r="I25" s="52"/>
      <c r="J25" s="53">
        <f t="shared" si="0"/>
        <v>1028.7515738885713</v>
      </c>
      <c r="L25" s="151">
        <v>46042</v>
      </c>
      <c r="M25" s="152">
        <v>17494.150000000001</v>
      </c>
      <c r="N25" s="154">
        <v>2196.7199999999998</v>
      </c>
      <c r="O25" s="158">
        <v>51.6</v>
      </c>
      <c r="P25" s="27"/>
      <c r="Q25" s="246"/>
      <c r="R25" s="246">
        <v>147.23163990285718</v>
      </c>
      <c r="S25" s="246"/>
      <c r="T25" s="246"/>
      <c r="U25" s="53">
        <f t="shared" si="1"/>
        <v>198.83163990285718</v>
      </c>
      <c r="W25" s="151">
        <v>46042</v>
      </c>
      <c r="X25" s="152">
        <v>17240.71</v>
      </c>
      <c r="Y25" s="169"/>
      <c r="Z25" s="170">
        <v>5.81</v>
      </c>
      <c r="AA25" s="27"/>
      <c r="AB25" s="240">
        <v>41.489699999999985</v>
      </c>
      <c r="AC25" s="240">
        <v>124.61363400057137</v>
      </c>
      <c r="AD25" s="240"/>
      <c r="AE25" s="240">
        <v>12.41010799999998</v>
      </c>
      <c r="AF25" s="53">
        <f t="shared" si="2"/>
        <v>184.32344200057133</v>
      </c>
      <c r="AH25" s="151">
        <v>46042</v>
      </c>
      <c r="AI25" s="152">
        <v>7689.68</v>
      </c>
      <c r="AJ25" s="161">
        <v>659.04</v>
      </c>
      <c r="AK25" s="162"/>
      <c r="AL25" s="27"/>
      <c r="AM25" s="32">
        <v>849.27826000000005</v>
      </c>
      <c r="AN25" s="32"/>
      <c r="AO25" s="42"/>
      <c r="AP25" s="52"/>
      <c r="AQ25" s="53">
        <f t="shared" si="3"/>
        <v>849.27826000000005</v>
      </c>
      <c r="AS25" s="151">
        <v>46042</v>
      </c>
      <c r="AT25" s="152">
        <v>12729.59</v>
      </c>
      <c r="AU25" s="159">
        <v>919.49</v>
      </c>
      <c r="AV25" s="152">
        <v>3916.9</v>
      </c>
      <c r="AW25" s="171"/>
      <c r="AX25" s="27"/>
      <c r="AY25" s="32">
        <v>160.00081</v>
      </c>
      <c r="AZ25" s="53">
        <v>106.04130514457138</v>
      </c>
      <c r="BA25" s="52"/>
      <c r="BB25" s="53">
        <f t="shared" si="4"/>
        <v>266.04211514457137</v>
      </c>
      <c r="BD25" s="151">
        <v>46042</v>
      </c>
      <c r="BE25" s="152">
        <v>1058.6199999999999</v>
      </c>
      <c r="BF25" s="161">
        <v>1161.3900000000001</v>
      </c>
      <c r="BG25" s="158">
        <v>0.89</v>
      </c>
      <c r="BH25" s="158">
        <v>15.23</v>
      </c>
      <c r="BI25" s="27"/>
      <c r="BJ25" s="51"/>
      <c r="BK25" s="42"/>
      <c r="BL25" s="44"/>
      <c r="BM25" s="53">
        <f t="shared" si="13"/>
        <v>15.23</v>
      </c>
      <c r="BO25" s="151">
        <v>46042</v>
      </c>
      <c r="BP25" s="159">
        <v>513.29999999999995</v>
      </c>
      <c r="BQ25" s="161">
        <v>448.02</v>
      </c>
      <c r="BR25" s="158">
        <v>2.69</v>
      </c>
      <c r="BS25" s="163">
        <v>14.3</v>
      </c>
      <c r="BT25" s="27"/>
      <c r="BU25" s="32">
        <v>34.643740000000022</v>
      </c>
      <c r="BV25" s="42">
        <v>1365.795799230001</v>
      </c>
      <c r="BW25" s="42"/>
      <c r="BX25" s="52"/>
      <c r="BY25" s="53">
        <f t="shared" si="5"/>
        <v>1414.7395392300009</v>
      </c>
      <c r="CA25" s="151">
        <v>46042</v>
      </c>
      <c r="CB25" s="152">
        <v>3850.98</v>
      </c>
      <c r="CC25" s="159">
        <v>969.22</v>
      </c>
      <c r="CD25" s="177"/>
      <c r="CE25" s="27"/>
      <c r="CF25" s="32">
        <v>51.523710000000001</v>
      </c>
      <c r="CG25" s="42"/>
      <c r="CH25" s="44"/>
      <c r="CI25" s="53">
        <f t="shared" si="6"/>
        <v>51.523710000000001</v>
      </c>
      <c r="CK25" s="151">
        <v>46042</v>
      </c>
      <c r="CL25" s="152">
        <v>13140.47</v>
      </c>
      <c r="CM25" s="161">
        <v>210.64</v>
      </c>
      <c r="CN25" s="158">
        <v>779.81</v>
      </c>
      <c r="CO25" s="27"/>
      <c r="CP25" s="51"/>
      <c r="CQ25" s="33">
        <v>274.25363225142883</v>
      </c>
      <c r="CR25" s="52"/>
      <c r="CS25" s="53">
        <f t="shared" si="7"/>
        <v>1054.0636322514288</v>
      </c>
      <c r="CU25" s="151">
        <v>46042</v>
      </c>
      <c r="CV25" s="159">
        <v>643.53</v>
      </c>
      <c r="CW25" s="159">
        <v>548.20000000000005</v>
      </c>
      <c r="CY25" s="158">
        <v>14.02</v>
      </c>
      <c r="CZ25" s="27"/>
      <c r="DA25" s="32">
        <v>137.11584999999994</v>
      </c>
      <c r="DB25" s="33"/>
      <c r="DC25" s="44"/>
      <c r="DD25" s="53">
        <f t="shared" si="14"/>
        <v>151.13584999999995</v>
      </c>
      <c r="DF25" s="151">
        <v>46042</v>
      </c>
      <c r="DG25" s="152">
        <v>1121.53</v>
      </c>
      <c r="DH25" s="161">
        <v>154.41</v>
      </c>
      <c r="DI25" s="162"/>
      <c r="DJ25" s="27"/>
      <c r="DK25" s="32">
        <v>262.69707999999991</v>
      </c>
      <c r="DL25" s="42"/>
      <c r="DM25" s="44"/>
      <c r="DN25" s="53">
        <f t="shared" si="8"/>
        <v>262.69707999999991</v>
      </c>
      <c r="DP25" s="151">
        <v>46042</v>
      </c>
      <c r="DQ25" s="159">
        <v>846.01</v>
      </c>
      <c r="DR25" s="173"/>
      <c r="DS25" s="27"/>
      <c r="DT25" s="32"/>
      <c r="DU25" s="52"/>
      <c r="DV25" s="52"/>
      <c r="DW25" s="53">
        <f t="shared" si="9"/>
        <v>0</v>
      </c>
      <c r="DY25" s="151">
        <v>46042</v>
      </c>
      <c r="DZ25" s="166">
        <v>666.32</v>
      </c>
      <c r="EA25" s="174"/>
      <c r="EB25" s="27"/>
      <c r="EC25" s="51"/>
      <c r="ED25" s="52"/>
      <c r="EE25" s="52"/>
      <c r="EF25" s="53">
        <f t="shared" si="10"/>
        <v>0</v>
      </c>
      <c r="EH25" s="151">
        <v>46042</v>
      </c>
      <c r="EI25" s="154">
        <v>1693</v>
      </c>
      <c r="EJ25" s="158">
        <v>1690</v>
      </c>
      <c r="EK25" s="27"/>
      <c r="EL25" s="51"/>
      <c r="EM25" s="52"/>
      <c r="EN25" s="52"/>
      <c r="EO25" s="53">
        <f t="shared" si="11"/>
        <v>1690</v>
      </c>
      <c r="EQ25" s="151">
        <v>46042</v>
      </c>
      <c r="ER25" s="159">
        <v>1475.91</v>
      </c>
      <c r="ES25" s="173"/>
      <c r="ET25" s="27"/>
      <c r="EU25" s="32">
        <v>72.846600000000024</v>
      </c>
      <c r="EV25" s="52"/>
      <c r="EW25" s="52"/>
      <c r="EX25" s="53">
        <f t="shared" si="12"/>
        <v>72.846600000000024</v>
      </c>
    </row>
    <row r="26" spans="2:154" ht="15.75" hidden="1" x14ac:dyDescent="0.25">
      <c r="B26" s="151">
        <v>46043</v>
      </c>
      <c r="C26" s="152">
        <v>2063.16</v>
      </c>
      <c r="D26" s="152">
        <v>1114.3399999999999</v>
      </c>
      <c r="E26" s="168"/>
      <c r="F26" s="27"/>
      <c r="G26" s="32">
        <v>759.49763999999959</v>
      </c>
      <c r="H26" s="33"/>
      <c r="I26" s="52"/>
      <c r="J26" s="53">
        <f t="shared" si="0"/>
        <v>759.49763999999959</v>
      </c>
      <c r="L26" s="151">
        <v>46043</v>
      </c>
      <c r="M26" s="152">
        <v>12922.83</v>
      </c>
      <c r="N26" s="154">
        <v>2654.15</v>
      </c>
      <c r="O26" s="158">
        <v>49.75</v>
      </c>
      <c r="P26" s="27"/>
      <c r="Q26" s="246">
        <v>25.24751999999998</v>
      </c>
      <c r="R26" s="246">
        <v>0</v>
      </c>
      <c r="S26" s="246"/>
      <c r="T26" s="246"/>
      <c r="U26" s="53">
        <f t="shared" si="1"/>
        <v>74.99751999999998</v>
      </c>
      <c r="W26" s="151">
        <v>46043</v>
      </c>
      <c r="X26" s="152">
        <v>15079.23</v>
      </c>
      <c r="Y26" s="169"/>
      <c r="Z26" s="170">
        <v>23.18</v>
      </c>
      <c r="AA26" s="27"/>
      <c r="AB26" s="240">
        <v>10.612409999999995</v>
      </c>
      <c r="AC26" s="240"/>
      <c r="AD26" s="240"/>
      <c r="AE26" s="240"/>
      <c r="AF26" s="53">
        <f t="shared" si="2"/>
        <v>33.792409999999997</v>
      </c>
      <c r="AH26" s="151">
        <v>46043</v>
      </c>
      <c r="AI26" s="152">
        <v>5532.27</v>
      </c>
      <c r="AJ26" s="161">
        <v>698.31</v>
      </c>
      <c r="AK26" s="158">
        <v>0.8</v>
      </c>
      <c r="AL26" s="27"/>
      <c r="AM26" s="32">
        <v>649.82220000000018</v>
      </c>
      <c r="AN26" s="32"/>
      <c r="AO26" s="42">
        <v>52.5172525714286</v>
      </c>
      <c r="AP26" s="52"/>
      <c r="AQ26" s="53">
        <f t="shared" si="3"/>
        <v>703.13945257142871</v>
      </c>
      <c r="AS26" s="151">
        <v>46043</v>
      </c>
      <c r="AT26" s="152">
        <v>13837.99</v>
      </c>
      <c r="AU26" s="152">
        <v>1300.01</v>
      </c>
      <c r="AV26" s="152">
        <v>3017.66</v>
      </c>
      <c r="AW26" s="180"/>
      <c r="AX26" s="27"/>
      <c r="AY26" s="32">
        <v>2.7406800000000011</v>
      </c>
      <c r="AZ26" s="32">
        <v>88.727600762857151</v>
      </c>
      <c r="BA26" s="52"/>
      <c r="BB26" s="53">
        <f t="shared" si="4"/>
        <v>91.468280762857148</v>
      </c>
      <c r="BD26" s="151">
        <v>46043</v>
      </c>
      <c r="BE26" s="159">
        <v>760.34</v>
      </c>
      <c r="BF26" s="161">
        <v>948.92</v>
      </c>
      <c r="BG26" s="158">
        <v>83</v>
      </c>
      <c r="BH26" s="158">
        <v>22.95</v>
      </c>
      <c r="BI26" s="27"/>
      <c r="BJ26" s="51"/>
      <c r="BK26" s="42"/>
      <c r="BL26" s="44"/>
      <c r="BM26" s="53">
        <f t="shared" si="13"/>
        <v>22.95</v>
      </c>
      <c r="BO26" s="151">
        <v>46043</v>
      </c>
      <c r="BP26" s="159">
        <v>884.66</v>
      </c>
      <c r="BQ26" s="161">
        <v>685.17</v>
      </c>
      <c r="BR26" s="158">
        <v>1.24</v>
      </c>
      <c r="BS26" s="163">
        <v>18.75</v>
      </c>
      <c r="BT26" s="27"/>
      <c r="BU26" s="32">
        <v>43.57459200000001</v>
      </c>
      <c r="BV26" s="42">
        <v>964.20729778971474</v>
      </c>
      <c r="BW26" s="42"/>
      <c r="BX26" s="52"/>
      <c r="BY26" s="53">
        <f t="shared" si="5"/>
        <v>1026.5318897897148</v>
      </c>
      <c r="CA26" s="151">
        <v>46043</v>
      </c>
      <c r="CB26" s="152">
        <v>4537.21</v>
      </c>
      <c r="CC26" s="159">
        <v>784.35</v>
      </c>
      <c r="CD26" s="172"/>
      <c r="CE26" s="27"/>
      <c r="CF26" s="32">
        <v>147.38755999999998</v>
      </c>
      <c r="CG26" s="42"/>
      <c r="CH26" s="44"/>
      <c r="CI26" s="53">
        <f t="shared" si="6"/>
        <v>147.38755999999998</v>
      </c>
      <c r="CK26" s="151">
        <v>46043</v>
      </c>
      <c r="CL26" s="152">
        <v>7471.7</v>
      </c>
      <c r="CM26" s="161">
        <v>245.61</v>
      </c>
      <c r="CN26" s="158">
        <v>1284.28</v>
      </c>
      <c r="CO26" s="27"/>
      <c r="CP26" s="51"/>
      <c r="CQ26" s="33"/>
      <c r="CR26" s="52"/>
      <c r="CS26" s="53">
        <f t="shared" si="7"/>
        <v>1284.28</v>
      </c>
      <c r="CU26" s="151">
        <v>46043</v>
      </c>
      <c r="CV26" s="159">
        <v>144.66999999999999</v>
      </c>
      <c r="CW26" s="159">
        <v>694.7</v>
      </c>
      <c r="CY26" s="158">
        <v>57.83</v>
      </c>
      <c r="CZ26" s="27"/>
      <c r="DA26" s="32">
        <v>39.319449999999975</v>
      </c>
      <c r="DB26" s="33">
        <v>5.4347100228571534</v>
      </c>
      <c r="DC26" s="44"/>
      <c r="DD26" s="53">
        <f t="shared" si="14"/>
        <v>102.58416002285713</v>
      </c>
      <c r="DF26" s="151">
        <v>46043</v>
      </c>
      <c r="DG26" s="152">
        <v>1929.14</v>
      </c>
      <c r="DH26" s="161">
        <v>550.75</v>
      </c>
      <c r="DI26" s="176">
        <v>3.95</v>
      </c>
      <c r="DJ26" s="27"/>
      <c r="DK26" s="32">
        <v>229.73451999999992</v>
      </c>
      <c r="DL26" s="42"/>
      <c r="DM26" s="44"/>
      <c r="DN26" s="53">
        <f t="shared" si="8"/>
        <v>233.68451999999991</v>
      </c>
      <c r="DP26" s="151">
        <v>46043</v>
      </c>
      <c r="DQ26" s="159">
        <v>872.83</v>
      </c>
      <c r="DR26" s="173"/>
      <c r="DS26" s="27"/>
      <c r="DT26" s="32"/>
      <c r="DU26" s="52"/>
      <c r="DV26" s="52"/>
      <c r="DW26" s="53">
        <f t="shared" si="9"/>
        <v>0</v>
      </c>
      <c r="DY26" s="151">
        <v>46043</v>
      </c>
      <c r="DZ26" s="159">
        <v>0</v>
      </c>
      <c r="EA26" s="174"/>
      <c r="EB26" s="27"/>
      <c r="EC26" s="51"/>
      <c r="ED26" s="52"/>
      <c r="EE26" s="52"/>
      <c r="EF26" s="53">
        <f t="shared" si="10"/>
        <v>0</v>
      </c>
      <c r="EH26" s="151">
        <v>46043</v>
      </c>
      <c r="EI26" s="161">
        <v>2420.59</v>
      </c>
      <c r="EJ26" s="158">
        <v>40</v>
      </c>
      <c r="EK26" s="27"/>
      <c r="EL26" s="51"/>
      <c r="EM26" s="52"/>
      <c r="EN26" s="52"/>
      <c r="EO26" s="53">
        <f t="shared" si="11"/>
        <v>40</v>
      </c>
      <c r="EQ26" s="151">
        <v>46043</v>
      </c>
      <c r="ER26" s="152">
        <v>1613.07</v>
      </c>
      <c r="ES26" s="173"/>
      <c r="ET26" s="27"/>
      <c r="EU26" s="32">
        <v>39.895401</v>
      </c>
      <c r="EV26" s="52"/>
      <c r="EW26" s="52"/>
      <c r="EX26" s="53">
        <f t="shared" si="12"/>
        <v>39.895401</v>
      </c>
    </row>
    <row r="27" spans="2:154" ht="15.75" hidden="1" x14ac:dyDescent="0.25">
      <c r="B27" s="151">
        <v>46044</v>
      </c>
      <c r="C27" s="152">
        <v>1756.82</v>
      </c>
      <c r="D27" s="152">
        <v>1400.93</v>
      </c>
      <c r="E27" s="168"/>
      <c r="F27" s="27"/>
      <c r="G27" s="32">
        <v>539.11056999999971</v>
      </c>
      <c r="H27" s="33">
        <v>1867.0157142857151</v>
      </c>
      <c r="I27" s="52"/>
      <c r="J27" s="53">
        <f t="shared" si="0"/>
        <v>2406.126284285715</v>
      </c>
      <c r="L27" s="151">
        <v>46044</v>
      </c>
      <c r="M27" s="152">
        <v>10028.299999999999</v>
      </c>
      <c r="N27" s="154">
        <v>1796.13</v>
      </c>
      <c r="O27" s="158">
        <v>11.66</v>
      </c>
      <c r="P27" s="27"/>
      <c r="Q27" s="246">
        <v>22.252799999999979</v>
      </c>
      <c r="R27" s="246"/>
      <c r="S27" s="246"/>
      <c r="T27" s="246"/>
      <c r="U27" s="53">
        <f t="shared" si="1"/>
        <v>33.912799999999976</v>
      </c>
      <c r="W27" s="151">
        <v>46044</v>
      </c>
      <c r="X27" s="152">
        <v>22592.07</v>
      </c>
      <c r="Y27" s="169"/>
      <c r="Z27" s="170">
        <v>28.5</v>
      </c>
      <c r="AA27" s="27"/>
      <c r="AB27" s="240"/>
      <c r="AC27" s="240">
        <v>48.657967062857153</v>
      </c>
      <c r="AD27" s="240"/>
      <c r="AE27" s="240"/>
      <c r="AF27" s="53">
        <f t="shared" si="2"/>
        <v>77.157967062857153</v>
      </c>
      <c r="AH27" s="151">
        <v>46044</v>
      </c>
      <c r="AI27" s="152">
        <v>4819.28</v>
      </c>
      <c r="AJ27" s="161">
        <v>583.51</v>
      </c>
      <c r="AK27" s="162"/>
      <c r="AL27" s="27"/>
      <c r="AM27" s="32">
        <v>661.44180000000006</v>
      </c>
      <c r="AN27" s="32"/>
      <c r="AO27" s="42">
        <v>41.06192685428573</v>
      </c>
      <c r="AP27" s="52"/>
      <c r="AQ27" s="53">
        <f t="shared" si="3"/>
        <v>702.50372685428579</v>
      </c>
      <c r="AS27" s="151">
        <v>46044</v>
      </c>
      <c r="AT27" s="152">
        <v>13169.88</v>
      </c>
      <c r="AU27" s="159">
        <v>728.01</v>
      </c>
      <c r="AV27" s="152">
        <v>4308.8500000000004</v>
      </c>
      <c r="AW27" s="171"/>
      <c r="AX27" s="27"/>
      <c r="AY27" s="32">
        <v>1.2047999999999988</v>
      </c>
      <c r="AZ27" s="32">
        <v>215.12639887542849</v>
      </c>
      <c r="BA27" s="52"/>
      <c r="BB27" s="53">
        <f t="shared" si="4"/>
        <v>216.3311988754285</v>
      </c>
      <c r="BD27" s="151">
        <v>46044</v>
      </c>
      <c r="BE27" s="152">
        <v>1112.17</v>
      </c>
      <c r="BF27" s="161">
        <v>979.86</v>
      </c>
      <c r="BG27" s="158">
        <v>2.56</v>
      </c>
      <c r="BH27" s="158">
        <v>23.89</v>
      </c>
      <c r="BI27" s="27"/>
      <c r="BJ27" s="51"/>
      <c r="BK27" s="42"/>
      <c r="BL27" s="44"/>
      <c r="BM27" s="53">
        <f t="shared" si="13"/>
        <v>23.89</v>
      </c>
      <c r="BO27" s="151">
        <v>46044</v>
      </c>
      <c r="BP27" s="159">
        <v>714.94</v>
      </c>
      <c r="BQ27" s="161">
        <v>698.84</v>
      </c>
      <c r="BR27" s="158">
        <v>1.01</v>
      </c>
      <c r="BS27" s="163">
        <v>71.930000000000007</v>
      </c>
      <c r="BT27" s="27"/>
      <c r="BU27" s="32">
        <v>33.618563999999992</v>
      </c>
      <c r="BV27" s="42">
        <v>1123.321715396572</v>
      </c>
      <c r="BW27" s="42"/>
      <c r="BX27" s="52"/>
      <c r="BY27" s="53">
        <f t="shared" si="5"/>
        <v>1228.870279396572</v>
      </c>
      <c r="CA27" s="151">
        <v>46044</v>
      </c>
      <c r="CB27" s="152">
        <v>4268.5200000000004</v>
      </c>
      <c r="CC27" s="159">
        <v>536.25</v>
      </c>
      <c r="CD27" s="172"/>
      <c r="CE27" s="27"/>
      <c r="CF27" s="32">
        <v>173.62470000000013</v>
      </c>
      <c r="CG27" s="42">
        <v>27.264915557142928</v>
      </c>
      <c r="CH27" s="44"/>
      <c r="CI27" s="53">
        <f t="shared" si="6"/>
        <v>200.88961555714306</v>
      </c>
      <c r="CK27" s="151">
        <v>46044</v>
      </c>
      <c r="CL27" s="152">
        <v>8487.2999999999993</v>
      </c>
      <c r="CM27" s="161">
        <v>512.89</v>
      </c>
      <c r="CN27" s="158">
        <v>393.48</v>
      </c>
      <c r="CO27" s="27"/>
      <c r="CP27" s="51"/>
      <c r="CQ27" s="33">
        <v>262.98786649142886</v>
      </c>
      <c r="CR27" s="52"/>
      <c r="CS27" s="53">
        <f t="shared" si="7"/>
        <v>656.46786649142882</v>
      </c>
      <c r="CU27" s="151">
        <v>46044</v>
      </c>
      <c r="CV27" s="152">
        <v>1396.75</v>
      </c>
      <c r="CW27" s="159">
        <v>748.7</v>
      </c>
      <c r="CY27" s="158">
        <v>3.98</v>
      </c>
      <c r="CZ27" s="27"/>
      <c r="DA27" s="32">
        <v>105.45062</v>
      </c>
      <c r="DB27" s="33">
        <v>7.8704857028571524</v>
      </c>
      <c r="DC27" s="44"/>
      <c r="DD27" s="53">
        <f t="shared" si="14"/>
        <v>117.30110570285716</v>
      </c>
      <c r="DF27" s="151">
        <v>46044</v>
      </c>
      <c r="DG27" s="152">
        <v>2267.33</v>
      </c>
      <c r="DH27" s="161">
        <v>371.95</v>
      </c>
      <c r="DI27" s="162"/>
      <c r="DJ27" s="27"/>
      <c r="DK27" s="32">
        <v>548.57396000000017</v>
      </c>
      <c r="DL27" s="42"/>
      <c r="DM27" s="44"/>
      <c r="DN27" s="53">
        <f t="shared" si="8"/>
        <v>548.57396000000017</v>
      </c>
      <c r="DP27" s="151">
        <v>46044</v>
      </c>
      <c r="DQ27" s="159">
        <v>847.8</v>
      </c>
      <c r="DR27" s="173"/>
      <c r="DS27" s="27"/>
      <c r="DT27" s="32"/>
      <c r="DU27" s="52"/>
      <c r="DV27" s="52"/>
      <c r="DW27" s="53">
        <f t="shared" si="9"/>
        <v>0</v>
      </c>
      <c r="DY27" s="151">
        <v>46044</v>
      </c>
      <c r="DZ27" s="159">
        <v>86.5</v>
      </c>
      <c r="EA27" s="174"/>
      <c r="EB27" s="27"/>
      <c r="EC27" s="51"/>
      <c r="ED27" s="52"/>
      <c r="EE27" s="52"/>
      <c r="EF27" s="53">
        <f t="shared" si="10"/>
        <v>0</v>
      </c>
      <c r="EH27" s="151">
        <v>46044</v>
      </c>
      <c r="EI27" s="154">
        <v>2964</v>
      </c>
      <c r="EJ27" s="176">
        <v>30</v>
      </c>
      <c r="EK27" s="27"/>
      <c r="EL27" s="51"/>
      <c r="EM27" s="52"/>
      <c r="EN27" s="52"/>
      <c r="EO27" s="53">
        <f t="shared" si="11"/>
        <v>30</v>
      </c>
      <c r="EQ27" s="151">
        <v>46044</v>
      </c>
      <c r="ER27" s="152">
        <v>1448.67</v>
      </c>
      <c r="ES27" s="173"/>
      <c r="ET27" s="27"/>
      <c r="EU27" s="32">
        <v>10.627319999999997</v>
      </c>
      <c r="EV27" s="52"/>
      <c r="EW27" s="52"/>
      <c r="EX27" s="53">
        <f t="shared" si="12"/>
        <v>10.627319999999997</v>
      </c>
    </row>
    <row r="28" spans="2:154" ht="15.75" hidden="1" x14ac:dyDescent="0.25">
      <c r="B28" s="151">
        <v>46045</v>
      </c>
      <c r="C28" s="152">
        <v>3281.86</v>
      </c>
      <c r="D28" s="152">
        <v>1133.83</v>
      </c>
      <c r="E28" s="168"/>
      <c r="F28" s="27"/>
      <c r="G28" s="32">
        <v>335.57258999999988</v>
      </c>
      <c r="H28" s="33">
        <v>38.740576071428563</v>
      </c>
      <c r="I28" s="52"/>
      <c r="J28" s="53">
        <f t="shared" si="0"/>
        <v>374.31316607142844</v>
      </c>
      <c r="L28" s="151">
        <v>46045</v>
      </c>
      <c r="M28" s="152">
        <v>14114.57</v>
      </c>
      <c r="N28" s="154">
        <v>3064.33</v>
      </c>
      <c r="O28" s="158">
        <v>39.6</v>
      </c>
      <c r="P28" s="27"/>
      <c r="Q28" s="246">
        <v>13.738240000000019</v>
      </c>
      <c r="R28" s="246">
        <v>0</v>
      </c>
      <c r="S28" s="246"/>
      <c r="T28" s="246">
        <v>46.549234200000065</v>
      </c>
      <c r="U28" s="53">
        <f t="shared" si="1"/>
        <v>99.887474200000085</v>
      </c>
      <c r="W28" s="151">
        <v>46045</v>
      </c>
      <c r="X28" s="152">
        <v>20975.54</v>
      </c>
      <c r="Y28" s="169"/>
      <c r="Z28" s="170">
        <v>7.98</v>
      </c>
      <c r="AA28" s="27"/>
      <c r="AB28" s="240">
        <v>21.579599999999999</v>
      </c>
      <c r="AC28" s="240">
        <v>118.50360721542853</v>
      </c>
      <c r="AD28" s="240"/>
      <c r="AE28" s="240"/>
      <c r="AF28" s="53">
        <f t="shared" si="2"/>
        <v>148.06320721542852</v>
      </c>
      <c r="AH28" s="151">
        <v>46045</v>
      </c>
      <c r="AI28" s="152">
        <v>4634.46</v>
      </c>
      <c r="AJ28" s="154">
        <v>1071.03</v>
      </c>
      <c r="AK28" s="162"/>
      <c r="AL28" s="27"/>
      <c r="AM28" s="32">
        <v>355.58688000000006</v>
      </c>
      <c r="AN28" s="32"/>
      <c r="AO28" s="42">
        <v>308.06839180285721</v>
      </c>
      <c r="AP28" s="52"/>
      <c r="AQ28" s="53">
        <f t="shared" si="3"/>
        <v>663.65527180285721</v>
      </c>
      <c r="AS28" s="151">
        <v>46045</v>
      </c>
      <c r="AT28" s="152">
        <v>14409.06</v>
      </c>
      <c r="AU28" s="152">
        <v>1230.32</v>
      </c>
      <c r="AV28" s="152">
        <v>4782.84</v>
      </c>
      <c r="AW28" s="171"/>
      <c r="AX28" s="27"/>
      <c r="AY28" s="32">
        <v>6.2862000000000009</v>
      </c>
      <c r="AZ28" s="32">
        <v>153.27161212971424</v>
      </c>
      <c r="BA28" s="52"/>
      <c r="BB28" s="53">
        <f t="shared" si="4"/>
        <v>159.55781212971425</v>
      </c>
      <c r="BD28" s="151">
        <v>46045</v>
      </c>
      <c r="BE28" s="159">
        <v>580.29999999999995</v>
      </c>
      <c r="BF28" s="161">
        <v>1171.5</v>
      </c>
      <c r="BG28" s="158">
        <v>2.65</v>
      </c>
      <c r="BH28" s="158">
        <v>17.45</v>
      </c>
      <c r="BI28" s="27"/>
      <c r="BJ28" s="51"/>
      <c r="BK28" s="42"/>
      <c r="BL28" s="44"/>
      <c r="BM28" s="53">
        <f t="shared" si="13"/>
        <v>17.45</v>
      </c>
      <c r="BO28" s="151">
        <v>46045</v>
      </c>
      <c r="BP28" s="159">
        <v>1501.13</v>
      </c>
      <c r="BQ28" s="161">
        <v>426.5</v>
      </c>
      <c r="BR28" s="158">
        <v>2.4</v>
      </c>
      <c r="BS28" s="163">
        <v>85.19</v>
      </c>
      <c r="BT28" s="27"/>
      <c r="BU28" s="32">
        <v>13.140143999999992</v>
      </c>
      <c r="BV28" s="42">
        <v>708.05089978000103</v>
      </c>
      <c r="BW28" s="42"/>
      <c r="BX28" s="52"/>
      <c r="BY28" s="53">
        <f t="shared" si="5"/>
        <v>806.38104378000105</v>
      </c>
      <c r="CA28" s="151">
        <v>46045</v>
      </c>
      <c r="CB28" s="152">
        <v>4209.2</v>
      </c>
      <c r="CC28" s="159">
        <v>900.33</v>
      </c>
      <c r="CD28" s="172"/>
      <c r="CE28" s="27"/>
      <c r="CF28" s="32">
        <v>97.898100000000056</v>
      </c>
      <c r="CG28" s="42"/>
      <c r="CH28" s="44"/>
      <c r="CI28" s="53">
        <f t="shared" si="6"/>
        <v>97.898100000000056</v>
      </c>
      <c r="CK28" s="151">
        <v>46045</v>
      </c>
      <c r="CL28" s="152">
        <v>7103.48</v>
      </c>
      <c r="CM28" s="161">
        <v>422.55</v>
      </c>
      <c r="CN28" s="158">
        <v>521.88</v>
      </c>
      <c r="CO28" s="27"/>
      <c r="CP28" s="51"/>
      <c r="CQ28" s="33">
        <v>381.92957670285739</v>
      </c>
      <c r="CR28" s="52"/>
      <c r="CS28" s="53">
        <f t="shared" si="7"/>
        <v>903.80957670285738</v>
      </c>
      <c r="CU28" s="151">
        <v>46045</v>
      </c>
      <c r="CV28" s="152">
        <v>1205.4000000000001</v>
      </c>
      <c r="CW28" s="159">
        <v>656.7</v>
      </c>
      <c r="CY28" s="158">
        <v>85.67</v>
      </c>
      <c r="CZ28" s="27"/>
      <c r="DA28" s="32">
        <v>42.528919999999999</v>
      </c>
      <c r="DB28" s="33"/>
      <c r="DC28" s="44"/>
      <c r="DD28" s="53">
        <f t="shared" si="14"/>
        <v>128.19891999999999</v>
      </c>
      <c r="DF28" s="151">
        <v>46045</v>
      </c>
      <c r="DG28" s="152">
        <v>1487.87</v>
      </c>
      <c r="DH28" s="161">
        <v>460.14</v>
      </c>
      <c r="DI28" s="162"/>
      <c r="DJ28" s="27"/>
      <c r="DK28" s="32">
        <v>265.82938000000013</v>
      </c>
      <c r="DL28" s="42">
        <v>32.185411999999985</v>
      </c>
      <c r="DM28" s="44">
        <v>35.737899999999996</v>
      </c>
      <c r="DN28" s="53">
        <f t="shared" si="8"/>
        <v>333.75269200000014</v>
      </c>
      <c r="DP28" s="151">
        <v>46045</v>
      </c>
      <c r="DQ28" s="159">
        <v>1783.35</v>
      </c>
      <c r="DR28" s="173"/>
      <c r="DS28" s="27"/>
      <c r="DT28" s="32"/>
      <c r="DU28" s="52"/>
      <c r="DV28" s="52"/>
      <c r="DW28" s="53">
        <f t="shared" si="9"/>
        <v>0</v>
      </c>
      <c r="DY28" s="151">
        <v>46045</v>
      </c>
      <c r="DZ28" s="159">
        <v>701</v>
      </c>
      <c r="EA28" s="174"/>
      <c r="EB28" s="27"/>
      <c r="EC28" s="51"/>
      <c r="ED28" s="52"/>
      <c r="EE28" s="52"/>
      <c r="EF28" s="53">
        <f t="shared" si="10"/>
        <v>0</v>
      </c>
      <c r="EH28" s="151">
        <v>46045</v>
      </c>
      <c r="EI28" s="154">
        <v>1550.3</v>
      </c>
      <c r="EJ28" s="176">
        <v>40</v>
      </c>
      <c r="EK28" s="27"/>
      <c r="EL28" s="51"/>
      <c r="EM28" s="52"/>
      <c r="EN28" s="52"/>
      <c r="EO28" s="53">
        <f t="shared" si="11"/>
        <v>40</v>
      </c>
      <c r="EQ28" s="151">
        <v>46045</v>
      </c>
      <c r="ER28" s="159">
        <v>1261.22</v>
      </c>
      <c r="ES28" s="173"/>
      <c r="ET28" s="27"/>
      <c r="EU28" s="32">
        <v>10.391434</v>
      </c>
      <c r="EV28" s="52"/>
      <c r="EW28" s="52"/>
      <c r="EX28" s="53">
        <f t="shared" si="12"/>
        <v>10.391434</v>
      </c>
    </row>
    <row r="29" spans="2:154" ht="15.75" hidden="1" x14ac:dyDescent="0.25">
      <c r="B29" s="151">
        <v>46046</v>
      </c>
      <c r="C29" s="152">
        <v>2925.17</v>
      </c>
      <c r="D29" s="152">
        <v>1519.17</v>
      </c>
      <c r="E29" s="168"/>
      <c r="F29" s="27"/>
      <c r="G29" s="32">
        <v>574.57333999999969</v>
      </c>
      <c r="H29" s="33"/>
      <c r="I29" s="52"/>
      <c r="J29" s="53">
        <f t="shared" si="0"/>
        <v>574.57333999999969</v>
      </c>
      <c r="L29" s="151">
        <v>46046</v>
      </c>
      <c r="M29" s="152">
        <v>17796.07</v>
      </c>
      <c r="N29" s="154">
        <v>3244.19</v>
      </c>
      <c r="O29" s="158">
        <v>37.25</v>
      </c>
      <c r="P29" s="27"/>
      <c r="Q29" s="246">
        <v>27.757419999999996</v>
      </c>
      <c r="R29" s="246">
        <v>112.39018357714292</v>
      </c>
      <c r="S29" s="246"/>
      <c r="T29" s="246"/>
      <c r="U29" s="53">
        <f t="shared" si="1"/>
        <v>177.39760357714292</v>
      </c>
      <c r="W29" s="151">
        <v>46046</v>
      </c>
      <c r="X29" s="152">
        <v>21769.09</v>
      </c>
      <c r="Y29" s="169"/>
      <c r="Z29" s="170">
        <v>7.97</v>
      </c>
      <c r="AA29" s="27"/>
      <c r="AB29" s="240">
        <v>71.638559999999984</v>
      </c>
      <c r="AC29" s="240"/>
      <c r="AD29" s="240"/>
      <c r="AE29" s="240"/>
      <c r="AF29" s="53">
        <f t="shared" si="2"/>
        <v>79.608559999999983</v>
      </c>
      <c r="AH29" s="151">
        <v>46046</v>
      </c>
      <c r="AI29" s="152">
        <v>8978.17</v>
      </c>
      <c r="AJ29" s="161">
        <v>786.79</v>
      </c>
      <c r="AK29" s="158">
        <v>4</v>
      </c>
      <c r="AL29" s="27"/>
      <c r="AM29" s="32">
        <v>369.29272000000009</v>
      </c>
      <c r="AN29" s="32"/>
      <c r="AO29" s="42">
        <v>34.212801831428607</v>
      </c>
      <c r="AP29" s="52">
        <v>45.830766000000011</v>
      </c>
      <c r="AQ29" s="53">
        <f t="shared" si="3"/>
        <v>453.33628783142876</v>
      </c>
      <c r="AS29" s="151">
        <v>46046</v>
      </c>
      <c r="AT29" s="152">
        <v>16997.38</v>
      </c>
      <c r="AU29" s="152">
        <v>1811.05</v>
      </c>
      <c r="AV29" s="152">
        <v>4420.13</v>
      </c>
      <c r="AW29" s="171"/>
      <c r="AX29" s="27"/>
      <c r="AY29" s="32"/>
      <c r="AZ29" s="32">
        <v>0</v>
      </c>
      <c r="BA29" s="52"/>
      <c r="BB29" s="53">
        <f t="shared" si="4"/>
        <v>0</v>
      </c>
      <c r="BD29" s="151">
        <v>46046</v>
      </c>
      <c r="BE29" s="152">
        <v>1356.04</v>
      </c>
      <c r="BF29" s="161">
        <v>1208.99</v>
      </c>
      <c r="BG29" s="158">
        <v>1.55</v>
      </c>
      <c r="BH29" s="158">
        <v>18.77</v>
      </c>
      <c r="BI29" s="27"/>
      <c r="BJ29" s="51"/>
      <c r="BK29" s="42"/>
      <c r="BL29" s="44"/>
      <c r="BM29" s="53">
        <f t="shared" si="13"/>
        <v>18.77</v>
      </c>
      <c r="BO29" s="151">
        <v>46046</v>
      </c>
      <c r="BP29" s="166">
        <v>1027.22</v>
      </c>
      <c r="BQ29" s="181">
        <v>774.31</v>
      </c>
      <c r="BR29" s="176">
        <v>0.45</v>
      </c>
      <c r="BS29" s="182">
        <v>95.01</v>
      </c>
      <c r="BT29" s="27"/>
      <c r="BU29" s="32">
        <v>12.739788000000004</v>
      </c>
      <c r="BV29" s="42">
        <v>274.08688046200064</v>
      </c>
      <c r="BW29" s="42"/>
      <c r="BX29" s="52"/>
      <c r="BY29" s="53">
        <f t="shared" si="5"/>
        <v>381.83666846200066</v>
      </c>
      <c r="CA29" s="151">
        <v>46046</v>
      </c>
      <c r="CB29" s="152">
        <v>4037.31</v>
      </c>
      <c r="CC29" s="159">
        <v>820.69</v>
      </c>
      <c r="CD29" s="177"/>
      <c r="CE29" s="27"/>
      <c r="CF29" s="32">
        <v>36.725010000000054</v>
      </c>
      <c r="CG29" s="42"/>
      <c r="CH29" s="44"/>
      <c r="CI29" s="53">
        <f t="shared" si="6"/>
        <v>36.725010000000054</v>
      </c>
      <c r="CK29" s="151">
        <v>46046</v>
      </c>
      <c r="CL29" s="152">
        <v>5936.35</v>
      </c>
      <c r="CM29" s="161">
        <v>277.45</v>
      </c>
      <c r="CN29" s="158">
        <v>356.92</v>
      </c>
      <c r="CO29" s="27"/>
      <c r="CP29" s="51"/>
      <c r="CQ29" s="33"/>
      <c r="CR29" s="52"/>
      <c r="CS29" s="53">
        <f t="shared" si="7"/>
        <v>356.92</v>
      </c>
      <c r="CU29" s="151">
        <v>46046</v>
      </c>
      <c r="CV29" s="152">
        <v>2011.51</v>
      </c>
      <c r="CW29" s="159">
        <v>689.6</v>
      </c>
      <c r="CY29" s="158">
        <v>28.24</v>
      </c>
      <c r="CZ29" s="27"/>
      <c r="DA29" s="32">
        <v>68.378119999999981</v>
      </c>
      <c r="DB29" s="33"/>
      <c r="DC29" s="44"/>
      <c r="DD29" s="53">
        <f t="shared" si="14"/>
        <v>96.618119999999976</v>
      </c>
      <c r="DF29" s="151">
        <v>46046</v>
      </c>
      <c r="DG29" s="152">
        <v>1460.12</v>
      </c>
      <c r="DH29" s="161">
        <v>791.04</v>
      </c>
      <c r="DI29" s="162"/>
      <c r="DJ29" s="27"/>
      <c r="DK29" s="32">
        <v>210.20678000000007</v>
      </c>
      <c r="DL29" s="42"/>
      <c r="DM29" s="44"/>
      <c r="DN29" s="53">
        <f t="shared" si="8"/>
        <v>210.20678000000007</v>
      </c>
      <c r="DP29" s="151">
        <v>46046</v>
      </c>
      <c r="DQ29" s="159">
        <v>950.54</v>
      </c>
      <c r="DR29" s="173"/>
      <c r="DS29" s="27"/>
      <c r="DT29" s="32"/>
      <c r="DU29" s="52"/>
      <c r="DV29" s="52"/>
      <c r="DW29" s="53">
        <f t="shared" si="9"/>
        <v>0</v>
      </c>
      <c r="DY29" s="151">
        <v>46046</v>
      </c>
      <c r="DZ29" s="166">
        <v>0</v>
      </c>
      <c r="EA29" s="174"/>
      <c r="EB29" s="27"/>
      <c r="EC29" s="51"/>
      <c r="ED29" s="52"/>
      <c r="EE29" s="52"/>
      <c r="EF29" s="53">
        <f t="shared" si="10"/>
        <v>0</v>
      </c>
      <c r="EH29" s="151">
        <v>46046</v>
      </c>
      <c r="EI29" s="154">
        <v>1639.5</v>
      </c>
      <c r="EJ29" s="176">
        <v>810</v>
      </c>
      <c r="EK29" s="27"/>
      <c r="EL29" s="51"/>
      <c r="EM29" s="52"/>
      <c r="EN29" s="52"/>
      <c r="EO29" s="53">
        <f t="shared" si="11"/>
        <v>810</v>
      </c>
      <c r="EQ29" s="151">
        <v>46046</v>
      </c>
      <c r="ER29" s="152">
        <v>1492.47</v>
      </c>
      <c r="ES29" s="173"/>
      <c r="ET29" s="27"/>
      <c r="EU29" s="32">
        <v>99.675653000000011</v>
      </c>
      <c r="EV29" s="52"/>
      <c r="EW29" s="52"/>
      <c r="EX29" s="53">
        <f t="shared" si="12"/>
        <v>99.675653000000011</v>
      </c>
    </row>
    <row r="30" spans="2:154" ht="15.75" hidden="1" x14ac:dyDescent="0.25">
      <c r="B30" s="151">
        <v>46047</v>
      </c>
      <c r="C30" s="152">
        <v>3374.16</v>
      </c>
      <c r="D30" s="152">
        <v>1976.99</v>
      </c>
      <c r="E30" s="168"/>
      <c r="F30" s="27"/>
      <c r="G30" s="32">
        <v>276.46745999999979</v>
      </c>
      <c r="H30" s="33">
        <v>47.238823122857156</v>
      </c>
      <c r="I30" s="52"/>
      <c r="J30" s="53">
        <f t="shared" si="0"/>
        <v>323.70628312285692</v>
      </c>
      <c r="L30" s="151">
        <v>46047</v>
      </c>
      <c r="M30" s="152">
        <v>14707.8</v>
      </c>
      <c r="N30" s="154">
        <v>2660.2</v>
      </c>
      <c r="O30" s="158">
        <v>39.35</v>
      </c>
      <c r="P30" s="27"/>
      <c r="Q30" s="246"/>
      <c r="R30" s="246"/>
      <c r="S30" s="246"/>
      <c r="T30" s="246"/>
      <c r="U30" s="53">
        <f t="shared" si="1"/>
        <v>39.35</v>
      </c>
      <c r="W30" s="151">
        <v>46047</v>
      </c>
      <c r="X30" s="152">
        <v>27810.880000000001</v>
      </c>
      <c r="Y30" s="169"/>
      <c r="Z30" s="170">
        <v>2.1800000000000002</v>
      </c>
      <c r="AA30" s="27"/>
      <c r="AB30" s="240">
        <v>58.071159999999963</v>
      </c>
      <c r="AC30" s="240"/>
      <c r="AD30" s="240"/>
      <c r="AE30" s="240"/>
      <c r="AF30" s="53">
        <f t="shared" si="2"/>
        <v>60.251159999999963</v>
      </c>
      <c r="AH30" s="151">
        <v>46047</v>
      </c>
      <c r="AI30" s="152">
        <v>4968.18</v>
      </c>
      <c r="AJ30" s="154">
        <v>1460.14</v>
      </c>
      <c r="AK30" s="162"/>
      <c r="AL30" s="27"/>
      <c r="AM30" s="32">
        <v>40.803399999999982</v>
      </c>
      <c r="AN30" s="32"/>
      <c r="AO30" s="42"/>
      <c r="AP30" s="52"/>
      <c r="AQ30" s="53">
        <f t="shared" si="3"/>
        <v>40.803399999999982</v>
      </c>
      <c r="AS30" s="151">
        <v>46047</v>
      </c>
      <c r="AT30" s="152">
        <v>11160.4</v>
      </c>
      <c r="AU30" s="159">
        <v>752.66</v>
      </c>
      <c r="AV30" s="152">
        <v>3598.2</v>
      </c>
      <c r="AW30" s="180"/>
      <c r="AX30" s="27"/>
      <c r="AY30" s="32"/>
      <c r="AZ30" s="32"/>
      <c r="BA30" s="52"/>
      <c r="BB30" s="53">
        <f t="shared" si="4"/>
        <v>0</v>
      </c>
      <c r="BD30" s="151">
        <v>46047</v>
      </c>
      <c r="BE30" s="159">
        <v>903.16</v>
      </c>
      <c r="BF30" s="161">
        <v>1026.05</v>
      </c>
      <c r="BG30" s="158">
        <v>0.54</v>
      </c>
      <c r="BH30" s="158">
        <v>11.2</v>
      </c>
      <c r="BI30" s="27"/>
      <c r="BJ30" s="51"/>
      <c r="BK30" s="42"/>
      <c r="BL30" s="44"/>
      <c r="BM30" s="53">
        <f t="shared" si="13"/>
        <v>11.2</v>
      </c>
      <c r="BO30" s="151">
        <v>46047</v>
      </c>
      <c r="BP30" s="159">
        <v>496.47</v>
      </c>
      <c r="BQ30" s="161">
        <v>471.37</v>
      </c>
      <c r="BR30" s="176">
        <v>0.83</v>
      </c>
      <c r="BS30" s="182">
        <v>97.55</v>
      </c>
      <c r="BT30" s="27"/>
      <c r="BU30" s="32"/>
      <c r="BV30" s="42">
        <v>392.94063326000071</v>
      </c>
      <c r="BW30" s="42"/>
      <c r="BX30" s="52"/>
      <c r="BY30" s="53">
        <f t="shared" si="5"/>
        <v>490.49063326000072</v>
      </c>
      <c r="CA30" s="151">
        <v>46047</v>
      </c>
      <c r="CB30" s="152">
        <v>3581.54</v>
      </c>
      <c r="CC30" s="159">
        <v>1000.98</v>
      </c>
      <c r="CD30" s="172"/>
      <c r="CE30" s="27"/>
      <c r="CF30" s="32">
        <v>46.756049999999988</v>
      </c>
      <c r="CG30" s="42"/>
      <c r="CH30" s="44"/>
      <c r="CI30" s="53">
        <f t="shared" si="6"/>
        <v>46.756049999999988</v>
      </c>
      <c r="CK30" s="151">
        <v>46047</v>
      </c>
      <c r="CL30" s="152">
        <v>6521.33</v>
      </c>
      <c r="CM30" s="161">
        <v>402.07</v>
      </c>
      <c r="CN30" s="158">
        <v>511.38</v>
      </c>
      <c r="CO30" s="27"/>
      <c r="CP30" s="51"/>
      <c r="CQ30" s="33">
        <v>136.76946688285724</v>
      </c>
      <c r="CR30" s="52"/>
      <c r="CS30" s="53">
        <f t="shared" si="7"/>
        <v>648.14946688285727</v>
      </c>
      <c r="CU30" s="151">
        <v>46047</v>
      </c>
      <c r="CV30" s="159">
        <v>392.16</v>
      </c>
      <c r="CW30" s="159">
        <v>860.2</v>
      </c>
      <c r="CY30" s="158">
        <v>0</v>
      </c>
      <c r="CZ30" s="27"/>
      <c r="DA30" s="32">
        <v>21.033950000000004</v>
      </c>
      <c r="DB30" s="33"/>
      <c r="DC30" s="44"/>
      <c r="DD30" s="53">
        <f t="shared" si="14"/>
        <v>21.033950000000004</v>
      </c>
      <c r="DF30" s="151">
        <v>46047</v>
      </c>
      <c r="DG30" s="159">
        <v>680.41</v>
      </c>
      <c r="DH30" s="161">
        <v>200.58</v>
      </c>
      <c r="DI30" s="162"/>
      <c r="DJ30" s="27"/>
      <c r="DK30" s="32">
        <v>415.46444000000008</v>
      </c>
      <c r="DL30" s="42"/>
      <c r="DM30" s="44"/>
      <c r="DN30" s="53">
        <f t="shared" si="8"/>
        <v>415.46444000000008</v>
      </c>
      <c r="DP30" s="151">
        <v>46047</v>
      </c>
      <c r="DQ30" s="159">
        <v>565.76</v>
      </c>
      <c r="DR30" s="173"/>
      <c r="DS30" s="27"/>
      <c r="DT30" s="32"/>
      <c r="DU30" s="52"/>
      <c r="DV30" s="52"/>
      <c r="DW30" s="53">
        <f t="shared" si="9"/>
        <v>0</v>
      </c>
      <c r="DY30" s="151">
        <v>46047</v>
      </c>
      <c r="DZ30" s="159">
        <v>96</v>
      </c>
      <c r="EA30" s="174"/>
      <c r="EB30" s="27"/>
      <c r="EC30" s="51"/>
      <c r="ED30" s="52"/>
      <c r="EE30" s="52"/>
      <c r="EF30" s="53">
        <f t="shared" si="10"/>
        <v>0</v>
      </c>
      <c r="EH30" s="151">
        <v>46047</v>
      </c>
      <c r="EI30" s="154">
        <v>1580.4</v>
      </c>
      <c r="EJ30" s="162"/>
      <c r="EK30" s="27"/>
      <c r="EL30" s="51"/>
      <c r="EM30" s="52"/>
      <c r="EN30" s="52"/>
      <c r="EO30" s="53">
        <f t="shared" si="11"/>
        <v>0</v>
      </c>
      <c r="EQ30" s="151">
        <v>46047</v>
      </c>
      <c r="ER30" s="159">
        <v>1160.32</v>
      </c>
      <c r="ES30" s="173"/>
      <c r="ET30" s="27"/>
      <c r="EU30" s="32">
        <v>50.46838600000001</v>
      </c>
      <c r="EV30" s="52"/>
      <c r="EW30" s="52"/>
      <c r="EX30" s="53">
        <f t="shared" si="12"/>
        <v>50.46838600000001</v>
      </c>
    </row>
    <row r="31" spans="2:154" ht="15.75" hidden="1" x14ac:dyDescent="0.25">
      <c r="B31" s="151">
        <v>46048</v>
      </c>
      <c r="C31" s="152">
        <v>3096.21</v>
      </c>
      <c r="D31" s="159">
        <v>974.01</v>
      </c>
      <c r="E31" s="168"/>
      <c r="F31" s="27"/>
      <c r="G31" s="32">
        <v>479.29525999999976</v>
      </c>
      <c r="H31" s="33">
        <v>172.81739786285712</v>
      </c>
      <c r="I31" s="52"/>
      <c r="J31" s="53">
        <f t="shared" si="0"/>
        <v>652.11265786285685</v>
      </c>
      <c r="L31" s="151">
        <v>46048</v>
      </c>
      <c r="M31" s="152">
        <v>20839.16</v>
      </c>
      <c r="N31" s="154">
        <v>2344.9299999999998</v>
      </c>
      <c r="O31" s="158">
        <v>148.65</v>
      </c>
      <c r="P31" s="27"/>
      <c r="Q31" s="246"/>
      <c r="R31" s="246"/>
      <c r="S31" s="246"/>
      <c r="T31" s="246">
        <v>23.648467799999992</v>
      </c>
      <c r="U31" s="53">
        <f t="shared" si="1"/>
        <v>172.2984678</v>
      </c>
      <c r="W31" s="151">
        <v>46048</v>
      </c>
      <c r="X31" s="152">
        <v>17326.599999999999</v>
      </c>
      <c r="Y31" s="169"/>
      <c r="Z31" s="170">
        <v>2.1800000000000002</v>
      </c>
      <c r="AA31" s="27"/>
      <c r="AB31" s="240">
        <v>16.799999999999983</v>
      </c>
      <c r="AC31" s="240">
        <v>1160.1755347777141</v>
      </c>
      <c r="AD31" s="240"/>
      <c r="AE31" s="240"/>
      <c r="AF31" s="53">
        <f t="shared" si="2"/>
        <v>1179.1555347777141</v>
      </c>
      <c r="AH31" s="151">
        <v>46048</v>
      </c>
      <c r="AI31" s="152">
        <v>6469.31</v>
      </c>
      <c r="AJ31" s="161">
        <v>709.24</v>
      </c>
      <c r="AK31" s="162"/>
      <c r="AL31" s="27"/>
      <c r="AM31" s="32">
        <v>640.77559999999994</v>
      </c>
      <c r="AN31" s="32"/>
      <c r="AO31" s="42">
        <v>50.164917300000042</v>
      </c>
      <c r="AP31" s="52"/>
      <c r="AQ31" s="53">
        <f t="shared" si="3"/>
        <v>690.94051730000001</v>
      </c>
      <c r="AS31" s="151">
        <v>46048</v>
      </c>
      <c r="AT31" s="152">
        <v>11998.11</v>
      </c>
      <c r="AU31" s="159">
        <v>973.46</v>
      </c>
      <c r="AV31" s="152">
        <v>4414.1099999999997</v>
      </c>
      <c r="AW31" s="171"/>
      <c r="AX31" s="27"/>
      <c r="AY31" s="32">
        <v>56.339879999999994</v>
      </c>
      <c r="AZ31" s="32">
        <v>195.9614646119999</v>
      </c>
      <c r="BA31" s="348">
        <v>-25.73</v>
      </c>
      <c r="BB31" s="53">
        <f t="shared" si="4"/>
        <v>226.5713446119999</v>
      </c>
      <c r="BC31" s="350"/>
      <c r="BD31" s="151">
        <v>46048</v>
      </c>
      <c r="BE31" s="166">
        <v>1391.21</v>
      </c>
      <c r="BF31" s="181">
        <v>1159.4100000000001</v>
      </c>
      <c r="BG31" s="158">
        <v>1.69</v>
      </c>
      <c r="BH31" s="158">
        <v>32.369999999999997</v>
      </c>
      <c r="BI31" s="27"/>
      <c r="BJ31" s="51"/>
      <c r="BK31" s="42"/>
      <c r="BL31" s="44"/>
      <c r="BM31" s="53">
        <f t="shared" si="13"/>
        <v>32.369999999999997</v>
      </c>
      <c r="BO31" s="151">
        <v>46048</v>
      </c>
      <c r="BP31" s="166">
        <v>666.47</v>
      </c>
      <c r="BQ31" s="181">
        <v>659.13</v>
      </c>
      <c r="BR31" s="176">
        <v>2.13</v>
      </c>
      <c r="BS31" s="182">
        <v>46.87</v>
      </c>
      <c r="BT31" s="27"/>
      <c r="BU31" s="32">
        <v>59.811588000000015</v>
      </c>
      <c r="BV31" s="42">
        <v>810.8762329605712</v>
      </c>
      <c r="BW31" s="42"/>
      <c r="BX31" s="52"/>
      <c r="BY31" s="53">
        <f t="shared" si="5"/>
        <v>917.55782096057123</v>
      </c>
      <c r="CA31" s="151">
        <v>46048</v>
      </c>
      <c r="CB31" s="152">
        <v>5994.61</v>
      </c>
      <c r="CC31" s="159">
        <v>924.13</v>
      </c>
      <c r="CD31" s="172"/>
      <c r="CE31" s="27"/>
      <c r="CF31" s="32">
        <v>70.177289999999971</v>
      </c>
      <c r="CG31" s="42"/>
      <c r="CH31" s="44">
        <v>15.642851099999987</v>
      </c>
      <c r="CI31" s="53">
        <f t="shared" si="6"/>
        <v>85.820141099999958</v>
      </c>
      <c r="CK31" s="151">
        <v>46048</v>
      </c>
      <c r="CL31" s="152">
        <v>9227.09</v>
      </c>
      <c r="CM31" s="161">
        <v>207.54</v>
      </c>
      <c r="CN31" s="158">
        <v>763.94</v>
      </c>
      <c r="CO31" s="27"/>
      <c r="CP31" s="51"/>
      <c r="CQ31" s="33">
        <v>26.295297999999988</v>
      </c>
      <c r="CR31" s="348">
        <v>-89.196666666666701</v>
      </c>
      <c r="CS31" s="53">
        <f t="shared" si="7"/>
        <v>701.03863133333334</v>
      </c>
      <c r="CU31" s="151">
        <v>46048</v>
      </c>
      <c r="CV31" s="152">
        <v>1721.59</v>
      </c>
      <c r="CW31" s="159">
        <v>822.1</v>
      </c>
      <c r="CY31" s="158">
        <v>34.619999999999997</v>
      </c>
      <c r="CZ31" s="27"/>
      <c r="DA31" s="32">
        <v>76.195889999999991</v>
      </c>
      <c r="DB31" s="33"/>
      <c r="DC31" s="44"/>
      <c r="DD31" s="53">
        <f t="shared" si="14"/>
        <v>110.81589</v>
      </c>
      <c r="DF31" s="151">
        <v>46048</v>
      </c>
      <c r="DG31" s="152">
        <v>1286.2</v>
      </c>
      <c r="DH31" s="161">
        <v>515.67999999999995</v>
      </c>
      <c r="DI31" s="176">
        <v>4.09</v>
      </c>
      <c r="DJ31" s="27"/>
      <c r="DK31" s="32">
        <v>491.94750000000005</v>
      </c>
      <c r="DL31" s="42">
        <v>39.81839701428575</v>
      </c>
      <c r="DM31" s="44"/>
      <c r="DN31" s="53">
        <f t="shared" si="8"/>
        <v>535.8558970142858</v>
      </c>
      <c r="DP31" s="151">
        <v>46048</v>
      </c>
      <c r="DQ31" s="159">
        <v>703.53</v>
      </c>
      <c r="DR31" s="173"/>
      <c r="DS31" s="27"/>
      <c r="DT31" s="32"/>
      <c r="DU31" s="52"/>
      <c r="DV31" s="52"/>
      <c r="DW31" s="53">
        <f t="shared" si="9"/>
        <v>0</v>
      </c>
      <c r="DY31" s="151">
        <v>46048</v>
      </c>
      <c r="DZ31" s="159">
        <v>450</v>
      </c>
      <c r="EA31" s="174"/>
      <c r="EB31" s="27"/>
      <c r="EC31" s="51"/>
      <c r="ED31" s="52"/>
      <c r="EE31" s="52"/>
      <c r="EF31" s="53">
        <f t="shared" si="10"/>
        <v>0</v>
      </c>
      <c r="EH31" s="151">
        <v>46048</v>
      </c>
      <c r="EI31" s="154">
        <v>2725</v>
      </c>
      <c r="EJ31" s="176">
        <v>96.75</v>
      </c>
      <c r="EK31" s="27"/>
      <c r="EL31" s="51"/>
      <c r="EM31" s="52"/>
      <c r="EN31" s="52"/>
      <c r="EO31" s="53">
        <f t="shared" si="11"/>
        <v>96.75</v>
      </c>
      <c r="EQ31" s="151">
        <v>46048</v>
      </c>
      <c r="ER31" s="159">
        <v>1491.43</v>
      </c>
      <c r="ES31" s="173"/>
      <c r="ET31" s="27"/>
      <c r="EU31" s="32">
        <v>139.51660700000002</v>
      </c>
      <c r="EV31" s="52"/>
      <c r="EW31" s="52"/>
      <c r="EX31" s="53">
        <f t="shared" si="12"/>
        <v>139.51660700000002</v>
      </c>
    </row>
    <row r="32" spans="2:154" ht="15.75" hidden="1" x14ac:dyDescent="0.25">
      <c r="B32" s="151">
        <v>46049</v>
      </c>
      <c r="C32" s="152">
        <v>3459.45</v>
      </c>
      <c r="D32" s="159">
        <v>811.23</v>
      </c>
      <c r="E32" s="168"/>
      <c r="F32" s="27"/>
      <c r="G32" s="32">
        <v>474.18421999999975</v>
      </c>
      <c r="H32" s="33"/>
      <c r="I32" s="52"/>
      <c r="J32" s="53">
        <f t="shared" si="0"/>
        <v>474.18421999999975</v>
      </c>
      <c r="L32" s="151">
        <v>46049</v>
      </c>
      <c r="M32" s="152">
        <v>14171.26</v>
      </c>
      <c r="N32" s="154">
        <v>2186.6999999999998</v>
      </c>
      <c r="O32" s="158">
        <v>24.19</v>
      </c>
      <c r="P32" s="27"/>
      <c r="Q32" s="246"/>
      <c r="R32" s="246"/>
      <c r="S32" s="246"/>
      <c r="T32" s="246"/>
      <c r="U32" s="53">
        <f t="shared" si="1"/>
        <v>24.19</v>
      </c>
      <c r="W32" s="151">
        <v>46049</v>
      </c>
      <c r="X32" s="152">
        <v>13360.47</v>
      </c>
      <c r="Y32" s="169"/>
      <c r="Z32" s="170">
        <v>3.26</v>
      </c>
      <c r="AA32" s="27"/>
      <c r="AB32" s="240">
        <v>28.50648000000001</v>
      </c>
      <c r="AC32" s="240">
        <v>1434.4130501999994</v>
      </c>
      <c r="AD32" s="240"/>
      <c r="AE32" s="240"/>
      <c r="AF32" s="53">
        <f t="shared" si="2"/>
        <v>1466.1795301999994</v>
      </c>
      <c r="AH32" s="151">
        <v>46049</v>
      </c>
      <c r="AI32" s="152">
        <v>4187.24</v>
      </c>
      <c r="AJ32" s="161">
        <v>845.91</v>
      </c>
      <c r="AK32" s="162"/>
      <c r="AL32" s="27"/>
      <c r="AM32" s="32">
        <v>852.39620000000002</v>
      </c>
      <c r="AN32" s="32"/>
      <c r="AO32" s="42"/>
      <c r="AP32" s="52"/>
      <c r="AQ32" s="53">
        <f t="shared" si="3"/>
        <v>852.39620000000002</v>
      </c>
      <c r="AS32" s="151">
        <v>46049</v>
      </c>
      <c r="AT32" s="152">
        <v>13049.1</v>
      </c>
      <c r="AU32" s="159">
        <v>938.42</v>
      </c>
      <c r="AV32" s="152">
        <v>4397.74</v>
      </c>
      <c r="AW32" s="171"/>
      <c r="AX32" s="27"/>
      <c r="AY32" s="32">
        <v>5.6806199999999851</v>
      </c>
      <c r="AZ32" s="32">
        <v>340.15325026857141</v>
      </c>
      <c r="BA32" s="348">
        <v>-25.73</v>
      </c>
      <c r="BB32" s="53">
        <f t="shared" si="4"/>
        <v>320.10387026857137</v>
      </c>
      <c r="BC32" s="350"/>
      <c r="BD32" s="151">
        <v>46049</v>
      </c>
      <c r="BE32" s="166">
        <v>812.59</v>
      </c>
      <c r="BF32" s="181">
        <v>1143.28</v>
      </c>
      <c r="BG32" s="158">
        <v>2.2000000000000002</v>
      </c>
      <c r="BH32" s="158">
        <v>11.29</v>
      </c>
      <c r="BI32" s="27"/>
      <c r="BJ32" s="51"/>
      <c r="BK32" s="42"/>
      <c r="BL32" s="44"/>
      <c r="BM32" s="53">
        <f t="shared" si="13"/>
        <v>11.29</v>
      </c>
      <c r="BO32" s="151">
        <v>46049</v>
      </c>
      <c r="BP32" s="166">
        <v>966.62</v>
      </c>
      <c r="BQ32" s="181">
        <v>451.81</v>
      </c>
      <c r="BR32" s="176">
        <v>1.77</v>
      </c>
      <c r="BS32" s="182">
        <v>89.62</v>
      </c>
      <c r="BT32" s="27"/>
      <c r="BU32" s="32">
        <v>16.13833200000002</v>
      </c>
      <c r="BV32" s="42">
        <v>319.88048376076108</v>
      </c>
      <c r="BW32" s="42"/>
      <c r="BX32" s="52"/>
      <c r="BY32" s="53">
        <f t="shared" si="5"/>
        <v>425.63881576076108</v>
      </c>
      <c r="CA32" s="151">
        <v>46049</v>
      </c>
      <c r="CB32" s="152">
        <v>6952.01</v>
      </c>
      <c r="CC32" s="159">
        <v>650.76</v>
      </c>
      <c r="CD32" s="172"/>
      <c r="CE32" s="27"/>
      <c r="CF32" s="32">
        <v>67.88660999999999</v>
      </c>
      <c r="CG32" s="42"/>
      <c r="CH32" s="44"/>
      <c r="CI32" s="53">
        <f t="shared" si="6"/>
        <v>67.88660999999999</v>
      </c>
      <c r="CK32" s="151">
        <v>46049</v>
      </c>
      <c r="CL32" s="152">
        <v>5835.01</v>
      </c>
      <c r="CM32" s="161">
        <v>290</v>
      </c>
      <c r="CN32" s="158">
        <v>457.04</v>
      </c>
      <c r="CO32" s="27"/>
      <c r="CP32" s="51"/>
      <c r="CQ32" s="33">
        <v>267.10836960000017</v>
      </c>
      <c r="CR32" s="348">
        <v>-89.196666666666701</v>
      </c>
      <c r="CS32" s="53">
        <f t="shared" si="7"/>
        <v>634.95170293333354</v>
      </c>
      <c r="CU32" s="151">
        <v>46049</v>
      </c>
      <c r="CV32" s="159">
        <v>407.03</v>
      </c>
      <c r="CW32" s="159">
        <v>445</v>
      </c>
      <c r="CY32" s="158">
        <v>14.8</v>
      </c>
      <c r="CZ32" s="27"/>
      <c r="DA32" s="32">
        <v>23.61054</v>
      </c>
      <c r="DB32" s="33"/>
      <c r="DC32" s="44"/>
      <c r="DD32" s="53">
        <f t="shared" si="14"/>
        <v>38.410539999999997</v>
      </c>
      <c r="DF32" s="151">
        <v>46049</v>
      </c>
      <c r="DG32" s="152">
        <v>1897.61</v>
      </c>
      <c r="DH32" s="161">
        <v>573.19000000000005</v>
      </c>
      <c r="DI32" s="162"/>
      <c r="DJ32" s="27"/>
      <c r="DK32" s="32">
        <v>329.18112000000008</v>
      </c>
      <c r="DL32" s="42"/>
      <c r="DM32" s="44"/>
      <c r="DN32" s="53">
        <f t="shared" si="8"/>
        <v>329.18112000000008</v>
      </c>
      <c r="DP32" s="151">
        <v>46049</v>
      </c>
      <c r="DQ32" s="159">
        <v>763.25</v>
      </c>
      <c r="DR32" s="173"/>
      <c r="DS32" s="27"/>
      <c r="DT32" s="32"/>
      <c r="DU32" s="52"/>
      <c r="DV32" s="52"/>
      <c r="DW32" s="53">
        <f t="shared" si="9"/>
        <v>0</v>
      </c>
      <c r="DY32" s="151">
        <v>46049</v>
      </c>
      <c r="DZ32" s="166">
        <v>0</v>
      </c>
      <c r="EA32" s="174"/>
      <c r="EB32" s="27"/>
      <c r="EC32" s="51"/>
      <c r="ED32" s="52"/>
      <c r="EE32" s="52"/>
      <c r="EF32" s="53">
        <f t="shared" si="10"/>
        <v>0</v>
      </c>
      <c r="EH32" s="151">
        <v>46049</v>
      </c>
      <c r="EI32" s="154">
        <v>1781.2</v>
      </c>
      <c r="EJ32" s="176">
        <v>30</v>
      </c>
      <c r="EK32" s="27"/>
      <c r="EL32" s="51"/>
      <c r="EM32" s="52"/>
      <c r="EN32" s="52"/>
      <c r="EO32" s="53">
        <f t="shared" si="11"/>
        <v>30</v>
      </c>
      <c r="EQ32" s="151">
        <v>46049</v>
      </c>
      <c r="ER32" s="159">
        <v>870.93</v>
      </c>
      <c r="ES32" s="173"/>
      <c r="ET32" s="27"/>
      <c r="EU32" s="32">
        <v>45.276769000000002</v>
      </c>
      <c r="EV32" s="52"/>
      <c r="EW32" s="52"/>
      <c r="EX32" s="53">
        <f t="shared" si="12"/>
        <v>45.276769000000002</v>
      </c>
    </row>
    <row r="33" spans="2:154" ht="15.75" hidden="1" x14ac:dyDescent="0.25">
      <c r="B33" s="151">
        <v>46050</v>
      </c>
      <c r="C33" s="152">
        <v>2911.64</v>
      </c>
      <c r="D33" s="159">
        <v>809.35</v>
      </c>
      <c r="E33" s="168"/>
      <c r="F33" s="27"/>
      <c r="G33" s="32">
        <v>383.31778999999983</v>
      </c>
      <c r="H33" s="33">
        <v>114.45119009523799</v>
      </c>
      <c r="I33" s="52"/>
      <c r="J33" s="53">
        <f t="shared" si="0"/>
        <v>497.76898009523779</v>
      </c>
      <c r="L33" s="151">
        <v>46050</v>
      </c>
      <c r="M33" s="152">
        <v>17241.2</v>
      </c>
      <c r="N33" s="154">
        <v>2004.36</v>
      </c>
      <c r="O33" s="158">
        <v>44.68</v>
      </c>
      <c r="P33" s="27"/>
      <c r="Q33" s="246">
        <v>9</v>
      </c>
      <c r="R33" s="246">
        <v>12.555859485333301</v>
      </c>
      <c r="S33" s="246"/>
      <c r="T33" s="246"/>
      <c r="U33" s="53">
        <f t="shared" si="1"/>
        <v>66.235859485333293</v>
      </c>
      <c r="W33" s="151">
        <v>46050</v>
      </c>
      <c r="X33" s="152">
        <v>21147.63</v>
      </c>
      <c r="Y33" s="169"/>
      <c r="Z33" s="170">
        <v>6.19</v>
      </c>
      <c r="AA33" s="27"/>
      <c r="AB33" s="240">
        <v>18.181840000000001</v>
      </c>
      <c r="AC33" s="240">
        <v>19.851770923809482</v>
      </c>
      <c r="AD33" s="240"/>
      <c r="AE33" s="240"/>
      <c r="AF33" s="53">
        <f t="shared" si="2"/>
        <v>44.223610923809488</v>
      </c>
      <c r="AH33" s="151">
        <v>46050</v>
      </c>
      <c r="AI33" s="152">
        <v>5296.79</v>
      </c>
      <c r="AJ33" s="161">
        <v>906.25</v>
      </c>
      <c r="AK33" s="162"/>
      <c r="AL33" s="27"/>
      <c r="AM33" s="32">
        <v>537.84484000000009</v>
      </c>
      <c r="AN33" s="32"/>
      <c r="AO33" s="42">
        <v>84.075994514285725</v>
      </c>
      <c r="AP33" s="52"/>
      <c r="AQ33" s="53">
        <f t="shared" si="3"/>
        <v>621.92083451428584</v>
      </c>
      <c r="AS33" s="151">
        <v>46050</v>
      </c>
      <c r="AT33" s="152">
        <v>12216.87</v>
      </c>
      <c r="AU33" s="159">
        <v>678.09</v>
      </c>
      <c r="AV33" s="152">
        <v>4432.5600000000004</v>
      </c>
      <c r="AW33" s="171"/>
      <c r="AX33" s="27"/>
      <c r="AY33" s="32">
        <v>5.3198399999999992</v>
      </c>
      <c r="AZ33" s="32">
        <v>3.4130629154285543</v>
      </c>
      <c r="BA33" s="348">
        <v>-25.73</v>
      </c>
      <c r="BB33" s="53">
        <f t="shared" si="4"/>
        <v>-16.997097084571447</v>
      </c>
      <c r="BC33" s="350"/>
      <c r="BD33" s="151">
        <v>46050</v>
      </c>
      <c r="BE33" s="166">
        <v>916.16</v>
      </c>
      <c r="BF33" s="181">
        <v>1013.48</v>
      </c>
      <c r="BG33" s="158">
        <v>1.6</v>
      </c>
      <c r="BH33" s="158">
        <v>13.29</v>
      </c>
      <c r="BI33" s="27"/>
      <c r="BJ33" s="51"/>
      <c r="BK33" s="42"/>
      <c r="BL33" s="44"/>
      <c r="BM33" s="53">
        <f t="shared" si="13"/>
        <v>13.29</v>
      </c>
      <c r="BO33" s="151">
        <v>46050</v>
      </c>
      <c r="BP33" s="166">
        <v>722.09</v>
      </c>
      <c r="BQ33" s="181">
        <v>344.73</v>
      </c>
      <c r="BR33" s="176">
        <v>2.5</v>
      </c>
      <c r="BS33" s="182">
        <v>24.41</v>
      </c>
      <c r="BT33" s="27"/>
      <c r="BU33" s="32">
        <v>21.547187999999991</v>
      </c>
      <c r="BV33" s="42">
        <v>856.42397321523595</v>
      </c>
      <c r="BW33" s="42"/>
      <c r="BX33" s="52"/>
      <c r="BY33" s="53">
        <f t="shared" si="5"/>
        <v>902.38116121523592</v>
      </c>
      <c r="CA33" s="151">
        <v>46050</v>
      </c>
      <c r="CB33" s="152">
        <v>6953.97</v>
      </c>
      <c r="CC33" s="159">
        <v>875.29</v>
      </c>
      <c r="CD33" s="172"/>
      <c r="CE33" s="27"/>
      <c r="CF33" s="32">
        <v>285.06786000000011</v>
      </c>
      <c r="CG33" s="42"/>
      <c r="CH33" s="44"/>
      <c r="CI33" s="53">
        <f t="shared" si="6"/>
        <v>285.06786000000011</v>
      </c>
      <c r="CK33" s="151">
        <v>46050</v>
      </c>
      <c r="CL33" s="152">
        <v>3728.76</v>
      </c>
      <c r="CM33" s="161">
        <v>629.15</v>
      </c>
      <c r="CN33" s="158">
        <v>536.42999999999995</v>
      </c>
      <c r="CO33" s="27"/>
      <c r="CP33" s="51"/>
      <c r="CQ33" s="33">
        <v>635.73730260000025</v>
      </c>
      <c r="CR33" s="348">
        <v>-89.196666666666701</v>
      </c>
      <c r="CS33" s="53">
        <f t="shared" si="7"/>
        <v>1082.9706359333336</v>
      </c>
      <c r="CU33" s="151">
        <v>46050</v>
      </c>
      <c r="CV33" s="159">
        <v>557.92999999999995</v>
      </c>
      <c r="CW33" s="159">
        <v>545.20000000000005</v>
      </c>
      <c r="CY33" s="158">
        <v>73.63</v>
      </c>
      <c r="CZ33" s="27"/>
      <c r="DA33" s="32">
        <v>86.006880000000038</v>
      </c>
      <c r="DB33" s="33"/>
      <c r="DC33" s="44">
        <v>3.3166373999999905</v>
      </c>
      <c r="DD33" s="53">
        <f t="shared" si="14"/>
        <v>162.95351740000001</v>
      </c>
      <c r="DF33" s="151">
        <v>46050</v>
      </c>
      <c r="DG33" s="152">
        <v>1408.05</v>
      </c>
      <c r="DH33" s="161">
        <v>460.28</v>
      </c>
      <c r="DI33" s="162"/>
      <c r="DJ33" s="27"/>
      <c r="DK33" s="32">
        <v>201.16622000000007</v>
      </c>
      <c r="DL33" s="42">
        <v>20.344147005714291</v>
      </c>
      <c r="DM33" s="44"/>
      <c r="DN33" s="53">
        <f t="shared" si="8"/>
        <v>221.51036700571436</v>
      </c>
      <c r="DP33" s="151">
        <v>46050</v>
      </c>
      <c r="DQ33" s="159">
        <v>559.03</v>
      </c>
      <c r="DR33" s="173"/>
      <c r="DS33" s="27"/>
      <c r="DT33" s="32"/>
      <c r="DU33" s="52"/>
      <c r="DV33" s="52"/>
      <c r="DW33" s="53">
        <f t="shared" si="9"/>
        <v>0</v>
      </c>
      <c r="DY33" s="151">
        <v>46050</v>
      </c>
      <c r="DZ33" s="159">
        <v>246.8</v>
      </c>
      <c r="EA33" s="174"/>
      <c r="EB33" s="27"/>
      <c r="EC33" s="51"/>
      <c r="ED33" s="52"/>
      <c r="EE33" s="52"/>
      <c r="EF33" s="53">
        <f t="shared" si="10"/>
        <v>0</v>
      </c>
      <c r="EH33" s="151">
        <v>46050</v>
      </c>
      <c r="EI33" s="154">
        <v>1118.5999999999999</v>
      </c>
      <c r="EJ33" s="176">
        <v>1600</v>
      </c>
      <c r="EK33" s="27"/>
      <c r="EL33" s="51"/>
      <c r="EM33" s="52"/>
      <c r="EN33" s="52"/>
      <c r="EO33" s="53">
        <f t="shared" si="11"/>
        <v>1600</v>
      </c>
      <c r="EQ33" s="151">
        <v>46050</v>
      </c>
      <c r="ER33" s="159">
        <v>2548.85</v>
      </c>
      <c r="ES33" s="173"/>
      <c r="ET33" s="27"/>
      <c r="EU33" s="32">
        <v>19.560000000000002</v>
      </c>
      <c r="EV33" s="52"/>
      <c r="EW33" s="52"/>
      <c r="EX33" s="53">
        <f t="shared" si="12"/>
        <v>19.560000000000002</v>
      </c>
    </row>
    <row r="34" spans="2:154" ht="15.75" hidden="1" x14ac:dyDescent="0.25">
      <c r="B34" s="151">
        <v>46051</v>
      </c>
      <c r="C34" s="152">
        <v>2464.7800000000002</v>
      </c>
      <c r="D34" s="159">
        <v>1135.58</v>
      </c>
      <c r="E34" s="168"/>
      <c r="F34" s="27"/>
      <c r="G34" s="32">
        <v>237.15068999999986</v>
      </c>
      <c r="H34" s="33">
        <v>39.72904952380955</v>
      </c>
      <c r="I34" s="52"/>
      <c r="J34" s="53">
        <f t="shared" si="0"/>
        <v>276.87973952380941</v>
      </c>
      <c r="L34" s="151">
        <v>46051</v>
      </c>
      <c r="M34" s="152">
        <v>19462.080000000002</v>
      </c>
      <c r="N34" s="154">
        <v>2563.67</v>
      </c>
      <c r="O34" s="158">
        <v>37.33</v>
      </c>
      <c r="P34" s="27"/>
      <c r="Q34" s="246">
        <v>45.527039999999971</v>
      </c>
      <c r="R34" s="246"/>
      <c r="S34" s="246"/>
      <c r="T34" s="246"/>
      <c r="U34" s="53">
        <f t="shared" si="1"/>
        <v>82.857039999999969</v>
      </c>
      <c r="W34" s="151">
        <v>46051</v>
      </c>
      <c r="X34" s="152">
        <v>17204.580000000002</v>
      </c>
      <c r="Y34" s="169"/>
      <c r="Z34" s="170">
        <v>1.8</v>
      </c>
      <c r="AA34" s="27"/>
      <c r="AB34" s="240">
        <v>24.235239999999997</v>
      </c>
      <c r="AC34" s="240"/>
      <c r="AD34" s="240"/>
      <c r="AE34" s="240"/>
      <c r="AF34" s="53">
        <f t="shared" si="2"/>
        <v>26.035239999999998</v>
      </c>
      <c r="AH34" s="151">
        <v>46051</v>
      </c>
      <c r="AI34" s="152">
        <v>4634.49</v>
      </c>
      <c r="AJ34" s="161">
        <v>738.63</v>
      </c>
      <c r="AK34" s="162"/>
      <c r="AL34" s="27"/>
      <c r="AM34" s="32">
        <v>470.61956000000004</v>
      </c>
      <c r="AN34" s="32"/>
      <c r="AO34" s="42"/>
      <c r="AP34" s="52"/>
      <c r="AQ34" s="53">
        <f t="shared" si="3"/>
        <v>470.61956000000004</v>
      </c>
      <c r="AS34" s="151">
        <v>46051</v>
      </c>
      <c r="AT34" s="152">
        <v>13066.09</v>
      </c>
      <c r="AU34" s="152">
        <v>1415.51</v>
      </c>
      <c r="AV34" s="152">
        <v>2848.47</v>
      </c>
      <c r="AW34" s="171"/>
      <c r="AX34" s="27"/>
      <c r="AY34" s="32">
        <v>12.677939999999982</v>
      </c>
      <c r="AZ34" s="32">
        <v>82.175332663999953</v>
      </c>
      <c r="BA34" s="348">
        <v>-25.73</v>
      </c>
      <c r="BB34" s="53">
        <f t="shared" si="4"/>
        <v>69.123272663999927</v>
      </c>
      <c r="BC34" s="350"/>
      <c r="BD34" s="151">
        <v>46051</v>
      </c>
      <c r="BE34" s="159">
        <v>932.83</v>
      </c>
      <c r="BF34" s="161">
        <v>958.87</v>
      </c>
      <c r="BG34" s="162"/>
      <c r="BH34" s="158">
        <v>34.25</v>
      </c>
      <c r="BI34" s="27"/>
      <c r="BJ34" s="51"/>
      <c r="BK34" s="42"/>
      <c r="BL34" s="44"/>
      <c r="BM34" s="53">
        <f t="shared" si="13"/>
        <v>34.25</v>
      </c>
      <c r="BO34" s="151">
        <v>46051</v>
      </c>
      <c r="BP34" s="159">
        <v>554.09</v>
      </c>
      <c r="BQ34" s="161">
        <v>628.49</v>
      </c>
      <c r="BR34" s="158">
        <v>0.77</v>
      </c>
      <c r="BS34" s="163">
        <v>88.22</v>
      </c>
      <c r="BT34" s="27"/>
      <c r="BU34" s="32">
        <v>11.130696</v>
      </c>
      <c r="BV34" s="42">
        <v>578.82774117371264</v>
      </c>
      <c r="BW34" s="42"/>
      <c r="BX34" s="52"/>
      <c r="BY34" s="53">
        <f t="shared" si="5"/>
        <v>678.17843717371261</v>
      </c>
      <c r="CA34" s="151">
        <v>46051</v>
      </c>
      <c r="CB34" s="152">
        <v>5068.38</v>
      </c>
      <c r="CC34" s="159">
        <v>1005</v>
      </c>
      <c r="CD34" s="172"/>
      <c r="CE34" s="27"/>
      <c r="CF34" s="32">
        <v>110.4897900000001</v>
      </c>
      <c r="CG34" s="42"/>
      <c r="CH34" s="44"/>
      <c r="CI34" s="53">
        <f t="shared" si="6"/>
        <v>110.4897900000001</v>
      </c>
      <c r="CK34" s="151">
        <v>46051</v>
      </c>
      <c r="CL34" s="152">
        <v>2213.81</v>
      </c>
      <c r="CM34" s="161">
        <v>221.21</v>
      </c>
      <c r="CN34" s="158">
        <v>364.12</v>
      </c>
      <c r="CO34" s="27"/>
      <c r="CP34" s="51"/>
      <c r="CQ34" s="33">
        <v>682.85387160000028</v>
      </c>
      <c r="CR34" s="348">
        <v>-89.196666666666701</v>
      </c>
      <c r="CS34" s="53">
        <f t="shared" si="7"/>
        <v>957.77720493333345</v>
      </c>
      <c r="CU34" s="151">
        <v>46051</v>
      </c>
      <c r="CV34" s="159">
        <v>482.57</v>
      </c>
      <c r="CW34" s="159">
        <v>503.3</v>
      </c>
      <c r="CY34" s="158">
        <v>79.239999999999995</v>
      </c>
      <c r="CZ34" s="27"/>
      <c r="DA34" s="32">
        <v>73.729309999999998</v>
      </c>
      <c r="DB34" s="33"/>
      <c r="DC34" s="44"/>
      <c r="DD34" s="53">
        <f t="shared" si="14"/>
        <v>152.96931000000001</v>
      </c>
      <c r="DF34" s="151">
        <v>46051</v>
      </c>
      <c r="DG34" s="152">
        <v>2167.02</v>
      </c>
      <c r="DH34" s="161">
        <v>486.37</v>
      </c>
      <c r="DI34" s="162"/>
      <c r="DJ34" s="27"/>
      <c r="DK34" s="32">
        <v>245.17951000000016</v>
      </c>
      <c r="DL34" s="42">
        <v>28.580669760000006</v>
      </c>
      <c r="DM34" s="44"/>
      <c r="DN34" s="53">
        <f t="shared" si="8"/>
        <v>273.76017976000014</v>
      </c>
      <c r="DP34" s="151">
        <v>46051</v>
      </c>
      <c r="DQ34" s="159">
        <v>731.07</v>
      </c>
      <c r="DR34" s="173"/>
      <c r="DS34" s="27"/>
      <c r="DT34" s="32"/>
      <c r="DU34" s="52"/>
      <c r="DV34" s="52"/>
      <c r="DW34" s="53">
        <f t="shared" si="9"/>
        <v>0</v>
      </c>
      <c r="DY34" s="151">
        <v>46051</v>
      </c>
      <c r="DZ34" s="159">
        <v>37</v>
      </c>
      <c r="EA34" s="174"/>
      <c r="EB34" s="27"/>
      <c r="EC34" s="51"/>
      <c r="ED34" s="52"/>
      <c r="EE34" s="52"/>
      <c r="EF34" s="53">
        <f t="shared" si="10"/>
        <v>0</v>
      </c>
      <c r="EH34" s="151">
        <v>46051</v>
      </c>
      <c r="EI34" s="161">
        <v>1227.0999999999999</v>
      </c>
      <c r="EJ34" s="162"/>
      <c r="EK34" s="27"/>
      <c r="EL34" s="51"/>
      <c r="EM34" s="52"/>
      <c r="EN34" s="52"/>
      <c r="EO34" s="53">
        <f t="shared" si="11"/>
        <v>0</v>
      </c>
      <c r="EQ34" s="151">
        <v>46051</v>
      </c>
      <c r="ER34" s="152">
        <v>1847.93</v>
      </c>
      <c r="ES34" s="173"/>
      <c r="ET34" s="27"/>
      <c r="EU34" s="32">
        <v>43.788566000000024</v>
      </c>
      <c r="EV34" s="52"/>
      <c r="EW34" s="52"/>
      <c r="EX34" s="53">
        <f t="shared" si="12"/>
        <v>43.788566000000024</v>
      </c>
    </row>
    <row r="35" spans="2:154" ht="15.75" hidden="1" x14ac:dyDescent="0.25">
      <c r="B35" s="151">
        <v>46052</v>
      </c>
      <c r="C35" s="152">
        <v>3514.57</v>
      </c>
      <c r="D35" s="152">
        <v>1624.74</v>
      </c>
      <c r="E35" s="168"/>
      <c r="F35" s="27"/>
      <c r="G35" s="32">
        <v>371.57140999999984</v>
      </c>
      <c r="H35" s="33">
        <v>102.78666086857143</v>
      </c>
      <c r="I35" s="52"/>
      <c r="J35" s="53">
        <f t="shared" si="0"/>
        <v>474.3580708685713</v>
      </c>
      <c r="L35" s="151">
        <v>46052</v>
      </c>
      <c r="M35" s="152">
        <v>17944.060000000001</v>
      </c>
      <c r="N35" s="154">
        <v>2119.8000000000002</v>
      </c>
      <c r="O35" s="158">
        <v>23.91</v>
      </c>
      <c r="P35" s="27"/>
      <c r="Q35" s="246">
        <v>6.6220000000000141</v>
      </c>
      <c r="R35" s="246">
        <v>200.49694121904773</v>
      </c>
      <c r="S35" s="246"/>
      <c r="T35" s="246">
        <v>45.27732919999994</v>
      </c>
      <c r="U35" s="53">
        <f t="shared" si="1"/>
        <v>276.30627041904768</v>
      </c>
      <c r="W35" s="151">
        <v>46052</v>
      </c>
      <c r="X35" s="152">
        <v>21506.52</v>
      </c>
      <c r="Y35" s="169"/>
      <c r="Z35" s="170">
        <v>3.63</v>
      </c>
      <c r="AA35" s="27"/>
      <c r="AB35" s="240">
        <v>88.176059999999978</v>
      </c>
      <c r="AC35" s="240">
        <v>89.314353845714322</v>
      </c>
      <c r="AD35" s="240"/>
      <c r="AE35" s="240"/>
      <c r="AF35" s="53">
        <f t="shared" si="2"/>
        <v>181.1204138457143</v>
      </c>
      <c r="AH35" s="151">
        <v>46052</v>
      </c>
      <c r="AI35" s="152">
        <v>5270.04</v>
      </c>
      <c r="AJ35" s="161">
        <v>892.03</v>
      </c>
      <c r="AK35" s="162"/>
      <c r="AL35" s="27"/>
      <c r="AM35" s="32">
        <v>333.32979999999998</v>
      </c>
      <c r="AN35" s="32"/>
      <c r="AO35" s="42"/>
      <c r="AP35" s="52"/>
      <c r="AQ35" s="53">
        <f t="shared" si="3"/>
        <v>333.32979999999998</v>
      </c>
      <c r="AS35" s="151">
        <v>46052</v>
      </c>
      <c r="AT35" s="152">
        <v>15659.83</v>
      </c>
      <c r="AU35" s="152">
        <v>1344.35</v>
      </c>
      <c r="AV35" s="152">
        <v>3250.29</v>
      </c>
      <c r="AW35" s="180"/>
      <c r="AX35" s="27"/>
      <c r="AY35" s="32"/>
      <c r="AZ35" s="53">
        <v>78.322114792380972</v>
      </c>
      <c r="BA35" s="348">
        <v>-25.73</v>
      </c>
      <c r="BB35" s="53">
        <f t="shared" si="4"/>
        <v>52.592114792380968</v>
      </c>
      <c r="BC35" s="350"/>
      <c r="BD35" s="151">
        <v>46052</v>
      </c>
      <c r="BE35" s="159">
        <v>820.1</v>
      </c>
      <c r="BF35" s="161">
        <v>1318.35</v>
      </c>
      <c r="BG35" s="158">
        <v>1.85</v>
      </c>
      <c r="BH35" s="158">
        <v>5</v>
      </c>
      <c r="BI35" s="27"/>
      <c r="BJ35" s="51"/>
      <c r="BK35" s="42"/>
      <c r="BL35" s="44"/>
      <c r="BM35" s="53">
        <f t="shared" si="13"/>
        <v>5</v>
      </c>
      <c r="BO35" s="151">
        <v>46052</v>
      </c>
      <c r="BP35" s="159">
        <v>942.76</v>
      </c>
      <c r="BQ35" s="161">
        <v>479.27</v>
      </c>
      <c r="BR35" s="176">
        <v>2.21</v>
      </c>
      <c r="BS35" s="182">
        <v>55.95</v>
      </c>
      <c r="BT35" s="27"/>
      <c r="BU35" s="32">
        <v>35.917271000000028</v>
      </c>
      <c r="BV35" s="42">
        <v>367.83873119801808</v>
      </c>
      <c r="BW35" s="42"/>
      <c r="BX35" s="52"/>
      <c r="BY35" s="53">
        <f t="shared" si="5"/>
        <v>459.7060021980181</v>
      </c>
      <c r="CA35" s="151">
        <v>46052</v>
      </c>
      <c r="CB35" s="152">
        <v>5630.96</v>
      </c>
      <c r="CC35" s="159">
        <v>1563.59</v>
      </c>
      <c r="CD35" s="172"/>
      <c r="CE35" s="27"/>
      <c r="CF35" s="32">
        <v>95.806580000000054</v>
      </c>
      <c r="CG35" s="42"/>
      <c r="CH35" s="44"/>
      <c r="CI35" s="53">
        <f t="shared" si="6"/>
        <v>95.806580000000054</v>
      </c>
      <c r="CK35" s="151">
        <v>46052</v>
      </c>
      <c r="CL35" s="152">
        <v>7443.6</v>
      </c>
      <c r="CM35" s="161">
        <v>369.19</v>
      </c>
      <c r="CN35" s="158">
        <v>664.78</v>
      </c>
      <c r="CO35" s="27"/>
      <c r="CP35" s="51"/>
      <c r="CQ35" s="33">
        <v>938.56770000000051</v>
      </c>
      <c r="CR35" s="348">
        <v>-89.196666666666701</v>
      </c>
      <c r="CS35" s="53">
        <f t="shared" si="7"/>
        <v>1514.1510333333338</v>
      </c>
      <c r="CU35" s="151">
        <v>46052</v>
      </c>
      <c r="CV35" s="159">
        <v>1477.1</v>
      </c>
      <c r="CW35" s="159">
        <v>926</v>
      </c>
      <c r="CY35" s="158">
        <v>7.8</v>
      </c>
      <c r="CZ35" s="27"/>
      <c r="DA35" s="32">
        <v>9.7073599999999942</v>
      </c>
      <c r="DB35" s="33">
        <v>24.92368057142852</v>
      </c>
      <c r="DC35" s="44"/>
      <c r="DD35" s="53">
        <f t="shared" si="14"/>
        <v>42.431040571428511</v>
      </c>
      <c r="DF35" s="151">
        <v>46052</v>
      </c>
      <c r="DG35" s="159">
        <v>718.59</v>
      </c>
      <c r="DH35" s="161">
        <v>192.55</v>
      </c>
      <c r="DI35" s="162"/>
      <c r="DJ35" s="27"/>
      <c r="DK35" s="32">
        <v>119.51035999999999</v>
      </c>
      <c r="DL35" s="42"/>
      <c r="DM35" s="44"/>
      <c r="DN35" s="53">
        <f t="shared" si="8"/>
        <v>119.51035999999999</v>
      </c>
      <c r="DP35" s="151">
        <v>46052</v>
      </c>
      <c r="DQ35" s="159">
        <v>775</v>
      </c>
      <c r="DR35" s="173"/>
      <c r="DS35" s="27"/>
      <c r="DT35" s="32"/>
      <c r="DU35" s="52"/>
      <c r="DV35" s="52"/>
      <c r="DW35" s="53">
        <f t="shared" si="9"/>
        <v>0</v>
      </c>
      <c r="DY35" s="151">
        <v>46052</v>
      </c>
      <c r="DZ35" s="159">
        <v>0</v>
      </c>
      <c r="EA35" s="174"/>
      <c r="EB35" s="27"/>
      <c r="EC35" s="51"/>
      <c r="ED35" s="52"/>
      <c r="EE35" s="52"/>
      <c r="EF35" s="53">
        <f t="shared" si="10"/>
        <v>0</v>
      </c>
      <c r="EH35" s="151">
        <v>46052</v>
      </c>
      <c r="EI35" s="154">
        <v>2906.35</v>
      </c>
      <c r="EJ35" s="183">
        <v>2918</v>
      </c>
      <c r="EK35" s="27"/>
      <c r="EL35" s="51"/>
      <c r="EM35" s="52"/>
      <c r="EN35" s="52"/>
      <c r="EO35" s="53">
        <f t="shared" si="11"/>
        <v>2918</v>
      </c>
      <c r="EQ35" s="151">
        <v>46052</v>
      </c>
      <c r="ER35" s="152">
        <v>2015.82</v>
      </c>
      <c r="ES35" s="173"/>
      <c r="ET35" s="27"/>
      <c r="EU35" s="32">
        <v>14.824224000000001</v>
      </c>
      <c r="EV35" s="52"/>
      <c r="EW35" s="52"/>
      <c r="EX35" s="53">
        <f t="shared" si="12"/>
        <v>14.824224000000001</v>
      </c>
    </row>
    <row r="36" spans="2:154" ht="16.5" hidden="1" thickBot="1" x14ac:dyDescent="0.3">
      <c r="B36" s="151">
        <v>46053</v>
      </c>
      <c r="C36" s="152">
        <v>2292.6</v>
      </c>
      <c r="D36" s="152">
        <v>1523.07</v>
      </c>
      <c r="E36" s="184"/>
      <c r="F36" s="27"/>
      <c r="G36" s="32">
        <v>243.60629999999992</v>
      </c>
      <c r="H36" s="33"/>
      <c r="I36" s="80"/>
      <c r="J36" s="81">
        <f t="shared" si="0"/>
        <v>243.60629999999992</v>
      </c>
      <c r="L36" s="151">
        <v>46053</v>
      </c>
      <c r="M36" s="152">
        <v>24856.06</v>
      </c>
      <c r="N36" s="154">
        <v>3342.96</v>
      </c>
      <c r="O36" s="158">
        <v>72.489999999999995</v>
      </c>
      <c r="P36" s="27"/>
      <c r="Q36" s="247">
        <v>1.2495000000000012</v>
      </c>
      <c r="R36" s="247"/>
      <c r="S36" s="247"/>
      <c r="T36" s="247"/>
      <c r="U36" s="81">
        <f t="shared" si="1"/>
        <v>73.739499999999992</v>
      </c>
      <c r="W36" s="151">
        <v>46053</v>
      </c>
      <c r="X36" s="152">
        <v>25126.13</v>
      </c>
      <c r="Y36" s="185"/>
      <c r="Z36" s="170">
        <v>1.0900000000000001</v>
      </c>
      <c r="AA36" s="27"/>
      <c r="AB36" s="244">
        <v>180.28847999999994</v>
      </c>
      <c r="AC36" s="244">
        <v>12.230533993523792</v>
      </c>
      <c r="AD36" s="244"/>
      <c r="AE36" s="244"/>
      <c r="AF36" s="81">
        <f t="shared" si="2"/>
        <v>193.60901399352372</v>
      </c>
      <c r="AH36" s="151">
        <v>46053</v>
      </c>
      <c r="AI36" s="152">
        <v>6427.33</v>
      </c>
      <c r="AJ36" s="154">
        <v>1240.3699999999999</v>
      </c>
      <c r="AK36" s="162"/>
      <c r="AL36" s="27"/>
      <c r="AM36" s="32">
        <v>339.49895999999995</v>
      </c>
      <c r="AN36" s="32"/>
      <c r="AO36" s="42"/>
      <c r="AP36" s="80"/>
      <c r="AQ36" s="81">
        <f t="shared" si="3"/>
        <v>339.49895999999995</v>
      </c>
      <c r="AS36" s="151">
        <v>46053</v>
      </c>
      <c r="AT36" s="152">
        <v>17440.63</v>
      </c>
      <c r="AU36" s="152">
        <v>1338.59</v>
      </c>
      <c r="AV36" s="152">
        <v>4917.7</v>
      </c>
      <c r="AW36" s="186"/>
      <c r="AX36" s="27"/>
      <c r="AY36" s="32">
        <v>4.973359999999996</v>
      </c>
      <c r="AZ36" s="81">
        <v>336.0040106895238</v>
      </c>
      <c r="BA36" s="349">
        <v>-25.73</v>
      </c>
      <c r="BB36" s="81">
        <f t="shared" si="4"/>
        <v>315.24737068952379</v>
      </c>
      <c r="BC36" s="350"/>
      <c r="BD36" s="151">
        <v>46053</v>
      </c>
      <c r="BE36" s="159">
        <v>924.44</v>
      </c>
      <c r="BF36" s="161">
        <v>1157.31</v>
      </c>
      <c r="BG36" s="158">
        <v>1.35</v>
      </c>
      <c r="BH36" s="158">
        <v>8.3000000000000007</v>
      </c>
      <c r="BI36" s="27"/>
      <c r="BJ36" s="79"/>
      <c r="BK36" s="42">
        <v>6.2024843988571234</v>
      </c>
      <c r="BL36" s="80"/>
      <c r="BM36" s="81">
        <f t="shared" si="13"/>
        <v>14.502484398857124</v>
      </c>
      <c r="BO36" s="151">
        <v>46053</v>
      </c>
      <c r="BP36" s="159">
        <v>1285.8</v>
      </c>
      <c r="BQ36" s="161">
        <v>611.01</v>
      </c>
      <c r="BR36" s="176">
        <v>0</v>
      </c>
      <c r="BS36" s="182">
        <v>54.1</v>
      </c>
      <c r="BT36" s="27"/>
      <c r="BU36" s="32">
        <v>30.807630000000017</v>
      </c>
      <c r="BV36" s="42">
        <v>851.99432614399802</v>
      </c>
      <c r="BW36" s="42"/>
      <c r="BX36" s="80">
        <v>2.3199999999999998</v>
      </c>
      <c r="BY36" s="81">
        <f t="shared" si="5"/>
        <v>939.22195614399811</v>
      </c>
      <c r="CA36" s="151">
        <v>46053</v>
      </c>
      <c r="CB36" s="152">
        <v>7884.88</v>
      </c>
      <c r="CC36" s="159">
        <v>1159.7</v>
      </c>
      <c r="CD36" s="187"/>
      <c r="CE36" s="27"/>
      <c r="CF36" s="32">
        <v>74.45292000000002</v>
      </c>
      <c r="CG36" s="42"/>
      <c r="CH36" s="82"/>
      <c r="CI36" s="81">
        <f t="shared" si="6"/>
        <v>74.45292000000002</v>
      </c>
      <c r="CK36" s="151">
        <v>46053</v>
      </c>
      <c r="CL36" s="152">
        <v>2892.61</v>
      </c>
      <c r="CM36" s="161">
        <v>252.01</v>
      </c>
      <c r="CN36" s="158">
        <v>369.77</v>
      </c>
      <c r="CO36" s="27"/>
      <c r="CP36" s="79"/>
      <c r="CQ36" s="33">
        <v>331.1168049000002</v>
      </c>
      <c r="CR36" s="349">
        <v>-89.196666666666701</v>
      </c>
      <c r="CS36" s="81">
        <f t="shared" si="7"/>
        <v>611.69013823333353</v>
      </c>
      <c r="CU36" s="151">
        <v>46053</v>
      </c>
      <c r="CV36" s="159">
        <v>856.18</v>
      </c>
      <c r="CW36" s="159">
        <v>880</v>
      </c>
      <c r="CY36" s="158">
        <v>5.53</v>
      </c>
      <c r="CZ36" s="27"/>
      <c r="DA36" s="32">
        <v>40.630540000000018</v>
      </c>
      <c r="DB36" s="33">
        <v>30.785550576761921</v>
      </c>
      <c r="DC36" s="82"/>
      <c r="DD36" s="81">
        <f t="shared" si="14"/>
        <v>76.946090576761947</v>
      </c>
      <c r="DF36" s="151">
        <v>46053</v>
      </c>
      <c r="DG36" s="152">
        <v>1278.9100000000001</v>
      </c>
      <c r="DH36" s="161">
        <v>536.17999999999995</v>
      </c>
      <c r="DI36" s="176">
        <v>4.54</v>
      </c>
      <c r="DJ36" s="27"/>
      <c r="DK36" s="32">
        <v>247.92996999999997</v>
      </c>
      <c r="DL36" s="42"/>
      <c r="DM36" s="82"/>
      <c r="DN36" s="81">
        <f t="shared" si="8"/>
        <v>252.46996999999996</v>
      </c>
      <c r="DP36" s="151">
        <v>46053</v>
      </c>
      <c r="DQ36" s="159">
        <v>535</v>
      </c>
      <c r="DR36" s="188"/>
      <c r="DS36" s="27"/>
      <c r="DT36" s="32"/>
      <c r="DU36" s="80"/>
      <c r="DV36" s="80"/>
      <c r="DW36" s="81">
        <f t="shared" si="9"/>
        <v>0</v>
      </c>
      <c r="DY36" s="151">
        <v>46053</v>
      </c>
      <c r="DZ36" s="159">
        <v>0</v>
      </c>
      <c r="EA36" s="189"/>
      <c r="EB36" s="27"/>
      <c r="EC36" s="79"/>
      <c r="ED36" s="80"/>
      <c r="EE36" s="80"/>
      <c r="EF36" s="81">
        <f t="shared" si="10"/>
        <v>0</v>
      </c>
      <c r="EH36" s="151">
        <v>46053</v>
      </c>
      <c r="EI36" s="161">
        <v>1625.2</v>
      </c>
      <c r="EJ36" s="176">
        <v>0</v>
      </c>
      <c r="EK36" s="27"/>
      <c r="EL36" s="79"/>
      <c r="EM36" s="80"/>
      <c r="EN36" s="80"/>
      <c r="EO36" s="81">
        <f t="shared" si="11"/>
        <v>0</v>
      </c>
      <c r="EQ36" s="151">
        <v>46053</v>
      </c>
      <c r="ER36" s="152">
        <v>1354.67</v>
      </c>
      <c r="ES36" s="173"/>
      <c r="ET36" s="27"/>
      <c r="EU36" s="32">
        <v>140.80867800000007</v>
      </c>
      <c r="EV36" s="80"/>
      <c r="EW36" s="80"/>
      <c r="EX36" s="81">
        <f t="shared" si="12"/>
        <v>140.80867800000007</v>
      </c>
    </row>
    <row r="37" spans="2:154" s="86" customFormat="1" ht="16.5" hidden="1" thickBot="1" x14ac:dyDescent="0.3">
      <c r="B37" s="190" t="s">
        <v>17</v>
      </c>
      <c r="C37" s="191">
        <f>SUM(C6:C36)</f>
        <v>90971.62000000001</v>
      </c>
      <c r="D37" s="191">
        <f t="shared" ref="D37" si="15">SUM(D6:D36)</f>
        <v>40701.219999999994</v>
      </c>
      <c r="E37" s="192">
        <f>SUM(E6:E36)</f>
        <v>0</v>
      </c>
      <c r="F37" s="83"/>
      <c r="G37" s="84">
        <f t="shared" ref="G37:J37" si="16">SUM(G6:G36)</f>
        <v>14956.871469999991</v>
      </c>
      <c r="H37" s="85">
        <f t="shared" si="16"/>
        <v>5726.1073019921896</v>
      </c>
      <c r="I37" s="85">
        <f t="shared" si="16"/>
        <v>0</v>
      </c>
      <c r="J37" s="85">
        <f t="shared" si="16"/>
        <v>20682.978771992188</v>
      </c>
      <c r="L37" s="193" t="s">
        <v>17</v>
      </c>
      <c r="M37" s="191">
        <f>SUM(M6:M36)</f>
        <v>500958.7</v>
      </c>
      <c r="N37" s="191">
        <f t="shared" ref="N37:O37" si="17">SUM(N6:N36)</f>
        <v>73299.700000000012</v>
      </c>
      <c r="O37" s="194">
        <f t="shared" si="17"/>
        <v>1578.7900000000002</v>
      </c>
      <c r="P37" s="83"/>
      <c r="Q37" s="245">
        <f t="shared" ref="Q37:U37" si="18">SUM(Q6:Q36)</f>
        <v>667.88377000000003</v>
      </c>
      <c r="R37" s="85">
        <f t="shared" si="18"/>
        <v>1446.3770622382865</v>
      </c>
      <c r="S37" s="85"/>
      <c r="T37" s="85">
        <f t="shared" si="18"/>
        <v>320.2510036000001</v>
      </c>
      <c r="U37" s="85">
        <f t="shared" si="18"/>
        <v>4013.3018358382856</v>
      </c>
      <c r="W37" s="193" t="s">
        <v>17</v>
      </c>
      <c r="X37" s="191">
        <f>SUM(X6:X36)</f>
        <v>672103.80999999994</v>
      </c>
      <c r="Y37" s="195">
        <f t="shared" ref="Y37:Z37" si="19">SUM(Y6:Y36)</f>
        <v>0</v>
      </c>
      <c r="Z37" s="194">
        <f t="shared" si="19"/>
        <v>657.02999999999975</v>
      </c>
      <c r="AA37" s="83"/>
      <c r="AB37" s="84">
        <f t="shared" ref="AB37:AF37" si="20">SUM(AB6:AB36)</f>
        <v>1845.4543499999991</v>
      </c>
      <c r="AC37" s="85">
        <f t="shared" si="20"/>
        <v>8124.804286394854</v>
      </c>
      <c r="AD37" s="85"/>
      <c r="AE37" s="85">
        <f t="shared" si="20"/>
        <v>12.41010799999998</v>
      </c>
      <c r="AF37" s="85">
        <f t="shared" si="20"/>
        <v>10639.698744394851</v>
      </c>
      <c r="AH37" s="193" t="s">
        <v>17</v>
      </c>
      <c r="AI37" s="191">
        <f>SUM(AI36:AI36)</f>
        <v>6427.33</v>
      </c>
      <c r="AJ37" s="191">
        <f>SUM(AJ36:AJ36)</f>
        <v>1240.3699999999999</v>
      </c>
      <c r="AK37" s="194">
        <f>SUM(AK6:AK36)</f>
        <v>834.77</v>
      </c>
      <c r="AL37" s="83"/>
      <c r="AM37" s="84">
        <f t="shared" ref="AM37:AQ37" si="21">SUM(AM6:AM36)</f>
        <v>15652.844079999997</v>
      </c>
      <c r="AN37" s="433"/>
      <c r="AO37" s="85">
        <f t="shared" si="21"/>
        <v>1329.2379919611431</v>
      </c>
      <c r="AP37" s="85">
        <f t="shared" si="21"/>
        <v>45.830766000000011</v>
      </c>
      <c r="AQ37" s="85">
        <f t="shared" si="21"/>
        <v>17862.68283796114</v>
      </c>
      <c r="AS37" s="193" t="s">
        <v>17</v>
      </c>
      <c r="AT37" s="191">
        <f>SUM(AT6:AT36)</f>
        <v>399027.71</v>
      </c>
      <c r="AU37" s="191">
        <f t="shared" ref="AU37:AW37" si="22">SUM(AU6:AU36)</f>
        <v>33088.219999999987</v>
      </c>
      <c r="AV37" s="191">
        <f t="shared" si="22"/>
        <v>113745.28</v>
      </c>
      <c r="AW37" s="85">
        <f t="shared" si="22"/>
        <v>0</v>
      </c>
      <c r="AX37" s="83"/>
      <c r="AY37" s="84">
        <f t="shared" ref="AY37:BB37" si="23">SUM(AY6:AY36)</f>
        <v>369.33320999999989</v>
      </c>
      <c r="AZ37" s="85">
        <f t="shared" si="23"/>
        <v>3569.6288608990467</v>
      </c>
      <c r="BA37" s="85">
        <f t="shared" si="23"/>
        <v>-154.38</v>
      </c>
      <c r="BB37" s="85">
        <f t="shared" si="23"/>
        <v>3784.5820708990464</v>
      </c>
      <c r="BD37" s="190" t="s">
        <v>17</v>
      </c>
      <c r="BE37" s="191">
        <f>SUM(BE6:BE36)</f>
        <v>32055.209999999995</v>
      </c>
      <c r="BF37" s="191">
        <f t="shared" ref="BF37:BH37" si="24">SUM(BF6:BF36)</f>
        <v>33267.37999999999</v>
      </c>
      <c r="BG37" s="194"/>
      <c r="BH37" s="191">
        <f t="shared" si="24"/>
        <v>878.38000000000011</v>
      </c>
      <c r="BI37" s="83"/>
      <c r="BJ37" s="84">
        <f t="shared" ref="BJ37:BM37" si="25">SUM(BJ6:BJ36)</f>
        <v>0</v>
      </c>
      <c r="BK37" s="85">
        <f t="shared" si="25"/>
        <v>6.2024843988571234</v>
      </c>
      <c r="BL37" s="85">
        <f t="shared" si="25"/>
        <v>0</v>
      </c>
      <c r="BM37" s="85">
        <f t="shared" si="25"/>
        <v>884.58248439885733</v>
      </c>
      <c r="BO37" s="190" t="s">
        <v>17</v>
      </c>
      <c r="BP37" s="191">
        <f>SUM(BP6:BP36)</f>
        <v>26533.49</v>
      </c>
      <c r="BQ37" s="191">
        <f t="shared" ref="BQ37:BR37" si="26">SUM(BQ6:BQ36)</f>
        <v>17628.899999999998</v>
      </c>
      <c r="BR37" s="191">
        <f t="shared" si="26"/>
        <v>35.92</v>
      </c>
      <c r="BS37" s="191">
        <f>SUM(BS6:BS36)</f>
        <v>2516.6199999999994</v>
      </c>
      <c r="BT37" s="83"/>
      <c r="BU37" s="84">
        <f t="shared" ref="BU37:BY37" si="27">SUM(BU6:BU36)</f>
        <v>834.20139700000027</v>
      </c>
      <c r="BV37" s="85">
        <f t="shared" si="27"/>
        <v>30672.910055741537</v>
      </c>
      <c r="BW37" s="85"/>
      <c r="BX37" s="85">
        <f t="shared" si="27"/>
        <v>2644.22</v>
      </c>
      <c r="BY37" s="85">
        <f t="shared" si="27"/>
        <v>36667.951452741545</v>
      </c>
      <c r="CA37" s="196" t="s">
        <v>17</v>
      </c>
      <c r="CB37" s="197">
        <f>SUM(CB6:CB36)</f>
        <v>150192.12</v>
      </c>
      <c r="CC37" s="197">
        <f t="shared" ref="CC37:CD37" si="28">SUM(CC6:CC36)</f>
        <v>29981.790000000005</v>
      </c>
      <c r="CD37" s="197">
        <f t="shared" si="28"/>
        <v>0</v>
      </c>
      <c r="CE37" s="83"/>
      <c r="CF37" s="84">
        <f t="shared" ref="CF37:CI37" si="29">SUM(CF6:CF36)</f>
        <v>3306.7034400000002</v>
      </c>
      <c r="CG37" s="85">
        <f t="shared" si="29"/>
        <v>54.312586065714385</v>
      </c>
      <c r="CH37" s="85">
        <f t="shared" si="29"/>
        <v>21.150147299999983</v>
      </c>
      <c r="CI37" s="85">
        <f t="shared" si="29"/>
        <v>3382.1661733657143</v>
      </c>
      <c r="CK37" s="193" t="s">
        <v>17</v>
      </c>
      <c r="CL37" s="191">
        <f>SUM(CL6:CL36)</f>
        <v>163273.47</v>
      </c>
      <c r="CM37" s="191">
        <f t="shared" ref="CM37:CN37" si="30">SUM(CM6:CM36)</f>
        <v>10524.050000000001</v>
      </c>
      <c r="CN37" s="194">
        <f t="shared" si="30"/>
        <v>12959.680000000002</v>
      </c>
      <c r="CO37" s="83"/>
      <c r="CP37" s="84">
        <f t="shared" ref="CP37:CS37" si="31">SUM(CP6:CP36)</f>
        <v>0</v>
      </c>
      <c r="CQ37" s="85">
        <f t="shared" si="31"/>
        <v>8283.2595438933349</v>
      </c>
      <c r="CR37" s="85">
        <f t="shared" si="31"/>
        <v>-535.18000000000018</v>
      </c>
      <c r="CS37" s="85">
        <f t="shared" si="31"/>
        <v>20707.759543893335</v>
      </c>
      <c r="CU37" s="193" t="s">
        <v>17</v>
      </c>
      <c r="CV37" s="191">
        <f>SUM(CV6:CV36)</f>
        <v>33664.839999999997</v>
      </c>
      <c r="CW37" s="191">
        <f t="shared" ref="CW37:CY37" si="32">SUM(CW6:CW36)</f>
        <v>22420.6</v>
      </c>
      <c r="CY37" s="194">
        <f t="shared" si="32"/>
        <v>1199.5200000000002</v>
      </c>
      <c r="CZ37" s="83"/>
      <c r="DA37" s="84">
        <f t="shared" ref="DA37:DD37" si="33">SUM(DA6:DA36)</f>
        <v>1597.15852</v>
      </c>
      <c r="DB37" s="85">
        <f t="shared" si="33"/>
        <v>196.39452771085706</v>
      </c>
      <c r="DC37" s="85">
        <f t="shared" si="33"/>
        <v>6.2435530999999784</v>
      </c>
      <c r="DD37" s="85">
        <f t="shared" si="33"/>
        <v>2999.316600810856</v>
      </c>
      <c r="DF37" s="190" t="s">
        <v>17</v>
      </c>
      <c r="DG37" s="191">
        <f>SUM(DG6:DG36)</f>
        <v>41376.269999999997</v>
      </c>
      <c r="DH37" s="191">
        <f t="shared" ref="DH37:DI37" si="34">SUM(DH6:DH36)</f>
        <v>13590.990000000002</v>
      </c>
      <c r="DI37" s="194">
        <f t="shared" si="34"/>
        <v>18.09</v>
      </c>
      <c r="DJ37" s="83"/>
      <c r="DK37" s="84">
        <f t="shared" ref="DK37:DN37" si="35">SUM(DK6:DK36)</f>
        <v>7755.9872600000017</v>
      </c>
      <c r="DL37" s="85">
        <f t="shared" si="35"/>
        <v>482.67457276666664</v>
      </c>
      <c r="DM37" s="85">
        <f t="shared" si="35"/>
        <v>78.209132199999971</v>
      </c>
      <c r="DN37" s="85">
        <f t="shared" si="35"/>
        <v>8334.9609649666672</v>
      </c>
      <c r="DP37" s="193" t="s">
        <v>17</v>
      </c>
      <c r="DQ37" s="191">
        <f>SUM(DQ6:DQ36)</f>
        <v>23027.279999999995</v>
      </c>
      <c r="DR37" s="85">
        <f t="shared" ref="DR37" si="36">SUM(DR6:DR36)</f>
        <v>27</v>
      </c>
      <c r="DS37" s="83"/>
      <c r="DT37" s="84">
        <f t="shared" ref="DT37:DW37" si="37">SUM(DT6:DT36)</f>
        <v>0</v>
      </c>
      <c r="DU37" s="85">
        <f t="shared" si="37"/>
        <v>0</v>
      </c>
      <c r="DV37" s="85">
        <f t="shared" si="37"/>
        <v>0</v>
      </c>
      <c r="DW37" s="85">
        <f t="shared" si="37"/>
        <v>27</v>
      </c>
      <c r="DY37" s="198" t="s">
        <v>17</v>
      </c>
      <c r="DZ37" s="199">
        <f>SUM(DZ6:DZ36)</f>
        <v>8852.8799999999992</v>
      </c>
      <c r="EA37" s="200">
        <f t="shared" ref="EA37" si="38">SUM(EA6:EA36)</f>
        <v>0</v>
      </c>
      <c r="EB37" s="83"/>
      <c r="EC37" s="84">
        <f t="shared" ref="EC37:EF37" si="39">SUM(EC6:EC36)</f>
        <v>0</v>
      </c>
      <c r="ED37" s="85">
        <f t="shared" si="39"/>
        <v>0</v>
      </c>
      <c r="EE37" s="85">
        <f t="shared" si="39"/>
        <v>0</v>
      </c>
      <c r="EF37" s="85">
        <f t="shared" si="39"/>
        <v>0</v>
      </c>
      <c r="EH37" s="198" t="s">
        <v>17</v>
      </c>
      <c r="EI37" s="191">
        <f>SUM(EI6:EI36)</f>
        <v>57557.47</v>
      </c>
      <c r="EJ37" s="194">
        <f t="shared" ref="EJ37" si="40">SUM(EJ6:EJ36)</f>
        <v>11811.51</v>
      </c>
      <c r="EK37" s="83"/>
      <c r="EL37" s="84">
        <f t="shared" ref="EL37:EO37" si="41">SUM(EL6:EL36)</f>
        <v>0</v>
      </c>
      <c r="EM37" s="85">
        <f t="shared" si="41"/>
        <v>0</v>
      </c>
      <c r="EN37" s="85">
        <f t="shared" si="41"/>
        <v>0</v>
      </c>
      <c r="EO37" s="85">
        <f t="shared" si="41"/>
        <v>11811.51</v>
      </c>
      <c r="EQ37" s="198" t="s">
        <v>17</v>
      </c>
      <c r="ER37" s="191">
        <f>SUM(ER6:ER36)</f>
        <v>48381.36</v>
      </c>
      <c r="ES37" s="200">
        <f t="shared" ref="ES37" si="42">SUM(ES6:ES36)</f>
        <v>0</v>
      </c>
      <c r="ET37" s="83"/>
      <c r="EU37" s="84">
        <f t="shared" ref="EU37:EX37" si="43">SUM(EU6:EU36)</f>
        <v>2043.3274649999996</v>
      </c>
      <c r="EV37" s="85">
        <f t="shared" si="43"/>
        <v>0</v>
      </c>
      <c r="EW37" s="85">
        <f t="shared" si="43"/>
        <v>0</v>
      </c>
      <c r="EX37" s="85">
        <f t="shared" si="43"/>
        <v>2043.3274649999996</v>
      </c>
    </row>
    <row r="38" spans="2:154" hidden="1" x14ac:dyDescent="0.25">
      <c r="DY38" s="201"/>
      <c r="DZ38" s="202"/>
      <c r="EA38" s="203"/>
    </row>
    <row r="39" spans="2:154" ht="21" hidden="1" x14ac:dyDescent="0.35">
      <c r="DY39" s="204"/>
      <c r="DZ39" s="205"/>
      <c r="EA39" s="205"/>
    </row>
    <row r="40" spans="2:154" ht="21" hidden="1" x14ac:dyDescent="0.35">
      <c r="B40" s="446" t="s">
        <v>28</v>
      </c>
      <c r="C40" s="446"/>
      <c r="D40" s="130"/>
      <c r="E40" s="130"/>
      <c r="F40" s="130"/>
      <c r="G40" s="130"/>
      <c r="H40" s="130"/>
      <c r="I40" s="130"/>
      <c r="J40" s="130"/>
      <c r="K40" s="130"/>
      <c r="L40" s="446" t="s">
        <v>29</v>
      </c>
      <c r="M40" s="446"/>
      <c r="N40" s="446"/>
      <c r="P40" s="130"/>
      <c r="Q40" s="130"/>
      <c r="R40" s="130"/>
      <c r="S40" s="130"/>
      <c r="T40" s="130"/>
      <c r="U40" s="130"/>
      <c r="W40" s="446" t="s">
        <v>30</v>
      </c>
      <c r="X40" s="446"/>
      <c r="AA40" s="130"/>
      <c r="AB40" s="130"/>
      <c r="AC40" s="130"/>
      <c r="AD40" s="130"/>
      <c r="AE40" s="130"/>
      <c r="AF40" s="130"/>
      <c r="AH40" s="446" t="s">
        <v>31</v>
      </c>
      <c r="AI40" s="446"/>
      <c r="AL40" s="130"/>
      <c r="AM40" s="130"/>
      <c r="AN40" s="130"/>
      <c r="AO40" s="130"/>
      <c r="AP40" s="130"/>
      <c r="AQ40" s="130"/>
      <c r="AS40" s="446" t="s">
        <v>32</v>
      </c>
      <c r="AT40" s="446"/>
      <c r="AX40" s="130"/>
      <c r="AY40" s="130"/>
      <c r="AZ40" s="130"/>
      <c r="BA40" s="130"/>
      <c r="BB40" s="130"/>
      <c r="BD40" s="446" t="s">
        <v>33</v>
      </c>
      <c r="BE40" s="446"/>
      <c r="BI40" s="130"/>
      <c r="BJ40" s="130"/>
      <c r="BK40" s="130"/>
      <c r="BL40" s="130"/>
      <c r="BM40" s="130"/>
      <c r="BO40" s="446" t="s">
        <v>34</v>
      </c>
      <c r="BP40" s="446"/>
      <c r="BT40" s="130"/>
      <c r="BU40" s="130"/>
      <c r="BV40" s="130"/>
      <c r="BW40" s="130"/>
      <c r="BX40" s="130"/>
      <c r="BY40" s="130"/>
      <c r="CA40" s="446" t="s">
        <v>35</v>
      </c>
      <c r="CB40" s="446"/>
      <c r="CE40" s="130"/>
      <c r="CF40" s="130"/>
      <c r="CG40" s="130"/>
      <c r="CH40" s="130"/>
      <c r="CI40" s="130"/>
      <c r="CK40" s="446" t="s">
        <v>36</v>
      </c>
      <c r="CL40" s="446"/>
      <c r="CO40" s="130"/>
      <c r="CP40" s="130"/>
      <c r="CQ40" s="130"/>
      <c r="CR40" s="130"/>
      <c r="CS40" s="130"/>
      <c r="CU40" s="446" t="s">
        <v>37</v>
      </c>
      <c r="CV40" s="446"/>
      <c r="CZ40" s="130"/>
      <c r="DA40" s="130"/>
      <c r="DB40" s="130"/>
      <c r="DC40" s="130"/>
      <c r="DD40" s="130"/>
      <c r="DF40" s="131" t="s">
        <v>38</v>
      </c>
      <c r="DG40" s="131"/>
      <c r="DJ40" s="130"/>
      <c r="DK40" s="130"/>
      <c r="DL40" s="130"/>
      <c r="DM40" s="130"/>
      <c r="DN40" s="130"/>
      <c r="DP40" s="131" t="s">
        <v>39</v>
      </c>
      <c r="DQ40" s="131"/>
      <c r="DS40" s="130"/>
      <c r="DT40" s="130"/>
      <c r="DU40" s="130"/>
      <c r="DV40" s="130"/>
      <c r="DW40" s="130"/>
      <c r="DY40" s="131" t="s">
        <v>40</v>
      </c>
      <c r="DZ40" s="131"/>
      <c r="EB40" s="130"/>
      <c r="EC40" s="130"/>
      <c r="ED40" s="130"/>
      <c r="EE40" s="130"/>
      <c r="EF40" s="130"/>
      <c r="EH40" s="131" t="s">
        <v>41</v>
      </c>
      <c r="EI40" s="131"/>
      <c r="EK40" s="130"/>
      <c r="EL40" s="130"/>
      <c r="EM40" s="130"/>
      <c r="EN40" s="130"/>
      <c r="EO40" s="130"/>
      <c r="EQ40" s="131" t="s">
        <v>42</v>
      </c>
      <c r="ER40" s="131"/>
      <c r="ET40" s="130"/>
      <c r="EU40" s="130"/>
      <c r="EV40" s="130"/>
      <c r="EW40" s="130"/>
      <c r="EX40" s="130"/>
    </row>
    <row r="41" spans="2:154" hidden="1" x14ac:dyDescent="0.25"/>
    <row r="42" spans="2:154" hidden="1" x14ac:dyDescent="0.25">
      <c r="B42" s="444" t="s">
        <v>14</v>
      </c>
      <c r="C42" s="132" t="s">
        <v>15</v>
      </c>
      <c r="D42" s="132" t="s">
        <v>15</v>
      </c>
      <c r="E42" s="133" t="s">
        <v>16</v>
      </c>
      <c r="F42" s="6"/>
      <c r="G42" s="134" t="s">
        <v>16</v>
      </c>
      <c r="H42" s="135" t="s">
        <v>16</v>
      </c>
      <c r="I42" s="136" t="s">
        <v>16</v>
      </c>
      <c r="J42" s="10" t="s">
        <v>17</v>
      </c>
      <c r="L42" s="444" t="s">
        <v>14</v>
      </c>
      <c r="M42" s="132" t="s">
        <v>15</v>
      </c>
      <c r="N42" s="132" t="s">
        <v>15</v>
      </c>
      <c r="O42" s="137" t="s">
        <v>16</v>
      </c>
      <c r="P42" s="6"/>
      <c r="Q42" s="134" t="s">
        <v>16</v>
      </c>
      <c r="R42" s="135" t="s">
        <v>16</v>
      </c>
      <c r="S42" s="135"/>
      <c r="T42" s="136" t="s">
        <v>16</v>
      </c>
      <c r="U42" s="10" t="s">
        <v>17</v>
      </c>
      <c r="W42" s="444" t="s">
        <v>14</v>
      </c>
      <c r="X42" s="132" t="s">
        <v>15</v>
      </c>
      <c r="Y42" s="132" t="s">
        <v>15</v>
      </c>
      <c r="Z42" s="137" t="s">
        <v>16</v>
      </c>
      <c r="AA42" s="6"/>
      <c r="AB42" s="134" t="s">
        <v>16</v>
      </c>
      <c r="AC42" s="135" t="s">
        <v>16</v>
      </c>
      <c r="AD42" s="135"/>
      <c r="AE42" s="136" t="s">
        <v>16</v>
      </c>
      <c r="AF42" s="10" t="s">
        <v>17</v>
      </c>
      <c r="AH42" s="444" t="s">
        <v>14</v>
      </c>
      <c r="AI42" s="132" t="s">
        <v>15</v>
      </c>
      <c r="AJ42" s="132" t="s">
        <v>15</v>
      </c>
      <c r="AK42" s="137" t="s">
        <v>16</v>
      </c>
      <c r="AL42" s="6"/>
      <c r="AM42" s="134" t="s">
        <v>16</v>
      </c>
      <c r="AN42" s="134"/>
      <c r="AO42" s="135" t="s">
        <v>16</v>
      </c>
      <c r="AP42" s="136" t="s">
        <v>16</v>
      </c>
      <c r="AQ42" s="10" t="s">
        <v>17</v>
      </c>
      <c r="AS42" s="444" t="s">
        <v>14</v>
      </c>
      <c r="AT42" s="132" t="s">
        <v>15</v>
      </c>
      <c r="AU42" s="132" t="s">
        <v>15</v>
      </c>
      <c r="AV42" s="132" t="s">
        <v>15</v>
      </c>
      <c r="AW42" s="137" t="s">
        <v>16</v>
      </c>
      <c r="AX42" s="6"/>
      <c r="AY42" s="338" t="s">
        <v>16</v>
      </c>
      <c r="AZ42" s="339" t="s">
        <v>16</v>
      </c>
      <c r="BA42" s="340" t="s">
        <v>16</v>
      </c>
      <c r="BB42" s="10" t="s">
        <v>17</v>
      </c>
      <c r="BD42" s="444" t="s">
        <v>14</v>
      </c>
      <c r="BE42" s="132" t="s">
        <v>15</v>
      </c>
      <c r="BF42" s="132" t="s">
        <v>15</v>
      </c>
      <c r="BG42" s="137" t="s">
        <v>16</v>
      </c>
      <c r="BH42" s="137" t="s">
        <v>16</v>
      </c>
      <c r="BI42" s="6"/>
      <c r="BJ42" s="134" t="s">
        <v>16</v>
      </c>
      <c r="BK42" s="135" t="s">
        <v>16</v>
      </c>
      <c r="BL42" s="136" t="s">
        <v>16</v>
      </c>
      <c r="BM42" s="10" t="s">
        <v>17</v>
      </c>
      <c r="BO42" s="444" t="s">
        <v>14</v>
      </c>
      <c r="BP42" s="132" t="s">
        <v>15</v>
      </c>
      <c r="BQ42" s="132" t="s">
        <v>15</v>
      </c>
      <c r="BR42" s="137" t="s">
        <v>16</v>
      </c>
      <c r="BS42" s="206" t="s">
        <v>16</v>
      </c>
      <c r="BT42" s="6"/>
      <c r="BU42" s="134" t="s">
        <v>16</v>
      </c>
      <c r="BV42" s="135" t="s">
        <v>16</v>
      </c>
      <c r="BW42" s="135"/>
      <c r="BX42" s="346" t="s">
        <v>83</v>
      </c>
      <c r="BY42" s="10" t="s">
        <v>17</v>
      </c>
      <c r="CA42" s="444" t="s">
        <v>14</v>
      </c>
      <c r="CB42" s="132" t="s">
        <v>15</v>
      </c>
      <c r="CC42" s="132" t="s">
        <v>15</v>
      </c>
      <c r="CD42" s="137" t="s">
        <v>16</v>
      </c>
      <c r="CE42" s="6"/>
      <c r="CF42" s="134" t="s">
        <v>16</v>
      </c>
      <c r="CG42" s="135" t="s">
        <v>16</v>
      </c>
      <c r="CH42" s="136" t="s">
        <v>16</v>
      </c>
      <c r="CI42" s="10" t="s">
        <v>17</v>
      </c>
      <c r="CK42" s="444" t="s">
        <v>14</v>
      </c>
      <c r="CL42" s="132" t="s">
        <v>15</v>
      </c>
      <c r="CM42" s="132" t="s">
        <v>15</v>
      </c>
      <c r="CN42" s="137" t="s">
        <v>16</v>
      </c>
      <c r="CO42" s="6"/>
      <c r="CP42" s="134" t="s">
        <v>16</v>
      </c>
      <c r="CQ42" s="135" t="s">
        <v>16</v>
      </c>
      <c r="CR42" s="136" t="s">
        <v>16</v>
      </c>
      <c r="CS42" s="10" t="s">
        <v>17</v>
      </c>
      <c r="CU42" s="444" t="s">
        <v>14</v>
      </c>
      <c r="CV42" s="132" t="s">
        <v>15</v>
      </c>
      <c r="CW42" s="132" t="s">
        <v>15</v>
      </c>
      <c r="CX42" s="137" t="s">
        <v>16</v>
      </c>
      <c r="CY42" s="137" t="s">
        <v>16</v>
      </c>
      <c r="CZ42" s="6"/>
      <c r="DA42" s="134" t="s">
        <v>16</v>
      </c>
      <c r="DB42" s="135" t="s">
        <v>16</v>
      </c>
      <c r="DC42" s="136" t="s">
        <v>16</v>
      </c>
      <c r="DD42" s="10" t="s">
        <v>17</v>
      </c>
      <c r="DF42" s="325" t="s">
        <v>14</v>
      </c>
      <c r="DG42" s="132" t="s">
        <v>15</v>
      </c>
      <c r="DH42" s="132" t="s">
        <v>15</v>
      </c>
      <c r="DI42" s="137" t="s">
        <v>16</v>
      </c>
      <c r="DJ42" s="6"/>
      <c r="DK42" s="134" t="s">
        <v>16</v>
      </c>
      <c r="DL42" s="135" t="s">
        <v>16</v>
      </c>
      <c r="DM42" s="136" t="s">
        <v>16</v>
      </c>
      <c r="DN42" s="10" t="s">
        <v>17</v>
      </c>
      <c r="DP42" s="325" t="s">
        <v>14</v>
      </c>
      <c r="DQ42" s="132" t="s">
        <v>15</v>
      </c>
      <c r="DR42" s="137" t="s">
        <v>16</v>
      </c>
      <c r="DS42" s="6"/>
      <c r="DT42" s="134" t="s">
        <v>16</v>
      </c>
      <c r="DU42" s="135" t="s">
        <v>16</v>
      </c>
      <c r="DV42" s="136" t="s">
        <v>16</v>
      </c>
      <c r="DW42" s="10" t="s">
        <v>17</v>
      </c>
      <c r="DY42" s="325" t="s">
        <v>14</v>
      </c>
      <c r="DZ42" s="132" t="s">
        <v>15</v>
      </c>
      <c r="EA42" s="137" t="s">
        <v>16</v>
      </c>
      <c r="EB42" s="6"/>
      <c r="EC42" s="134" t="s">
        <v>16</v>
      </c>
      <c r="ED42" s="135" t="s">
        <v>16</v>
      </c>
      <c r="EE42" s="136" t="s">
        <v>16</v>
      </c>
      <c r="EF42" s="10" t="s">
        <v>17</v>
      </c>
      <c r="EH42" s="327" t="s">
        <v>14</v>
      </c>
      <c r="EI42" s="207" t="s">
        <v>15</v>
      </c>
      <c r="EJ42" s="142" t="s">
        <v>16</v>
      </c>
      <c r="EK42" s="6"/>
      <c r="EL42" s="134" t="s">
        <v>16</v>
      </c>
      <c r="EM42" s="135" t="s">
        <v>16</v>
      </c>
      <c r="EN42" s="136" t="s">
        <v>16</v>
      </c>
      <c r="EO42" s="10" t="s">
        <v>17</v>
      </c>
      <c r="EQ42" s="327" t="s">
        <v>14</v>
      </c>
      <c r="ER42" s="141" t="s">
        <v>15</v>
      </c>
      <c r="ES42" s="142" t="s">
        <v>16</v>
      </c>
      <c r="ET42" s="6"/>
      <c r="EU42" s="134" t="s">
        <v>16</v>
      </c>
      <c r="EV42" s="135" t="s">
        <v>16</v>
      </c>
      <c r="EW42" s="136" t="s">
        <v>16</v>
      </c>
      <c r="EX42" s="10" t="s">
        <v>17</v>
      </c>
    </row>
    <row r="43" spans="2:154" ht="15.75" hidden="1" thickBot="1" x14ac:dyDescent="0.3">
      <c r="B43" s="445"/>
      <c r="C43" s="143" t="s">
        <v>18</v>
      </c>
      <c r="D43" s="143" t="s">
        <v>19</v>
      </c>
      <c r="E43" s="144" t="s">
        <v>25</v>
      </c>
      <c r="F43" s="6"/>
      <c r="G43" s="145" t="s">
        <v>21</v>
      </c>
      <c r="H43" s="146" t="s">
        <v>22</v>
      </c>
      <c r="I43" s="147" t="s">
        <v>23</v>
      </c>
      <c r="J43" s="148" t="s">
        <v>24</v>
      </c>
      <c r="L43" s="445"/>
      <c r="M43" s="143" t="s">
        <v>18</v>
      </c>
      <c r="N43" s="143" t="s">
        <v>19</v>
      </c>
      <c r="O43" s="149" t="s">
        <v>25</v>
      </c>
      <c r="P43" s="6"/>
      <c r="Q43" s="145" t="s">
        <v>21</v>
      </c>
      <c r="R43" s="146" t="s">
        <v>22</v>
      </c>
      <c r="S43" s="146"/>
      <c r="T43" s="147" t="s">
        <v>23</v>
      </c>
      <c r="U43" s="148" t="s">
        <v>24</v>
      </c>
      <c r="W43" s="445"/>
      <c r="X43" s="143" t="s">
        <v>18</v>
      </c>
      <c r="Y43" s="143" t="s">
        <v>19</v>
      </c>
      <c r="Z43" s="149" t="s">
        <v>25</v>
      </c>
      <c r="AA43" s="6"/>
      <c r="AB43" s="145" t="s">
        <v>21</v>
      </c>
      <c r="AC43" s="146" t="s">
        <v>22</v>
      </c>
      <c r="AD43" s="146"/>
      <c r="AE43" s="147" t="s">
        <v>23</v>
      </c>
      <c r="AF43" s="148" t="s">
        <v>24</v>
      </c>
      <c r="AH43" s="445"/>
      <c r="AI43" s="143" t="s">
        <v>18</v>
      </c>
      <c r="AJ43" s="143" t="s">
        <v>19</v>
      </c>
      <c r="AK43" s="149" t="s">
        <v>25</v>
      </c>
      <c r="AL43" s="6"/>
      <c r="AM43" s="145" t="s">
        <v>21</v>
      </c>
      <c r="AN43" s="145"/>
      <c r="AO43" s="146" t="s">
        <v>22</v>
      </c>
      <c r="AP43" s="147" t="s">
        <v>23</v>
      </c>
      <c r="AQ43" s="148" t="s">
        <v>24</v>
      </c>
      <c r="AS43" s="445"/>
      <c r="AT43" s="143" t="s">
        <v>18</v>
      </c>
      <c r="AU43" s="143" t="s">
        <v>19</v>
      </c>
      <c r="AV43" s="143" t="s">
        <v>20</v>
      </c>
      <c r="AW43" s="149" t="s">
        <v>25</v>
      </c>
      <c r="AX43" s="6"/>
      <c r="AY43" s="341" t="s">
        <v>21</v>
      </c>
      <c r="AZ43" s="342" t="s">
        <v>22</v>
      </c>
      <c r="BA43" s="343" t="s">
        <v>23</v>
      </c>
      <c r="BB43" s="148" t="s">
        <v>24</v>
      </c>
      <c r="BD43" s="445"/>
      <c r="BE43" s="143" t="s">
        <v>18</v>
      </c>
      <c r="BF43" s="143" t="s">
        <v>19</v>
      </c>
      <c r="BG43" s="149" t="s">
        <v>19</v>
      </c>
      <c r="BH43" s="149" t="s">
        <v>25</v>
      </c>
      <c r="BI43" s="6"/>
      <c r="BJ43" s="145" t="s">
        <v>21</v>
      </c>
      <c r="BK43" s="146" t="s">
        <v>22</v>
      </c>
      <c r="BL43" s="147" t="s">
        <v>23</v>
      </c>
      <c r="BM43" s="148" t="s">
        <v>24</v>
      </c>
      <c r="BO43" s="445"/>
      <c r="BP43" s="143" t="s">
        <v>18</v>
      </c>
      <c r="BQ43" s="143" t="s">
        <v>19</v>
      </c>
      <c r="BR43" s="149" t="s">
        <v>19</v>
      </c>
      <c r="BS43" s="208" t="s">
        <v>25</v>
      </c>
      <c r="BT43" s="6"/>
      <c r="BU43" s="145" t="s">
        <v>21</v>
      </c>
      <c r="BV43" s="146" t="s">
        <v>22</v>
      </c>
      <c r="BW43" s="146"/>
      <c r="BX43" s="347" t="s">
        <v>22</v>
      </c>
      <c r="BY43" s="148" t="s">
        <v>24</v>
      </c>
      <c r="CA43" s="445"/>
      <c r="CB43" s="143" t="s">
        <v>18</v>
      </c>
      <c r="CC43" s="143" t="s">
        <v>19</v>
      </c>
      <c r="CD43" s="149" t="s">
        <v>25</v>
      </c>
      <c r="CE43" s="6"/>
      <c r="CF43" s="145" t="s">
        <v>21</v>
      </c>
      <c r="CG43" s="146" t="s">
        <v>22</v>
      </c>
      <c r="CH43" s="147" t="s">
        <v>23</v>
      </c>
      <c r="CI43" s="148" t="s">
        <v>24</v>
      </c>
      <c r="CK43" s="445"/>
      <c r="CL43" s="143" t="s">
        <v>18</v>
      </c>
      <c r="CM43" s="143" t="s">
        <v>19</v>
      </c>
      <c r="CN43" s="149" t="s">
        <v>25</v>
      </c>
      <c r="CO43" s="6"/>
      <c r="CP43" s="145" t="s">
        <v>21</v>
      </c>
      <c r="CQ43" s="146" t="s">
        <v>22</v>
      </c>
      <c r="CR43" s="147" t="s">
        <v>23</v>
      </c>
      <c r="CS43" s="148" t="s">
        <v>24</v>
      </c>
      <c r="CU43" s="445"/>
      <c r="CV43" s="143" t="s">
        <v>18</v>
      </c>
      <c r="CW43" s="143" t="s">
        <v>19</v>
      </c>
      <c r="CX43" s="149" t="s">
        <v>19</v>
      </c>
      <c r="CY43" s="149" t="s">
        <v>25</v>
      </c>
      <c r="CZ43" s="6"/>
      <c r="DA43" s="145" t="s">
        <v>21</v>
      </c>
      <c r="DB43" s="146" t="s">
        <v>22</v>
      </c>
      <c r="DC43" s="147" t="s">
        <v>23</v>
      </c>
      <c r="DD43" s="148" t="s">
        <v>24</v>
      </c>
      <c r="DF43" s="326"/>
      <c r="DG43" s="143" t="s">
        <v>18</v>
      </c>
      <c r="DH43" s="143" t="s">
        <v>19</v>
      </c>
      <c r="DI43" s="149" t="s">
        <v>25</v>
      </c>
      <c r="DJ43" s="6"/>
      <c r="DK43" s="145" t="s">
        <v>21</v>
      </c>
      <c r="DL43" s="146" t="s">
        <v>22</v>
      </c>
      <c r="DM43" s="147" t="s">
        <v>23</v>
      </c>
      <c r="DN43" s="148" t="s">
        <v>24</v>
      </c>
      <c r="DP43" s="326"/>
      <c r="DQ43" s="143" t="s">
        <v>18</v>
      </c>
      <c r="DR43" s="149" t="s">
        <v>25</v>
      </c>
      <c r="DS43" s="6"/>
      <c r="DT43" s="145" t="s">
        <v>21</v>
      </c>
      <c r="DU43" s="146" t="s">
        <v>22</v>
      </c>
      <c r="DV43" s="147" t="s">
        <v>23</v>
      </c>
      <c r="DW43" s="148" t="s">
        <v>24</v>
      </c>
      <c r="DY43" s="326"/>
      <c r="DZ43" s="143" t="s">
        <v>18</v>
      </c>
      <c r="EA43" s="149" t="s">
        <v>25</v>
      </c>
      <c r="EB43" s="6"/>
      <c r="EC43" s="145" t="s">
        <v>21</v>
      </c>
      <c r="ED43" s="146" t="s">
        <v>22</v>
      </c>
      <c r="EE43" s="147" t="s">
        <v>23</v>
      </c>
      <c r="EF43" s="148" t="s">
        <v>24</v>
      </c>
      <c r="EH43" s="209"/>
      <c r="EI43" s="210" t="s">
        <v>18</v>
      </c>
      <c r="EJ43" s="137" t="s">
        <v>25</v>
      </c>
      <c r="EK43" s="6"/>
      <c r="EL43" s="145" t="s">
        <v>21</v>
      </c>
      <c r="EM43" s="146" t="s">
        <v>22</v>
      </c>
      <c r="EN43" s="147" t="s">
        <v>23</v>
      </c>
      <c r="EO43" s="148" t="s">
        <v>24</v>
      </c>
      <c r="EQ43" s="209"/>
      <c r="ER43" s="132" t="s">
        <v>18</v>
      </c>
      <c r="ES43" s="137" t="s">
        <v>25</v>
      </c>
      <c r="ET43" s="6"/>
      <c r="EU43" s="145" t="s">
        <v>21</v>
      </c>
      <c r="EV43" s="146" t="s">
        <v>22</v>
      </c>
      <c r="EW43" s="147" t="s">
        <v>23</v>
      </c>
      <c r="EX43" s="148" t="s">
        <v>24</v>
      </c>
    </row>
    <row r="44" spans="2:154" hidden="1" x14ac:dyDescent="0.25">
      <c r="B44" s="151">
        <v>46054</v>
      </c>
      <c r="C44" s="152">
        <v>3118.31</v>
      </c>
      <c r="D44" s="152">
        <v>1574.45</v>
      </c>
      <c r="E44" s="162"/>
      <c r="F44" s="27"/>
      <c r="G44" s="32"/>
      <c r="H44" s="33">
        <v>43.754254400000008</v>
      </c>
      <c r="I44" s="29"/>
      <c r="J44" s="30">
        <f>SUM(E44:I44)</f>
        <v>43.754254400000008</v>
      </c>
      <c r="L44" s="151">
        <v>46054</v>
      </c>
      <c r="M44" s="152">
        <v>15050.55</v>
      </c>
      <c r="N44" s="152">
        <v>3522.24</v>
      </c>
      <c r="O44" s="158">
        <v>6</v>
      </c>
      <c r="P44" s="27"/>
      <c r="Q44" s="32"/>
      <c r="R44" s="53">
        <v>127.23313637857154</v>
      </c>
      <c r="S44" s="248"/>
      <c r="T44" s="29"/>
      <c r="U44" s="30">
        <f t="shared" ref="U44:U71" si="44">SUM(O44:T44)</f>
        <v>133.23313637857154</v>
      </c>
      <c r="W44" s="151">
        <v>46054</v>
      </c>
      <c r="X44" s="152">
        <v>31147</v>
      </c>
      <c r="Y44" s="152"/>
      <c r="Z44" s="170">
        <v>3.26</v>
      </c>
      <c r="AA44" s="27"/>
      <c r="AB44" s="28">
        <v>15.520869999999974</v>
      </c>
      <c r="AC44" s="33">
        <v>77.095087599999985</v>
      </c>
      <c r="AD44" s="33"/>
      <c r="AE44" s="29"/>
      <c r="AF44" s="30">
        <f t="shared" ref="AF44:AF71" si="45">SUM(Z44:AE44)</f>
        <v>95.875957599999964</v>
      </c>
      <c r="AH44" s="151">
        <v>46054</v>
      </c>
      <c r="AI44" s="152">
        <v>5271.22</v>
      </c>
      <c r="AJ44" s="152">
        <v>1064.48</v>
      </c>
      <c r="AK44" s="160"/>
      <c r="AL44" s="27"/>
      <c r="AM44" s="32">
        <v>29.622690000000006</v>
      </c>
      <c r="AN44" s="32"/>
      <c r="AO44" s="42">
        <v>33.830717554285712</v>
      </c>
      <c r="AP44" s="89"/>
      <c r="AQ44" s="30">
        <f t="shared" ref="AQ44:AQ71" si="46">SUM(AK44:AP44)</f>
        <v>63.453407554285718</v>
      </c>
      <c r="AS44" s="151">
        <v>46054</v>
      </c>
      <c r="AT44" s="152">
        <v>11973.98</v>
      </c>
      <c r="AU44" s="159">
        <v>918.25</v>
      </c>
      <c r="AV44" s="152">
        <v>2876.2</v>
      </c>
      <c r="AW44" s="160"/>
      <c r="AX44" s="27"/>
      <c r="AY44" s="32">
        <v>95.574469999999963</v>
      </c>
      <c r="AZ44" s="30">
        <v>96.914087399999971</v>
      </c>
      <c r="BA44" s="29"/>
      <c r="BB44" s="30">
        <f t="shared" ref="BB44:BB71" si="47">SUM(AW44:BA44)</f>
        <v>192.48855739999993</v>
      </c>
      <c r="BD44" s="151">
        <v>46054</v>
      </c>
      <c r="BE44" s="152">
        <v>1066.52</v>
      </c>
      <c r="BF44" s="159">
        <v>978.79</v>
      </c>
      <c r="BG44" s="158">
        <v>3.55</v>
      </c>
      <c r="BH44" s="158">
        <v>26.65</v>
      </c>
      <c r="BI44" s="27"/>
      <c r="BJ44" s="28"/>
      <c r="BK44" s="42"/>
      <c r="BL44" s="29"/>
      <c r="BM44" s="30">
        <f t="shared" ref="BM44:BM71" si="48">SUM(BH44:BL44)</f>
        <v>26.65</v>
      </c>
      <c r="BO44" s="151">
        <v>46054</v>
      </c>
      <c r="BP44" s="152">
        <v>1159.44</v>
      </c>
      <c r="BQ44" s="161">
        <v>548.07000000000005</v>
      </c>
      <c r="BR44" s="155">
        <v>1.96</v>
      </c>
      <c r="BS44" s="336">
        <v>89.97</v>
      </c>
      <c r="BT44" s="27"/>
      <c r="BU44" s="239">
        <v>6.9296430000000129</v>
      </c>
      <c r="BV44" s="42">
        <v>1312.2344158138062</v>
      </c>
      <c r="BW44" s="42"/>
      <c r="BX44" s="29"/>
      <c r="BY44" s="30">
        <f t="shared" ref="BY44:BY71" si="49">SUM(BS44:BX44)</f>
        <v>1409.1340588138062</v>
      </c>
      <c r="CA44" s="151">
        <v>46054</v>
      </c>
      <c r="CB44" s="152">
        <v>4114.91</v>
      </c>
      <c r="CC44" s="159">
        <v>705.38</v>
      </c>
      <c r="CD44" s="331"/>
      <c r="CE44" s="27"/>
      <c r="CF44" s="32">
        <v>275.84327999999999</v>
      </c>
      <c r="CG44" s="42"/>
      <c r="CH44" s="89"/>
      <c r="CI44" s="30">
        <f t="shared" ref="CI44:CI71" si="50">SUM(CD44:CH44)</f>
        <v>275.84327999999999</v>
      </c>
      <c r="CK44" s="151">
        <v>46054</v>
      </c>
      <c r="CL44" s="152">
        <v>1782.02</v>
      </c>
      <c r="CM44" s="159">
        <v>252.98</v>
      </c>
      <c r="CN44" s="158">
        <v>583.15</v>
      </c>
      <c r="CO44" s="27"/>
      <c r="CP44" s="28"/>
      <c r="CQ44" s="33">
        <v>671.77472267371445</v>
      </c>
      <c r="CR44" s="29"/>
      <c r="CS44" s="30">
        <f>SUM(CN44:CR44)</f>
        <v>1254.9247226737143</v>
      </c>
      <c r="CU44" s="151">
        <v>46054</v>
      </c>
      <c r="CV44" s="152">
        <v>1754.41</v>
      </c>
      <c r="CW44" s="159">
        <v>930.8</v>
      </c>
      <c r="CX44" s="162"/>
      <c r="CY44" s="162"/>
      <c r="CZ44" s="27"/>
      <c r="DA44" s="32">
        <v>43.190759999999955</v>
      </c>
      <c r="DB44" s="33"/>
      <c r="DC44" s="89"/>
      <c r="DD44" s="30">
        <f>SUM(CY44:DC44)</f>
        <v>43.190759999999955</v>
      </c>
      <c r="DF44" s="151">
        <v>46054</v>
      </c>
      <c r="DG44" s="159">
        <v>848.74</v>
      </c>
      <c r="DH44" s="159">
        <v>730.48</v>
      </c>
      <c r="DI44" s="162"/>
      <c r="DJ44" s="27"/>
      <c r="DK44" s="32">
        <v>19.217839999999995</v>
      </c>
      <c r="DL44" s="42">
        <v>36.649302300000024</v>
      </c>
      <c r="DM44" s="89"/>
      <c r="DN44" s="30">
        <f t="shared" ref="DN44:DN71" si="51">SUM(DI44:DM44)</f>
        <v>55.867142300000019</v>
      </c>
      <c r="DP44" s="151">
        <v>46054</v>
      </c>
      <c r="DQ44" s="159">
        <v>830.26</v>
      </c>
      <c r="DR44" s="165"/>
      <c r="DS44" s="27"/>
      <c r="DT44" s="28"/>
      <c r="DU44" s="29"/>
      <c r="DV44" s="29"/>
      <c r="DW44" s="30">
        <f t="shared" ref="DW44:DW71" si="52">SUM(DR44:DV44)</f>
        <v>0</v>
      </c>
      <c r="DY44" s="151">
        <v>46054</v>
      </c>
      <c r="DZ44" s="159">
        <v>227.61</v>
      </c>
      <c r="EA44" s="167"/>
      <c r="EB44" s="27"/>
      <c r="EC44" s="28"/>
      <c r="ED44" s="29"/>
      <c r="EE44" s="29"/>
      <c r="EF44" s="30">
        <f t="shared" ref="EF44:EF71" si="53">SUM(EA44:EE44)</f>
        <v>0</v>
      </c>
      <c r="EH44" s="151">
        <v>46054</v>
      </c>
      <c r="EI44" s="152">
        <v>1629.5</v>
      </c>
      <c r="EJ44" s="162"/>
      <c r="EK44" s="27"/>
      <c r="EL44" s="28"/>
      <c r="EM44" s="29"/>
      <c r="EN44" s="29"/>
      <c r="EO44" s="30">
        <f t="shared" ref="EO44:EO71" si="54">SUM(EJ44:EN44)</f>
        <v>0</v>
      </c>
      <c r="EQ44" s="151">
        <v>46054</v>
      </c>
      <c r="ER44" s="159">
        <v>691.76</v>
      </c>
      <c r="ES44" s="165"/>
      <c r="ET44" s="27"/>
      <c r="EU44" s="32"/>
      <c r="EV44" s="29"/>
      <c r="EW44" s="29"/>
      <c r="EX44" s="30">
        <f t="shared" ref="EX44:EX71" si="55">SUM(ES44:EW44)</f>
        <v>0</v>
      </c>
    </row>
    <row r="45" spans="2:154" hidden="1" x14ac:dyDescent="0.25">
      <c r="B45" s="151">
        <v>46055</v>
      </c>
      <c r="C45" s="152">
        <v>2270.58</v>
      </c>
      <c r="D45" s="152">
        <v>1024.42</v>
      </c>
      <c r="E45" s="162"/>
      <c r="F45" s="27"/>
      <c r="G45" s="32">
        <v>370.97170999999992</v>
      </c>
      <c r="H45" s="33">
        <v>118.60258959999999</v>
      </c>
      <c r="I45" s="52"/>
      <c r="J45" s="53">
        <f t="shared" ref="J45:J71" si="56">SUM(E45:I45)</f>
        <v>489.5742995999999</v>
      </c>
      <c r="L45" s="151">
        <v>46055</v>
      </c>
      <c r="M45" s="152">
        <v>15718.11</v>
      </c>
      <c r="N45" s="152">
        <v>1921.4</v>
      </c>
      <c r="O45" s="158">
        <v>43.88</v>
      </c>
      <c r="P45" s="27"/>
      <c r="Q45" s="32">
        <v>13.290155999999996</v>
      </c>
      <c r="R45" s="53"/>
      <c r="S45" s="53"/>
      <c r="T45" s="52">
        <v>17.579106999999965</v>
      </c>
      <c r="U45" s="53">
        <f t="shared" si="44"/>
        <v>74.749262999999956</v>
      </c>
      <c r="W45" s="151">
        <v>46055</v>
      </c>
      <c r="X45" s="152">
        <v>27073.4</v>
      </c>
      <c r="Y45" s="152"/>
      <c r="Z45" s="170">
        <v>5.07</v>
      </c>
      <c r="AA45" s="27"/>
      <c r="AB45" s="51">
        <v>201.70009999999991</v>
      </c>
      <c r="AC45" s="33">
        <v>63.789458880000012</v>
      </c>
      <c r="AD45" s="33"/>
      <c r="AE45" s="52"/>
      <c r="AF45" s="53">
        <f t="shared" si="45"/>
        <v>270.55955887999994</v>
      </c>
      <c r="AH45" s="151">
        <v>46055</v>
      </c>
      <c r="AI45" s="152">
        <v>4518.8500000000004</v>
      </c>
      <c r="AJ45" s="159">
        <v>652.74</v>
      </c>
      <c r="AK45" s="171"/>
      <c r="AL45" s="27"/>
      <c r="AM45" s="32">
        <v>699.76779999999985</v>
      </c>
      <c r="AN45" s="32"/>
      <c r="AO45" s="42"/>
      <c r="AP45" s="44"/>
      <c r="AQ45" s="53">
        <f t="shared" si="46"/>
        <v>699.76779999999985</v>
      </c>
      <c r="AS45" s="151">
        <v>46055</v>
      </c>
      <c r="AT45" s="152">
        <v>13339.19</v>
      </c>
      <c r="AU45" s="159">
        <v>983.09</v>
      </c>
      <c r="AV45" s="152">
        <v>3760.65</v>
      </c>
      <c r="AW45" s="171"/>
      <c r="AX45" s="27"/>
      <c r="AY45" s="32">
        <v>83.44153</v>
      </c>
      <c r="AZ45" s="53">
        <v>91.890859999999947</v>
      </c>
      <c r="BA45" s="52"/>
      <c r="BB45" s="53">
        <f t="shared" si="47"/>
        <v>175.33238999999995</v>
      </c>
      <c r="BD45" s="151">
        <v>46055</v>
      </c>
      <c r="BE45" s="159">
        <v>722.35</v>
      </c>
      <c r="BF45" s="152">
        <v>1129.48</v>
      </c>
      <c r="BG45" s="158">
        <v>2.95</v>
      </c>
      <c r="BH45" s="158">
        <v>24.04</v>
      </c>
      <c r="BI45" s="27"/>
      <c r="BJ45" s="51"/>
      <c r="BK45" s="42"/>
      <c r="BL45" s="52"/>
      <c r="BM45" s="53">
        <f t="shared" si="48"/>
        <v>24.04</v>
      </c>
      <c r="BO45" s="151">
        <v>46055</v>
      </c>
      <c r="BP45" s="159">
        <v>786.48</v>
      </c>
      <c r="BQ45" s="161">
        <v>442.53</v>
      </c>
      <c r="BR45" s="155">
        <v>2.0699999999999998</v>
      </c>
      <c r="BS45" s="336">
        <v>94.96</v>
      </c>
      <c r="BT45" s="27"/>
      <c r="BU45" s="240"/>
      <c r="BV45" s="42">
        <v>632.52278828152203</v>
      </c>
      <c r="BW45" s="42"/>
      <c r="BX45" s="52"/>
      <c r="BY45" s="53">
        <f t="shared" si="49"/>
        <v>727.48278828152206</v>
      </c>
      <c r="CA45" s="151">
        <v>46055</v>
      </c>
      <c r="CB45" s="152">
        <v>3272.88</v>
      </c>
      <c r="CC45" s="159">
        <v>744.21</v>
      </c>
      <c r="CD45" s="331"/>
      <c r="CE45" s="27"/>
      <c r="CF45" s="32">
        <v>71.882670000000019</v>
      </c>
      <c r="CG45" s="42"/>
      <c r="CH45" s="44"/>
      <c r="CI45" s="53">
        <f t="shared" si="50"/>
        <v>71.882670000000019</v>
      </c>
      <c r="CK45" s="151">
        <v>46055</v>
      </c>
      <c r="CL45" s="152">
        <v>4850.55</v>
      </c>
      <c r="CM45" s="159">
        <v>364.39</v>
      </c>
      <c r="CN45" s="158">
        <v>482.85</v>
      </c>
      <c r="CO45" s="27"/>
      <c r="CP45" s="51"/>
      <c r="CQ45" s="33">
        <v>459.97586759619071</v>
      </c>
      <c r="CR45" s="52"/>
      <c r="CS45" s="53">
        <f t="shared" ref="CS45:CS71" si="57">SUM(CN45:CR45)</f>
        <v>942.82586759619073</v>
      </c>
      <c r="CU45" s="151">
        <v>46055</v>
      </c>
      <c r="CV45" s="159">
        <v>772</v>
      </c>
      <c r="CW45" s="159">
        <v>614.1</v>
      </c>
      <c r="CX45" s="162"/>
      <c r="CY45" s="158">
        <v>14</v>
      </c>
      <c r="CZ45" s="27"/>
      <c r="DA45" s="32">
        <v>69.190159999999963</v>
      </c>
      <c r="DB45" s="33"/>
      <c r="DC45" s="44"/>
      <c r="DD45" s="53">
        <f t="shared" ref="DD45:DD71" si="58">SUM(CY45:DC45)</f>
        <v>83.190159999999963</v>
      </c>
      <c r="DF45" s="151">
        <v>46055</v>
      </c>
      <c r="DG45" s="152">
        <v>1274.92</v>
      </c>
      <c r="DH45" s="159">
        <v>617.04999999999995</v>
      </c>
      <c r="DI45" s="162"/>
      <c r="DJ45" s="27"/>
      <c r="DK45" s="32">
        <v>294.22171000000009</v>
      </c>
      <c r="DL45" s="42"/>
      <c r="DM45" s="44">
        <v>71.211814299999986</v>
      </c>
      <c r="DN45" s="53">
        <f t="shared" si="51"/>
        <v>365.43352430000004</v>
      </c>
      <c r="DP45" s="151">
        <v>46055</v>
      </c>
      <c r="DQ45" s="159">
        <v>677.25</v>
      </c>
      <c r="DR45" s="173"/>
      <c r="DS45" s="27"/>
      <c r="DT45" s="51"/>
      <c r="DU45" s="52"/>
      <c r="DV45" s="52"/>
      <c r="DW45" s="53">
        <f t="shared" si="52"/>
        <v>0</v>
      </c>
      <c r="DY45" s="151">
        <v>46055</v>
      </c>
      <c r="DZ45" s="159">
        <v>130.80000000000001</v>
      </c>
      <c r="EA45" s="174"/>
      <c r="EB45" s="27"/>
      <c r="EC45" s="51"/>
      <c r="ED45" s="52"/>
      <c r="EE45" s="52"/>
      <c r="EF45" s="53">
        <f t="shared" si="53"/>
        <v>0</v>
      </c>
      <c r="EH45" s="151">
        <v>46055</v>
      </c>
      <c r="EI45" s="152">
        <v>1746.1</v>
      </c>
      <c r="EJ45" s="162"/>
      <c r="EK45" s="27"/>
      <c r="EL45" s="51"/>
      <c r="EM45" s="52"/>
      <c r="EN45" s="52"/>
      <c r="EO45" s="53">
        <f t="shared" si="54"/>
        <v>0</v>
      </c>
      <c r="EQ45" s="151">
        <v>46055</v>
      </c>
      <c r="ER45" s="152">
        <v>1526.38</v>
      </c>
      <c r="ES45" s="173"/>
      <c r="ET45" s="27"/>
      <c r="EU45" s="32">
        <v>44.95833600000001</v>
      </c>
      <c r="EV45" s="52"/>
      <c r="EW45" s="52"/>
      <c r="EX45" s="53">
        <f t="shared" si="55"/>
        <v>44.95833600000001</v>
      </c>
    </row>
    <row r="46" spans="2:154" hidden="1" x14ac:dyDescent="0.25">
      <c r="B46" s="151">
        <v>46056</v>
      </c>
      <c r="C46" s="152">
        <v>3702.42</v>
      </c>
      <c r="D46" s="159">
        <v>873.01</v>
      </c>
      <c r="E46" s="162"/>
      <c r="F46" s="27"/>
      <c r="G46" s="32">
        <v>701.17440999999963</v>
      </c>
      <c r="H46" s="33">
        <v>515.83499999999958</v>
      </c>
      <c r="I46" s="52"/>
      <c r="J46" s="53">
        <f t="shared" si="56"/>
        <v>1217.0094099999992</v>
      </c>
      <c r="L46" s="151">
        <v>46056</v>
      </c>
      <c r="M46" s="152">
        <v>16849.59</v>
      </c>
      <c r="N46" s="152">
        <v>2468.13</v>
      </c>
      <c r="O46" s="158">
        <v>59.13</v>
      </c>
      <c r="P46" s="27"/>
      <c r="Q46" s="32">
        <v>306.89999999999964</v>
      </c>
      <c r="R46" s="53"/>
      <c r="S46" s="53"/>
      <c r="T46" s="52"/>
      <c r="U46" s="53">
        <f t="shared" si="44"/>
        <v>366.02999999999963</v>
      </c>
      <c r="W46" s="151">
        <v>46056</v>
      </c>
      <c r="X46" s="152">
        <v>16684.55</v>
      </c>
      <c r="Y46" s="152"/>
      <c r="Z46" s="170">
        <v>17.16</v>
      </c>
      <c r="AA46" s="27"/>
      <c r="AB46" s="51">
        <v>48.323159999999937</v>
      </c>
      <c r="AC46" s="33">
        <v>51.348760899999988</v>
      </c>
      <c r="AD46" s="33"/>
      <c r="AE46" s="52"/>
      <c r="AF46" s="53">
        <f t="shared" si="45"/>
        <v>116.83192089999993</v>
      </c>
      <c r="AH46" s="151">
        <v>46056</v>
      </c>
      <c r="AI46" s="152">
        <v>5010.33</v>
      </c>
      <c r="AJ46" s="159">
        <v>711.74</v>
      </c>
      <c r="AK46" s="178"/>
      <c r="AL46" s="27"/>
      <c r="AM46" s="32">
        <v>832.7016799999999</v>
      </c>
      <c r="AN46" s="32"/>
      <c r="AO46" s="42"/>
      <c r="AP46" s="44"/>
      <c r="AQ46" s="53">
        <f t="shared" si="46"/>
        <v>832.7016799999999</v>
      </c>
      <c r="AS46" s="151">
        <v>46056</v>
      </c>
      <c r="AT46" s="152">
        <v>14210.2</v>
      </c>
      <c r="AU46" s="159">
        <v>618.71</v>
      </c>
      <c r="AV46" s="152">
        <v>3681.38</v>
      </c>
      <c r="AW46" s="171"/>
      <c r="AX46" s="27"/>
      <c r="AY46" s="32">
        <v>0.63560000000000372</v>
      </c>
      <c r="AZ46" s="53">
        <v>108.25488319999998</v>
      </c>
      <c r="BA46" s="52"/>
      <c r="BB46" s="53">
        <f t="shared" si="47"/>
        <v>108.89048319999998</v>
      </c>
      <c r="BD46" s="151">
        <v>46056</v>
      </c>
      <c r="BE46" s="152">
        <v>1023.28</v>
      </c>
      <c r="BF46" s="152">
        <v>1021.67</v>
      </c>
      <c r="BG46" s="158">
        <v>3.09</v>
      </c>
      <c r="BH46" s="158">
        <v>4.84</v>
      </c>
      <c r="BI46" s="27"/>
      <c r="BJ46" s="51"/>
      <c r="BK46" s="42"/>
      <c r="BL46" s="52"/>
      <c r="BM46" s="53">
        <f t="shared" si="48"/>
        <v>4.84</v>
      </c>
      <c r="BO46" s="151">
        <v>46056</v>
      </c>
      <c r="BP46" s="159">
        <v>727.82</v>
      </c>
      <c r="BQ46" s="161">
        <v>537.59</v>
      </c>
      <c r="BR46" s="155">
        <v>1.25</v>
      </c>
      <c r="BS46" s="336">
        <v>80.73</v>
      </c>
      <c r="BT46" s="27"/>
      <c r="BU46" s="240">
        <v>60.045846000000125</v>
      </c>
      <c r="BV46" s="42">
        <v>832.4388027328564</v>
      </c>
      <c r="BW46" s="42"/>
      <c r="BX46" s="52"/>
      <c r="BY46" s="53">
        <f t="shared" si="49"/>
        <v>973.21464873285652</v>
      </c>
      <c r="CA46" s="151">
        <v>46056</v>
      </c>
      <c r="CB46" s="152">
        <v>5242.2299999999996</v>
      </c>
      <c r="CC46" s="159">
        <v>751.61</v>
      </c>
      <c r="CD46" s="331"/>
      <c r="CE46" s="27"/>
      <c r="CF46" s="32">
        <v>115.50158000000008</v>
      </c>
      <c r="CG46" s="42"/>
      <c r="CH46" s="44"/>
      <c r="CI46" s="53">
        <f t="shared" si="50"/>
        <v>115.50158000000008</v>
      </c>
      <c r="CK46" s="151">
        <v>46056</v>
      </c>
      <c r="CL46" s="152">
        <v>2923.27</v>
      </c>
      <c r="CM46" s="159">
        <v>680.52</v>
      </c>
      <c r="CN46" s="158">
        <v>118.01</v>
      </c>
      <c r="CO46" s="27"/>
      <c r="CP46" s="51"/>
      <c r="CQ46" s="33">
        <v>794.96283818000063</v>
      </c>
      <c r="CR46" s="52"/>
      <c r="CS46" s="53">
        <f t="shared" si="57"/>
        <v>912.97283818000062</v>
      </c>
      <c r="CU46" s="151">
        <v>46056</v>
      </c>
      <c r="CV46" s="159">
        <v>175.6</v>
      </c>
      <c r="CW46" s="159">
        <v>341.2</v>
      </c>
      <c r="CX46" s="162"/>
      <c r="CY46" s="158">
        <v>84.44</v>
      </c>
      <c r="CZ46" s="27"/>
      <c r="DA46" s="32">
        <v>70.911339999999967</v>
      </c>
      <c r="DB46" s="33">
        <v>15.979094999999944</v>
      </c>
      <c r="DC46" s="44"/>
      <c r="DD46" s="53">
        <f>SUM(CY46:DC46)</f>
        <v>171.33043499999991</v>
      </c>
      <c r="DF46" s="151">
        <v>46056</v>
      </c>
      <c r="DG46" s="152">
        <v>1353.64</v>
      </c>
      <c r="DH46" s="159">
        <v>417.47</v>
      </c>
      <c r="DI46" s="162"/>
      <c r="DJ46" s="27"/>
      <c r="DK46" s="32">
        <v>210.28288999999998</v>
      </c>
      <c r="DL46" s="42">
        <v>169.13603299999988</v>
      </c>
      <c r="DM46" s="44"/>
      <c r="DN46" s="53">
        <f t="shared" si="51"/>
        <v>379.41892299999984</v>
      </c>
      <c r="DP46" s="151">
        <v>46056</v>
      </c>
      <c r="DQ46" s="159">
        <v>896.6</v>
      </c>
      <c r="DR46" s="173"/>
      <c r="DS46" s="27"/>
      <c r="DT46" s="51"/>
      <c r="DU46" s="52"/>
      <c r="DV46" s="52"/>
      <c r="DW46" s="53">
        <f t="shared" si="52"/>
        <v>0</v>
      </c>
      <c r="DY46" s="151">
        <v>46056</v>
      </c>
      <c r="DZ46" s="159">
        <v>473.01</v>
      </c>
      <c r="EA46" s="174"/>
      <c r="EB46" s="27"/>
      <c r="EC46" s="51"/>
      <c r="ED46" s="52"/>
      <c r="EE46" s="52"/>
      <c r="EF46" s="53">
        <f t="shared" si="53"/>
        <v>0</v>
      </c>
      <c r="EH46" s="151">
        <v>46056</v>
      </c>
      <c r="EI46" s="152">
        <v>1120.9000000000001</v>
      </c>
      <c r="EJ46" s="162"/>
      <c r="EK46" s="27"/>
      <c r="EL46" s="51"/>
      <c r="EM46" s="52"/>
      <c r="EN46" s="52"/>
      <c r="EO46" s="53">
        <f t="shared" si="54"/>
        <v>0</v>
      </c>
      <c r="EQ46" s="151">
        <v>46056</v>
      </c>
      <c r="ER46" s="152">
        <v>2389.19</v>
      </c>
      <c r="ES46" s="173"/>
      <c r="ET46" s="27"/>
      <c r="EU46" s="32">
        <v>60.051822000000008</v>
      </c>
      <c r="EV46" s="52"/>
      <c r="EW46" s="52"/>
      <c r="EX46" s="53">
        <f t="shared" si="55"/>
        <v>60.051822000000008</v>
      </c>
    </row>
    <row r="47" spans="2:154" hidden="1" x14ac:dyDescent="0.25">
      <c r="B47" s="151">
        <v>46057</v>
      </c>
      <c r="C47" s="152">
        <v>2683.27</v>
      </c>
      <c r="D47" s="152">
        <v>1078.29</v>
      </c>
      <c r="E47" s="162"/>
      <c r="F47" s="27"/>
      <c r="G47" s="32">
        <v>351.75803999999994</v>
      </c>
      <c r="H47" s="33">
        <v>45.817499999999995</v>
      </c>
      <c r="I47" s="52"/>
      <c r="J47" s="53">
        <f t="shared" si="56"/>
        <v>397.57553999999993</v>
      </c>
      <c r="L47" s="151">
        <v>46057</v>
      </c>
      <c r="M47" s="152">
        <v>17153.66</v>
      </c>
      <c r="N47" s="152">
        <v>2146.87</v>
      </c>
      <c r="O47" s="158">
        <v>53.6</v>
      </c>
      <c r="P47" s="27"/>
      <c r="Q47" s="32"/>
      <c r="R47" s="53">
        <v>10.039337454857119</v>
      </c>
      <c r="S47" s="53"/>
      <c r="T47" s="52"/>
      <c r="U47" s="53">
        <f t="shared" si="44"/>
        <v>63.63933745485712</v>
      </c>
      <c r="W47" s="151">
        <v>46057</v>
      </c>
      <c r="X47" s="152">
        <v>21659.11</v>
      </c>
      <c r="Y47" s="152"/>
      <c r="Z47" s="170">
        <v>5.85</v>
      </c>
      <c r="AA47" s="27"/>
      <c r="AB47" s="51">
        <v>300.22307999999964</v>
      </c>
      <c r="AC47" s="33">
        <v>24.462304299999985</v>
      </c>
      <c r="AD47" s="33"/>
      <c r="AE47" s="52"/>
      <c r="AF47" s="53">
        <f t="shared" si="45"/>
        <v>330.53538429999963</v>
      </c>
      <c r="AH47" s="151">
        <v>46057</v>
      </c>
      <c r="AI47" s="152">
        <v>4522.8500000000004</v>
      </c>
      <c r="AJ47" s="159">
        <v>824.65</v>
      </c>
      <c r="AK47" s="171"/>
      <c r="AL47" s="27"/>
      <c r="AM47" s="32">
        <v>243.63763999999992</v>
      </c>
      <c r="AN47" s="32"/>
      <c r="AO47" s="42"/>
      <c r="AP47" s="44"/>
      <c r="AQ47" s="53">
        <f t="shared" si="46"/>
        <v>243.63763999999992</v>
      </c>
      <c r="AS47" s="151">
        <v>46057</v>
      </c>
      <c r="AT47" s="152">
        <v>13785.46</v>
      </c>
      <c r="AU47" s="159">
        <v>987.97</v>
      </c>
      <c r="AV47" s="152">
        <v>4319.99</v>
      </c>
      <c r="AW47" s="171"/>
      <c r="AX47" s="27"/>
      <c r="AY47" s="32">
        <v>3.8323199999999638</v>
      </c>
      <c r="AZ47" s="53">
        <v>94.365297499999969</v>
      </c>
      <c r="BA47" s="52"/>
      <c r="BB47" s="53">
        <f t="shared" si="47"/>
        <v>98.197617499999936</v>
      </c>
      <c r="BD47" s="151">
        <v>46057</v>
      </c>
      <c r="BE47" s="159">
        <v>667.34</v>
      </c>
      <c r="BF47" s="152">
        <v>1141.8599999999999</v>
      </c>
      <c r="BG47" s="158">
        <v>3.5</v>
      </c>
      <c r="BH47" s="158">
        <v>37.450000000000003</v>
      </c>
      <c r="BI47" s="27"/>
      <c r="BJ47" s="51"/>
      <c r="BK47" s="42"/>
      <c r="BL47" s="52"/>
      <c r="BM47" s="53">
        <f t="shared" si="48"/>
        <v>37.450000000000003</v>
      </c>
      <c r="BO47" s="151">
        <v>46057</v>
      </c>
      <c r="BP47" s="159">
        <v>694.07</v>
      </c>
      <c r="BQ47" s="161">
        <v>730.93</v>
      </c>
      <c r="BR47" s="155">
        <v>1.2</v>
      </c>
      <c r="BS47" s="337">
        <v>1255.95</v>
      </c>
      <c r="BT47" s="27"/>
      <c r="BU47" s="240">
        <v>50.411243000000027</v>
      </c>
      <c r="BV47" s="42">
        <v>622.03141552657098</v>
      </c>
      <c r="BW47" s="42"/>
      <c r="BX47" s="52"/>
      <c r="BY47" s="53">
        <f t="shared" si="49"/>
        <v>1928.392658526571</v>
      </c>
      <c r="CA47" s="151">
        <v>46057</v>
      </c>
      <c r="CB47" s="152">
        <v>4348.67</v>
      </c>
      <c r="CC47" s="166">
        <v>1003.72</v>
      </c>
      <c r="CD47" s="163"/>
      <c r="CE47" s="27"/>
      <c r="CF47" s="32">
        <v>150.90795999999995</v>
      </c>
      <c r="CG47" s="42"/>
      <c r="CH47" s="44"/>
      <c r="CI47" s="53">
        <f t="shared" si="50"/>
        <v>150.90795999999995</v>
      </c>
      <c r="CK47" s="151">
        <v>46057</v>
      </c>
      <c r="CL47" s="152">
        <v>3240.37</v>
      </c>
      <c r="CM47" s="159">
        <v>328.53</v>
      </c>
      <c r="CN47" s="158">
        <v>234.62</v>
      </c>
      <c r="CO47" s="27"/>
      <c r="CP47" s="51"/>
      <c r="CQ47" s="33">
        <v>808.69104904028643</v>
      </c>
      <c r="CR47" s="52"/>
      <c r="CS47" s="53">
        <f t="shared" si="57"/>
        <v>1043.3110490402864</v>
      </c>
      <c r="CU47" s="151">
        <v>46057</v>
      </c>
      <c r="CV47" s="159">
        <v>459.01</v>
      </c>
      <c r="CW47" s="152">
        <v>1045.2</v>
      </c>
      <c r="CX47" s="158"/>
      <c r="CY47" s="158">
        <v>1.46</v>
      </c>
      <c r="CZ47" s="27"/>
      <c r="DA47" s="32">
        <v>45.260039999999975</v>
      </c>
      <c r="DB47" s="33">
        <v>19.900386999999981</v>
      </c>
      <c r="DC47" s="44"/>
      <c r="DD47" s="53">
        <f>SUM(CY47:DC47)</f>
        <v>66.62042699999995</v>
      </c>
      <c r="DF47" s="151">
        <v>46057</v>
      </c>
      <c r="DG47" s="159">
        <v>908.86</v>
      </c>
      <c r="DH47" s="159">
        <v>393.38</v>
      </c>
      <c r="DI47" s="158">
        <v>3.55</v>
      </c>
      <c r="DJ47" s="27"/>
      <c r="DK47" s="32">
        <v>250.77555000000004</v>
      </c>
      <c r="DL47" s="42"/>
      <c r="DM47" s="44"/>
      <c r="DN47" s="53">
        <f t="shared" si="51"/>
        <v>254.32555000000005</v>
      </c>
      <c r="DP47" s="151">
        <v>46057</v>
      </c>
      <c r="DQ47" s="159">
        <v>808.51</v>
      </c>
      <c r="DR47" s="173"/>
      <c r="DS47" s="27"/>
      <c r="DT47" s="51"/>
      <c r="DU47" s="52"/>
      <c r="DV47" s="52"/>
      <c r="DW47" s="53">
        <f t="shared" si="52"/>
        <v>0</v>
      </c>
      <c r="DY47" s="151">
        <v>46057</v>
      </c>
      <c r="DZ47" s="159">
        <v>107</v>
      </c>
      <c r="EA47" s="174"/>
      <c r="EB47" s="27"/>
      <c r="EC47" s="51"/>
      <c r="ED47" s="52"/>
      <c r="EE47" s="52"/>
      <c r="EF47" s="53">
        <f t="shared" si="53"/>
        <v>0</v>
      </c>
      <c r="EH47" s="151">
        <v>46057</v>
      </c>
      <c r="EI47" s="152">
        <v>1622.55</v>
      </c>
      <c r="EJ47" s="162"/>
      <c r="EK47" s="27"/>
      <c r="EL47" s="51"/>
      <c r="EM47" s="52"/>
      <c r="EN47" s="52"/>
      <c r="EO47" s="53">
        <f t="shared" si="54"/>
        <v>0</v>
      </c>
      <c r="EQ47" s="151">
        <v>46057</v>
      </c>
      <c r="ER47" s="152">
        <v>1605.3</v>
      </c>
      <c r="ES47" s="173"/>
      <c r="ET47" s="27"/>
      <c r="EU47" s="32">
        <v>53.299817999999988</v>
      </c>
      <c r="EV47" s="52"/>
      <c r="EW47" s="52"/>
      <c r="EX47" s="53">
        <f t="shared" si="55"/>
        <v>53.299817999999988</v>
      </c>
    </row>
    <row r="48" spans="2:154" hidden="1" x14ac:dyDescent="0.25">
      <c r="B48" s="151">
        <v>46058</v>
      </c>
      <c r="C48" s="152">
        <v>3687.93</v>
      </c>
      <c r="D48" s="152">
        <v>1185.49</v>
      </c>
      <c r="E48" s="162"/>
      <c r="F48" s="27"/>
      <c r="G48" s="32">
        <v>543.94533999999987</v>
      </c>
      <c r="H48" s="33">
        <v>87.635935100000026</v>
      </c>
      <c r="I48" s="52"/>
      <c r="J48" s="53">
        <f t="shared" si="56"/>
        <v>631.58127509999986</v>
      </c>
      <c r="L48" s="151">
        <v>46058</v>
      </c>
      <c r="M48" s="152">
        <v>19203.27</v>
      </c>
      <c r="N48" s="152">
        <v>2527.3200000000002</v>
      </c>
      <c r="O48" s="158">
        <v>48.01</v>
      </c>
      <c r="P48" s="27"/>
      <c r="Q48" s="32">
        <v>20.50800000000001</v>
      </c>
      <c r="R48" s="53">
        <v>124.17260937904766</v>
      </c>
      <c r="S48" s="53"/>
      <c r="T48" s="52"/>
      <c r="U48" s="53">
        <f t="shared" si="44"/>
        <v>192.69060937904766</v>
      </c>
      <c r="W48" s="151">
        <v>46058</v>
      </c>
      <c r="X48" s="152">
        <v>22473.68</v>
      </c>
      <c r="Y48" s="152"/>
      <c r="Z48" s="170">
        <v>9.92</v>
      </c>
      <c r="AA48" s="27"/>
      <c r="AB48" s="51">
        <v>280.17188999999973</v>
      </c>
      <c r="AC48" s="33">
        <v>57.202240800000013</v>
      </c>
      <c r="AD48" s="33"/>
      <c r="AE48" s="52"/>
      <c r="AF48" s="53">
        <f t="shared" si="45"/>
        <v>347.29413079999978</v>
      </c>
      <c r="AH48" s="151">
        <v>46058</v>
      </c>
      <c r="AI48" s="152">
        <v>4419.2</v>
      </c>
      <c r="AJ48" s="159">
        <v>788.4</v>
      </c>
      <c r="AK48" s="171"/>
      <c r="AL48" s="27"/>
      <c r="AM48" s="32">
        <v>241.33288999999996</v>
      </c>
      <c r="AN48" s="32"/>
      <c r="AO48" s="42">
        <v>38.965613874285708</v>
      </c>
      <c r="AP48" s="44"/>
      <c r="AQ48" s="53">
        <f t="shared" si="46"/>
        <v>280.29850387428564</v>
      </c>
      <c r="AS48" s="151">
        <v>46058</v>
      </c>
      <c r="AT48" s="152">
        <v>14253.4</v>
      </c>
      <c r="AU48" s="159">
        <v>952.41</v>
      </c>
      <c r="AV48" s="152">
        <v>4404.43</v>
      </c>
      <c r="AW48" s="171"/>
      <c r="AX48" s="27"/>
      <c r="AY48" s="32">
        <v>-0.47332000000001528</v>
      </c>
      <c r="AZ48" s="53">
        <v>188.23915029999995</v>
      </c>
      <c r="BA48" s="52"/>
      <c r="BB48" s="53">
        <f t="shared" si="47"/>
        <v>187.76583029999995</v>
      </c>
      <c r="BD48" s="151">
        <v>46058</v>
      </c>
      <c r="BE48" s="159">
        <v>927.95</v>
      </c>
      <c r="BF48" s="152">
        <v>1218.3900000000001</v>
      </c>
      <c r="BG48" s="158">
        <v>3.27</v>
      </c>
      <c r="BH48" s="158">
        <v>17.309999999999999</v>
      </c>
      <c r="BI48" s="27"/>
      <c r="BJ48" s="51"/>
      <c r="BK48" s="42"/>
      <c r="BL48" s="52"/>
      <c r="BM48" s="53">
        <f t="shared" si="48"/>
        <v>17.309999999999999</v>
      </c>
      <c r="BO48" s="151">
        <v>46058</v>
      </c>
      <c r="BP48" s="152">
        <v>1771.78</v>
      </c>
      <c r="BQ48" s="161">
        <v>466.96</v>
      </c>
      <c r="BR48" s="155">
        <v>3.13</v>
      </c>
      <c r="BS48" s="336">
        <v>105.54</v>
      </c>
      <c r="BT48" s="27"/>
      <c r="BU48" s="240">
        <v>16.745788000000033</v>
      </c>
      <c r="BV48" s="42">
        <v>1041.0249121245727</v>
      </c>
      <c r="BW48" s="42"/>
      <c r="BX48" s="52"/>
      <c r="BY48" s="53">
        <f t="shared" si="49"/>
        <v>1163.3107001245728</v>
      </c>
      <c r="CA48" s="151">
        <v>46058</v>
      </c>
      <c r="CB48" s="152">
        <v>4091.94</v>
      </c>
      <c r="CC48" s="159">
        <v>840.91</v>
      </c>
      <c r="CD48" s="331"/>
      <c r="CE48" s="27"/>
      <c r="CF48" s="32">
        <v>33.958859999999987</v>
      </c>
      <c r="CG48" s="42">
        <v>17.358928765714296</v>
      </c>
      <c r="CH48" s="44"/>
      <c r="CI48" s="53">
        <f t="shared" si="50"/>
        <v>51.317788765714283</v>
      </c>
      <c r="CK48" s="151">
        <v>46058</v>
      </c>
      <c r="CL48" s="152">
        <v>7739.15</v>
      </c>
      <c r="CM48" s="159">
        <v>311.41000000000003</v>
      </c>
      <c r="CN48" s="158">
        <v>614.84</v>
      </c>
      <c r="CO48" s="27"/>
      <c r="CP48" s="51"/>
      <c r="CQ48" s="33">
        <v>631.61555859809494</v>
      </c>
      <c r="CR48" s="52"/>
      <c r="CS48" s="53">
        <f t="shared" si="57"/>
        <v>1246.455558598095</v>
      </c>
      <c r="CU48" s="151">
        <v>46058</v>
      </c>
      <c r="CV48" s="152">
        <v>1922.29</v>
      </c>
      <c r="CW48" s="159">
        <v>412.5</v>
      </c>
      <c r="CX48" s="162"/>
      <c r="CY48" s="158">
        <v>36.31</v>
      </c>
      <c r="CZ48" s="27"/>
      <c r="DA48" s="32">
        <v>82.852410000000049</v>
      </c>
      <c r="DB48" s="33">
        <v>17.078061000000005</v>
      </c>
      <c r="DC48" s="44"/>
      <c r="DD48" s="53">
        <f>SUM(CY48:DC48)</f>
        <v>136.24047100000007</v>
      </c>
      <c r="DF48" s="151">
        <v>46058</v>
      </c>
      <c r="DG48" s="152">
        <v>1758.65</v>
      </c>
      <c r="DH48" s="159">
        <v>218.82</v>
      </c>
      <c r="DI48" s="162"/>
      <c r="DJ48" s="27"/>
      <c r="DK48" s="32">
        <v>229.09903000000003</v>
      </c>
      <c r="DL48" s="42"/>
      <c r="DM48" s="44"/>
      <c r="DN48" s="53">
        <f t="shared" si="51"/>
        <v>229.09903000000003</v>
      </c>
      <c r="DP48" s="151">
        <v>46058</v>
      </c>
      <c r="DQ48" s="159">
        <v>520.66</v>
      </c>
      <c r="DR48" s="173"/>
      <c r="DS48" s="27"/>
      <c r="DT48" s="51"/>
      <c r="DU48" s="52"/>
      <c r="DV48" s="52"/>
      <c r="DW48" s="53">
        <f t="shared" si="52"/>
        <v>0</v>
      </c>
      <c r="DY48" s="151">
        <v>46058</v>
      </c>
      <c r="DZ48" s="159">
        <v>198.5</v>
      </c>
      <c r="EA48" s="174"/>
      <c r="EB48" s="27"/>
      <c r="EC48" s="51"/>
      <c r="ED48" s="52"/>
      <c r="EE48" s="52"/>
      <c r="EF48" s="53">
        <f t="shared" si="53"/>
        <v>0</v>
      </c>
      <c r="EH48" s="151">
        <v>46058</v>
      </c>
      <c r="EI48" s="152">
        <v>1838.7</v>
      </c>
      <c r="EJ48" s="183">
        <v>90</v>
      </c>
      <c r="EK48" s="27"/>
      <c r="EL48" s="51"/>
      <c r="EM48" s="52"/>
      <c r="EN48" s="52"/>
      <c r="EO48" s="53">
        <f t="shared" si="54"/>
        <v>90</v>
      </c>
      <c r="EQ48" s="151">
        <v>46058</v>
      </c>
      <c r="ER48" s="152">
        <v>1735.38</v>
      </c>
      <c r="ES48" s="173"/>
      <c r="ET48" s="27"/>
      <c r="EU48" s="32">
        <v>95.593587000000056</v>
      </c>
      <c r="EV48" s="52"/>
      <c r="EW48" s="52"/>
      <c r="EX48" s="53">
        <f t="shared" si="55"/>
        <v>95.593587000000056</v>
      </c>
    </row>
    <row r="49" spans="2:154" hidden="1" x14ac:dyDescent="0.25">
      <c r="B49" s="151">
        <v>46059</v>
      </c>
      <c r="C49" s="152">
        <v>2278.38</v>
      </c>
      <c r="D49" s="152">
        <v>1469.67</v>
      </c>
      <c r="E49" s="162"/>
      <c r="F49" s="27"/>
      <c r="G49" s="32">
        <v>511.80228</v>
      </c>
      <c r="H49" s="33">
        <v>21.701000000000008</v>
      </c>
      <c r="I49" s="52"/>
      <c r="J49" s="53">
        <f t="shared" si="56"/>
        <v>533.50328000000002</v>
      </c>
      <c r="L49" s="151">
        <v>46059</v>
      </c>
      <c r="M49" s="152">
        <v>16172.89</v>
      </c>
      <c r="N49" s="152">
        <v>3035.35</v>
      </c>
      <c r="O49" s="158">
        <v>50.9</v>
      </c>
      <c r="P49" s="27"/>
      <c r="Q49" s="32">
        <v>13.596000000000004</v>
      </c>
      <c r="R49" s="53"/>
      <c r="S49" s="53"/>
      <c r="T49" s="52">
        <v>40.699425699999949</v>
      </c>
      <c r="U49" s="53">
        <f t="shared" si="44"/>
        <v>105.19542569999996</v>
      </c>
      <c r="W49" s="151">
        <v>46059</v>
      </c>
      <c r="X49" s="152">
        <v>22533.05</v>
      </c>
      <c r="Y49" s="152"/>
      <c r="Z49" s="170">
        <v>2.54</v>
      </c>
      <c r="AA49" s="27"/>
      <c r="AB49" s="51">
        <v>114.21950000000004</v>
      </c>
      <c r="AC49" s="33">
        <v>7.0798336000000006</v>
      </c>
      <c r="AD49" s="33"/>
      <c r="AE49" s="52"/>
      <c r="AF49" s="53">
        <f t="shared" si="45"/>
        <v>123.83933360000005</v>
      </c>
      <c r="AH49" s="151">
        <v>46059</v>
      </c>
      <c r="AI49" s="152">
        <v>6073.31</v>
      </c>
      <c r="AJ49" s="159">
        <v>753.83</v>
      </c>
      <c r="AK49" s="178"/>
      <c r="AL49" s="27"/>
      <c r="AM49" s="32">
        <v>550.09167000000014</v>
      </c>
      <c r="AN49" s="32"/>
      <c r="AO49" s="42">
        <v>47.887209142857159</v>
      </c>
      <c r="AP49" s="44"/>
      <c r="AQ49" s="53">
        <f t="shared" si="46"/>
        <v>597.97887914285729</v>
      </c>
      <c r="AS49" s="151">
        <v>46059</v>
      </c>
      <c r="AT49" s="152">
        <v>15728.61</v>
      </c>
      <c r="AU49" s="152">
        <v>1641.36</v>
      </c>
      <c r="AV49" s="152">
        <v>4390.95</v>
      </c>
      <c r="AW49" s="171"/>
      <c r="AX49" s="27"/>
      <c r="AY49" s="32">
        <v>6.1056000000000026</v>
      </c>
      <c r="AZ49" s="53">
        <v>138.76630689999999</v>
      </c>
      <c r="BA49" s="52"/>
      <c r="BB49" s="53">
        <f t="shared" si="47"/>
        <v>144.8719069</v>
      </c>
      <c r="BD49" s="151">
        <v>46059</v>
      </c>
      <c r="BE49" s="159">
        <v>992.74</v>
      </c>
      <c r="BF49" s="159">
        <v>814.51</v>
      </c>
      <c r="BG49" s="158">
        <v>3.57</v>
      </c>
      <c r="BH49" s="158">
        <v>16.07</v>
      </c>
      <c r="BI49" s="27"/>
      <c r="BJ49" s="51"/>
      <c r="BK49" s="42"/>
      <c r="BL49" s="52"/>
      <c r="BM49" s="53">
        <f t="shared" si="48"/>
        <v>16.07</v>
      </c>
      <c r="BO49" s="151">
        <v>46059</v>
      </c>
      <c r="BP49" s="152">
        <v>1327.89</v>
      </c>
      <c r="BQ49" s="161">
        <v>708.22</v>
      </c>
      <c r="BR49" s="155">
        <v>2.68</v>
      </c>
      <c r="BS49" s="336">
        <v>120.3</v>
      </c>
      <c r="BT49" s="27"/>
      <c r="BU49" s="240">
        <v>24.459599999999995</v>
      </c>
      <c r="BV49" s="42">
        <v>193.94765325828581</v>
      </c>
      <c r="BW49" s="42"/>
      <c r="BX49" s="52"/>
      <c r="BY49" s="53">
        <f t="shared" si="49"/>
        <v>338.70725325828579</v>
      </c>
      <c r="CA49" s="151">
        <v>46059</v>
      </c>
      <c r="CB49" s="152">
        <v>3663.43</v>
      </c>
      <c r="CC49" s="159">
        <v>560.66999999999996</v>
      </c>
      <c r="CD49" s="331"/>
      <c r="CE49" s="27"/>
      <c r="CF49" s="32">
        <v>71.801310000000029</v>
      </c>
      <c r="CG49" s="42"/>
      <c r="CH49" s="44"/>
      <c r="CI49" s="53">
        <f t="shared" si="50"/>
        <v>71.801310000000029</v>
      </c>
      <c r="CK49" s="151">
        <v>46059</v>
      </c>
      <c r="CL49" s="152">
        <v>3332.33</v>
      </c>
      <c r="CM49" s="159">
        <v>310.88</v>
      </c>
      <c r="CN49" s="158">
        <v>160.26</v>
      </c>
      <c r="CO49" s="27"/>
      <c r="CP49" s="51"/>
      <c r="CQ49" s="33">
        <v>143.62844365714284</v>
      </c>
      <c r="CR49" s="52"/>
      <c r="CS49" s="53">
        <f t="shared" si="57"/>
        <v>303.88844365714283</v>
      </c>
      <c r="CU49" s="151">
        <v>46059</v>
      </c>
      <c r="CV49" s="159">
        <v>847.27</v>
      </c>
      <c r="CW49" s="159">
        <v>647.79999999999995</v>
      </c>
      <c r="CX49" s="162"/>
      <c r="CY49" s="158">
        <v>14</v>
      </c>
      <c r="CZ49" s="27"/>
      <c r="DA49" s="32">
        <v>67.573199999999929</v>
      </c>
      <c r="DB49" s="33">
        <v>42.758250900000036</v>
      </c>
      <c r="DC49" s="44"/>
      <c r="DD49" s="53">
        <f t="shared" si="58"/>
        <v>124.33145089999996</v>
      </c>
      <c r="DF49" s="151">
        <v>46059</v>
      </c>
      <c r="DG49" s="152">
        <v>1140.1199999999999</v>
      </c>
      <c r="DH49" s="159">
        <v>437.71</v>
      </c>
      <c r="DI49" s="162"/>
      <c r="DJ49" s="27"/>
      <c r="DK49" s="32">
        <v>90.625500000000002</v>
      </c>
      <c r="DL49" s="42">
        <v>32.040707400000002</v>
      </c>
      <c r="DM49" s="44"/>
      <c r="DN49" s="53">
        <f t="shared" si="51"/>
        <v>122.6662074</v>
      </c>
      <c r="DP49" s="151">
        <v>46059</v>
      </c>
      <c r="DQ49" s="159">
        <v>889</v>
      </c>
      <c r="DR49" s="173"/>
      <c r="DS49" s="27"/>
      <c r="DT49" s="51"/>
      <c r="DU49" s="52"/>
      <c r="DV49" s="52"/>
      <c r="DW49" s="53">
        <f t="shared" si="52"/>
        <v>0</v>
      </c>
      <c r="DY49" s="151">
        <v>46059</v>
      </c>
      <c r="DZ49" s="159">
        <v>0</v>
      </c>
      <c r="EA49" s="174"/>
      <c r="EB49" s="27"/>
      <c r="EC49" s="51"/>
      <c r="ED49" s="52"/>
      <c r="EE49" s="52"/>
      <c r="EF49" s="53">
        <f t="shared" si="53"/>
        <v>0</v>
      </c>
      <c r="EH49" s="151">
        <v>46059</v>
      </c>
      <c r="EI49" s="152">
        <v>2003</v>
      </c>
      <c r="EJ49" s="183">
        <v>3220</v>
      </c>
      <c r="EK49" s="27"/>
      <c r="EL49" s="51"/>
      <c r="EM49" s="52"/>
      <c r="EN49" s="52"/>
      <c r="EO49" s="53">
        <f t="shared" si="54"/>
        <v>3220</v>
      </c>
      <c r="EQ49" s="151">
        <v>46059</v>
      </c>
      <c r="ER49" s="152">
        <v>1363.54</v>
      </c>
      <c r="ES49" s="173"/>
      <c r="ET49" s="27"/>
      <c r="EU49" s="32">
        <v>383.34227700000002</v>
      </c>
      <c r="EV49" s="52"/>
      <c r="EW49" s="52"/>
      <c r="EX49" s="53">
        <f t="shared" si="55"/>
        <v>383.34227700000002</v>
      </c>
    </row>
    <row r="50" spans="2:154" hidden="1" x14ac:dyDescent="0.25">
      <c r="B50" s="151">
        <v>46060</v>
      </c>
      <c r="C50" s="152">
        <v>4106.83</v>
      </c>
      <c r="D50" s="152">
        <v>2098.3200000000002</v>
      </c>
      <c r="E50" s="162"/>
      <c r="F50" s="27"/>
      <c r="G50" s="32">
        <v>41.550049999999999</v>
      </c>
      <c r="H50" s="33"/>
      <c r="I50" s="52"/>
      <c r="J50" s="53">
        <f t="shared" si="56"/>
        <v>41.550049999999999</v>
      </c>
      <c r="L50" s="151">
        <v>46060</v>
      </c>
      <c r="M50" s="152">
        <v>21529.279999999999</v>
      </c>
      <c r="N50" s="152">
        <v>2719.98</v>
      </c>
      <c r="O50" s="158">
        <v>74.7</v>
      </c>
      <c r="P50" s="27"/>
      <c r="Q50" s="32">
        <v>7.2175099999999759</v>
      </c>
      <c r="R50" s="53"/>
      <c r="S50" s="53"/>
      <c r="T50" s="52"/>
      <c r="U50" s="53">
        <f t="shared" si="44"/>
        <v>81.917509999999979</v>
      </c>
      <c r="W50" s="151">
        <v>46060</v>
      </c>
      <c r="X50" s="152">
        <v>20902.400000000001</v>
      </c>
      <c r="Y50" s="152"/>
      <c r="Z50" s="170">
        <v>9.49</v>
      </c>
      <c r="AA50" s="27"/>
      <c r="AB50" s="51">
        <v>216.70263999999997</v>
      </c>
      <c r="AC50" s="33">
        <v>41.225625500000007</v>
      </c>
      <c r="AD50" s="33"/>
      <c r="AE50" s="52"/>
      <c r="AF50" s="53">
        <f t="shared" si="45"/>
        <v>267.41826549999996</v>
      </c>
      <c r="AH50" s="151">
        <v>46060</v>
      </c>
      <c r="AI50" s="152">
        <v>7120.59</v>
      </c>
      <c r="AJ50" s="152">
        <v>1318.09</v>
      </c>
      <c r="AK50" s="171"/>
      <c r="AL50" s="27"/>
      <c r="AM50" s="32">
        <v>778.39894000000004</v>
      </c>
      <c r="AN50" s="32"/>
      <c r="AO50" s="42"/>
      <c r="AP50" s="44"/>
      <c r="AQ50" s="53">
        <f t="shared" si="46"/>
        <v>778.39894000000004</v>
      </c>
      <c r="AS50" s="151">
        <v>46060</v>
      </c>
      <c r="AT50" s="152">
        <v>17287.91</v>
      </c>
      <c r="AU50" s="152">
        <v>1309.31</v>
      </c>
      <c r="AV50" s="152">
        <v>4468.4399999999996</v>
      </c>
      <c r="AW50" s="171"/>
      <c r="AX50" s="27"/>
      <c r="AY50" s="32">
        <v>-2.7772200000000282</v>
      </c>
      <c r="AZ50" s="53">
        <v>80.694831800000003</v>
      </c>
      <c r="BA50" s="52"/>
      <c r="BB50" s="53">
        <f t="shared" si="47"/>
        <v>77.917611799999975</v>
      </c>
      <c r="BD50" s="151">
        <v>46060</v>
      </c>
      <c r="BE50" s="152">
        <v>1467.9</v>
      </c>
      <c r="BF50" s="152">
        <v>1260.6300000000001</v>
      </c>
      <c r="BG50" s="158">
        <v>3.46</v>
      </c>
      <c r="BH50" s="158">
        <v>24.44</v>
      </c>
      <c r="BI50" s="27"/>
      <c r="BJ50" s="51"/>
      <c r="BK50" s="42"/>
      <c r="BL50" s="52"/>
      <c r="BM50" s="53">
        <f t="shared" si="48"/>
        <v>24.44</v>
      </c>
      <c r="BO50" s="151">
        <v>46060</v>
      </c>
      <c r="BP50" s="152">
        <v>1222.29</v>
      </c>
      <c r="BQ50" s="161">
        <v>575.11</v>
      </c>
      <c r="BR50" s="155">
        <v>2.54</v>
      </c>
      <c r="BS50" s="336">
        <v>80.959999999999994</v>
      </c>
      <c r="BT50" s="27"/>
      <c r="BU50" s="240">
        <v>10.963980000000021</v>
      </c>
      <c r="BV50" s="42">
        <v>699.57453161371495</v>
      </c>
      <c r="BW50" s="42"/>
      <c r="BX50" s="52"/>
      <c r="BY50" s="53">
        <f t="shared" si="49"/>
        <v>791.49851161371498</v>
      </c>
      <c r="CA50" s="151">
        <v>46060</v>
      </c>
      <c r="CB50" s="152">
        <v>4835.74</v>
      </c>
      <c r="CC50" s="152">
        <v>1182.1400000000001</v>
      </c>
      <c r="CD50" s="331"/>
      <c r="CE50" s="27"/>
      <c r="CF50" s="32">
        <v>116.80766000000001</v>
      </c>
      <c r="CG50" s="42"/>
      <c r="CH50" s="44"/>
      <c r="CI50" s="53">
        <f t="shared" si="50"/>
        <v>116.80766000000001</v>
      </c>
      <c r="CK50" s="151">
        <v>46060</v>
      </c>
      <c r="CL50" s="159">
        <v>451.2</v>
      </c>
      <c r="CM50" s="159">
        <v>196.63</v>
      </c>
      <c r="CN50" s="158">
        <v>284.39</v>
      </c>
      <c r="CO50" s="27"/>
      <c r="CP50" s="51"/>
      <c r="CQ50" s="33">
        <v>214.88422393142847</v>
      </c>
      <c r="CR50" s="52"/>
      <c r="CS50" s="53">
        <f t="shared" si="57"/>
        <v>499.27422393142842</v>
      </c>
      <c r="CU50" s="151">
        <v>46060</v>
      </c>
      <c r="CV50" s="159">
        <v>515.14</v>
      </c>
      <c r="CW50" s="152">
        <v>1132.5</v>
      </c>
      <c r="CX50" s="162"/>
      <c r="CY50" s="158">
        <v>44.61</v>
      </c>
      <c r="CZ50" s="27"/>
      <c r="DA50" s="32"/>
      <c r="DB50" s="33"/>
      <c r="DC50" s="44"/>
      <c r="DD50" s="53">
        <f t="shared" si="58"/>
        <v>44.61</v>
      </c>
      <c r="DE50" s="211"/>
      <c r="DF50" s="151">
        <v>46060</v>
      </c>
      <c r="DG50" s="152">
        <v>1140.21</v>
      </c>
      <c r="DH50" s="159">
        <v>334.81</v>
      </c>
      <c r="DI50" s="162"/>
      <c r="DJ50" s="27"/>
      <c r="DK50" s="32">
        <v>222.23250000000002</v>
      </c>
      <c r="DL50" s="42">
        <v>33.333064700000023</v>
      </c>
      <c r="DM50" s="44"/>
      <c r="DN50" s="53">
        <f t="shared" si="51"/>
        <v>255.56556470000004</v>
      </c>
      <c r="DP50" s="151">
        <v>46060</v>
      </c>
      <c r="DQ50" s="159">
        <v>365.6</v>
      </c>
      <c r="DR50" s="173"/>
      <c r="DS50" s="27"/>
      <c r="DT50" s="51"/>
      <c r="DU50" s="52"/>
      <c r="DV50" s="52"/>
      <c r="DW50" s="53">
        <f t="shared" si="52"/>
        <v>0</v>
      </c>
      <c r="DY50" s="151">
        <v>46060</v>
      </c>
      <c r="DZ50" s="159">
        <v>0</v>
      </c>
      <c r="EA50" s="174"/>
      <c r="EB50" s="27"/>
      <c r="EC50" s="51"/>
      <c r="ED50" s="52"/>
      <c r="EE50" s="52"/>
      <c r="EF50" s="53">
        <f t="shared" si="53"/>
        <v>0</v>
      </c>
      <c r="EH50" s="151">
        <v>46060</v>
      </c>
      <c r="EI50" s="152">
        <v>1335.59</v>
      </c>
      <c r="EJ50" s="162"/>
      <c r="EK50" s="27"/>
      <c r="EL50" s="51"/>
      <c r="EM50" s="52"/>
      <c r="EN50" s="52"/>
      <c r="EO50" s="53">
        <f t="shared" si="54"/>
        <v>0</v>
      </c>
      <c r="EQ50" s="151">
        <v>46060</v>
      </c>
      <c r="ER50" s="152">
        <v>1275.18</v>
      </c>
      <c r="ES50" s="173"/>
      <c r="ET50" s="27"/>
      <c r="EU50" s="32">
        <v>29.287857999999979</v>
      </c>
      <c r="EV50" s="52"/>
      <c r="EW50" s="52"/>
      <c r="EX50" s="53">
        <f t="shared" si="55"/>
        <v>29.287857999999979</v>
      </c>
    </row>
    <row r="51" spans="2:154" hidden="1" x14ac:dyDescent="0.25">
      <c r="B51" s="151">
        <v>46061</v>
      </c>
      <c r="C51" s="152">
        <v>2975.78</v>
      </c>
      <c r="D51" s="152">
        <v>1708.6</v>
      </c>
      <c r="E51" s="162"/>
      <c r="F51" s="27"/>
      <c r="G51" s="32">
        <v>53.599999999999994</v>
      </c>
      <c r="H51" s="33">
        <v>23.209890495238099</v>
      </c>
      <c r="I51" s="52"/>
      <c r="J51" s="53">
        <f t="shared" si="56"/>
        <v>76.809890495238093</v>
      </c>
      <c r="L51" s="151">
        <v>46061</v>
      </c>
      <c r="M51" s="152">
        <v>17669.86</v>
      </c>
      <c r="N51" s="152">
        <v>2795.75</v>
      </c>
      <c r="O51" s="158">
        <v>21.1</v>
      </c>
      <c r="P51" s="27"/>
      <c r="Q51" s="32"/>
      <c r="R51" s="53"/>
      <c r="S51" s="53"/>
      <c r="T51" s="52"/>
      <c r="U51" s="53">
        <f t="shared" si="44"/>
        <v>21.1</v>
      </c>
      <c r="W51" s="151">
        <v>46061</v>
      </c>
      <c r="X51" s="152">
        <v>32664.62</v>
      </c>
      <c r="Y51" s="152"/>
      <c r="Z51" s="170">
        <v>3.28</v>
      </c>
      <c r="AA51" s="27"/>
      <c r="AB51" s="51">
        <v>25.983059999999981</v>
      </c>
      <c r="AC51" s="33"/>
      <c r="AD51" s="33"/>
      <c r="AE51" s="52"/>
      <c r="AF51" s="53">
        <f t="shared" si="45"/>
        <v>29.263059999999982</v>
      </c>
      <c r="AH51" s="151">
        <v>46061</v>
      </c>
      <c r="AI51" s="152">
        <v>3094.13</v>
      </c>
      <c r="AJ51" s="152">
        <v>1422.95</v>
      </c>
      <c r="AK51" s="178"/>
      <c r="AL51" s="27"/>
      <c r="AM51" s="32">
        <v>112.86163000000002</v>
      </c>
      <c r="AN51" s="32"/>
      <c r="AO51" s="42"/>
      <c r="AP51" s="44"/>
      <c r="AQ51" s="53">
        <f t="shared" si="46"/>
        <v>112.86163000000002</v>
      </c>
      <c r="AS51" s="151">
        <v>46061</v>
      </c>
      <c r="AT51" s="152">
        <v>11920.22</v>
      </c>
      <c r="AU51" s="152">
        <v>1037.3800000000001</v>
      </c>
      <c r="AV51" s="152">
        <v>3026.37</v>
      </c>
      <c r="AW51" s="171"/>
      <c r="AX51" s="27"/>
      <c r="AY51" s="32"/>
      <c r="AZ51" s="53">
        <v>1.7592854999999901</v>
      </c>
      <c r="BA51" s="52"/>
      <c r="BB51" s="53">
        <f t="shared" si="47"/>
        <v>1.7592854999999901</v>
      </c>
      <c r="BD51" s="151">
        <v>46061</v>
      </c>
      <c r="BE51" s="152">
        <v>1267.28</v>
      </c>
      <c r="BF51" s="152">
        <v>1059.94</v>
      </c>
      <c r="BG51" s="158">
        <v>1.65</v>
      </c>
      <c r="BH51" s="158">
        <v>13.24</v>
      </c>
      <c r="BI51" s="27"/>
      <c r="BJ51" s="51"/>
      <c r="BK51" s="42"/>
      <c r="BL51" s="52"/>
      <c r="BM51" s="53">
        <f t="shared" si="48"/>
        <v>13.24</v>
      </c>
      <c r="BO51" s="151">
        <v>46061</v>
      </c>
      <c r="BP51" s="152">
        <v>1524.7</v>
      </c>
      <c r="BQ51" s="161">
        <v>687.32</v>
      </c>
      <c r="BR51" s="155">
        <v>1.79</v>
      </c>
      <c r="BS51" s="336">
        <v>117.55</v>
      </c>
      <c r="BT51" s="27"/>
      <c r="BU51" s="240"/>
      <c r="BV51" s="42">
        <v>614.17553144152441</v>
      </c>
      <c r="BW51" s="42"/>
      <c r="BX51" s="52">
        <v>4.6399999999999997</v>
      </c>
      <c r="BY51" s="53">
        <f t="shared" si="49"/>
        <v>736.36553144152435</v>
      </c>
      <c r="CA51" s="151">
        <v>46061</v>
      </c>
      <c r="CB51" s="152">
        <v>3631.31</v>
      </c>
      <c r="CC51" s="159">
        <v>770.15</v>
      </c>
      <c r="CD51" s="331"/>
      <c r="CE51" s="27"/>
      <c r="CF51" s="32">
        <v>16.145579999999995</v>
      </c>
      <c r="CG51" s="42"/>
      <c r="CH51" s="44"/>
      <c r="CI51" s="53">
        <f t="shared" si="50"/>
        <v>16.145579999999995</v>
      </c>
      <c r="CK51" s="151">
        <v>46061</v>
      </c>
      <c r="CL51" s="152">
        <v>1916.81</v>
      </c>
      <c r="CM51" s="159">
        <v>696.33</v>
      </c>
      <c r="CN51" s="158">
        <v>192.29</v>
      </c>
      <c r="CO51" s="27"/>
      <c r="CP51" s="51"/>
      <c r="CQ51" s="33">
        <v>250.1863564952381</v>
      </c>
      <c r="CR51" s="52"/>
      <c r="CS51" s="53">
        <f t="shared" si="57"/>
        <v>442.47635649523806</v>
      </c>
      <c r="CU51" s="151">
        <v>46061</v>
      </c>
      <c r="CV51" s="159">
        <v>758.81</v>
      </c>
      <c r="CW51" s="152">
        <v>1138.0999999999999</v>
      </c>
      <c r="CX51" s="162"/>
      <c r="CY51" s="162"/>
      <c r="CZ51" s="27"/>
      <c r="DA51" s="32">
        <v>21.691339999999997</v>
      </c>
      <c r="DB51" s="33"/>
      <c r="DC51" s="44"/>
      <c r="DD51" s="53">
        <f t="shared" si="58"/>
        <v>21.691339999999997</v>
      </c>
      <c r="DE51" s="211"/>
      <c r="DF51" s="151">
        <v>46061</v>
      </c>
      <c r="DG51" s="159">
        <v>839.6</v>
      </c>
      <c r="DH51" s="159">
        <v>386.69</v>
      </c>
      <c r="DI51" s="162"/>
      <c r="DJ51" s="27"/>
      <c r="DK51" s="32"/>
      <c r="DL51" s="42"/>
      <c r="DM51" s="44"/>
      <c r="DN51" s="53">
        <f t="shared" si="51"/>
        <v>0</v>
      </c>
      <c r="DP51" s="151">
        <v>46061</v>
      </c>
      <c r="DQ51" s="159">
        <v>213</v>
      </c>
      <c r="DR51" s="173"/>
      <c r="DS51" s="27"/>
      <c r="DT51" s="51"/>
      <c r="DU51" s="52"/>
      <c r="DV51" s="52"/>
      <c r="DW51" s="53">
        <f t="shared" si="52"/>
        <v>0</v>
      </c>
      <c r="DY51" s="151">
        <v>46061</v>
      </c>
      <c r="DZ51" s="159">
        <v>713.06</v>
      </c>
      <c r="EA51" s="174"/>
      <c r="EB51" s="27"/>
      <c r="EC51" s="51"/>
      <c r="ED51" s="52"/>
      <c r="EE51" s="52"/>
      <c r="EF51" s="53">
        <f t="shared" si="53"/>
        <v>0</v>
      </c>
      <c r="EH51" s="151">
        <v>46061</v>
      </c>
      <c r="EI51" s="152">
        <v>2091.6</v>
      </c>
      <c r="EJ51" s="162"/>
      <c r="EK51" s="27"/>
      <c r="EL51" s="51"/>
      <c r="EM51" s="52"/>
      <c r="EN51" s="52"/>
      <c r="EO51" s="53">
        <f t="shared" si="54"/>
        <v>0</v>
      </c>
      <c r="EQ51" s="151">
        <v>46061</v>
      </c>
      <c r="ER51" s="159">
        <v>647.49</v>
      </c>
      <c r="ES51" s="173"/>
      <c r="ET51" s="27"/>
      <c r="EU51" s="32"/>
      <c r="EV51" s="52"/>
      <c r="EW51" s="52"/>
      <c r="EX51" s="53">
        <f t="shared" si="55"/>
        <v>0</v>
      </c>
    </row>
    <row r="52" spans="2:154" hidden="1" x14ac:dyDescent="0.25">
      <c r="B52" s="151">
        <v>46062</v>
      </c>
      <c r="C52" s="152">
        <v>2795.13</v>
      </c>
      <c r="D52" s="152">
        <v>1295.55</v>
      </c>
      <c r="E52" s="162"/>
      <c r="F52" s="27"/>
      <c r="G52" s="32">
        <v>223.66332999999997</v>
      </c>
      <c r="H52" s="33"/>
      <c r="I52" s="52"/>
      <c r="J52" s="53">
        <f t="shared" si="56"/>
        <v>223.66332999999997</v>
      </c>
      <c r="L52" s="151">
        <v>46062</v>
      </c>
      <c r="M52" s="152">
        <v>13934.19</v>
      </c>
      <c r="N52" s="152">
        <v>1995.69</v>
      </c>
      <c r="O52" s="158">
        <v>43.35</v>
      </c>
      <c r="P52" s="27"/>
      <c r="Q52" s="32"/>
      <c r="R52" s="53"/>
      <c r="S52" s="53"/>
      <c r="T52" s="52">
        <v>16.032068800000019</v>
      </c>
      <c r="U52" s="53">
        <f t="shared" si="44"/>
        <v>59.38206880000002</v>
      </c>
      <c r="W52" s="151">
        <v>46062</v>
      </c>
      <c r="X52" s="152">
        <v>20044.13</v>
      </c>
      <c r="Y52" s="152"/>
      <c r="Z52" s="170">
        <v>1.46</v>
      </c>
      <c r="AA52" s="27"/>
      <c r="AB52" s="51">
        <v>95.866400000000056</v>
      </c>
      <c r="AC52" s="33">
        <v>47.128813878095286</v>
      </c>
      <c r="AD52" s="33"/>
      <c r="AE52" s="52"/>
      <c r="AF52" s="53">
        <f t="shared" si="45"/>
        <v>144.45521387809532</v>
      </c>
      <c r="AH52" s="151">
        <v>46062</v>
      </c>
      <c r="AI52" s="152">
        <v>7187.21</v>
      </c>
      <c r="AJ52" s="159">
        <v>898.7</v>
      </c>
      <c r="AK52" s="171"/>
      <c r="AL52" s="27"/>
      <c r="AM52" s="32">
        <v>507.77203000000003</v>
      </c>
      <c r="AN52" s="32"/>
      <c r="AO52" s="42"/>
      <c r="AP52" s="44"/>
      <c r="AQ52" s="53">
        <f t="shared" si="46"/>
        <v>507.77203000000003</v>
      </c>
      <c r="AS52" s="151">
        <v>46062</v>
      </c>
      <c r="AT52" s="152">
        <v>17676.93</v>
      </c>
      <c r="AU52" s="152">
        <v>1070.32</v>
      </c>
      <c r="AV52" s="152">
        <v>3008.83</v>
      </c>
      <c r="AW52" s="178"/>
      <c r="AX52" s="27"/>
      <c r="AY52" s="32">
        <v>5.6726999999999848</v>
      </c>
      <c r="AZ52" s="53">
        <v>5.2474263078095191</v>
      </c>
      <c r="BA52" s="52"/>
      <c r="BB52" s="53">
        <f t="shared" si="47"/>
        <v>10.920126307809504</v>
      </c>
      <c r="BD52" s="151">
        <v>46062</v>
      </c>
      <c r="BE52" s="159">
        <v>418.14</v>
      </c>
      <c r="BF52" s="152">
        <v>1171.6400000000001</v>
      </c>
      <c r="BG52" s="158">
        <v>5.6</v>
      </c>
      <c r="BH52" s="158">
        <v>71.36</v>
      </c>
      <c r="BI52" s="27"/>
      <c r="BJ52" s="51"/>
      <c r="BK52" s="42"/>
      <c r="BL52" s="52"/>
      <c r="BM52" s="53">
        <f t="shared" si="48"/>
        <v>71.36</v>
      </c>
      <c r="BO52" s="151">
        <v>46062</v>
      </c>
      <c r="BP52" s="152">
        <v>1604.2</v>
      </c>
      <c r="BQ52" s="161">
        <v>435.65</v>
      </c>
      <c r="BR52" s="157"/>
      <c r="BS52" s="336">
        <v>169.02</v>
      </c>
      <c r="BT52" s="27"/>
      <c r="BU52" s="240">
        <v>59.188763999999964</v>
      </c>
      <c r="BV52" s="42">
        <v>444.71351035619085</v>
      </c>
      <c r="BW52" s="42"/>
      <c r="BX52" s="52"/>
      <c r="BY52" s="53">
        <f t="shared" si="49"/>
        <v>672.92227435619088</v>
      </c>
      <c r="CA52" s="151">
        <v>46062</v>
      </c>
      <c r="CB52" s="152">
        <v>4456.62</v>
      </c>
      <c r="CC52" s="152">
        <v>1193.58</v>
      </c>
      <c r="CD52" s="331"/>
      <c r="CE52" s="27"/>
      <c r="CF52" s="32">
        <v>79.450929999999985</v>
      </c>
      <c r="CG52" s="42"/>
      <c r="CH52" s="44"/>
      <c r="CI52" s="53">
        <f t="shared" si="50"/>
        <v>79.450929999999985</v>
      </c>
      <c r="CK52" s="151">
        <v>46062</v>
      </c>
      <c r="CL52" s="152">
        <v>5462.63</v>
      </c>
      <c r="CM52" s="159">
        <v>346.3</v>
      </c>
      <c r="CN52" s="158">
        <v>651.72</v>
      </c>
      <c r="CO52" s="27"/>
      <c r="CP52" s="51"/>
      <c r="CQ52" s="33">
        <v>524.38342973714282</v>
      </c>
      <c r="CR52" s="52"/>
      <c r="CS52" s="53">
        <f t="shared" si="57"/>
        <v>1176.103429737143</v>
      </c>
      <c r="CU52" s="151">
        <v>46062</v>
      </c>
      <c r="CV52" s="152">
        <v>1309.45</v>
      </c>
      <c r="CW52" s="159">
        <v>890.45</v>
      </c>
      <c r="CX52" s="162"/>
      <c r="CY52" s="162"/>
      <c r="CZ52" s="27"/>
      <c r="DA52" s="32">
        <v>61.860479999999967</v>
      </c>
      <c r="DB52" s="33">
        <v>23.495365763809502</v>
      </c>
      <c r="DC52" s="44"/>
      <c r="DD52" s="53">
        <f t="shared" si="58"/>
        <v>85.355845763809469</v>
      </c>
      <c r="DE52" s="211"/>
      <c r="DF52" s="151">
        <v>46062</v>
      </c>
      <c r="DG52" s="159">
        <v>997.56</v>
      </c>
      <c r="DH52" s="159">
        <v>325.37</v>
      </c>
      <c r="DI52" s="162"/>
      <c r="DJ52" s="27"/>
      <c r="DK52" s="32">
        <v>98.015749999999969</v>
      </c>
      <c r="DL52" s="42"/>
      <c r="DM52" s="44"/>
      <c r="DN52" s="53">
        <f t="shared" si="51"/>
        <v>98.015749999999969</v>
      </c>
      <c r="DP52" s="151">
        <v>46062</v>
      </c>
      <c r="DQ52" s="159">
        <v>157.5</v>
      </c>
      <c r="DR52" s="173"/>
      <c r="DS52" s="27"/>
      <c r="DT52" s="51"/>
      <c r="DU52" s="52"/>
      <c r="DV52" s="52"/>
      <c r="DW52" s="53">
        <f t="shared" si="52"/>
        <v>0</v>
      </c>
      <c r="DY52" s="151">
        <v>46062</v>
      </c>
      <c r="DZ52" s="159">
        <v>0</v>
      </c>
      <c r="EA52" s="174"/>
      <c r="EB52" s="27"/>
      <c r="EC52" s="51"/>
      <c r="ED52" s="52"/>
      <c r="EE52" s="52"/>
      <c r="EF52" s="53">
        <f t="shared" si="53"/>
        <v>0</v>
      </c>
      <c r="EH52" s="151">
        <v>46062</v>
      </c>
      <c r="EI52" s="152">
        <v>1251.5</v>
      </c>
      <c r="EJ52" s="162"/>
      <c r="EK52" s="27"/>
      <c r="EL52" s="51"/>
      <c r="EM52" s="52"/>
      <c r="EN52" s="52"/>
      <c r="EO52" s="53">
        <f t="shared" si="54"/>
        <v>0</v>
      </c>
      <c r="EQ52" s="151">
        <v>46062</v>
      </c>
      <c r="ER52" s="152">
        <v>1575.34</v>
      </c>
      <c r="ES52" s="173"/>
      <c r="ET52" s="27"/>
      <c r="EU52" s="32">
        <v>79.097105999999982</v>
      </c>
      <c r="EV52" s="52"/>
      <c r="EW52" s="52"/>
      <c r="EX52" s="53">
        <f t="shared" si="55"/>
        <v>79.097105999999982</v>
      </c>
    </row>
    <row r="53" spans="2:154" hidden="1" x14ac:dyDescent="0.25">
      <c r="B53" s="151">
        <v>46063</v>
      </c>
      <c r="C53" s="152">
        <v>2479.2399999999998</v>
      </c>
      <c r="D53" s="152">
        <v>1529.63</v>
      </c>
      <c r="E53" s="162"/>
      <c r="F53" s="27"/>
      <c r="G53" s="32">
        <v>349.88873999999998</v>
      </c>
      <c r="H53" s="33">
        <v>40.939942019999989</v>
      </c>
      <c r="I53" s="52"/>
      <c r="J53" s="53">
        <f t="shared" si="56"/>
        <v>390.82868201999997</v>
      </c>
      <c r="L53" s="151">
        <v>46063</v>
      </c>
      <c r="M53" s="152">
        <v>21146.93</v>
      </c>
      <c r="N53" s="152">
        <v>2718.64</v>
      </c>
      <c r="O53" s="158">
        <v>41.47</v>
      </c>
      <c r="P53" s="27"/>
      <c r="Q53" s="32">
        <v>32.282859999999999</v>
      </c>
      <c r="R53" s="53"/>
      <c r="S53" s="53"/>
      <c r="T53" s="52"/>
      <c r="U53" s="53">
        <f t="shared" si="44"/>
        <v>73.752859999999998</v>
      </c>
      <c r="W53" s="151">
        <v>46063</v>
      </c>
      <c r="X53" s="152">
        <v>18494</v>
      </c>
      <c r="Y53" s="152"/>
      <c r="Z53" s="170">
        <v>1.46</v>
      </c>
      <c r="AA53" s="27"/>
      <c r="AB53" s="51">
        <v>194.32743999999985</v>
      </c>
      <c r="AC53" s="33">
        <v>54.304050190857126</v>
      </c>
      <c r="AD53" s="33"/>
      <c r="AE53" s="52"/>
      <c r="AF53" s="53">
        <f t="shared" si="45"/>
        <v>250.09149019085697</v>
      </c>
      <c r="AH53" s="151">
        <v>46063</v>
      </c>
      <c r="AI53" s="152">
        <v>4401.6899999999996</v>
      </c>
      <c r="AJ53" s="159">
        <v>816.84</v>
      </c>
      <c r="AK53" s="332"/>
      <c r="AL53" s="27"/>
      <c r="AM53" s="32">
        <v>435.79448000000002</v>
      </c>
      <c r="AN53" s="32"/>
      <c r="AO53" s="42">
        <v>50.622484650000018</v>
      </c>
      <c r="AP53" s="44"/>
      <c r="AQ53" s="53">
        <f t="shared" si="46"/>
        <v>486.41696465000007</v>
      </c>
      <c r="AS53" s="151">
        <v>46063</v>
      </c>
      <c r="AT53" s="152">
        <v>17503.79</v>
      </c>
      <c r="AU53" s="159">
        <v>865.01</v>
      </c>
      <c r="AV53" s="152">
        <v>4371.7700000000004</v>
      </c>
      <c r="AW53" s="171"/>
      <c r="AX53" s="27"/>
      <c r="AY53" s="32">
        <v>1.9523999999999972</v>
      </c>
      <c r="AZ53" s="53">
        <v>140.53019257342851</v>
      </c>
      <c r="BA53" s="52"/>
      <c r="BB53" s="53">
        <f t="shared" si="47"/>
        <v>142.48259257342852</v>
      </c>
      <c r="BD53" s="151">
        <v>46063</v>
      </c>
      <c r="BE53" s="159">
        <v>999.2</v>
      </c>
      <c r="BF53" s="159">
        <v>941.98</v>
      </c>
      <c r="BG53" s="158">
        <v>3.34</v>
      </c>
      <c r="BH53" s="158">
        <v>7.42</v>
      </c>
      <c r="BI53" s="27"/>
      <c r="BJ53" s="51"/>
      <c r="BK53" s="42"/>
      <c r="BL53" s="52"/>
      <c r="BM53" s="53">
        <f t="shared" si="48"/>
        <v>7.42</v>
      </c>
      <c r="BO53" s="151">
        <v>46063</v>
      </c>
      <c r="BP53" s="159">
        <v>482.57</v>
      </c>
      <c r="BQ53" s="161">
        <v>664.52</v>
      </c>
      <c r="BR53" s="155">
        <v>3.26</v>
      </c>
      <c r="BS53" s="336">
        <v>120.84</v>
      </c>
      <c r="BT53" s="27"/>
      <c r="BU53" s="240"/>
      <c r="BV53" s="42">
        <v>884.50020203999793</v>
      </c>
      <c r="BW53" s="42"/>
      <c r="BX53" s="52"/>
      <c r="BY53" s="53">
        <f t="shared" si="49"/>
        <v>1005.340202039998</v>
      </c>
      <c r="CA53" s="151">
        <v>46063</v>
      </c>
      <c r="CB53" s="152">
        <v>3333.13</v>
      </c>
      <c r="CC53" s="159">
        <v>973.25</v>
      </c>
      <c r="CD53" s="331"/>
      <c r="CE53" s="27"/>
      <c r="CF53" s="32">
        <v>84.604440000000054</v>
      </c>
      <c r="CG53" s="42"/>
      <c r="CH53" s="44"/>
      <c r="CI53" s="53">
        <f t="shared" si="50"/>
        <v>84.604440000000054</v>
      </c>
      <c r="CK53" s="151">
        <v>46063</v>
      </c>
      <c r="CL53" s="152">
        <v>4819</v>
      </c>
      <c r="CM53" s="159">
        <v>117.86</v>
      </c>
      <c r="CN53" s="158">
        <v>255.8</v>
      </c>
      <c r="CO53" s="27"/>
      <c r="CP53" s="51"/>
      <c r="CQ53" s="33">
        <v>252.74441542714285</v>
      </c>
      <c r="CR53" s="52"/>
      <c r="CS53" s="53">
        <f t="shared" si="57"/>
        <v>508.54441542714289</v>
      </c>
      <c r="CU53" s="151">
        <v>46063</v>
      </c>
      <c r="CV53" s="152">
        <v>1105.9100000000001</v>
      </c>
      <c r="CW53" s="159">
        <v>800.8</v>
      </c>
      <c r="CX53" s="162"/>
      <c r="CY53" s="158">
        <v>44.43</v>
      </c>
      <c r="CZ53" s="27"/>
      <c r="DA53" s="32">
        <v>136.52724999999998</v>
      </c>
      <c r="DB53" s="33">
        <v>38.446279158571372</v>
      </c>
      <c r="DC53" s="44"/>
      <c r="DD53" s="53">
        <f t="shared" si="58"/>
        <v>219.40352915857136</v>
      </c>
      <c r="DE53" s="211"/>
      <c r="DF53" s="151">
        <v>46063</v>
      </c>
      <c r="DG53" s="152">
        <v>1583.67</v>
      </c>
      <c r="DH53" s="159">
        <v>401.45</v>
      </c>
      <c r="DI53" s="162"/>
      <c r="DJ53" s="27"/>
      <c r="DK53" s="32">
        <v>242.31847000000002</v>
      </c>
      <c r="DL53" s="42"/>
      <c r="DM53" s="44"/>
      <c r="DN53" s="53">
        <f t="shared" si="51"/>
        <v>242.31847000000002</v>
      </c>
      <c r="DP53" s="151">
        <v>46063</v>
      </c>
      <c r="DQ53" s="152">
        <v>1150.56</v>
      </c>
      <c r="DR53" s="173"/>
      <c r="DS53" s="27"/>
      <c r="DT53" s="51"/>
      <c r="DU53" s="52"/>
      <c r="DV53" s="52"/>
      <c r="DW53" s="53">
        <f t="shared" si="52"/>
        <v>0</v>
      </c>
      <c r="DY53" s="151">
        <v>46063</v>
      </c>
      <c r="DZ53" s="159">
        <v>0</v>
      </c>
      <c r="EA53" s="174"/>
      <c r="EB53" s="27"/>
      <c r="EC53" s="51"/>
      <c r="ED53" s="52"/>
      <c r="EE53" s="52"/>
      <c r="EF53" s="53">
        <f t="shared" si="53"/>
        <v>0</v>
      </c>
      <c r="EH53" s="151">
        <v>46063</v>
      </c>
      <c r="EI53" s="152">
        <v>2531.69</v>
      </c>
      <c r="EJ53" s="183">
        <v>2890</v>
      </c>
      <c r="EK53" s="27"/>
      <c r="EL53" s="51"/>
      <c r="EM53" s="52"/>
      <c r="EN53" s="52"/>
      <c r="EO53" s="53">
        <f t="shared" si="54"/>
        <v>2890</v>
      </c>
      <c r="EQ53" s="151">
        <v>46063</v>
      </c>
      <c r="ER53" s="152">
        <v>1584.57</v>
      </c>
      <c r="ES53" s="173"/>
      <c r="ET53" s="27"/>
      <c r="EU53" s="32">
        <v>6.556287999999995</v>
      </c>
      <c r="EV53" s="52"/>
      <c r="EW53" s="52"/>
      <c r="EX53" s="53">
        <f t="shared" si="55"/>
        <v>6.556287999999995</v>
      </c>
    </row>
    <row r="54" spans="2:154" hidden="1" x14ac:dyDescent="0.25">
      <c r="B54" s="151">
        <v>46064</v>
      </c>
      <c r="C54" s="152">
        <v>3075.59</v>
      </c>
      <c r="D54" s="152">
        <v>1640.69</v>
      </c>
      <c r="E54" s="162"/>
      <c r="F54" s="27"/>
      <c r="G54" s="32">
        <v>364.26425999999992</v>
      </c>
      <c r="H54" s="33">
        <v>44.196813741142876</v>
      </c>
      <c r="I54" s="52"/>
      <c r="J54" s="53">
        <f t="shared" si="56"/>
        <v>408.4610737411428</v>
      </c>
      <c r="L54" s="151">
        <v>46064</v>
      </c>
      <c r="M54" s="152">
        <v>15421.79</v>
      </c>
      <c r="N54" s="152">
        <v>2423</v>
      </c>
      <c r="O54" s="158">
        <v>28.75</v>
      </c>
      <c r="P54" s="27"/>
      <c r="Q54" s="32">
        <v>161.69999999999993</v>
      </c>
      <c r="R54" s="53"/>
      <c r="S54" s="53"/>
      <c r="T54" s="52"/>
      <c r="U54" s="53">
        <f t="shared" si="44"/>
        <v>190.44999999999993</v>
      </c>
      <c r="W54" s="151">
        <v>46064</v>
      </c>
      <c r="X54" s="152">
        <v>21621.87</v>
      </c>
      <c r="Y54" s="152"/>
      <c r="Z54" s="170">
        <v>1.0900000000000001</v>
      </c>
      <c r="AA54" s="27"/>
      <c r="AB54" s="51">
        <v>332.65239999999989</v>
      </c>
      <c r="AC54" s="33">
        <v>946.61596965857154</v>
      </c>
      <c r="AD54" s="33"/>
      <c r="AE54" s="52"/>
      <c r="AF54" s="53">
        <f t="shared" si="45"/>
        <v>1280.3583696585715</v>
      </c>
      <c r="AH54" s="151">
        <v>46064</v>
      </c>
      <c r="AI54" s="152">
        <v>5204.08</v>
      </c>
      <c r="AJ54" s="159">
        <v>943.69</v>
      </c>
      <c r="AK54" s="333"/>
      <c r="AL54" s="27"/>
      <c r="AM54" s="32">
        <v>170.67250000000001</v>
      </c>
      <c r="AN54" s="32"/>
      <c r="AO54" s="42"/>
      <c r="AP54" s="44"/>
      <c r="AQ54" s="53">
        <f t="shared" si="46"/>
        <v>170.67250000000001</v>
      </c>
      <c r="AS54" s="151">
        <v>46064</v>
      </c>
      <c r="AT54" s="152">
        <v>18104.34</v>
      </c>
      <c r="AU54" s="152">
        <v>1187.79</v>
      </c>
      <c r="AV54" s="152">
        <v>4675.88</v>
      </c>
      <c r="AW54" s="171"/>
      <c r="AX54" s="27"/>
      <c r="AY54" s="32">
        <v>1.980000000000004</v>
      </c>
      <c r="AZ54" s="53">
        <v>316.76008175485697</v>
      </c>
      <c r="BA54" s="52"/>
      <c r="BB54" s="53">
        <f t="shared" si="47"/>
        <v>318.74008175485699</v>
      </c>
      <c r="BD54" s="151">
        <v>46064</v>
      </c>
      <c r="BE54" s="159">
        <v>846.58</v>
      </c>
      <c r="BF54" s="159">
        <v>825.54</v>
      </c>
      <c r="BG54" s="158">
        <v>4.3499999999999996</v>
      </c>
      <c r="BH54" s="158">
        <v>19.29</v>
      </c>
      <c r="BI54" s="27"/>
      <c r="BJ54" s="51"/>
      <c r="BK54" s="42"/>
      <c r="BL54" s="52"/>
      <c r="BM54" s="53">
        <f t="shared" si="48"/>
        <v>19.29</v>
      </c>
      <c r="BO54" s="151">
        <v>46064</v>
      </c>
      <c r="BP54" s="152">
        <v>1179.82</v>
      </c>
      <c r="BQ54" s="161">
        <v>579.65</v>
      </c>
      <c r="BR54" s="155">
        <v>2.02</v>
      </c>
      <c r="BS54" s="336">
        <v>62.12</v>
      </c>
      <c r="BT54" s="27"/>
      <c r="BU54" s="240">
        <v>22.573926000000029</v>
      </c>
      <c r="BV54" s="42">
        <v>669.6262253341414</v>
      </c>
      <c r="BW54" s="42"/>
      <c r="BX54" s="52"/>
      <c r="BY54" s="53">
        <f t="shared" si="49"/>
        <v>754.32015133414143</v>
      </c>
      <c r="CA54" s="151">
        <v>46064</v>
      </c>
      <c r="CB54" s="152">
        <v>3981.19</v>
      </c>
      <c r="CC54" s="152">
        <v>1141.19</v>
      </c>
      <c r="CD54" s="163"/>
      <c r="CE54" s="27"/>
      <c r="CF54" s="32">
        <v>114.08077999999999</v>
      </c>
      <c r="CG54" s="42"/>
      <c r="CH54" s="44">
        <v>16.298760000000001</v>
      </c>
      <c r="CI54" s="53">
        <f t="shared" si="50"/>
        <v>130.37953999999999</v>
      </c>
      <c r="CK54" s="151">
        <v>46064</v>
      </c>
      <c r="CL54" s="152">
        <v>5153.3999999999996</v>
      </c>
      <c r="CM54" s="159">
        <v>225.68</v>
      </c>
      <c r="CN54" s="158">
        <v>312.83999999999997</v>
      </c>
      <c r="CO54" s="27"/>
      <c r="CP54" s="51"/>
      <c r="CQ54" s="33">
        <v>405.28162239428565</v>
      </c>
      <c r="CR54" s="52"/>
      <c r="CS54" s="53">
        <f t="shared" si="57"/>
        <v>718.12162239428562</v>
      </c>
      <c r="CU54" s="151">
        <v>46064</v>
      </c>
      <c r="CV54" s="159">
        <v>861.14</v>
      </c>
      <c r="CW54" s="159">
        <v>766</v>
      </c>
      <c r="CX54" s="162"/>
      <c r="CY54" s="158">
        <v>86.95</v>
      </c>
      <c r="CZ54" s="27"/>
      <c r="DA54" s="32">
        <v>91.115839999999878</v>
      </c>
      <c r="DB54" s="33"/>
      <c r="DC54" s="44"/>
      <c r="DD54" s="53">
        <f t="shared" si="58"/>
        <v>178.06583999999987</v>
      </c>
      <c r="DE54" s="211"/>
      <c r="DF54" s="151">
        <v>46064</v>
      </c>
      <c r="DG54" s="152">
        <v>4444.05</v>
      </c>
      <c r="DH54" s="159">
        <v>575.37</v>
      </c>
      <c r="DI54" s="158">
        <v>4.47</v>
      </c>
      <c r="DJ54" s="27"/>
      <c r="DK54" s="32">
        <v>100.81225000000001</v>
      </c>
      <c r="DL54" s="42">
        <v>9.052818571428574</v>
      </c>
      <c r="DM54" s="44"/>
      <c r="DN54" s="53">
        <f t="shared" si="51"/>
        <v>114.33506857142858</v>
      </c>
      <c r="DP54" s="151">
        <v>46064</v>
      </c>
      <c r="DQ54" s="159">
        <v>693.6</v>
      </c>
      <c r="DR54" s="173"/>
      <c r="DS54" s="27"/>
      <c r="DT54" s="51"/>
      <c r="DU54" s="52"/>
      <c r="DV54" s="52"/>
      <c r="DW54" s="53">
        <f t="shared" si="52"/>
        <v>0</v>
      </c>
      <c r="DY54" s="151">
        <v>46064</v>
      </c>
      <c r="DZ54" s="159">
        <v>150</v>
      </c>
      <c r="EA54" s="174"/>
      <c r="EB54" s="27"/>
      <c r="EC54" s="51"/>
      <c r="ED54" s="52"/>
      <c r="EE54" s="52"/>
      <c r="EF54" s="53">
        <f t="shared" si="53"/>
        <v>0</v>
      </c>
      <c r="EH54" s="151">
        <v>46064</v>
      </c>
      <c r="EI54" s="152">
        <v>1615.9</v>
      </c>
      <c r="EJ54" s="183">
        <v>10</v>
      </c>
      <c r="EK54" s="27"/>
      <c r="EL54" s="51"/>
      <c r="EM54" s="52"/>
      <c r="EN54" s="52"/>
      <c r="EO54" s="53">
        <f t="shared" si="54"/>
        <v>10</v>
      </c>
      <c r="EQ54" s="151">
        <v>46064</v>
      </c>
      <c r="ER54" s="152">
        <v>1926.39</v>
      </c>
      <c r="ES54" s="173"/>
      <c r="ET54" s="27"/>
      <c r="EU54" s="32">
        <v>77.720250000000007</v>
      </c>
      <c r="EV54" s="52"/>
      <c r="EW54" s="52"/>
      <c r="EX54" s="53">
        <f t="shared" si="55"/>
        <v>77.720250000000007</v>
      </c>
    </row>
    <row r="55" spans="2:154" hidden="1" x14ac:dyDescent="0.25">
      <c r="B55" s="151">
        <v>46065</v>
      </c>
      <c r="C55" s="152">
        <v>2736.54</v>
      </c>
      <c r="D55" s="152">
        <v>1785.19</v>
      </c>
      <c r="E55" s="162"/>
      <c r="F55" s="27"/>
      <c r="G55" s="32">
        <v>411.6031200000001</v>
      </c>
      <c r="H55" s="33">
        <v>166.56339525571425</v>
      </c>
      <c r="I55" s="52"/>
      <c r="J55" s="53">
        <f t="shared" si="56"/>
        <v>578.16651525571433</v>
      </c>
      <c r="L55" s="151">
        <v>46065</v>
      </c>
      <c r="M55" s="152">
        <v>26114.85</v>
      </c>
      <c r="N55" s="152">
        <v>3110.09</v>
      </c>
      <c r="O55" s="158">
        <v>140</v>
      </c>
      <c r="P55" s="27"/>
      <c r="Q55" s="32">
        <v>18.033870000000007</v>
      </c>
      <c r="R55" s="53">
        <v>57.992984035428535</v>
      </c>
      <c r="S55" s="53"/>
      <c r="T55" s="52"/>
      <c r="U55" s="53">
        <f t="shared" si="44"/>
        <v>216.02685403542853</v>
      </c>
      <c r="W55" s="151">
        <v>46065</v>
      </c>
      <c r="X55" s="152">
        <v>15818.1</v>
      </c>
      <c r="Y55" s="152"/>
      <c r="Z55" s="170">
        <v>4</v>
      </c>
      <c r="AA55" s="27"/>
      <c r="AB55" s="51">
        <v>3012.4059149999975</v>
      </c>
      <c r="AC55" s="33">
        <v>2348.8110665672839</v>
      </c>
      <c r="AD55" s="33"/>
      <c r="AE55" s="52"/>
      <c r="AF55" s="53">
        <f t="shared" si="45"/>
        <v>5365.2169815672814</v>
      </c>
      <c r="AH55" s="151">
        <v>46065</v>
      </c>
      <c r="AI55" s="152">
        <v>5564.68</v>
      </c>
      <c r="AJ55" s="159">
        <v>529.70000000000005</v>
      </c>
      <c r="AK55" s="171"/>
      <c r="AL55" s="27"/>
      <c r="AM55" s="32">
        <v>716.77185000000009</v>
      </c>
      <c r="AN55" s="32"/>
      <c r="AO55" s="42"/>
      <c r="AP55" s="44"/>
      <c r="AQ55" s="53">
        <f t="shared" si="46"/>
        <v>716.77185000000009</v>
      </c>
      <c r="AS55" s="151">
        <v>46065</v>
      </c>
      <c r="AT55" s="152">
        <v>19666.8</v>
      </c>
      <c r="AU55" s="159">
        <v>913.24</v>
      </c>
      <c r="AV55" s="152">
        <v>4596.33</v>
      </c>
      <c r="AW55" s="171"/>
      <c r="AX55" s="27"/>
      <c r="AY55" s="32">
        <v>9.4137400000000007</v>
      </c>
      <c r="AZ55" s="53"/>
      <c r="BA55" s="52"/>
      <c r="BB55" s="53">
        <f t="shared" si="47"/>
        <v>9.4137400000000007</v>
      </c>
      <c r="BD55" s="151">
        <v>46065</v>
      </c>
      <c r="BE55" s="152">
        <v>1142.95</v>
      </c>
      <c r="BF55" s="152">
        <v>1168.99</v>
      </c>
      <c r="BG55" s="158">
        <v>2.06</v>
      </c>
      <c r="BH55" s="158">
        <v>18.68</v>
      </c>
      <c r="BI55" s="27"/>
      <c r="BJ55" s="51"/>
      <c r="BK55" s="42"/>
      <c r="BL55" s="52"/>
      <c r="BM55" s="53">
        <f t="shared" si="48"/>
        <v>18.68</v>
      </c>
      <c r="BO55" s="151">
        <v>46065</v>
      </c>
      <c r="BP55" s="159">
        <v>291.26</v>
      </c>
      <c r="BQ55" s="161">
        <v>693.33</v>
      </c>
      <c r="BR55" s="157"/>
      <c r="BS55" s="336">
        <v>2.85</v>
      </c>
      <c r="BT55" s="27"/>
      <c r="BU55" s="240">
        <v>46.288276000000003</v>
      </c>
      <c r="BV55" s="42">
        <v>626.19652813914115</v>
      </c>
      <c r="BW55" s="42"/>
      <c r="BX55" s="52"/>
      <c r="BY55" s="53">
        <f t="shared" si="49"/>
        <v>675.33480413914117</v>
      </c>
      <c r="CA55" s="151">
        <v>46065</v>
      </c>
      <c r="CB55" s="152">
        <v>7323.06</v>
      </c>
      <c r="CC55" s="152">
        <v>1245.74</v>
      </c>
      <c r="CD55" s="331"/>
      <c r="CE55" s="27"/>
      <c r="CF55" s="32">
        <v>42.826030000000017</v>
      </c>
      <c r="CG55" s="42"/>
      <c r="CH55" s="44"/>
      <c r="CI55" s="53">
        <f t="shared" si="50"/>
        <v>42.826030000000017</v>
      </c>
      <c r="CK55" s="151">
        <v>46065</v>
      </c>
      <c r="CL55" s="152">
        <v>5136.55</v>
      </c>
      <c r="CM55" s="159">
        <v>300.99</v>
      </c>
      <c r="CN55" s="158">
        <v>405.66</v>
      </c>
      <c r="CO55" s="27"/>
      <c r="CP55" s="51"/>
      <c r="CQ55" s="33">
        <v>277.90073265857131</v>
      </c>
      <c r="CR55" s="52"/>
      <c r="CS55" s="53">
        <f t="shared" si="57"/>
        <v>683.5607326585714</v>
      </c>
      <c r="CU55" s="151">
        <v>46065</v>
      </c>
      <c r="CV55" s="152">
        <v>1147.92</v>
      </c>
      <c r="CW55" s="159">
        <v>454.6</v>
      </c>
      <c r="CX55" s="162"/>
      <c r="CY55" s="162"/>
      <c r="CZ55" s="27"/>
      <c r="DA55" s="32">
        <v>108.88051999999996</v>
      </c>
      <c r="DB55" s="33"/>
      <c r="DC55" s="44"/>
      <c r="DD55" s="53">
        <f t="shared" si="58"/>
        <v>108.88051999999996</v>
      </c>
      <c r="DE55" s="211"/>
      <c r="DF55" s="151">
        <v>46065</v>
      </c>
      <c r="DG55" s="152">
        <v>1556.55</v>
      </c>
      <c r="DH55" s="159">
        <v>489.24</v>
      </c>
      <c r="DI55" s="162"/>
      <c r="DJ55" s="27"/>
      <c r="DK55" s="32">
        <v>111.33570000000006</v>
      </c>
      <c r="DL55" s="42"/>
      <c r="DM55" s="44"/>
      <c r="DN55" s="53">
        <f t="shared" si="51"/>
        <v>111.33570000000006</v>
      </c>
      <c r="DP55" s="151">
        <v>46065</v>
      </c>
      <c r="DQ55" s="152">
        <v>1030.8</v>
      </c>
      <c r="DR55" s="173"/>
      <c r="DS55" s="27"/>
      <c r="DT55" s="51"/>
      <c r="DU55" s="52"/>
      <c r="DV55" s="52"/>
      <c r="DW55" s="53">
        <f t="shared" si="52"/>
        <v>0</v>
      </c>
      <c r="DY55" s="151">
        <v>46065</v>
      </c>
      <c r="DZ55" s="159">
        <v>119.5</v>
      </c>
      <c r="EA55" s="174"/>
      <c r="EB55" s="27"/>
      <c r="EC55" s="51"/>
      <c r="ED55" s="52"/>
      <c r="EE55" s="52"/>
      <c r="EF55" s="53">
        <f t="shared" si="53"/>
        <v>0</v>
      </c>
      <c r="EH55" s="151">
        <v>46065</v>
      </c>
      <c r="EI55" s="152">
        <v>1997.7</v>
      </c>
      <c r="EJ55" s="158">
        <v>35.04</v>
      </c>
      <c r="EK55" s="27"/>
      <c r="EL55" s="51"/>
      <c r="EM55" s="52"/>
      <c r="EN55" s="52"/>
      <c r="EO55" s="53">
        <f t="shared" si="54"/>
        <v>35.04</v>
      </c>
      <c r="EQ55" s="151">
        <v>46065</v>
      </c>
      <c r="ER55" s="152">
        <v>1484.12</v>
      </c>
      <c r="ES55" s="173"/>
      <c r="ET55" s="27"/>
      <c r="EU55" s="32">
        <v>45.712336000000008</v>
      </c>
      <c r="EV55" s="52"/>
      <c r="EW55" s="52"/>
      <c r="EX55" s="53">
        <f t="shared" si="55"/>
        <v>45.712336000000008</v>
      </c>
    </row>
    <row r="56" spans="2:154" hidden="1" x14ac:dyDescent="0.25">
      <c r="B56" s="151">
        <v>46066</v>
      </c>
      <c r="C56" s="152">
        <v>2934.56</v>
      </c>
      <c r="D56" s="152">
        <v>2161.4</v>
      </c>
      <c r="E56" s="162"/>
      <c r="F56" s="27"/>
      <c r="G56" s="32">
        <v>380.33065000000011</v>
      </c>
      <c r="H56" s="33"/>
      <c r="I56" s="52"/>
      <c r="J56" s="53">
        <f t="shared" si="56"/>
        <v>380.33065000000011</v>
      </c>
      <c r="L56" s="151">
        <v>46066</v>
      </c>
      <c r="M56" s="152">
        <v>21555.39</v>
      </c>
      <c r="N56" s="152">
        <v>3392.21</v>
      </c>
      <c r="O56" s="158">
        <v>12.46</v>
      </c>
      <c r="P56" s="27"/>
      <c r="Q56" s="32">
        <v>32.847139999999996</v>
      </c>
      <c r="R56" s="53"/>
      <c r="S56" s="53"/>
      <c r="T56" s="52">
        <v>14.621735700000073</v>
      </c>
      <c r="U56" s="53">
        <f t="shared" si="44"/>
        <v>59.92887570000007</v>
      </c>
      <c r="W56" s="151">
        <v>46066</v>
      </c>
      <c r="X56" s="152">
        <v>26891.58</v>
      </c>
      <c r="Y56" s="152"/>
      <c r="Z56" s="170">
        <v>10.32</v>
      </c>
      <c r="AA56" s="27"/>
      <c r="AB56" s="51">
        <v>1649.4671299999982</v>
      </c>
      <c r="AC56" s="33">
        <v>678.65883335285685</v>
      </c>
      <c r="AD56" s="33"/>
      <c r="AE56" s="52"/>
      <c r="AF56" s="53">
        <f t="shared" si="45"/>
        <v>2338.445963352855</v>
      </c>
      <c r="AH56" s="151">
        <v>46066</v>
      </c>
      <c r="AI56" s="152">
        <v>7058.62</v>
      </c>
      <c r="AJ56" s="152">
        <v>1018.48</v>
      </c>
      <c r="AK56" s="171"/>
      <c r="AL56" s="27"/>
      <c r="AM56" s="32">
        <v>707.06028000000003</v>
      </c>
      <c r="AN56" s="32"/>
      <c r="AO56" s="42"/>
      <c r="AP56" s="44"/>
      <c r="AQ56" s="53">
        <f t="shared" si="46"/>
        <v>707.06028000000003</v>
      </c>
      <c r="AS56" s="151">
        <v>46066</v>
      </c>
      <c r="AT56" s="152">
        <v>18825.810000000001</v>
      </c>
      <c r="AU56" s="152">
        <v>1477.51</v>
      </c>
      <c r="AV56" s="152">
        <v>4739.1099999999997</v>
      </c>
      <c r="AW56" s="171"/>
      <c r="AX56" s="27"/>
      <c r="AY56" s="32">
        <v>94.299799999999962</v>
      </c>
      <c r="AZ56" s="53">
        <v>9.2761912979999579</v>
      </c>
      <c r="BA56" s="52"/>
      <c r="BB56" s="53">
        <f t="shared" si="47"/>
        <v>103.57599129799992</v>
      </c>
      <c r="BD56" s="151">
        <v>46066</v>
      </c>
      <c r="BE56" s="152">
        <v>1080.94</v>
      </c>
      <c r="BF56" s="152">
        <v>1213.92</v>
      </c>
      <c r="BG56" s="158">
        <v>1.86</v>
      </c>
      <c r="BH56" s="158">
        <v>6.23</v>
      </c>
      <c r="BI56" s="27"/>
      <c r="BJ56" s="51"/>
      <c r="BK56" s="42"/>
      <c r="BL56" s="52"/>
      <c r="BM56" s="53">
        <f t="shared" si="48"/>
        <v>6.23</v>
      </c>
      <c r="BO56" s="151">
        <v>46066</v>
      </c>
      <c r="BP56" s="152">
        <v>1149.44</v>
      </c>
      <c r="BQ56" s="161">
        <v>610.34</v>
      </c>
      <c r="BR56" s="155">
        <v>3.13</v>
      </c>
      <c r="BS56" s="336">
        <v>297.11</v>
      </c>
      <c r="BT56" s="27"/>
      <c r="BU56" s="240"/>
      <c r="BV56" s="42">
        <v>300.51347826599937</v>
      </c>
      <c r="BW56" s="42"/>
      <c r="BX56" s="52"/>
      <c r="BY56" s="53">
        <f t="shared" si="49"/>
        <v>597.62347826599944</v>
      </c>
      <c r="CA56" s="151">
        <v>46066</v>
      </c>
      <c r="CB56" s="152">
        <v>5307.93</v>
      </c>
      <c r="CC56" s="159">
        <v>632.01</v>
      </c>
      <c r="CD56" s="163"/>
      <c r="CE56" s="27"/>
      <c r="CF56" s="32">
        <v>7.6764900000000011</v>
      </c>
      <c r="CG56" s="42">
        <v>12.550194654285704</v>
      </c>
      <c r="CH56" s="44"/>
      <c r="CI56" s="53">
        <f t="shared" si="50"/>
        <v>20.226684654285705</v>
      </c>
      <c r="CK56" s="151">
        <v>46066</v>
      </c>
      <c r="CL56" s="152">
        <v>12296</v>
      </c>
      <c r="CM56" s="159">
        <v>559.88</v>
      </c>
      <c r="CN56" s="158">
        <v>771.33</v>
      </c>
      <c r="CO56" s="27"/>
      <c r="CP56" s="51"/>
      <c r="CQ56" s="33">
        <v>280.00038237428566</v>
      </c>
      <c r="CR56" s="52"/>
      <c r="CS56" s="53">
        <f t="shared" si="57"/>
        <v>1051.3303823742858</v>
      </c>
      <c r="CU56" s="151">
        <v>46066</v>
      </c>
      <c r="CV56" s="152">
        <v>1577.37</v>
      </c>
      <c r="CW56" s="152">
        <v>1143.5999999999999</v>
      </c>
      <c r="CX56" s="162"/>
      <c r="CY56" s="158">
        <v>54.08</v>
      </c>
      <c r="CZ56" s="27"/>
      <c r="DA56" s="32">
        <v>30.476770000000045</v>
      </c>
      <c r="DB56" s="33">
        <v>28.989695287142808</v>
      </c>
      <c r="DC56" s="44"/>
      <c r="DD56" s="53">
        <f t="shared" si="58"/>
        <v>113.54646528714285</v>
      </c>
      <c r="DE56" s="211"/>
      <c r="DF56" s="151">
        <v>46066</v>
      </c>
      <c r="DG56" s="159">
        <v>995</v>
      </c>
      <c r="DH56" s="159">
        <v>579.30999999999995</v>
      </c>
      <c r="DI56" s="158">
        <v>4.13</v>
      </c>
      <c r="DJ56" s="27"/>
      <c r="DK56" s="32">
        <v>269.55018000000018</v>
      </c>
      <c r="DL56" s="42"/>
      <c r="DM56" s="44">
        <v>23.4363472</v>
      </c>
      <c r="DN56" s="53">
        <f t="shared" si="51"/>
        <v>297.11652720000018</v>
      </c>
      <c r="DP56" s="151">
        <v>46066</v>
      </c>
      <c r="DQ56" s="152">
        <v>1235</v>
      </c>
      <c r="DR56" s="173"/>
      <c r="DS56" s="27"/>
      <c r="DT56" s="51"/>
      <c r="DU56" s="52"/>
      <c r="DV56" s="52"/>
      <c r="DW56" s="53">
        <f t="shared" si="52"/>
        <v>0</v>
      </c>
      <c r="DY56" s="151">
        <v>46066</v>
      </c>
      <c r="DZ56" s="159">
        <v>295</v>
      </c>
      <c r="EA56" s="174"/>
      <c r="EB56" s="27"/>
      <c r="EC56" s="51"/>
      <c r="ED56" s="52"/>
      <c r="EE56" s="52"/>
      <c r="EF56" s="53">
        <f t="shared" si="53"/>
        <v>0</v>
      </c>
      <c r="EH56" s="151">
        <v>46066</v>
      </c>
      <c r="EI56" s="159">
        <v>873.7</v>
      </c>
      <c r="EJ56" s="162"/>
      <c r="EK56" s="27"/>
      <c r="EL56" s="51"/>
      <c r="EM56" s="52"/>
      <c r="EN56" s="52"/>
      <c r="EO56" s="53">
        <f t="shared" si="54"/>
        <v>0</v>
      </c>
      <c r="EQ56" s="151">
        <v>46066</v>
      </c>
      <c r="ER56" s="152">
        <v>1631.59</v>
      </c>
      <c r="ES56" s="173"/>
      <c r="ET56" s="27"/>
      <c r="EU56" s="32">
        <v>23.136948000000018</v>
      </c>
      <c r="EV56" s="52"/>
      <c r="EW56" s="52"/>
      <c r="EX56" s="53">
        <f t="shared" si="55"/>
        <v>23.136948000000018</v>
      </c>
    </row>
    <row r="57" spans="2:154" hidden="1" x14ac:dyDescent="0.25">
      <c r="B57" s="151">
        <v>46067</v>
      </c>
      <c r="C57" s="152">
        <v>3491.23</v>
      </c>
      <c r="D57" s="152">
        <v>2088.06</v>
      </c>
      <c r="E57" s="162"/>
      <c r="F57" s="27"/>
      <c r="G57" s="32">
        <v>108.666</v>
      </c>
      <c r="H57" s="33"/>
      <c r="I57" s="52"/>
      <c r="J57" s="53">
        <f t="shared" si="56"/>
        <v>108.666</v>
      </c>
      <c r="L57" s="151">
        <v>46067</v>
      </c>
      <c r="M57" s="152">
        <v>21189.29</v>
      </c>
      <c r="N57" s="152">
        <v>3724.91</v>
      </c>
      <c r="O57" s="158">
        <v>58.24</v>
      </c>
      <c r="P57" s="27"/>
      <c r="Q57" s="32"/>
      <c r="R57" s="53"/>
      <c r="S57" s="53"/>
      <c r="T57" s="52"/>
      <c r="U57" s="53">
        <f t="shared" si="44"/>
        <v>58.24</v>
      </c>
      <c r="W57" s="151">
        <v>46067</v>
      </c>
      <c r="X57" s="152">
        <v>15717.49</v>
      </c>
      <c r="Y57" s="152"/>
      <c r="Z57" s="170">
        <v>0</v>
      </c>
      <c r="AA57" s="27"/>
      <c r="AB57" s="51">
        <v>1182.5285299999987</v>
      </c>
      <c r="AC57" s="33"/>
      <c r="AD57" s="33"/>
      <c r="AE57" s="52"/>
      <c r="AF57" s="53">
        <f t="shared" si="45"/>
        <v>1182.5285299999987</v>
      </c>
      <c r="AH57" s="151">
        <v>46067</v>
      </c>
      <c r="AI57" s="152">
        <v>5009.51</v>
      </c>
      <c r="AJ57" s="159">
        <v>851.21</v>
      </c>
      <c r="AK57" s="178"/>
      <c r="AL57" s="27"/>
      <c r="AM57" s="32">
        <v>234.6349800000001</v>
      </c>
      <c r="AN57" s="32"/>
      <c r="AO57" s="42">
        <v>49.890955508571437</v>
      </c>
      <c r="AP57" s="44"/>
      <c r="AQ57" s="53">
        <f t="shared" si="46"/>
        <v>284.52593550857154</v>
      </c>
      <c r="AS57" s="151">
        <v>46067</v>
      </c>
      <c r="AT57" s="152">
        <v>13899.31</v>
      </c>
      <c r="AU57" s="152">
        <v>1002.3</v>
      </c>
      <c r="AV57" s="152">
        <v>5020.6000000000004</v>
      </c>
      <c r="AW57" s="178"/>
      <c r="AX57" s="27"/>
      <c r="AY57" s="32"/>
      <c r="AZ57" s="53">
        <v>146.8482453585714</v>
      </c>
      <c r="BA57" s="52"/>
      <c r="BB57" s="53">
        <f t="shared" si="47"/>
        <v>146.8482453585714</v>
      </c>
      <c r="BD57" s="151">
        <v>46067</v>
      </c>
      <c r="BE57" s="152">
        <v>1633.89</v>
      </c>
      <c r="BF57" s="152">
        <v>1378.84</v>
      </c>
      <c r="BG57" s="158">
        <v>6.62</v>
      </c>
      <c r="BH57" s="158">
        <v>245.74</v>
      </c>
      <c r="BI57" s="27"/>
      <c r="BJ57" s="51"/>
      <c r="BK57" s="42"/>
      <c r="BL57" s="52"/>
      <c r="BM57" s="53">
        <f t="shared" si="48"/>
        <v>245.74</v>
      </c>
      <c r="BO57" s="151">
        <v>46067</v>
      </c>
      <c r="BP57" s="152">
        <v>2507.44</v>
      </c>
      <c r="BQ57" s="161">
        <v>967.2</v>
      </c>
      <c r="BR57" s="155">
        <v>1.78</v>
      </c>
      <c r="BS57" s="336">
        <v>181.38</v>
      </c>
      <c r="BT57" s="27"/>
      <c r="BU57" s="240"/>
      <c r="BV57" s="42">
        <v>716.7530478745698</v>
      </c>
      <c r="BW57" s="42"/>
      <c r="BX57" s="52"/>
      <c r="BY57" s="53">
        <f t="shared" si="49"/>
        <v>898.1330478745698</v>
      </c>
      <c r="CA57" s="151">
        <v>46067</v>
      </c>
      <c r="CB57" s="152">
        <v>4643</v>
      </c>
      <c r="CC57" s="159">
        <v>937.98</v>
      </c>
      <c r="CD57" s="331"/>
      <c r="CE57" s="27"/>
      <c r="CF57" s="32">
        <v>45.375840000000011</v>
      </c>
      <c r="CG57" s="42"/>
      <c r="CH57" s="44">
        <v>4.3196399999999997</v>
      </c>
      <c r="CI57" s="53">
        <f t="shared" si="50"/>
        <v>49.695480000000011</v>
      </c>
      <c r="CK57" s="151">
        <v>46067</v>
      </c>
      <c r="CL57" s="152">
        <v>3326.15</v>
      </c>
      <c r="CM57" s="159">
        <v>257.3</v>
      </c>
      <c r="CN57" s="158">
        <v>280.68</v>
      </c>
      <c r="CO57" s="27"/>
      <c r="CP57" s="51"/>
      <c r="CQ57" s="33">
        <v>209.84297357571415</v>
      </c>
      <c r="CR57" s="52"/>
      <c r="CS57" s="53">
        <f t="shared" si="57"/>
        <v>490.52297357571416</v>
      </c>
      <c r="CU57" s="151">
        <v>46067</v>
      </c>
      <c r="CV57" s="159">
        <v>796.71</v>
      </c>
      <c r="CW57" s="152">
        <v>1110</v>
      </c>
      <c r="CX57" s="162"/>
      <c r="CY57" s="158">
        <v>74.45</v>
      </c>
      <c r="CZ57" s="27"/>
      <c r="DA57" s="32">
        <v>7.5712599999999952</v>
      </c>
      <c r="DB57" s="33"/>
      <c r="DC57" s="44"/>
      <c r="DD57" s="53">
        <f t="shared" si="58"/>
        <v>82.021259999999998</v>
      </c>
      <c r="DE57" s="211"/>
      <c r="DF57" s="151">
        <v>46067</v>
      </c>
      <c r="DG57" s="152">
        <v>1007.75</v>
      </c>
      <c r="DH57" s="159">
        <v>585.27</v>
      </c>
      <c r="DI57" s="162"/>
      <c r="DJ57" s="27"/>
      <c r="DK57" s="32">
        <v>173.67028000000008</v>
      </c>
      <c r="DL57" s="42"/>
      <c r="DM57" s="44"/>
      <c r="DN57" s="53">
        <f t="shared" si="51"/>
        <v>173.67028000000008</v>
      </c>
      <c r="DP57" s="151">
        <v>46067</v>
      </c>
      <c r="DQ57" s="152">
        <v>1053.22</v>
      </c>
      <c r="DR57" s="173"/>
      <c r="DS57" s="27"/>
      <c r="DT57" s="51"/>
      <c r="DU57" s="52"/>
      <c r="DV57" s="52"/>
      <c r="DW57" s="53">
        <f t="shared" si="52"/>
        <v>0</v>
      </c>
      <c r="DY57" s="151">
        <v>46067</v>
      </c>
      <c r="DZ57" s="159">
        <v>820</v>
      </c>
      <c r="EA57" s="174"/>
      <c r="EB57" s="27"/>
      <c r="EC57" s="51"/>
      <c r="ED57" s="52"/>
      <c r="EE57" s="52"/>
      <c r="EF57" s="53">
        <f t="shared" si="53"/>
        <v>0</v>
      </c>
      <c r="EH57" s="151">
        <v>46067</v>
      </c>
      <c r="EI57" s="152">
        <v>1931.1</v>
      </c>
      <c r="EJ57" s="162"/>
      <c r="EK57" s="27"/>
      <c r="EL57" s="51"/>
      <c r="EM57" s="52"/>
      <c r="EN57" s="52"/>
      <c r="EO57" s="53">
        <f t="shared" si="54"/>
        <v>0</v>
      </c>
      <c r="EQ57" s="151">
        <v>46067</v>
      </c>
      <c r="ER57" s="152">
        <v>1721.57</v>
      </c>
      <c r="ES57" s="173"/>
      <c r="ET57" s="27"/>
      <c r="EU57" s="32">
        <v>78.740973999999952</v>
      </c>
      <c r="EV57" s="52"/>
      <c r="EW57" s="52"/>
      <c r="EX57" s="53">
        <f t="shared" si="55"/>
        <v>78.740973999999952</v>
      </c>
    </row>
    <row r="58" spans="2:154" hidden="1" x14ac:dyDescent="0.25">
      <c r="B58" s="151">
        <v>46068</v>
      </c>
      <c r="C58" s="152">
        <v>3673.21</v>
      </c>
      <c r="D58" s="152">
        <v>1977.5</v>
      </c>
      <c r="E58" s="162"/>
      <c r="F58" s="27"/>
      <c r="G58" s="32">
        <v>133.11158000000006</v>
      </c>
      <c r="H58" s="33"/>
      <c r="I58" s="52"/>
      <c r="J58" s="53">
        <f t="shared" si="56"/>
        <v>133.11158000000006</v>
      </c>
      <c r="L58" s="151">
        <v>46068</v>
      </c>
      <c r="M58" s="152">
        <v>12662.38</v>
      </c>
      <c r="N58" s="152">
        <v>2828.84</v>
      </c>
      <c r="O58" s="158">
        <v>14.04</v>
      </c>
      <c r="P58" s="27"/>
      <c r="Q58" s="32">
        <v>4.5346000000000117</v>
      </c>
      <c r="R58" s="53"/>
      <c r="S58" s="53"/>
      <c r="T58" s="52"/>
      <c r="U58" s="53">
        <f t="shared" si="44"/>
        <v>18.574600000000011</v>
      </c>
      <c r="W58" s="151">
        <v>46068</v>
      </c>
      <c r="X58" s="152">
        <v>34979.300000000003</v>
      </c>
      <c r="Y58" s="152"/>
      <c r="Z58" s="170">
        <v>0</v>
      </c>
      <c r="AA58" s="27"/>
      <c r="AB58" s="51">
        <v>1415.2842699999994</v>
      </c>
      <c r="AC58" s="33"/>
      <c r="AD58" s="33"/>
      <c r="AE58" s="52"/>
      <c r="AF58" s="53">
        <f t="shared" si="45"/>
        <v>1415.2842699999994</v>
      </c>
      <c r="AH58" s="151">
        <v>46068</v>
      </c>
      <c r="AI58" s="152">
        <v>5970.73</v>
      </c>
      <c r="AJ58" s="152">
        <v>1048.07</v>
      </c>
      <c r="AK58" s="171"/>
      <c r="AL58" s="27"/>
      <c r="AM58" s="32">
        <v>209.47184999999999</v>
      </c>
      <c r="AN58" s="32"/>
      <c r="AO58" s="42">
        <v>54.487229931428601</v>
      </c>
      <c r="AP58" s="44"/>
      <c r="AQ58" s="53">
        <f t="shared" si="46"/>
        <v>263.95907993142862</v>
      </c>
      <c r="AS58" s="151">
        <v>46068</v>
      </c>
      <c r="AT58" s="152">
        <v>8408.69</v>
      </c>
      <c r="AU58" s="152">
        <v>1081.49</v>
      </c>
      <c r="AV58" s="152">
        <v>3637.5</v>
      </c>
      <c r="AW58" s="171"/>
      <c r="AX58" s="27"/>
      <c r="AY58" s="32"/>
      <c r="AZ58" s="53">
        <v>65.539672911428539</v>
      </c>
      <c r="BA58" s="52"/>
      <c r="BB58" s="53">
        <f t="shared" si="47"/>
        <v>65.539672911428539</v>
      </c>
      <c r="BD58" s="151">
        <v>46068</v>
      </c>
      <c r="BE58" s="152">
        <v>1331.4</v>
      </c>
      <c r="BF58" s="152">
        <v>1031.3599999999999</v>
      </c>
      <c r="BG58" s="158">
        <v>3.45</v>
      </c>
      <c r="BH58" s="158">
        <v>12.49</v>
      </c>
      <c r="BI58" s="27"/>
      <c r="BJ58" s="51"/>
      <c r="BK58" s="42"/>
      <c r="BL58" s="52"/>
      <c r="BM58" s="53">
        <f t="shared" si="48"/>
        <v>12.49</v>
      </c>
      <c r="BO58" s="151">
        <v>46068</v>
      </c>
      <c r="BP58" s="152">
        <v>1399.21</v>
      </c>
      <c r="BQ58" s="161">
        <v>809.42</v>
      </c>
      <c r="BR58" s="155">
        <v>1.93</v>
      </c>
      <c r="BS58" s="336">
        <v>223.63</v>
      </c>
      <c r="BT58" s="27"/>
      <c r="BU58" s="240"/>
      <c r="BV58" s="42">
        <v>904.18622372071252</v>
      </c>
      <c r="BW58" s="42"/>
      <c r="BX58" s="52">
        <v>1.79</v>
      </c>
      <c r="BY58" s="53">
        <f t="shared" si="49"/>
        <v>1129.6062237207125</v>
      </c>
      <c r="CA58" s="151">
        <v>46068</v>
      </c>
      <c r="CB58" s="152">
        <v>3519.41</v>
      </c>
      <c r="CC58" s="159">
        <v>790.22</v>
      </c>
      <c r="CD58" s="334"/>
      <c r="CE58" s="27"/>
      <c r="CF58" s="32">
        <v>10.519109999999984</v>
      </c>
      <c r="CG58" s="42">
        <v>48.704350542857242</v>
      </c>
      <c r="CH58" s="44"/>
      <c r="CI58" s="53">
        <f t="shared" si="50"/>
        <v>59.223460542857225</v>
      </c>
      <c r="CK58" s="151">
        <v>46068</v>
      </c>
      <c r="CL58" s="152">
        <v>2172.61</v>
      </c>
      <c r="CM58" s="159">
        <v>658.82</v>
      </c>
      <c r="CN58" s="158">
        <v>451.62</v>
      </c>
      <c r="CO58" s="27"/>
      <c r="CP58" s="51"/>
      <c r="CQ58" s="33">
        <v>144.49485418714278</v>
      </c>
      <c r="CR58" s="52"/>
      <c r="CS58" s="53">
        <f t="shared" si="57"/>
        <v>596.11485418714278</v>
      </c>
      <c r="CU58" s="151">
        <v>46068</v>
      </c>
      <c r="CV58" s="159">
        <v>638.41999999999996</v>
      </c>
      <c r="CW58" s="152">
        <v>1139.9000000000001</v>
      </c>
      <c r="CX58" s="162"/>
      <c r="CY58" s="158">
        <v>7.16</v>
      </c>
      <c r="CZ58" s="27"/>
      <c r="DA58" s="32">
        <v>11.149390000000011</v>
      </c>
      <c r="DB58" s="33"/>
      <c r="DC58" s="44">
        <v>7.6828781000000106</v>
      </c>
      <c r="DD58" s="53">
        <f>SUM(CY58:DC58)</f>
        <v>25.992268100000022</v>
      </c>
      <c r="DE58" s="211"/>
      <c r="DF58" s="151">
        <v>46068</v>
      </c>
      <c r="DG58" s="152">
        <v>1253.48</v>
      </c>
      <c r="DH58" s="159">
        <v>529.72</v>
      </c>
      <c r="DI58" s="157"/>
      <c r="DJ58" s="27"/>
      <c r="DK58" s="32">
        <v>165.77126000000013</v>
      </c>
      <c r="DL58" s="42"/>
      <c r="DM58" s="44"/>
      <c r="DN58" s="53">
        <f t="shared" si="51"/>
        <v>165.77126000000013</v>
      </c>
      <c r="DP58" s="151">
        <v>46068</v>
      </c>
      <c r="DQ58" s="159">
        <v>522</v>
      </c>
      <c r="DR58" s="173"/>
      <c r="DS58" s="27"/>
      <c r="DT58" s="51"/>
      <c r="DU58" s="52"/>
      <c r="DV58" s="52"/>
      <c r="DW58" s="53">
        <f t="shared" si="52"/>
        <v>0</v>
      </c>
      <c r="DY58" s="151">
        <v>46068</v>
      </c>
      <c r="DZ58" s="159">
        <v>283.39999999999998</v>
      </c>
      <c r="EA58" s="174"/>
      <c r="EB58" s="27"/>
      <c r="EC58" s="51"/>
      <c r="ED58" s="52"/>
      <c r="EE58" s="52"/>
      <c r="EF58" s="53">
        <f t="shared" si="53"/>
        <v>0</v>
      </c>
      <c r="EH58" s="151">
        <v>46068</v>
      </c>
      <c r="EI58" s="152">
        <v>1737.81</v>
      </c>
      <c r="EJ58" s="162"/>
      <c r="EK58" s="27"/>
      <c r="EL58" s="51"/>
      <c r="EM58" s="52"/>
      <c r="EN58" s="52"/>
      <c r="EO58" s="53">
        <f t="shared" si="54"/>
        <v>0</v>
      </c>
      <c r="EQ58" s="151">
        <v>46068</v>
      </c>
      <c r="ER58" s="159">
        <v>236</v>
      </c>
      <c r="ES58" s="173"/>
      <c r="ET58" s="27"/>
      <c r="EU58" s="32">
        <v>5.0597999999999956</v>
      </c>
      <c r="EV58" s="52"/>
      <c r="EW58" s="52"/>
      <c r="EX58" s="53">
        <f t="shared" si="55"/>
        <v>5.0597999999999956</v>
      </c>
    </row>
    <row r="59" spans="2:154" hidden="1" x14ac:dyDescent="0.25">
      <c r="B59" s="151">
        <v>46069</v>
      </c>
      <c r="C59" s="152">
        <v>3582.63</v>
      </c>
      <c r="D59" s="152">
        <v>1095</v>
      </c>
      <c r="E59" s="162"/>
      <c r="F59" s="27"/>
      <c r="G59" s="32">
        <v>258.1096</v>
      </c>
      <c r="H59" s="33"/>
      <c r="I59" s="52"/>
      <c r="J59" s="53">
        <f t="shared" si="56"/>
        <v>258.1096</v>
      </c>
      <c r="L59" s="151">
        <v>46069</v>
      </c>
      <c r="M59" s="152">
        <v>19638.169999999998</v>
      </c>
      <c r="N59" s="152">
        <v>3476.17</v>
      </c>
      <c r="O59" s="158">
        <v>139.53</v>
      </c>
      <c r="P59" s="27"/>
      <c r="Q59" s="32"/>
      <c r="R59" s="53"/>
      <c r="S59" s="53"/>
      <c r="T59" s="52">
        <v>12.875370600000025</v>
      </c>
      <c r="U59" s="53">
        <f t="shared" si="44"/>
        <v>152.40537060000003</v>
      </c>
      <c r="W59" s="151">
        <v>46069</v>
      </c>
      <c r="X59" s="152">
        <v>25863.9</v>
      </c>
      <c r="Y59" s="152"/>
      <c r="Z59" s="170">
        <v>10.43</v>
      </c>
      <c r="AA59" s="27"/>
      <c r="AB59" s="51">
        <v>2808.5283599999975</v>
      </c>
      <c r="AC59" s="33"/>
      <c r="AD59" s="33"/>
      <c r="AE59" s="52">
        <v>20.393436300000005</v>
      </c>
      <c r="AF59" s="53">
        <f t="shared" si="45"/>
        <v>2839.3517962999972</v>
      </c>
      <c r="AH59" s="151">
        <v>46069</v>
      </c>
      <c r="AI59" s="152">
        <v>3930.37</v>
      </c>
      <c r="AJ59" s="159">
        <v>474.65</v>
      </c>
      <c r="AK59" s="171"/>
      <c r="AL59" s="27"/>
      <c r="AM59" s="32">
        <v>792.72275999999999</v>
      </c>
      <c r="AN59" s="32"/>
      <c r="AO59" s="42"/>
      <c r="AP59" s="44"/>
      <c r="AQ59" s="53">
        <f t="shared" si="46"/>
        <v>792.72275999999999</v>
      </c>
      <c r="AS59" s="151">
        <v>46069</v>
      </c>
      <c r="AT59" s="152">
        <v>15442.6</v>
      </c>
      <c r="AU59" s="159">
        <v>884.41</v>
      </c>
      <c r="AV59" s="152">
        <v>1689.34</v>
      </c>
      <c r="AW59" s="171"/>
      <c r="AX59" s="27"/>
      <c r="AY59" s="32">
        <v>46.281599999999997</v>
      </c>
      <c r="AZ59" s="53"/>
      <c r="BA59" s="52"/>
      <c r="BB59" s="53">
        <f t="shared" si="47"/>
        <v>46.281599999999997</v>
      </c>
      <c r="BD59" s="151">
        <v>46069</v>
      </c>
      <c r="BE59" s="152">
        <v>1180.17</v>
      </c>
      <c r="BF59" s="152">
        <v>1290.19</v>
      </c>
      <c r="BG59" s="158">
        <v>4.29</v>
      </c>
      <c r="BH59" s="158">
        <v>9.1300000000000008</v>
      </c>
      <c r="BI59" s="27"/>
      <c r="BJ59" s="51"/>
      <c r="BK59" s="42"/>
      <c r="BL59" s="52"/>
      <c r="BM59" s="53">
        <f t="shared" si="48"/>
        <v>9.1300000000000008</v>
      </c>
      <c r="BO59" s="151">
        <v>46069</v>
      </c>
      <c r="BP59" s="152">
        <v>1319.59</v>
      </c>
      <c r="BQ59" s="161">
        <v>779.61</v>
      </c>
      <c r="BR59" s="155">
        <v>1.78</v>
      </c>
      <c r="BS59" s="336">
        <v>172.09</v>
      </c>
      <c r="BT59" s="27"/>
      <c r="BU59" s="240">
        <v>16.120214000000004</v>
      </c>
      <c r="BV59" s="42"/>
      <c r="BW59" s="42"/>
      <c r="BX59" s="52"/>
      <c r="BY59" s="53">
        <f t="shared" si="49"/>
        <v>188.21021400000001</v>
      </c>
      <c r="CA59" s="151">
        <v>46069</v>
      </c>
      <c r="CB59" s="152">
        <v>6180.92</v>
      </c>
      <c r="CC59" s="152">
        <v>1111.49</v>
      </c>
      <c r="CD59" s="331"/>
      <c r="CE59" s="27"/>
      <c r="CF59" s="32">
        <v>70.119169999999897</v>
      </c>
      <c r="CG59" s="42"/>
      <c r="CH59" s="44"/>
      <c r="CI59" s="53">
        <f t="shared" si="50"/>
        <v>70.119169999999897</v>
      </c>
      <c r="CK59" s="151">
        <v>46069</v>
      </c>
      <c r="CL59" s="152">
        <v>5243.84</v>
      </c>
      <c r="CM59" s="159">
        <v>375.51</v>
      </c>
      <c r="CN59" s="158">
        <v>309.91000000000003</v>
      </c>
      <c r="CO59" s="27"/>
      <c r="CP59" s="51"/>
      <c r="CQ59" s="33"/>
      <c r="CR59" s="52"/>
      <c r="CS59" s="53">
        <f t="shared" si="57"/>
        <v>309.91000000000003</v>
      </c>
      <c r="CU59" s="151">
        <v>46069</v>
      </c>
      <c r="CV59" s="159">
        <v>490</v>
      </c>
      <c r="CW59" s="152">
        <v>1196.9000000000001</v>
      </c>
      <c r="CX59" s="162">
        <v>3.39</v>
      </c>
      <c r="CY59" s="158">
        <v>12.92</v>
      </c>
      <c r="CZ59" s="27"/>
      <c r="DA59" s="32">
        <v>44.61068999999997</v>
      </c>
      <c r="DB59" s="33"/>
      <c r="DC59" s="44"/>
      <c r="DD59" s="53">
        <f>SUM(CY59:DC59)</f>
        <v>57.530689999999971</v>
      </c>
      <c r="DE59" s="211"/>
      <c r="DF59" s="151">
        <v>46069</v>
      </c>
      <c r="DG59" s="152">
        <v>1423.75</v>
      </c>
      <c r="DH59" s="159">
        <v>618.65</v>
      </c>
      <c r="DI59" s="162"/>
      <c r="DJ59" s="27"/>
      <c r="DK59" s="32">
        <v>291.62007999999997</v>
      </c>
      <c r="DL59" s="42"/>
      <c r="DM59" s="44"/>
      <c r="DN59" s="53">
        <f t="shared" si="51"/>
        <v>291.62007999999997</v>
      </c>
      <c r="DP59" s="151">
        <v>46069</v>
      </c>
      <c r="DQ59" s="152">
        <v>1041.0999999999999</v>
      </c>
      <c r="DR59" s="173"/>
      <c r="DS59" s="27"/>
      <c r="DT59" s="51"/>
      <c r="DU59" s="52"/>
      <c r="DV59" s="52"/>
      <c r="DW59" s="53">
        <f t="shared" si="52"/>
        <v>0</v>
      </c>
      <c r="DY59" s="151">
        <v>46069</v>
      </c>
      <c r="DZ59" s="159">
        <v>292.60000000000002</v>
      </c>
      <c r="EA59" s="174"/>
      <c r="EB59" s="27"/>
      <c r="EC59" s="51"/>
      <c r="ED59" s="52"/>
      <c r="EE59" s="52"/>
      <c r="EF59" s="53">
        <f t="shared" si="53"/>
        <v>0</v>
      </c>
      <c r="EH59" s="151">
        <v>46069</v>
      </c>
      <c r="EI59" s="152">
        <v>2002.5</v>
      </c>
      <c r="EJ59" s="183">
        <v>2800</v>
      </c>
      <c r="EK59" s="27"/>
      <c r="EL59" s="51"/>
      <c r="EM59" s="52"/>
      <c r="EN59" s="52"/>
      <c r="EO59" s="53">
        <f t="shared" si="54"/>
        <v>2800</v>
      </c>
      <c r="EQ59" s="151">
        <v>46069</v>
      </c>
      <c r="ER59" s="152">
        <v>1205.67</v>
      </c>
      <c r="ES59" s="173"/>
      <c r="ET59" s="27"/>
      <c r="EU59" s="32">
        <v>19.440000000000012</v>
      </c>
      <c r="EV59" s="52"/>
      <c r="EW59" s="52"/>
      <c r="EX59" s="53">
        <f t="shared" si="55"/>
        <v>19.440000000000012</v>
      </c>
    </row>
    <row r="60" spans="2:154" hidden="1" x14ac:dyDescent="0.25">
      <c r="B60" s="151">
        <v>46070</v>
      </c>
      <c r="C60" s="152">
        <v>3800.47</v>
      </c>
      <c r="D60" s="152">
        <v>1736.01</v>
      </c>
      <c r="E60" s="162"/>
      <c r="F60" s="27"/>
      <c r="G60" s="32">
        <v>479.14300000000003</v>
      </c>
      <c r="H60" s="33">
        <v>396.11477105142831</v>
      </c>
      <c r="I60" s="52"/>
      <c r="J60" s="53">
        <f t="shared" si="56"/>
        <v>875.25777105142834</v>
      </c>
      <c r="L60" s="151">
        <v>46070</v>
      </c>
      <c r="M60" s="152">
        <v>15651.58</v>
      </c>
      <c r="N60" s="152">
        <v>2577.67</v>
      </c>
      <c r="O60" s="158">
        <v>90.91</v>
      </c>
      <c r="P60" s="27"/>
      <c r="Q60" s="32">
        <v>25.673940000000044</v>
      </c>
      <c r="R60" s="53"/>
      <c r="S60" s="53"/>
      <c r="T60" s="52"/>
      <c r="U60" s="53">
        <f t="shared" si="44"/>
        <v>116.58394000000004</v>
      </c>
      <c r="W60" s="151">
        <v>46070</v>
      </c>
      <c r="X60" s="152">
        <v>20754.13</v>
      </c>
      <c r="Y60" s="152"/>
      <c r="Z60" s="170">
        <v>5.69</v>
      </c>
      <c r="AA60" s="27"/>
      <c r="AB60" s="51">
        <v>1079.9340899999995</v>
      </c>
      <c r="AC60" s="33">
        <v>37.141529112380965</v>
      </c>
      <c r="AD60" s="33"/>
      <c r="AE60" s="52"/>
      <c r="AF60" s="53">
        <f t="shared" si="45"/>
        <v>1122.7656191123806</v>
      </c>
      <c r="AH60" s="151">
        <v>46070</v>
      </c>
      <c r="AI60" s="152">
        <v>4284.9799999999996</v>
      </c>
      <c r="AJ60" s="159">
        <v>649.16</v>
      </c>
      <c r="AK60" s="171"/>
      <c r="AL60" s="27"/>
      <c r="AM60" s="32">
        <v>448.54856999999993</v>
      </c>
      <c r="AN60" s="32"/>
      <c r="AO60" s="42">
        <v>39.577400445714318</v>
      </c>
      <c r="AP60" s="44"/>
      <c r="AQ60" s="53">
        <f t="shared" si="46"/>
        <v>488.12597044571424</v>
      </c>
      <c r="AS60" s="151">
        <v>46070</v>
      </c>
      <c r="AT60" s="152">
        <v>16208.74</v>
      </c>
      <c r="AU60" s="159">
        <v>902.11</v>
      </c>
      <c r="AV60" s="152">
        <v>3705.3</v>
      </c>
      <c r="AW60" s="171"/>
      <c r="AX60" s="27"/>
      <c r="AY60" s="32">
        <v>416.19039000000004</v>
      </c>
      <c r="AZ60" s="53">
        <v>174.20205967999996</v>
      </c>
      <c r="BA60" s="52">
        <v>19.505297400000018</v>
      </c>
      <c r="BB60" s="53">
        <f t="shared" si="47"/>
        <v>609.89774708000004</v>
      </c>
      <c r="BD60" s="151">
        <v>46070</v>
      </c>
      <c r="BE60" s="159">
        <v>697.03</v>
      </c>
      <c r="BF60" s="152">
        <v>1084.95</v>
      </c>
      <c r="BG60" s="158">
        <v>1.86</v>
      </c>
      <c r="BH60" s="158">
        <v>30.24</v>
      </c>
      <c r="BI60" s="27"/>
      <c r="BJ60" s="51"/>
      <c r="BK60" s="42"/>
      <c r="BL60" s="52"/>
      <c r="BM60" s="53">
        <f t="shared" si="48"/>
        <v>30.24</v>
      </c>
      <c r="BO60" s="151">
        <v>46070</v>
      </c>
      <c r="BP60" s="159">
        <v>950.27</v>
      </c>
      <c r="BQ60" s="161">
        <v>753.75</v>
      </c>
      <c r="BR60" s="155">
        <v>1.24</v>
      </c>
      <c r="BS60" s="336">
        <v>159.87</v>
      </c>
      <c r="BT60" s="27"/>
      <c r="BU60" s="240">
        <v>17.175220000000024</v>
      </c>
      <c r="BV60" s="42">
        <v>486.56637813942763</v>
      </c>
      <c r="BW60" s="42"/>
      <c r="BX60" s="52"/>
      <c r="BY60" s="53">
        <f t="shared" si="49"/>
        <v>663.61159813942766</v>
      </c>
      <c r="CA60" s="151">
        <v>46070</v>
      </c>
      <c r="CB60" s="152">
        <v>3176.41</v>
      </c>
      <c r="CC60" s="159">
        <v>946.13</v>
      </c>
      <c r="CD60" s="331"/>
      <c r="CE60" s="27"/>
      <c r="CF60" s="32">
        <v>61.86039000000001</v>
      </c>
      <c r="CG60" s="42"/>
      <c r="CH60" s="44"/>
      <c r="CI60" s="53">
        <f t="shared" si="50"/>
        <v>61.86039000000001</v>
      </c>
      <c r="CK60" s="151">
        <v>46070</v>
      </c>
      <c r="CL60" s="152">
        <v>4035.77</v>
      </c>
      <c r="CM60" s="159">
        <v>183.24</v>
      </c>
      <c r="CN60" s="158">
        <v>302.35000000000002</v>
      </c>
      <c r="CO60" s="27"/>
      <c r="CP60" s="51"/>
      <c r="CQ60" s="33">
        <v>544.30971027428564</v>
      </c>
      <c r="CR60" s="52"/>
      <c r="CS60" s="53">
        <f t="shared" si="57"/>
        <v>846.65971027428566</v>
      </c>
      <c r="CU60" s="151">
        <v>46070</v>
      </c>
      <c r="CV60" s="152">
        <v>3225.51</v>
      </c>
      <c r="CW60" s="159">
        <v>663.5</v>
      </c>
      <c r="CX60" s="162"/>
      <c r="CY60" s="158">
        <v>14</v>
      </c>
      <c r="CZ60" s="27"/>
      <c r="DA60" s="32">
        <v>20.238910000000033</v>
      </c>
      <c r="DB60" s="33">
        <v>34.874692434285635</v>
      </c>
      <c r="DC60" s="44"/>
      <c r="DD60" s="53">
        <f t="shared" si="58"/>
        <v>69.113602434285667</v>
      </c>
      <c r="DE60" s="211"/>
      <c r="DF60" s="151">
        <v>46070</v>
      </c>
      <c r="DG60" s="159">
        <v>665.96</v>
      </c>
      <c r="DH60" s="159">
        <v>424.91</v>
      </c>
      <c r="DI60" s="162"/>
      <c r="DJ60" s="27"/>
      <c r="DK60" s="32">
        <v>104.68188000000004</v>
      </c>
      <c r="DL60" s="42"/>
      <c r="DM60" s="44"/>
      <c r="DN60" s="53">
        <f t="shared" si="51"/>
        <v>104.68188000000004</v>
      </c>
      <c r="DP60" s="151">
        <v>46070</v>
      </c>
      <c r="DQ60" s="159">
        <v>292</v>
      </c>
      <c r="DR60" s="173"/>
      <c r="DS60" s="27"/>
      <c r="DT60" s="51"/>
      <c r="DU60" s="52"/>
      <c r="DV60" s="52"/>
      <c r="DW60" s="53">
        <f t="shared" si="52"/>
        <v>0</v>
      </c>
      <c r="DY60" s="151">
        <v>46070</v>
      </c>
      <c r="DZ60" s="159">
        <v>190.8</v>
      </c>
      <c r="EA60" s="174"/>
      <c r="EB60" s="27"/>
      <c r="EC60" s="51"/>
      <c r="ED60" s="52"/>
      <c r="EE60" s="52"/>
      <c r="EF60" s="53">
        <f t="shared" si="53"/>
        <v>0</v>
      </c>
      <c r="EH60" s="151">
        <v>46070</v>
      </c>
      <c r="EI60" s="159">
        <v>840.5</v>
      </c>
      <c r="EJ60" s="162"/>
      <c r="EK60" s="27"/>
      <c r="EL60" s="51"/>
      <c r="EM60" s="52"/>
      <c r="EN60" s="52"/>
      <c r="EO60" s="53">
        <f t="shared" si="54"/>
        <v>0</v>
      </c>
      <c r="EQ60" s="151">
        <v>46070</v>
      </c>
      <c r="ER60" s="152">
        <v>1584.61</v>
      </c>
      <c r="ES60" s="173"/>
      <c r="ET60" s="27"/>
      <c r="EU60" s="32">
        <v>128.83266999999998</v>
      </c>
      <c r="EV60" s="52"/>
      <c r="EW60" s="52"/>
      <c r="EX60" s="53">
        <f t="shared" si="55"/>
        <v>128.83266999999998</v>
      </c>
    </row>
    <row r="61" spans="2:154" hidden="1" x14ac:dyDescent="0.25">
      <c r="B61" s="151">
        <v>46071</v>
      </c>
      <c r="C61" s="152">
        <v>3332.77</v>
      </c>
      <c r="D61" s="152">
        <v>1659.06</v>
      </c>
      <c r="E61" s="162"/>
      <c r="F61" s="27"/>
      <c r="G61" s="32">
        <v>186.22024999999999</v>
      </c>
      <c r="H61" s="33">
        <v>121.7360936266666</v>
      </c>
      <c r="I61" s="52"/>
      <c r="J61" s="53">
        <f t="shared" si="56"/>
        <v>307.95634362666658</v>
      </c>
      <c r="L61" s="151">
        <v>46071</v>
      </c>
      <c r="M61" s="152">
        <v>20691.509999999998</v>
      </c>
      <c r="N61" s="152">
        <v>2750.92</v>
      </c>
      <c r="O61" s="158">
        <v>84.36</v>
      </c>
      <c r="P61" s="27"/>
      <c r="Q61" s="32">
        <v>23.268050000000017</v>
      </c>
      <c r="R61" s="53"/>
      <c r="S61" s="53"/>
      <c r="T61" s="52"/>
      <c r="U61" s="53">
        <f t="shared" si="44"/>
        <v>107.62805000000002</v>
      </c>
      <c r="W61" s="151">
        <v>46071</v>
      </c>
      <c r="X61" s="152">
        <v>22509.39</v>
      </c>
      <c r="Y61" s="152"/>
      <c r="Z61" s="170">
        <v>9.1</v>
      </c>
      <c r="AA61" s="27"/>
      <c r="AB61" s="51">
        <v>2365.337979999998</v>
      </c>
      <c r="AC61" s="33">
        <v>6.801295847619059</v>
      </c>
      <c r="AD61" s="33"/>
      <c r="AE61" s="52"/>
      <c r="AF61" s="53">
        <f t="shared" si="45"/>
        <v>2381.2392758476171</v>
      </c>
      <c r="AH61" s="151">
        <v>46071</v>
      </c>
      <c r="AI61" s="152">
        <v>4876.92</v>
      </c>
      <c r="AJ61" s="159">
        <v>672.76</v>
      </c>
      <c r="AK61" s="178"/>
      <c r="AL61" s="27"/>
      <c r="AM61" s="32">
        <v>501.51792999999992</v>
      </c>
      <c r="AN61" s="32"/>
      <c r="AO61" s="42">
        <v>40.791279923809554</v>
      </c>
      <c r="AP61" s="44"/>
      <c r="AQ61" s="53">
        <f t="shared" si="46"/>
        <v>542.30920992380948</v>
      </c>
      <c r="AS61" s="151">
        <v>46071</v>
      </c>
      <c r="AT61" s="152">
        <v>15102.89</v>
      </c>
      <c r="AU61" s="159">
        <v>731.9</v>
      </c>
      <c r="AV61" s="152">
        <v>3790.21</v>
      </c>
      <c r="AW61" s="171"/>
      <c r="AX61" s="27"/>
      <c r="AY61" s="32"/>
      <c r="AZ61" s="53">
        <v>195.62577920761902</v>
      </c>
      <c r="BA61" s="52"/>
      <c r="BB61" s="53">
        <f t="shared" si="47"/>
        <v>195.62577920761902</v>
      </c>
      <c r="BD61" s="151">
        <v>46071</v>
      </c>
      <c r="BE61" s="152">
        <v>1121.18</v>
      </c>
      <c r="BF61" s="152">
        <v>1425.85</v>
      </c>
      <c r="BG61" s="158">
        <v>1.49</v>
      </c>
      <c r="BH61" s="158">
        <v>26.83</v>
      </c>
      <c r="BI61" s="27"/>
      <c r="BJ61" s="51"/>
      <c r="BK61" s="42"/>
      <c r="BL61" s="52"/>
      <c r="BM61" s="53">
        <f t="shared" si="48"/>
        <v>26.83</v>
      </c>
      <c r="BO61" s="151">
        <v>46071</v>
      </c>
      <c r="BP61" s="152">
        <v>1016.09</v>
      </c>
      <c r="BQ61" s="161">
        <v>759.26</v>
      </c>
      <c r="BR61" s="155">
        <v>2.84</v>
      </c>
      <c r="BS61" s="336">
        <v>202.28</v>
      </c>
      <c r="BT61" s="27"/>
      <c r="BU61" s="240">
        <v>7.3819270000000046</v>
      </c>
      <c r="BV61" s="42">
        <v>664.22252147466679</v>
      </c>
      <c r="BW61" s="42"/>
      <c r="BX61" s="52"/>
      <c r="BY61" s="53">
        <f t="shared" si="49"/>
        <v>873.88444847466678</v>
      </c>
      <c r="CA61" s="151">
        <v>46071</v>
      </c>
      <c r="CB61" s="152">
        <v>4865.03</v>
      </c>
      <c r="CC61" s="152">
        <v>1020.01</v>
      </c>
      <c r="CD61" s="331"/>
      <c r="CE61" s="27"/>
      <c r="CF61" s="32">
        <v>124.52788000000001</v>
      </c>
      <c r="CG61" s="42"/>
      <c r="CH61" s="44">
        <v>7.6289999999999907</v>
      </c>
      <c r="CI61" s="53">
        <f t="shared" si="50"/>
        <v>132.15688</v>
      </c>
      <c r="CK61" s="151">
        <v>46071</v>
      </c>
      <c r="CL61" s="152">
        <v>8524.85</v>
      </c>
      <c r="CM61" s="159">
        <v>120.1</v>
      </c>
      <c r="CN61" s="158">
        <v>590.57000000000005</v>
      </c>
      <c r="CO61" s="27"/>
      <c r="CP61" s="51"/>
      <c r="CQ61" s="33">
        <v>170.50094550857136</v>
      </c>
      <c r="CR61" s="52"/>
      <c r="CS61" s="53">
        <f t="shared" si="57"/>
        <v>761.07094550857141</v>
      </c>
      <c r="CU61" s="151">
        <v>46071</v>
      </c>
      <c r="CV61" s="159">
        <v>842.96</v>
      </c>
      <c r="CW61" s="159">
        <v>872</v>
      </c>
      <c r="CX61" s="162"/>
      <c r="CY61" s="158">
        <v>46.62</v>
      </c>
      <c r="CZ61" s="27"/>
      <c r="DA61" s="32">
        <v>55.927409999999952</v>
      </c>
      <c r="DB61" s="33">
        <v>7.4793802514285517</v>
      </c>
      <c r="DC61" s="44"/>
      <c r="DD61" s="53">
        <f t="shared" si="58"/>
        <v>110.02679025142851</v>
      </c>
      <c r="DE61" s="211"/>
      <c r="DF61" s="151">
        <v>46071</v>
      </c>
      <c r="DG61" s="152">
        <v>1915.54</v>
      </c>
      <c r="DH61" s="159">
        <v>484.8</v>
      </c>
      <c r="DI61" s="162"/>
      <c r="DJ61" s="27"/>
      <c r="DK61" s="32"/>
      <c r="DL61" s="42"/>
      <c r="DM61" s="44"/>
      <c r="DN61" s="53">
        <f t="shared" si="51"/>
        <v>0</v>
      </c>
      <c r="DP61" s="151">
        <v>46071</v>
      </c>
      <c r="DQ61" s="159">
        <v>641.78</v>
      </c>
      <c r="DR61" s="173"/>
      <c r="DS61" s="27"/>
      <c r="DT61" s="51"/>
      <c r="DU61" s="52"/>
      <c r="DV61" s="52"/>
      <c r="DW61" s="53">
        <f t="shared" si="52"/>
        <v>0</v>
      </c>
      <c r="DY61" s="151">
        <v>46071</v>
      </c>
      <c r="DZ61" s="159">
        <v>352</v>
      </c>
      <c r="EA61" s="174"/>
      <c r="EB61" s="27"/>
      <c r="EC61" s="51"/>
      <c r="ED61" s="52"/>
      <c r="EE61" s="52"/>
      <c r="EF61" s="53">
        <f t="shared" si="53"/>
        <v>0</v>
      </c>
      <c r="EH61" s="151">
        <v>46071</v>
      </c>
      <c r="EI61" s="152">
        <v>2252.4</v>
      </c>
      <c r="EJ61" s="183">
        <v>120</v>
      </c>
      <c r="EK61" s="27"/>
      <c r="EL61" s="51"/>
      <c r="EM61" s="52"/>
      <c r="EN61" s="52"/>
      <c r="EO61" s="53">
        <f t="shared" si="54"/>
        <v>120</v>
      </c>
      <c r="EQ61" s="151">
        <v>46071</v>
      </c>
      <c r="ER61" s="152">
        <v>2656.63</v>
      </c>
      <c r="ES61" s="173"/>
      <c r="ET61" s="27"/>
      <c r="EU61" s="32">
        <v>105.66618299999996</v>
      </c>
      <c r="EV61" s="52"/>
      <c r="EW61" s="52"/>
      <c r="EX61" s="53">
        <f t="shared" si="55"/>
        <v>105.66618299999996</v>
      </c>
    </row>
    <row r="62" spans="2:154" hidden="1" x14ac:dyDescent="0.25">
      <c r="B62" s="151">
        <v>46072</v>
      </c>
      <c r="C62" s="152">
        <v>3582.98</v>
      </c>
      <c r="D62" s="152">
        <v>1193.55</v>
      </c>
      <c r="E62" s="162"/>
      <c r="F62" s="27"/>
      <c r="G62" s="32">
        <v>467.53925000000004</v>
      </c>
      <c r="H62" s="33"/>
      <c r="I62" s="52"/>
      <c r="J62" s="53">
        <f t="shared" si="56"/>
        <v>467.53925000000004</v>
      </c>
      <c r="L62" s="151">
        <v>46072</v>
      </c>
      <c r="M62" s="152">
        <v>20644.13</v>
      </c>
      <c r="N62" s="152">
        <v>2920.82</v>
      </c>
      <c r="O62" s="158">
        <v>77.39</v>
      </c>
      <c r="P62" s="27"/>
      <c r="Q62" s="32"/>
      <c r="R62" s="53">
        <v>17.911966293333322</v>
      </c>
      <c r="S62" s="53"/>
      <c r="T62" s="52"/>
      <c r="U62" s="53">
        <f t="shared" si="44"/>
        <v>95.301966293333322</v>
      </c>
      <c r="W62" s="151">
        <v>46072</v>
      </c>
      <c r="X62" s="152">
        <v>17300.509999999998</v>
      </c>
      <c r="Y62" s="152"/>
      <c r="Z62" s="170">
        <v>2.92</v>
      </c>
      <c r="AA62" s="27"/>
      <c r="AB62" s="51">
        <v>1210.2044899999989</v>
      </c>
      <c r="AC62" s="33">
        <v>13.106146742857135</v>
      </c>
      <c r="AD62" s="33"/>
      <c r="AE62" s="52"/>
      <c r="AF62" s="53">
        <f t="shared" si="45"/>
        <v>1226.2306367428562</v>
      </c>
      <c r="AH62" s="151">
        <v>46072</v>
      </c>
      <c r="AI62" s="152">
        <v>5306.38</v>
      </c>
      <c r="AJ62" s="159">
        <v>867.7</v>
      </c>
      <c r="AK62" s="171"/>
      <c r="AL62" s="27"/>
      <c r="AM62" s="32">
        <v>373.90210000000002</v>
      </c>
      <c r="AN62" s="32"/>
      <c r="AO62" s="42"/>
      <c r="AP62" s="44"/>
      <c r="AQ62" s="53">
        <f t="shared" si="46"/>
        <v>373.90210000000002</v>
      </c>
      <c r="AS62" s="151">
        <v>46072</v>
      </c>
      <c r="AT62" s="152">
        <v>14314.07</v>
      </c>
      <c r="AU62" s="152">
        <v>1285.92</v>
      </c>
      <c r="AV62" s="152">
        <v>4734.62</v>
      </c>
      <c r="AW62" s="171"/>
      <c r="AX62" s="27"/>
      <c r="AY62" s="32">
        <v>8.3177999999999948</v>
      </c>
      <c r="AZ62" s="53">
        <v>85.250610963809521</v>
      </c>
      <c r="BA62" s="52"/>
      <c r="BB62" s="53">
        <f t="shared" si="47"/>
        <v>93.568410963809512</v>
      </c>
      <c r="BD62" s="151">
        <v>46072</v>
      </c>
      <c r="BE62" s="159">
        <v>871.71</v>
      </c>
      <c r="BF62" s="152">
        <v>1092.43</v>
      </c>
      <c r="BG62" s="158">
        <v>3.42</v>
      </c>
      <c r="BH62" s="158">
        <v>21.93</v>
      </c>
      <c r="BI62" s="27"/>
      <c r="BJ62" s="51"/>
      <c r="BK62" s="42"/>
      <c r="BL62" s="52"/>
      <c r="BM62" s="53">
        <f t="shared" si="48"/>
        <v>21.93</v>
      </c>
      <c r="BO62" s="151">
        <v>46072</v>
      </c>
      <c r="BP62" s="152">
        <v>1418.2</v>
      </c>
      <c r="BQ62" s="161">
        <v>876.74</v>
      </c>
      <c r="BR62" s="155">
        <v>1.56</v>
      </c>
      <c r="BS62" s="336">
        <v>115.89</v>
      </c>
      <c r="BT62" s="27"/>
      <c r="BU62" s="240">
        <v>10.701093000000014</v>
      </c>
      <c r="BV62" s="42">
        <v>489.88518955401855</v>
      </c>
      <c r="BW62" s="42"/>
      <c r="BX62" s="52"/>
      <c r="BY62" s="53">
        <f t="shared" si="49"/>
        <v>616.47628255401855</v>
      </c>
      <c r="CA62" s="151">
        <v>46072</v>
      </c>
      <c r="CB62" s="152">
        <v>4132.84</v>
      </c>
      <c r="CC62" s="159">
        <v>682.93</v>
      </c>
      <c r="CD62" s="331"/>
      <c r="CE62" s="27"/>
      <c r="CF62" s="32">
        <v>33.166229999999999</v>
      </c>
      <c r="CG62" s="42"/>
      <c r="CH62" s="44"/>
      <c r="CI62" s="53">
        <f t="shared" si="50"/>
        <v>33.166229999999999</v>
      </c>
      <c r="CK62" s="151">
        <v>46072</v>
      </c>
      <c r="CL62" s="152">
        <v>2541.11</v>
      </c>
      <c r="CM62" s="159">
        <v>318.67</v>
      </c>
      <c r="CN62" s="155">
        <v>157.16999999999999</v>
      </c>
      <c r="CO62" s="27"/>
      <c r="CP62" s="51"/>
      <c r="CQ62" s="33">
        <v>295.2825537733334</v>
      </c>
      <c r="CR62" s="52"/>
      <c r="CS62" s="53">
        <f t="shared" si="57"/>
        <v>452.45255377333342</v>
      </c>
      <c r="CU62" s="151">
        <v>46072</v>
      </c>
      <c r="CV62" s="159">
        <v>622.16999999999996</v>
      </c>
      <c r="CW62" s="159">
        <v>618.79999999999995</v>
      </c>
      <c r="CX62" s="162"/>
      <c r="CY62" s="158">
        <v>44.43</v>
      </c>
      <c r="CZ62" s="27"/>
      <c r="DA62" s="32">
        <v>55.830139999999915</v>
      </c>
      <c r="DB62" s="33"/>
      <c r="DC62" s="44"/>
      <c r="DD62" s="53">
        <f t="shared" si="58"/>
        <v>100.26013999999992</v>
      </c>
      <c r="DE62" s="211"/>
      <c r="DF62" s="151">
        <v>46072</v>
      </c>
      <c r="DG62" s="152">
        <v>1058.68</v>
      </c>
      <c r="DH62" s="159">
        <v>314.20999999999998</v>
      </c>
      <c r="DI62" s="162"/>
      <c r="DJ62" s="27"/>
      <c r="DK62" s="32">
        <v>187.47599999999997</v>
      </c>
      <c r="DL62" s="42"/>
      <c r="DM62" s="44">
        <v>29.150704999999988</v>
      </c>
      <c r="DN62" s="53">
        <f t="shared" si="51"/>
        <v>216.62670499999996</v>
      </c>
      <c r="DP62" s="151">
        <v>46072</v>
      </c>
      <c r="DQ62" s="159">
        <v>608.02</v>
      </c>
      <c r="DR62" s="173"/>
      <c r="DS62" s="27"/>
      <c r="DT62" s="51"/>
      <c r="DU62" s="52"/>
      <c r="DV62" s="52"/>
      <c r="DW62" s="53">
        <f t="shared" si="52"/>
        <v>0</v>
      </c>
      <c r="DY62" s="151">
        <v>46072</v>
      </c>
      <c r="DZ62" s="159">
        <v>250</v>
      </c>
      <c r="EA62" s="174"/>
      <c r="EB62" s="27"/>
      <c r="EC62" s="51"/>
      <c r="ED62" s="52"/>
      <c r="EE62" s="52"/>
      <c r="EF62" s="53">
        <f t="shared" si="53"/>
        <v>0</v>
      </c>
      <c r="EH62" s="151">
        <v>46072</v>
      </c>
      <c r="EI62" s="152">
        <v>2126.5</v>
      </c>
      <c r="EJ62" s="183">
        <v>3170</v>
      </c>
      <c r="EK62" s="27"/>
      <c r="EL62" s="51"/>
      <c r="EM62" s="52"/>
      <c r="EN62" s="52"/>
      <c r="EO62" s="53">
        <f t="shared" si="54"/>
        <v>3170</v>
      </c>
      <c r="EQ62" s="151">
        <v>46072</v>
      </c>
      <c r="ER62" s="152">
        <v>2549.89</v>
      </c>
      <c r="ES62" s="173"/>
      <c r="ET62" s="27"/>
      <c r="EU62" s="32">
        <v>17.675954999999988</v>
      </c>
      <c r="EV62" s="52"/>
      <c r="EW62" s="52"/>
      <c r="EX62" s="53">
        <f t="shared" si="55"/>
        <v>17.675954999999988</v>
      </c>
    </row>
    <row r="63" spans="2:154" hidden="1" x14ac:dyDescent="0.25">
      <c r="B63" s="151">
        <v>46073</v>
      </c>
      <c r="C63" s="152">
        <v>3545.1</v>
      </c>
      <c r="D63" s="152">
        <v>2036.48</v>
      </c>
      <c r="E63" s="162"/>
      <c r="F63" s="27"/>
      <c r="G63" s="32">
        <v>1673.8077400000002</v>
      </c>
      <c r="H63" s="33">
        <v>124.13268889999998</v>
      </c>
      <c r="I63" s="52"/>
      <c r="J63" s="53">
        <f t="shared" si="56"/>
        <v>1797.9404289000001</v>
      </c>
      <c r="L63" s="151">
        <v>46073</v>
      </c>
      <c r="M63" s="152">
        <v>30046.59</v>
      </c>
      <c r="N63" s="152">
        <v>3110.94</v>
      </c>
      <c r="O63" s="158">
        <v>152.4</v>
      </c>
      <c r="P63" s="27"/>
      <c r="Q63" s="32"/>
      <c r="R63" s="53"/>
      <c r="S63" s="53"/>
      <c r="T63" s="52">
        <v>22.823482500000011</v>
      </c>
      <c r="U63" s="53">
        <f t="shared" si="44"/>
        <v>175.22348250000002</v>
      </c>
      <c r="W63" s="151">
        <v>46073</v>
      </c>
      <c r="X63" s="152">
        <v>22425.32</v>
      </c>
      <c r="Y63" s="152"/>
      <c r="Z63" s="170">
        <v>3.92</v>
      </c>
      <c r="AA63" s="27"/>
      <c r="AB63" s="51">
        <v>2043.2179899999985</v>
      </c>
      <c r="AC63" s="33">
        <v>110.843298</v>
      </c>
      <c r="AD63" s="33"/>
      <c r="AE63" s="52"/>
      <c r="AF63" s="53">
        <f t="shared" si="45"/>
        <v>2157.9812879999986</v>
      </c>
      <c r="AH63" s="151">
        <v>46073</v>
      </c>
      <c r="AI63" s="152">
        <v>5274.39</v>
      </c>
      <c r="AJ63" s="159">
        <v>939.35</v>
      </c>
      <c r="AK63" s="178"/>
      <c r="AL63" s="27"/>
      <c r="AM63" s="32">
        <v>369.17465999999996</v>
      </c>
      <c r="AN63" s="32"/>
      <c r="AO63" s="42"/>
      <c r="AP63" s="44"/>
      <c r="AQ63" s="53">
        <f t="shared" si="46"/>
        <v>369.17465999999996</v>
      </c>
      <c r="AS63" s="151">
        <v>46073</v>
      </c>
      <c r="AT63" s="152">
        <v>15866.63</v>
      </c>
      <c r="AU63" s="152">
        <v>1163.82</v>
      </c>
      <c r="AV63" s="152">
        <v>4182.6499999999996</v>
      </c>
      <c r="AW63" s="171"/>
      <c r="AX63" s="27"/>
      <c r="AY63" s="32">
        <v>43.164199999999965</v>
      </c>
      <c r="AZ63" s="53">
        <v>47.929112800000013</v>
      </c>
      <c r="BA63" s="52"/>
      <c r="BB63" s="53">
        <f t="shared" si="47"/>
        <v>91.093312799999978</v>
      </c>
      <c r="BD63" s="151">
        <v>46073</v>
      </c>
      <c r="BE63" s="152">
        <v>1301.79</v>
      </c>
      <c r="BF63" s="159">
        <v>956.51</v>
      </c>
      <c r="BG63" s="158">
        <v>3.8</v>
      </c>
      <c r="BH63" s="158">
        <v>22.51</v>
      </c>
      <c r="BI63" s="27"/>
      <c r="BJ63" s="51"/>
      <c r="BK63" s="42"/>
      <c r="BL63" s="52"/>
      <c r="BM63" s="53">
        <f t="shared" si="48"/>
        <v>22.51</v>
      </c>
      <c r="BO63" s="151">
        <v>46073</v>
      </c>
      <c r="BP63" s="159">
        <v>702.23</v>
      </c>
      <c r="BQ63" s="161">
        <v>926.31</v>
      </c>
      <c r="BR63" s="155">
        <v>1.78</v>
      </c>
      <c r="BS63" s="336">
        <v>91.89</v>
      </c>
      <c r="BT63" s="27"/>
      <c r="BU63" s="240"/>
      <c r="BV63" s="42">
        <v>349.68259380000063</v>
      </c>
      <c r="BW63" s="42"/>
      <c r="BX63" s="52"/>
      <c r="BY63" s="53">
        <f t="shared" si="49"/>
        <v>441.57259380000062</v>
      </c>
      <c r="CA63" s="151">
        <v>46073</v>
      </c>
      <c r="CB63" s="152">
        <v>6376.92</v>
      </c>
      <c r="CC63" s="159">
        <v>621.61</v>
      </c>
      <c r="CD63" s="331"/>
      <c r="CE63" s="27"/>
      <c r="CF63" s="32">
        <v>223.53750000000002</v>
      </c>
      <c r="CG63" s="42"/>
      <c r="CH63" s="44"/>
      <c r="CI63" s="53">
        <f t="shared" si="50"/>
        <v>223.53750000000002</v>
      </c>
      <c r="CK63" s="151">
        <v>46073</v>
      </c>
      <c r="CL63" s="152">
        <v>4733.72</v>
      </c>
      <c r="CM63" s="159">
        <v>498.84</v>
      </c>
      <c r="CN63" s="158">
        <v>147.62</v>
      </c>
      <c r="CO63" s="27"/>
      <c r="CP63" s="51"/>
      <c r="CQ63" s="33">
        <v>246.68018259999974</v>
      </c>
      <c r="CR63" s="52"/>
      <c r="CS63" s="53">
        <f t="shared" si="57"/>
        <v>394.30018259999974</v>
      </c>
      <c r="CU63" s="151">
        <v>46073</v>
      </c>
      <c r="CV63" s="159">
        <v>470.01</v>
      </c>
      <c r="CW63" s="159">
        <v>737.5</v>
      </c>
      <c r="CX63" s="162"/>
      <c r="CY63" s="158">
        <v>28</v>
      </c>
      <c r="CZ63" s="27"/>
      <c r="DA63" s="32">
        <v>41.819709999999958</v>
      </c>
      <c r="DB63" s="33">
        <v>49.112105399999962</v>
      </c>
      <c r="DC63" s="44"/>
      <c r="DD63" s="53">
        <f t="shared" si="58"/>
        <v>118.93181539999992</v>
      </c>
      <c r="DE63" s="211"/>
      <c r="DF63" s="151">
        <v>46073</v>
      </c>
      <c r="DG63" s="159">
        <v>956.03</v>
      </c>
      <c r="DH63" s="159">
        <v>277.32</v>
      </c>
      <c r="DI63" s="162"/>
      <c r="DJ63" s="27"/>
      <c r="DK63" s="32">
        <v>10.399999999999977</v>
      </c>
      <c r="DL63" s="42">
        <v>128.85194359999994</v>
      </c>
      <c r="DM63" s="44"/>
      <c r="DN63" s="53">
        <f t="shared" si="51"/>
        <v>139.25194359999992</v>
      </c>
      <c r="DP63" s="151">
        <v>46073</v>
      </c>
      <c r="DQ63" s="159">
        <v>781.72</v>
      </c>
      <c r="DR63" s="173"/>
      <c r="DS63" s="27"/>
      <c r="DT63" s="51"/>
      <c r="DU63" s="52"/>
      <c r="DV63" s="52"/>
      <c r="DW63" s="53">
        <f t="shared" si="52"/>
        <v>0</v>
      </c>
      <c r="DY63" s="151">
        <v>46073</v>
      </c>
      <c r="DZ63" s="159">
        <v>57</v>
      </c>
      <c r="EA63" s="174"/>
      <c r="EB63" s="27"/>
      <c r="EC63" s="51"/>
      <c r="ED63" s="52"/>
      <c r="EE63" s="52"/>
      <c r="EF63" s="53">
        <f t="shared" si="53"/>
        <v>0</v>
      </c>
      <c r="EH63" s="151">
        <v>46073</v>
      </c>
      <c r="EI63" s="152">
        <v>1113.3399999999999</v>
      </c>
      <c r="EJ63" s="162"/>
      <c r="EK63" s="27"/>
      <c r="EL63" s="51"/>
      <c r="EM63" s="52"/>
      <c r="EN63" s="52"/>
      <c r="EO63" s="53">
        <f t="shared" si="54"/>
        <v>0</v>
      </c>
      <c r="EQ63" s="151">
        <v>46073</v>
      </c>
      <c r="ER63" s="152">
        <v>3908.41</v>
      </c>
      <c r="ES63" s="173"/>
      <c r="ET63" s="27"/>
      <c r="EU63" s="32">
        <v>97.719165000000046</v>
      </c>
      <c r="EV63" s="52"/>
      <c r="EW63" s="52"/>
      <c r="EX63" s="53">
        <f t="shared" si="55"/>
        <v>97.719165000000046</v>
      </c>
    </row>
    <row r="64" spans="2:154" hidden="1" x14ac:dyDescent="0.25">
      <c r="B64" s="151">
        <v>46074</v>
      </c>
      <c r="C64" s="152">
        <v>4272.63</v>
      </c>
      <c r="D64" s="152">
        <v>2291.35</v>
      </c>
      <c r="E64" s="162"/>
      <c r="F64" s="27"/>
      <c r="G64" s="32">
        <v>362.03608999999994</v>
      </c>
      <c r="H64" s="33"/>
      <c r="I64" s="52"/>
      <c r="J64" s="53">
        <f t="shared" si="56"/>
        <v>362.03608999999994</v>
      </c>
      <c r="L64" s="151">
        <v>46074</v>
      </c>
      <c r="M64" s="152">
        <v>21217.63</v>
      </c>
      <c r="N64" s="152">
        <v>3736.17</v>
      </c>
      <c r="O64" s="158">
        <v>41.53</v>
      </c>
      <c r="P64" s="27"/>
      <c r="Q64" s="32">
        <v>23.563399999999973</v>
      </c>
      <c r="R64" s="53">
        <v>79.164556800000128</v>
      </c>
      <c r="S64" s="53"/>
      <c r="T64" s="52"/>
      <c r="U64" s="53">
        <f t="shared" si="44"/>
        <v>144.2579568000001</v>
      </c>
      <c r="W64" s="151">
        <v>46074</v>
      </c>
      <c r="X64" s="152">
        <v>20743.82</v>
      </c>
      <c r="Y64" s="152"/>
      <c r="Z64" s="170">
        <v>18.32</v>
      </c>
      <c r="AA64" s="27"/>
      <c r="AB64" s="51">
        <v>1797.4247499999979</v>
      </c>
      <c r="AC64" s="33">
        <v>23.894782800000016</v>
      </c>
      <c r="AD64" s="33"/>
      <c r="AE64" s="52"/>
      <c r="AF64" s="53">
        <f t="shared" si="45"/>
        <v>1839.6395327999978</v>
      </c>
      <c r="AH64" s="151">
        <v>46074</v>
      </c>
      <c r="AI64" s="152">
        <v>6701.55</v>
      </c>
      <c r="AJ64" s="152">
        <v>1228.45</v>
      </c>
      <c r="AK64" s="171"/>
      <c r="AL64" s="27"/>
      <c r="AM64" s="32">
        <v>733.93948</v>
      </c>
      <c r="AN64" s="32"/>
      <c r="AO64" s="42"/>
      <c r="AP64" s="44"/>
      <c r="AQ64" s="53">
        <f t="shared" si="46"/>
        <v>733.93948</v>
      </c>
      <c r="AS64" s="151">
        <v>46074</v>
      </c>
      <c r="AT64" s="152">
        <v>14695.72</v>
      </c>
      <c r="AU64" s="152">
        <v>1109.72</v>
      </c>
      <c r="AV64" s="152">
        <v>3859.66</v>
      </c>
      <c r="AW64" s="180"/>
      <c r="AX64" s="27"/>
      <c r="AY64" s="32"/>
      <c r="AZ64" s="53">
        <v>91.21093119999999</v>
      </c>
      <c r="BA64" s="52"/>
      <c r="BB64" s="53">
        <f t="shared" si="47"/>
        <v>91.21093119999999</v>
      </c>
      <c r="BD64" s="151">
        <v>46074</v>
      </c>
      <c r="BE64" s="152">
        <v>1162.8800000000001</v>
      </c>
      <c r="BF64" s="152">
        <v>1494.03</v>
      </c>
      <c r="BG64" s="158">
        <v>3.93</v>
      </c>
      <c r="BH64" s="158">
        <v>19.559999999999999</v>
      </c>
      <c r="BI64" s="27"/>
      <c r="BJ64" s="51"/>
      <c r="BK64" s="42"/>
      <c r="BL64" s="52"/>
      <c r="BM64" s="53">
        <f t="shared" si="48"/>
        <v>19.559999999999999</v>
      </c>
      <c r="BO64" s="151">
        <v>46074</v>
      </c>
      <c r="BP64" s="152">
        <v>2976.61</v>
      </c>
      <c r="BQ64" s="161">
        <v>631.85</v>
      </c>
      <c r="BR64" s="155">
        <v>2.5099999999999998</v>
      </c>
      <c r="BS64" s="336">
        <v>189.55</v>
      </c>
      <c r="BT64" s="27"/>
      <c r="BU64" s="240"/>
      <c r="BV64" s="42">
        <v>987.81995952000091</v>
      </c>
      <c r="BW64" s="42"/>
      <c r="BX64" s="52"/>
      <c r="BY64" s="53">
        <f t="shared" si="49"/>
        <v>1177.369959520001</v>
      </c>
      <c r="CA64" s="151">
        <v>46074</v>
      </c>
      <c r="CB64" s="152">
        <v>5693.72</v>
      </c>
      <c r="CC64" s="152">
        <v>1152.52</v>
      </c>
      <c r="CD64" s="331"/>
      <c r="CE64" s="27"/>
      <c r="CF64" s="32">
        <v>106.66926999999993</v>
      </c>
      <c r="CG64" s="42"/>
      <c r="CH64" s="44"/>
      <c r="CI64" s="53">
        <f t="shared" si="50"/>
        <v>106.66926999999993</v>
      </c>
      <c r="CK64" s="151">
        <v>46074</v>
      </c>
      <c r="CL64" s="152">
        <v>3845.63</v>
      </c>
      <c r="CM64" s="159">
        <v>299.60000000000002</v>
      </c>
      <c r="CN64" s="158">
        <v>192.64</v>
      </c>
      <c r="CO64" s="27"/>
      <c r="CP64" s="51"/>
      <c r="CQ64" s="33">
        <v>375.11199839999972</v>
      </c>
      <c r="CR64" s="52"/>
      <c r="CS64" s="53">
        <f t="shared" si="57"/>
        <v>567.75199839999971</v>
      </c>
      <c r="CU64" s="151">
        <v>46074</v>
      </c>
      <c r="CV64" s="159">
        <v>719.04</v>
      </c>
      <c r="CW64" s="152">
        <v>1012.6</v>
      </c>
      <c r="CX64" s="162"/>
      <c r="CY64" s="158">
        <v>4.8</v>
      </c>
      <c r="CZ64" s="27"/>
      <c r="DA64" s="32">
        <v>23.407469999999975</v>
      </c>
      <c r="DB64" s="33"/>
      <c r="DC64" s="44"/>
      <c r="DD64" s="53">
        <f t="shared" si="58"/>
        <v>28.207469999999976</v>
      </c>
      <c r="DE64" s="211"/>
      <c r="DF64" s="151">
        <v>46074</v>
      </c>
      <c r="DG64" s="152">
        <v>1355.74</v>
      </c>
      <c r="DH64" s="159">
        <v>466.06</v>
      </c>
      <c r="DI64" s="162"/>
      <c r="DJ64" s="27"/>
      <c r="DK64" s="32">
        <v>179.42300000000003</v>
      </c>
      <c r="DL64" s="42"/>
      <c r="DM64" s="44"/>
      <c r="DN64" s="53">
        <f t="shared" si="51"/>
        <v>179.42300000000003</v>
      </c>
      <c r="DP64" s="151">
        <v>46074</v>
      </c>
      <c r="DQ64" s="159">
        <v>764</v>
      </c>
      <c r="DR64" s="173"/>
      <c r="DS64" s="27"/>
      <c r="DT64" s="51"/>
      <c r="DU64" s="52"/>
      <c r="DV64" s="52"/>
      <c r="DW64" s="53">
        <f t="shared" si="52"/>
        <v>0</v>
      </c>
      <c r="DY64" s="151">
        <v>46074</v>
      </c>
      <c r="DZ64" s="159">
        <v>176</v>
      </c>
      <c r="EA64" s="174"/>
      <c r="EB64" s="27"/>
      <c r="EC64" s="51"/>
      <c r="ED64" s="52"/>
      <c r="EE64" s="52"/>
      <c r="EF64" s="53">
        <f t="shared" si="53"/>
        <v>0</v>
      </c>
      <c r="EH64" s="151">
        <v>46074</v>
      </c>
      <c r="EI64" s="152">
        <v>2014.9</v>
      </c>
      <c r="EJ64" s="162"/>
      <c r="EK64" s="27"/>
      <c r="EL64" s="51"/>
      <c r="EM64" s="52"/>
      <c r="EN64" s="52"/>
      <c r="EO64" s="53">
        <f t="shared" si="54"/>
        <v>0</v>
      </c>
      <c r="EQ64" s="151">
        <v>46074</v>
      </c>
      <c r="ER64" s="152">
        <v>1535.39</v>
      </c>
      <c r="ES64" s="173"/>
      <c r="ET64" s="27"/>
      <c r="EU64" s="32">
        <v>24.313959000000011</v>
      </c>
      <c r="EV64" s="52"/>
      <c r="EW64" s="52"/>
      <c r="EX64" s="53">
        <f t="shared" si="55"/>
        <v>24.313959000000011</v>
      </c>
    </row>
    <row r="65" spans="2:154" hidden="1" x14ac:dyDescent="0.25">
      <c r="B65" s="151">
        <v>46075</v>
      </c>
      <c r="C65" s="152">
        <v>2638.95</v>
      </c>
      <c r="D65" s="152">
        <v>2501.7199999999998</v>
      </c>
      <c r="E65" s="162"/>
      <c r="F65" s="27"/>
      <c r="G65" s="32">
        <v>219.9546</v>
      </c>
      <c r="H65" s="33"/>
      <c r="I65" s="52"/>
      <c r="J65" s="53">
        <f t="shared" si="56"/>
        <v>219.9546</v>
      </c>
      <c r="L65" s="151">
        <v>46075</v>
      </c>
      <c r="M65" s="152">
        <v>22303.52</v>
      </c>
      <c r="N65" s="152">
        <v>3792.78</v>
      </c>
      <c r="O65" s="158">
        <v>7</v>
      </c>
      <c r="P65" s="27"/>
      <c r="Q65" s="32"/>
      <c r="R65" s="53"/>
      <c r="S65" s="53"/>
      <c r="T65" s="52"/>
      <c r="U65" s="53">
        <f t="shared" si="44"/>
        <v>7</v>
      </c>
      <c r="W65" s="151">
        <v>46075</v>
      </c>
      <c r="X65" s="152">
        <v>38812.589999999997</v>
      </c>
      <c r="Y65" s="152"/>
      <c r="Z65" s="170">
        <v>5.29</v>
      </c>
      <c r="AA65" s="27"/>
      <c r="AB65" s="51">
        <v>1406.1697599999989</v>
      </c>
      <c r="AC65" s="33">
        <v>329.34926639999992</v>
      </c>
      <c r="AD65" s="33"/>
      <c r="AE65" s="52"/>
      <c r="AF65" s="53">
        <f t="shared" si="45"/>
        <v>1740.8090263999989</v>
      </c>
      <c r="AH65" s="151">
        <v>46075</v>
      </c>
      <c r="AI65" s="152">
        <v>5124.07</v>
      </c>
      <c r="AJ65" s="152">
        <v>1557.42</v>
      </c>
      <c r="AK65" s="171"/>
      <c r="AL65" s="27"/>
      <c r="AM65" s="32">
        <v>110.79153999999998</v>
      </c>
      <c r="AN65" s="32"/>
      <c r="AO65" s="42"/>
      <c r="AP65" s="44"/>
      <c r="AQ65" s="53">
        <f t="shared" si="46"/>
        <v>110.79153999999998</v>
      </c>
      <c r="AS65" s="151">
        <v>46075</v>
      </c>
      <c r="AT65" s="152">
        <v>15956.68</v>
      </c>
      <c r="AU65" s="152">
        <v>1165.6099999999999</v>
      </c>
      <c r="AV65" s="152">
        <v>2969.35</v>
      </c>
      <c r="AW65" s="171"/>
      <c r="AX65" s="27"/>
      <c r="AY65" s="32"/>
      <c r="AZ65" s="53">
        <v>66.910700799999972</v>
      </c>
      <c r="BA65" s="52"/>
      <c r="BB65" s="53">
        <f t="shared" si="47"/>
        <v>66.910700799999972</v>
      </c>
      <c r="BD65" s="151">
        <v>46075</v>
      </c>
      <c r="BE65" s="152">
        <v>1126.82</v>
      </c>
      <c r="BF65" s="152">
        <v>1445.91</v>
      </c>
      <c r="BG65" s="158">
        <v>2.31</v>
      </c>
      <c r="BH65" s="158">
        <v>9.9700000000000006</v>
      </c>
      <c r="BI65" s="27"/>
      <c r="BJ65" s="51"/>
      <c r="BK65" s="42"/>
      <c r="BL65" s="52"/>
      <c r="BM65" s="53">
        <f t="shared" si="48"/>
        <v>9.9700000000000006</v>
      </c>
      <c r="BO65" s="151">
        <v>46075</v>
      </c>
      <c r="BP65" s="152">
        <v>1582.86</v>
      </c>
      <c r="BQ65" s="161">
        <v>618.12</v>
      </c>
      <c r="BR65" s="155">
        <v>1.18</v>
      </c>
      <c r="BS65" s="336">
        <v>189.66</v>
      </c>
      <c r="BT65" s="27"/>
      <c r="BU65" s="240"/>
      <c r="BV65" s="42">
        <v>263.77537554000037</v>
      </c>
      <c r="BW65" s="42"/>
      <c r="BX65" s="52"/>
      <c r="BY65" s="53">
        <f t="shared" si="49"/>
        <v>453.43537554000034</v>
      </c>
      <c r="CA65" s="151">
        <v>46075</v>
      </c>
      <c r="CB65" s="152">
        <v>4346.84</v>
      </c>
      <c r="CC65" s="159">
        <v>902.76</v>
      </c>
      <c r="CD65" s="331"/>
      <c r="CE65" s="27"/>
      <c r="CF65" s="32">
        <v>17.985540000000015</v>
      </c>
      <c r="CG65" s="42"/>
      <c r="CH65" s="44"/>
      <c r="CI65" s="53">
        <f t="shared" si="50"/>
        <v>17.985540000000015</v>
      </c>
      <c r="CK65" s="151">
        <v>46075</v>
      </c>
      <c r="CL65" s="152">
        <v>1848.01</v>
      </c>
      <c r="CM65" s="159">
        <v>223.45</v>
      </c>
      <c r="CN65" s="158">
        <v>58.24</v>
      </c>
      <c r="CO65" s="27"/>
      <c r="CP65" s="51"/>
      <c r="CQ65" s="33">
        <v>613.78607919999945</v>
      </c>
      <c r="CR65" s="52"/>
      <c r="CS65" s="53">
        <f t="shared" si="57"/>
        <v>672.02607919999946</v>
      </c>
      <c r="CU65" s="151">
        <v>46075</v>
      </c>
      <c r="CV65" s="159">
        <v>410.65</v>
      </c>
      <c r="CW65" s="159">
        <v>976.4</v>
      </c>
      <c r="CX65" s="162"/>
      <c r="CY65" s="158">
        <v>51.57</v>
      </c>
      <c r="CZ65" s="27"/>
      <c r="DA65" s="32"/>
      <c r="DB65" s="33"/>
      <c r="DC65" s="44"/>
      <c r="DD65" s="53">
        <f t="shared" si="58"/>
        <v>51.57</v>
      </c>
      <c r="DE65" s="211"/>
      <c r="DF65" s="151">
        <v>46075</v>
      </c>
      <c r="DG65" s="159">
        <v>561.19000000000005</v>
      </c>
      <c r="DH65" s="159">
        <v>525.27</v>
      </c>
      <c r="DI65" s="162"/>
      <c r="DJ65" s="27"/>
      <c r="DK65" s="32">
        <v>50.546500000000009</v>
      </c>
      <c r="DL65" s="42"/>
      <c r="DM65" s="44"/>
      <c r="DN65" s="53">
        <f t="shared" si="51"/>
        <v>50.546500000000009</v>
      </c>
      <c r="DP65" s="151">
        <v>46075</v>
      </c>
      <c r="DQ65" s="159">
        <v>664.04</v>
      </c>
      <c r="DR65" s="173"/>
      <c r="DS65" s="27"/>
      <c r="DT65" s="51"/>
      <c r="DU65" s="52"/>
      <c r="DV65" s="52"/>
      <c r="DW65" s="53">
        <f t="shared" si="52"/>
        <v>0</v>
      </c>
      <c r="DY65" s="151">
        <v>46075</v>
      </c>
      <c r="DZ65" s="152">
        <v>1040</v>
      </c>
      <c r="EA65" s="174"/>
      <c r="EB65" s="27"/>
      <c r="EC65" s="51"/>
      <c r="ED65" s="52"/>
      <c r="EE65" s="52"/>
      <c r="EF65" s="53">
        <f t="shared" si="53"/>
        <v>0</v>
      </c>
      <c r="EH65" s="151">
        <v>46075</v>
      </c>
      <c r="EI65" s="152">
        <v>2117.42</v>
      </c>
      <c r="EJ65" s="162"/>
      <c r="EK65" s="27"/>
      <c r="EL65" s="51"/>
      <c r="EM65" s="52"/>
      <c r="EN65" s="52"/>
      <c r="EO65" s="53">
        <f t="shared" si="54"/>
        <v>0</v>
      </c>
      <c r="EQ65" s="151">
        <v>46075</v>
      </c>
      <c r="ER65" s="152">
        <v>1012.86</v>
      </c>
      <c r="ES65" s="173"/>
      <c r="ET65" s="27"/>
      <c r="EU65" s="32">
        <v>8.0119980000000197</v>
      </c>
      <c r="EV65" s="52"/>
      <c r="EW65" s="52"/>
      <c r="EX65" s="53">
        <f t="shared" si="55"/>
        <v>8.0119980000000197</v>
      </c>
    </row>
    <row r="66" spans="2:154" hidden="1" x14ac:dyDescent="0.25">
      <c r="B66" s="151">
        <v>46076</v>
      </c>
      <c r="C66" s="152">
        <v>4083.62</v>
      </c>
      <c r="D66" s="152">
        <v>1744.74</v>
      </c>
      <c r="E66" s="162"/>
      <c r="F66" s="27"/>
      <c r="G66" s="32">
        <v>442.72603999999995</v>
      </c>
      <c r="H66" s="33">
        <v>36.945845047619059</v>
      </c>
      <c r="I66" s="52"/>
      <c r="J66" s="53">
        <f t="shared" si="56"/>
        <v>479.67188504761901</v>
      </c>
      <c r="L66" s="151">
        <v>46076</v>
      </c>
      <c r="M66" s="152">
        <v>20013.63</v>
      </c>
      <c r="N66" s="152">
        <v>2803.02</v>
      </c>
      <c r="O66" s="158">
        <v>73.58</v>
      </c>
      <c r="P66" s="27"/>
      <c r="Q66" s="32">
        <v>13.608540000000005</v>
      </c>
      <c r="R66" s="53">
        <v>10.504771125714313</v>
      </c>
      <c r="S66" s="53"/>
      <c r="T66" s="52"/>
      <c r="U66" s="53">
        <f t="shared" si="44"/>
        <v>97.693311125714317</v>
      </c>
      <c r="W66" s="151">
        <v>46076</v>
      </c>
      <c r="X66" s="152">
        <v>24916</v>
      </c>
      <c r="Y66" s="152"/>
      <c r="Z66" s="170">
        <v>4.93</v>
      </c>
      <c r="AA66" s="27"/>
      <c r="AB66" s="51">
        <v>2311.0275899999988</v>
      </c>
      <c r="AC66" s="33">
        <v>111.52964980857158</v>
      </c>
      <c r="AD66" s="33"/>
      <c r="AE66" s="52"/>
      <c r="AF66" s="53">
        <f t="shared" si="45"/>
        <v>2427.4872398085704</v>
      </c>
      <c r="AH66" s="151">
        <v>46076</v>
      </c>
      <c r="AI66" s="152">
        <v>3919.44</v>
      </c>
      <c r="AJ66" s="159">
        <v>854.37</v>
      </c>
      <c r="AK66" s="178"/>
      <c r="AL66" s="27"/>
      <c r="AM66" s="32">
        <v>478.19821000000002</v>
      </c>
      <c r="AN66" s="32"/>
      <c r="AO66" s="42">
        <v>41.095623257142876</v>
      </c>
      <c r="AP66" s="44"/>
      <c r="AQ66" s="53">
        <f t="shared" si="46"/>
        <v>519.29383325714286</v>
      </c>
      <c r="AS66" s="151">
        <v>46076</v>
      </c>
      <c r="AT66" s="152">
        <v>14817.11</v>
      </c>
      <c r="AU66" s="159">
        <v>896.72</v>
      </c>
      <c r="AV66" s="152">
        <v>3671.46</v>
      </c>
      <c r="AW66" s="171"/>
      <c r="AX66" s="27"/>
      <c r="AY66" s="32">
        <v>106.69074999999995</v>
      </c>
      <c r="AZ66" s="53">
        <v>225.48413498571432</v>
      </c>
      <c r="BA66" s="52">
        <v>4.6196928000000028</v>
      </c>
      <c r="BB66" s="53">
        <f t="shared" si="47"/>
        <v>336.79457778571424</v>
      </c>
      <c r="BD66" s="151">
        <v>46076</v>
      </c>
      <c r="BE66" s="152">
        <v>1062.19</v>
      </c>
      <c r="BF66" s="152">
        <v>1142.03</v>
      </c>
      <c r="BG66" s="158">
        <v>3.04</v>
      </c>
      <c r="BH66" s="158">
        <v>24.41</v>
      </c>
      <c r="BI66" s="27"/>
      <c r="BJ66" s="51"/>
      <c r="BK66" s="42"/>
      <c r="BL66" s="52"/>
      <c r="BM66" s="53">
        <f t="shared" si="48"/>
        <v>24.41</v>
      </c>
      <c r="BO66" s="151">
        <v>46076</v>
      </c>
      <c r="BP66" s="159">
        <v>792.8</v>
      </c>
      <c r="BQ66" s="161">
        <v>649.46</v>
      </c>
      <c r="BR66" s="155">
        <v>3.11</v>
      </c>
      <c r="BS66" s="336">
        <v>130.69</v>
      </c>
      <c r="BT66" s="27"/>
      <c r="BU66" s="240">
        <v>20.340059999999994</v>
      </c>
      <c r="BV66" s="42">
        <v>407.7279997014295</v>
      </c>
      <c r="BW66" s="42"/>
      <c r="BX66" s="52"/>
      <c r="BY66" s="53">
        <f t="shared" si="49"/>
        <v>558.75805970142949</v>
      </c>
      <c r="CA66" s="151">
        <v>46076</v>
      </c>
      <c r="CB66" s="152">
        <v>4817.5600000000004</v>
      </c>
      <c r="CC66" s="159">
        <v>608.15</v>
      </c>
      <c r="CD66" s="331"/>
      <c r="CE66" s="27"/>
      <c r="CF66" s="32">
        <v>114.69111000000007</v>
      </c>
      <c r="CG66" s="42"/>
      <c r="CH66" s="44"/>
      <c r="CI66" s="53">
        <f t="shared" si="50"/>
        <v>114.69111000000007</v>
      </c>
      <c r="CK66" s="151">
        <v>46076</v>
      </c>
      <c r="CL66" s="152">
        <v>7676.53</v>
      </c>
      <c r="CM66" s="159">
        <v>595.04</v>
      </c>
      <c r="CN66" s="158">
        <v>767.2</v>
      </c>
      <c r="CO66" s="27"/>
      <c r="CP66" s="51"/>
      <c r="CQ66" s="33">
        <v>389.6216968457141</v>
      </c>
      <c r="CR66" s="52"/>
      <c r="CS66" s="53">
        <f t="shared" si="57"/>
        <v>1156.8216968457141</v>
      </c>
      <c r="CU66" s="151">
        <v>46076</v>
      </c>
      <c r="CV66" s="152">
        <v>1010.1</v>
      </c>
      <c r="CW66" s="152">
        <v>1016.2</v>
      </c>
      <c r="CX66" s="162"/>
      <c r="CY66" s="158">
        <v>43.46</v>
      </c>
      <c r="CZ66" s="27"/>
      <c r="DA66" s="32">
        <v>74.120199999999926</v>
      </c>
      <c r="DB66" s="33">
        <v>19.482168888571408</v>
      </c>
      <c r="DC66" s="44"/>
      <c r="DD66" s="53">
        <f t="shared" si="58"/>
        <v>137.06236888857134</v>
      </c>
      <c r="DE66" s="211"/>
      <c r="DF66" s="151">
        <v>46076</v>
      </c>
      <c r="DG66" s="159">
        <v>728.66</v>
      </c>
      <c r="DH66" s="159">
        <v>64.09</v>
      </c>
      <c r="DI66" s="162"/>
      <c r="DJ66" s="27"/>
      <c r="DK66" s="32">
        <v>144.10900000000001</v>
      </c>
      <c r="DL66" s="42"/>
      <c r="DM66" s="44"/>
      <c r="DN66" s="53">
        <f t="shared" si="51"/>
        <v>144.10900000000001</v>
      </c>
      <c r="DP66" s="151">
        <v>46076</v>
      </c>
      <c r="DQ66" s="159">
        <v>759.54</v>
      </c>
      <c r="DR66" s="173"/>
      <c r="DS66" s="27"/>
      <c r="DT66" s="51"/>
      <c r="DU66" s="52"/>
      <c r="DV66" s="52"/>
      <c r="DW66" s="53">
        <f t="shared" si="52"/>
        <v>0</v>
      </c>
      <c r="DY66" s="151">
        <v>46076</v>
      </c>
      <c r="DZ66" s="159">
        <v>589</v>
      </c>
      <c r="EA66" s="174"/>
      <c r="EB66" s="27"/>
      <c r="EC66" s="51"/>
      <c r="ED66" s="52"/>
      <c r="EE66" s="52"/>
      <c r="EF66" s="53">
        <f t="shared" si="53"/>
        <v>0</v>
      </c>
      <c r="EH66" s="151">
        <v>46076</v>
      </c>
      <c r="EI66" s="152">
        <v>1732.11</v>
      </c>
      <c r="EJ66" s="162"/>
      <c r="EK66" s="27"/>
      <c r="EL66" s="51"/>
      <c r="EM66" s="52"/>
      <c r="EN66" s="52"/>
      <c r="EO66" s="53">
        <f t="shared" si="54"/>
        <v>0</v>
      </c>
      <c r="EQ66" s="151">
        <v>46076</v>
      </c>
      <c r="ER66" s="152">
        <v>2152.35</v>
      </c>
      <c r="ES66" s="173"/>
      <c r="ET66" s="27"/>
      <c r="EU66" s="32">
        <v>115.22398500000006</v>
      </c>
      <c r="EV66" s="52"/>
      <c r="EW66" s="52"/>
      <c r="EX66" s="53">
        <f t="shared" si="55"/>
        <v>115.22398500000006</v>
      </c>
    </row>
    <row r="67" spans="2:154" hidden="1" x14ac:dyDescent="0.25">
      <c r="B67" s="151">
        <v>46077</v>
      </c>
      <c r="C67" s="152">
        <v>3509.78</v>
      </c>
      <c r="D67" s="152">
        <v>1333.4</v>
      </c>
      <c r="E67" s="158">
        <v>384.1</v>
      </c>
      <c r="F67" s="27"/>
      <c r="G67" s="32">
        <v>250.85860000000002</v>
      </c>
      <c r="H67" s="33">
        <v>285.81371119714294</v>
      </c>
      <c r="I67" s="52"/>
      <c r="J67" s="53">
        <f t="shared" si="56"/>
        <v>920.77231119714293</v>
      </c>
      <c r="L67" s="151">
        <v>46077</v>
      </c>
      <c r="M67" s="152">
        <v>17142.099999999999</v>
      </c>
      <c r="N67" s="152">
        <v>2821</v>
      </c>
      <c r="O67" s="158">
        <v>76.760000000000005</v>
      </c>
      <c r="P67" s="27"/>
      <c r="Q67" s="32">
        <v>11.601159999999993</v>
      </c>
      <c r="R67" s="53"/>
      <c r="S67" s="53"/>
      <c r="T67" s="52"/>
      <c r="U67" s="53">
        <f t="shared" si="44"/>
        <v>88.361159999999998</v>
      </c>
      <c r="W67" s="151">
        <v>46077</v>
      </c>
      <c r="X67" s="152">
        <v>21008.04</v>
      </c>
      <c r="Y67" s="152"/>
      <c r="Z67" s="170">
        <v>3.17</v>
      </c>
      <c r="AA67" s="27"/>
      <c r="AB67" s="51">
        <v>1987.4789299999989</v>
      </c>
      <c r="AC67" s="33"/>
      <c r="AD67" s="33"/>
      <c r="AE67" s="52"/>
      <c r="AF67" s="53">
        <f t="shared" si="45"/>
        <v>1990.6489299999989</v>
      </c>
      <c r="AH67" s="151">
        <v>46077</v>
      </c>
      <c r="AI67" s="152">
        <v>4980.37</v>
      </c>
      <c r="AJ67" s="159">
        <v>805.37</v>
      </c>
      <c r="AK67" s="171">
        <v>2.4</v>
      </c>
      <c r="AL67" s="27"/>
      <c r="AM67" s="32">
        <v>707.09452999999985</v>
      </c>
      <c r="AN67" s="32"/>
      <c r="AO67" s="42">
        <v>224.76514454571429</v>
      </c>
      <c r="AP67" s="44"/>
      <c r="AQ67" s="53">
        <f t="shared" si="46"/>
        <v>934.25967454571412</v>
      </c>
      <c r="AS67" s="151">
        <v>46077</v>
      </c>
      <c r="AT67" s="152">
        <v>13176.48</v>
      </c>
      <c r="AU67" s="152">
        <v>1032.07</v>
      </c>
      <c r="AV67" s="152">
        <v>3740.43</v>
      </c>
      <c r="AW67" s="171"/>
      <c r="AX67" s="27"/>
      <c r="AY67" s="32">
        <v>7.4297999999999895</v>
      </c>
      <c r="AZ67" s="53">
        <v>75.13726845333332</v>
      </c>
      <c r="BA67" s="52">
        <v>18.464000000000027</v>
      </c>
      <c r="BB67" s="53">
        <f t="shared" si="47"/>
        <v>101.03106845333333</v>
      </c>
      <c r="BD67" s="151">
        <v>46077</v>
      </c>
      <c r="BE67" s="159">
        <v>906.34</v>
      </c>
      <c r="BF67" s="152">
        <v>1314.16</v>
      </c>
      <c r="BG67" s="158">
        <v>4.0999999999999996</v>
      </c>
      <c r="BH67" s="158">
        <v>20.51</v>
      </c>
      <c r="BI67" s="27"/>
      <c r="BJ67" s="51"/>
      <c r="BK67" s="42"/>
      <c r="BL67" s="52">
        <v>3.3575170200000031</v>
      </c>
      <c r="BM67" s="53">
        <f t="shared" si="48"/>
        <v>23.867517020000005</v>
      </c>
      <c r="BO67" s="151">
        <v>46077</v>
      </c>
      <c r="BP67" s="152">
        <v>1493.19</v>
      </c>
      <c r="BQ67" s="161">
        <v>392.33</v>
      </c>
      <c r="BR67" s="157"/>
      <c r="BS67" s="336">
        <v>207.81</v>
      </c>
      <c r="BT67" s="27"/>
      <c r="BU67" s="240">
        <v>27.399985000000029</v>
      </c>
      <c r="BV67" s="42">
        <v>420.17442317162056</v>
      </c>
      <c r="BW67" s="42"/>
      <c r="BX67" s="52"/>
      <c r="BY67" s="53">
        <f t="shared" si="49"/>
        <v>655.38440817162063</v>
      </c>
      <c r="CA67" s="151">
        <v>46077</v>
      </c>
      <c r="CB67" s="152">
        <v>4593.82</v>
      </c>
      <c r="CC67" s="159">
        <v>723.91</v>
      </c>
      <c r="CD67" s="163"/>
      <c r="CE67" s="27"/>
      <c r="CF67" s="32">
        <v>30.076409999999981</v>
      </c>
      <c r="CG67" s="42"/>
      <c r="CH67" s="44"/>
      <c r="CI67" s="53">
        <f t="shared" si="50"/>
        <v>30.076409999999981</v>
      </c>
      <c r="CK67" s="151">
        <v>46077</v>
      </c>
      <c r="CL67" s="152">
        <v>3626.13</v>
      </c>
      <c r="CM67" s="159">
        <v>115</v>
      </c>
      <c r="CN67" s="158">
        <v>366.43</v>
      </c>
      <c r="CO67" s="27"/>
      <c r="CP67" s="51"/>
      <c r="CQ67" s="33">
        <v>229.78785412095223</v>
      </c>
      <c r="CR67" s="52"/>
      <c r="CS67" s="53">
        <f t="shared" si="57"/>
        <v>596.21785412095221</v>
      </c>
      <c r="CU67" s="151">
        <v>46077</v>
      </c>
      <c r="CV67" s="152">
        <v>1748.98</v>
      </c>
      <c r="CW67" s="159">
        <v>627.1</v>
      </c>
      <c r="CX67" s="162"/>
      <c r="CY67" s="158">
        <v>72.66</v>
      </c>
      <c r="CZ67" s="27"/>
      <c r="DA67" s="32">
        <v>50.690449999999942</v>
      </c>
      <c r="DB67" s="33">
        <v>34.751694759047609</v>
      </c>
      <c r="DC67" s="44"/>
      <c r="DD67" s="53">
        <f t="shared" si="58"/>
        <v>158.10214475904755</v>
      </c>
      <c r="DE67" s="211"/>
      <c r="DF67" s="151">
        <v>46077</v>
      </c>
      <c r="DG67" s="152">
        <v>1388.61</v>
      </c>
      <c r="DH67" s="159">
        <v>380.41</v>
      </c>
      <c r="DI67" s="158">
        <v>3.74</v>
      </c>
      <c r="DJ67" s="27"/>
      <c r="DK67" s="32">
        <v>154.12050000000002</v>
      </c>
      <c r="DL67" s="42">
        <v>11.820862857142856</v>
      </c>
      <c r="DM67" s="44"/>
      <c r="DN67" s="53">
        <f t="shared" si="51"/>
        <v>169.68136285714289</v>
      </c>
      <c r="DP67" s="151">
        <v>46077</v>
      </c>
      <c r="DQ67" s="159">
        <v>313.02</v>
      </c>
      <c r="DR67" s="173"/>
      <c r="DS67" s="27"/>
      <c r="DT67" s="51"/>
      <c r="DU67" s="52"/>
      <c r="DV67" s="52"/>
      <c r="DW67" s="53">
        <f t="shared" si="52"/>
        <v>0</v>
      </c>
      <c r="DY67" s="151">
        <v>46077</v>
      </c>
      <c r="DZ67" s="159">
        <v>417.5</v>
      </c>
      <c r="EA67" s="174"/>
      <c r="EB67" s="27"/>
      <c r="EC67" s="51"/>
      <c r="ED67" s="52"/>
      <c r="EE67" s="52"/>
      <c r="EF67" s="53">
        <f t="shared" si="53"/>
        <v>0</v>
      </c>
      <c r="EH67" s="151">
        <v>46077</v>
      </c>
      <c r="EI67" s="152">
        <v>1870.8</v>
      </c>
      <c r="EJ67" s="183">
        <v>4200</v>
      </c>
      <c r="EK67" s="27"/>
      <c r="EL67" s="51"/>
      <c r="EM67" s="52"/>
      <c r="EN67" s="52"/>
      <c r="EO67" s="53">
        <f t="shared" si="54"/>
        <v>4200</v>
      </c>
      <c r="EQ67" s="151">
        <v>46077</v>
      </c>
      <c r="ER67" s="152">
        <v>1992.8</v>
      </c>
      <c r="ES67" s="173"/>
      <c r="ET67" s="27"/>
      <c r="EU67" s="32">
        <v>17.475644999999986</v>
      </c>
      <c r="EV67" s="52"/>
      <c r="EW67" s="52"/>
      <c r="EX67" s="53">
        <f t="shared" si="55"/>
        <v>17.475644999999986</v>
      </c>
    </row>
    <row r="68" spans="2:154" hidden="1" x14ac:dyDescent="0.25">
      <c r="B68" s="151">
        <v>46078</v>
      </c>
      <c r="C68" s="152">
        <v>5504.08</v>
      </c>
      <c r="D68" s="152">
        <v>1973.55</v>
      </c>
      <c r="E68" s="158">
        <v>521.66999999999996</v>
      </c>
      <c r="F68" s="27"/>
      <c r="G68" s="32">
        <v>357.39502000000005</v>
      </c>
      <c r="H68" s="33"/>
      <c r="I68" s="52"/>
      <c r="J68" s="53">
        <f t="shared" si="56"/>
        <v>879.06502</v>
      </c>
      <c r="L68" s="151">
        <v>46078</v>
      </c>
      <c r="M68" s="152">
        <v>18533.03</v>
      </c>
      <c r="N68" s="152">
        <v>3246.62</v>
      </c>
      <c r="O68" s="158">
        <v>87.72</v>
      </c>
      <c r="P68" s="27"/>
      <c r="Q68" s="32">
        <v>11.651900000000012</v>
      </c>
      <c r="R68" s="53">
        <v>9.0600711771428735</v>
      </c>
      <c r="S68" s="53"/>
      <c r="T68" s="52"/>
      <c r="U68" s="53">
        <f t="shared" si="44"/>
        <v>108.43197117714288</v>
      </c>
      <c r="W68" s="151">
        <v>46078</v>
      </c>
      <c r="X68" s="152">
        <v>26166.240000000002</v>
      </c>
      <c r="Y68" s="152"/>
      <c r="Z68" s="170">
        <v>4.13</v>
      </c>
      <c r="AA68" s="27"/>
      <c r="AB68" s="51">
        <v>2179.9262500000009</v>
      </c>
      <c r="AC68" s="33">
        <v>311.88754645619036</v>
      </c>
      <c r="AD68" s="33"/>
      <c r="AE68" s="52"/>
      <c r="AF68" s="53">
        <f t="shared" si="45"/>
        <v>2495.9437964561912</v>
      </c>
      <c r="AH68" s="151">
        <v>46078</v>
      </c>
      <c r="AI68" s="152">
        <v>4754.6099999999997</v>
      </c>
      <c r="AJ68" s="159">
        <v>762.43</v>
      </c>
      <c r="AK68" s="171"/>
      <c r="AL68" s="27"/>
      <c r="AM68" s="32">
        <v>282.50594000000007</v>
      </c>
      <c r="AN68" s="32"/>
      <c r="AO68" s="42"/>
      <c r="AP68" s="44"/>
      <c r="AQ68" s="53">
        <f t="shared" si="46"/>
        <v>282.50594000000007</v>
      </c>
      <c r="AS68" s="151">
        <v>46078</v>
      </c>
      <c r="AT68" s="152">
        <v>13365.71</v>
      </c>
      <c r="AU68" s="152">
        <v>1138.6099999999999</v>
      </c>
      <c r="AV68" s="152">
        <v>3854.06</v>
      </c>
      <c r="AW68" s="180"/>
      <c r="AX68" s="27"/>
      <c r="AY68" s="32">
        <v>44.347999999999985</v>
      </c>
      <c r="AZ68" s="53">
        <v>122.91545507333336</v>
      </c>
      <c r="BA68" s="52"/>
      <c r="BB68" s="53">
        <f t="shared" si="47"/>
        <v>167.26345507333335</v>
      </c>
      <c r="BD68" s="151">
        <v>46078</v>
      </c>
      <c r="BE68" s="152">
        <v>1400.34</v>
      </c>
      <c r="BF68" s="152">
        <v>1181.4000000000001</v>
      </c>
      <c r="BG68" s="158">
        <v>0.81</v>
      </c>
      <c r="BH68" s="158">
        <v>22.54</v>
      </c>
      <c r="BI68" s="27"/>
      <c r="BJ68" s="51"/>
      <c r="BK68" s="42"/>
      <c r="BL68" s="52"/>
      <c r="BM68" s="53">
        <f t="shared" si="48"/>
        <v>22.54</v>
      </c>
      <c r="BO68" s="151">
        <v>46078</v>
      </c>
      <c r="BP68" s="159">
        <v>870.12</v>
      </c>
      <c r="BQ68" s="161">
        <v>463.8</v>
      </c>
      <c r="BR68" s="155">
        <v>1.81</v>
      </c>
      <c r="BS68" s="336">
        <v>168.15</v>
      </c>
      <c r="BT68" s="27"/>
      <c r="BU68" s="240"/>
      <c r="BV68" s="42">
        <v>297.10371727666802</v>
      </c>
      <c r="BW68" s="42"/>
      <c r="BX68" s="52"/>
      <c r="BY68" s="53">
        <f t="shared" si="49"/>
        <v>465.253717276668</v>
      </c>
      <c r="CA68" s="151">
        <v>46078</v>
      </c>
      <c r="CB68" s="152">
        <v>4779.88</v>
      </c>
      <c r="CC68" s="152">
        <v>1520.34</v>
      </c>
      <c r="CD68" s="331"/>
      <c r="CE68" s="27"/>
      <c r="CF68" s="32">
        <v>19.3215</v>
      </c>
      <c r="CG68" s="42">
        <v>11.501195615238117</v>
      </c>
      <c r="CH68" s="44"/>
      <c r="CI68" s="53">
        <f t="shared" si="50"/>
        <v>30.822695615238118</v>
      </c>
      <c r="CK68" s="151">
        <v>46078</v>
      </c>
      <c r="CL68" s="152">
        <v>3254.18</v>
      </c>
      <c r="CM68" s="159">
        <v>341.91</v>
      </c>
      <c r="CN68" s="158">
        <v>162.82</v>
      </c>
      <c r="CO68" s="27"/>
      <c r="CP68" s="51"/>
      <c r="CQ68" s="33">
        <v>388.54907506095219</v>
      </c>
      <c r="CR68" s="52"/>
      <c r="CS68" s="53">
        <f t="shared" si="57"/>
        <v>551.36907506095213</v>
      </c>
      <c r="CU68" s="151">
        <v>46078</v>
      </c>
      <c r="CV68" s="152">
        <v>1000.34</v>
      </c>
      <c r="CW68" s="159">
        <v>366.3</v>
      </c>
      <c r="CX68" s="162"/>
      <c r="CY68" s="158">
        <v>38.979999999999997</v>
      </c>
      <c r="CZ68" s="27"/>
      <c r="DA68" s="32">
        <v>8.710000000000008</v>
      </c>
      <c r="DB68" s="33">
        <v>35.465681763809499</v>
      </c>
      <c r="DC68" s="44"/>
      <c r="DD68" s="53">
        <f t="shared" si="58"/>
        <v>83.155681763809497</v>
      </c>
      <c r="DE68" s="211"/>
      <c r="DF68" s="151">
        <v>46078</v>
      </c>
      <c r="DG68" s="152">
        <v>1422.52</v>
      </c>
      <c r="DH68" s="159">
        <v>499.88</v>
      </c>
      <c r="DI68" s="162"/>
      <c r="DJ68" s="27"/>
      <c r="DK68" s="32">
        <v>109.78430000000006</v>
      </c>
      <c r="DL68" s="42">
        <v>32.623611341904791</v>
      </c>
      <c r="DM68" s="44"/>
      <c r="DN68" s="53">
        <f t="shared" si="51"/>
        <v>142.40791134190485</v>
      </c>
      <c r="DP68" s="151">
        <v>46078</v>
      </c>
      <c r="DQ68" s="159">
        <v>915.13</v>
      </c>
      <c r="DR68" s="173"/>
      <c r="DS68" s="27"/>
      <c r="DT68" s="51"/>
      <c r="DU68" s="52"/>
      <c r="DV68" s="52"/>
      <c r="DW68" s="53">
        <f t="shared" si="52"/>
        <v>0</v>
      </c>
      <c r="DY68" s="151">
        <v>46078</v>
      </c>
      <c r="DZ68" s="159">
        <v>300</v>
      </c>
      <c r="EA68" s="174"/>
      <c r="EB68" s="27"/>
      <c r="EC68" s="51"/>
      <c r="ED68" s="52"/>
      <c r="EE68" s="52"/>
      <c r="EF68" s="53">
        <f t="shared" si="53"/>
        <v>0</v>
      </c>
      <c r="EH68" s="151">
        <v>46078</v>
      </c>
      <c r="EI68" s="152">
        <v>1099.8800000000001</v>
      </c>
      <c r="EJ68" s="183">
        <v>10</v>
      </c>
      <c r="EK68" s="27"/>
      <c r="EL68" s="51"/>
      <c r="EM68" s="52"/>
      <c r="EN68" s="52"/>
      <c r="EO68" s="53">
        <f t="shared" si="54"/>
        <v>10</v>
      </c>
      <c r="EQ68" s="151">
        <v>46078</v>
      </c>
      <c r="ER68" s="152">
        <v>1881.81</v>
      </c>
      <c r="ES68" s="173"/>
      <c r="ET68" s="27"/>
      <c r="EU68" s="32">
        <v>148.14555300000004</v>
      </c>
      <c r="EV68" s="52"/>
      <c r="EW68" s="52"/>
      <c r="EX68" s="53">
        <f t="shared" si="55"/>
        <v>148.14555300000004</v>
      </c>
    </row>
    <row r="69" spans="2:154" hidden="1" x14ac:dyDescent="0.25">
      <c r="B69" s="151">
        <v>46079</v>
      </c>
      <c r="C69" s="152">
        <v>5273.47</v>
      </c>
      <c r="D69" s="152">
        <v>1634.24</v>
      </c>
      <c r="E69" s="158">
        <v>632.80999999999995</v>
      </c>
      <c r="F69" s="27"/>
      <c r="G69" s="32">
        <v>269.29192000000006</v>
      </c>
      <c r="H69" s="33">
        <v>17.583606607619046</v>
      </c>
      <c r="I69" s="52"/>
      <c r="J69" s="53">
        <f t="shared" si="56"/>
        <v>919.68552660761907</v>
      </c>
      <c r="L69" s="151">
        <v>46079</v>
      </c>
      <c r="M69" s="152">
        <v>25320.93</v>
      </c>
      <c r="N69" s="152">
        <v>3542.88</v>
      </c>
      <c r="O69" s="158">
        <v>78.599999999999994</v>
      </c>
      <c r="P69" s="27"/>
      <c r="Q69" s="32">
        <v>3.25</v>
      </c>
      <c r="R69" s="53"/>
      <c r="S69" s="53"/>
      <c r="T69" s="52"/>
      <c r="U69" s="53">
        <f t="shared" si="44"/>
        <v>81.849999999999994</v>
      </c>
      <c r="W69" s="151">
        <v>46079</v>
      </c>
      <c r="X69" s="152">
        <v>14882.49</v>
      </c>
      <c r="Y69" s="152"/>
      <c r="Z69" s="162"/>
      <c r="AA69" s="27"/>
      <c r="AB69" s="51">
        <v>1357.7950000000005</v>
      </c>
      <c r="AC69" s="33">
        <v>292.08737961904728</v>
      </c>
      <c r="AD69" s="33"/>
      <c r="AE69" s="52"/>
      <c r="AF69" s="53">
        <f t="shared" si="45"/>
        <v>1649.8823796190477</v>
      </c>
      <c r="AH69" s="151">
        <v>46079</v>
      </c>
      <c r="AI69" s="152">
        <v>4365.34</v>
      </c>
      <c r="AJ69" s="159">
        <v>668.26</v>
      </c>
      <c r="AK69" s="178"/>
      <c r="AL69" s="27"/>
      <c r="AM69" s="32">
        <v>623.27665000000013</v>
      </c>
      <c r="AN69" s="32"/>
      <c r="AO69" s="42"/>
      <c r="AP69" s="44"/>
      <c r="AQ69" s="53">
        <f t="shared" si="46"/>
        <v>623.27665000000013</v>
      </c>
      <c r="AS69" s="151">
        <v>46079</v>
      </c>
      <c r="AT69" s="152">
        <v>12388.69</v>
      </c>
      <c r="AU69" s="152">
        <v>1401.34</v>
      </c>
      <c r="AV69" s="152">
        <v>4448.99</v>
      </c>
      <c r="AW69" s="171"/>
      <c r="AX69" s="27"/>
      <c r="AY69" s="32"/>
      <c r="AZ69" s="53"/>
      <c r="BA69" s="52"/>
      <c r="BB69" s="53">
        <f t="shared" si="47"/>
        <v>0</v>
      </c>
      <c r="BD69" s="151">
        <v>46079</v>
      </c>
      <c r="BE69" s="152">
        <v>1116.05</v>
      </c>
      <c r="BF69" s="152">
        <v>1189.46</v>
      </c>
      <c r="BG69" s="158">
        <v>1.95</v>
      </c>
      <c r="BH69" s="158">
        <v>61.22</v>
      </c>
      <c r="BI69" s="27"/>
      <c r="BJ69" s="51"/>
      <c r="BK69" s="42"/>
      <c r="BL69" s="52"/>
      <c r="BM69" s="53">
        <f t="shared" si="48"/>
        <v>61.22</v>
      </c>
      <c r="BO69" s="151">
        <v>46079</v>
      </c>
      <c r="BP69" s="152">
        <v>1098.32</v>
      </c>
      <c r="BQ69" s="161">
        <v>693.16</v>
      </c>
      <c r="BR69" s="157"/>
      <c r="BS69" s="336">
        <v>116.5</v>
      </c>
      <c r="BT69" s="27"/>
      <c r="BU69" s="240"/>
      <c r="BV69" s="42">
        <v>423.20437729451561</v>
      </c>
      <c r="BW69" s="42"/>
      <c r="BX69" s="52"/>
      <c r="BY69" s="53">
        <f t="shared" si="49"/>
        <v>539.70437729451555</v>
      </c>
      <c r="CA69" s="151">
        <v>46079</v>
      </c>
      <c r="CB69" s="152">
        <v>3423.41</v>
      </c>
      <c r="CC69" s="159">
        <v>425.27</v>
      </c>
      <c r="CD69" s="331"/>
      <c r="CE69" s="27"/>
      <c r="CF69" s="32">
        <v>23.185849999999988</v>
      </c>
      <c r="CG69" s="42"/>
      <c r="CH69" s="44"/>
      <c r="CI69" s="53">
        <f t="shared" si="50"/>
        <v>23.185849999999988</v>
      </c>
      <c r="CK69" s="151">
        <v>46079</v>
      </c>
      <c r="CL69" s="152">
        <v>8762.69</v>
      </c>
      <c r="CM69" s="159">
        <v>305.13</v>
      </c>
      <c r="CN69" s="158">
        <v>504.28</v>
      </c>
      <c r="CO69" s="27"/>
      <c r="CP69" s="51"/>
      <c r="CQ69" s="33">
        <v>332.78864623999982</v>
      </c>
      <c r="CR69" s="52"/>
      <c r="CS69" s="53">
        <f t="shared" si="57"/>
        <v>837.06864623999979</v>
      </c>
      <c r="CU69" s="151">
        <v>46079</v>
      </c>
      <c r="CV69" s="159">
        <v>553.48</v>
      </c>
      <c r="CW69" s="159">
        <v>232.9</v>
      </c>
      <c r="CX69" s="162"/>
      <c r="CY69" s="158">
        <v>123.66</v>
      </c>
      <c r="CZ69" s="27"/>
      <c r="DA69" s="32">
        <v>33.591219999999993</v>
      </c>
      <c r="DB69" s="33">
        <v>23.725611146666637</v>
      </c>
      <c r="DC69" s="44"/>
      <c r="DD69" s="53">
        <f t="shared" si="58"/>
        <v>180.97683114666663</v>
      </c>
      <c r="DE69" s="211"/>
      <c r="DF69" s="151">
        <v>46079</v>
      </c>
      <c r="DG69" s="152">
        <v>1282.1099999999999</v>
      </c>
      <c r="DH69" s="159">
        <v>504.22</v>
      </c>
      <c r="DI69" s="162"/>
      <c r="DJ69" s="27"/>
      <c r="DK69" s="32">
        <v>77.009160000000037</v>
      </c>
      <c r="DL69" s="42">
        <v>65.694278455047595</v>
      </c>
      <c r="DM69" s="44"/>
      <c r="DN69" s="53">
        <f t="shared" si="51"/>
        <v>142.70343845504763</v>
      </c>
      <c r="DP69" s="151">
        <v>46079</v>
      </c>
      <c r="DQ69" s="159">
        <v>717.8</v>
      </c>
      <c r="DR69" s="173"/>
      <c r="DS69" s="27"/>
      <c r="DT69" s="51"/>
      <c r="DU69" s="52"/>
      <c r="DV69" s="52"/>
      <c r="DW69" s="53">
        <f t="shared" si="52"/>
        <v>0</v>
      </c>
      <c r="DY69" s="151">
        <v>46079</v>
      </c>
      <c r="DZ69" s="159">
        <v>733.3</v>
      </c>
      <c r="EA69" s="174"/>
      <c r="EB69" s="27"/>
      <c r="EC69" s="51"/>
      <c r="ED69" s="52"/>
      <c r="EE69" s="52"/>
      <c r="EF69" s="53">
        <f t="shared" si="53"/>
        <v>0</v>
      </c>
      <c r="EH69" s="151">
        <v>46079</v>
      </c>
      <c r="EI69" s="152">
        <v>2233.6</v>
      </c>
      <c r="EJ69" s="183">
        <v>30</v>
      </c>
      <c r="EK69" s="27"/>
      <c r="EL69" s="51"/>
      <c r="EM69" s="52"/>
      <c r="EN69" s="52"/>
      <c r="EO69" s="53">
        <f t="shared" si="54"/>
        <v>30</v>
      </c>
      <c r="EQ69" s="151">
        <v>46079</v>
      </c>
      <c r="ER69" s="152">
        <v>2087.38</v>
      </c>
      <c r="ES69" s="173"/>
      <c r="ET69" s="27"/>
      <c r="EU69" s="32">
        <v>78.151113000000066</v>
      </c>
      <c r="EV69" s="52"/>
      <c r="EW69" s="52"/>
      <c r="EX69" s="53">
        <f t="shared" si="55"/>
        <v>78.151113000000066</v>
      </c>
    </row>
    <row r="70" spans="2:154" hidden="1" x14ac:dyDescent="0.25">
      <c r="B70" s="151">
        <v>46080</v>
      </c>
      <c r="C70" s="152">
        <v>4618.49</v>
      </c>
      <c r="D70" s="152">
        <v>2961.54</v>
      </c>
      <c r="E70" s="158">
        <v>424.91</v>
      </c>
      <c r="F70" s="27"/>
      <c r="G70" s="32">
        <v>397.72824000000003</v>
      </c>
      <c r="H70" s="33">
        <v>31.201256574285722</v>
      </c>
      <c r="I70" s="52"/>
      <c r="J70" s="53">
        <f t="shared" si="56"/>
        <v>853.8394965742857</v>
      </c>
      <c r="L70" s="151">
        <v>46080</v>
      </c>
      <c r="M70" s="152">
        <v>23083.59</v>
      </c>
      <c r="N70" s="152">
        <v>2478.5100000000002</v>
      </c>
      <c r="O70" s="158">
        <v>56.54</v>
      </c>
      <c r="P70" s="27"/>
      <c r="Q70" s="32">
        <v>25.81480000000002</v>
      </c>
      <c r="R70" s="53"/>
      <c r="S70" s="53"/>
      <c r="T70" s="52">
        <v>19.920354300000099</v>
      </c>
      <c r="U70" s="53">
        <f t="shared" si="44"/>
        <v>102.27515430000011</v>
      </c>
      <c r="W70" s="151">
        <v>46080</v>
      </c>
      <c r="X70" s="152">
        <v>21170.01</v>
      </c>
      <c r="Y70" s="152"/>
      <c r="Z70" s="170">
        <v>1.46</v>
      </c>
      <c r="AA70" s="27"/>
      <c r="AB70" s="51">
        <v>1283.6912500000001</v>
      </c>
      <c r="AC70" s="33">
        <v>526.31576726857156</v>
      </c>
      <c r="AD70" s="33"/>
      <c r="AE70" s="52"/>
      <c r="AF70" s="53">
        <f t="shared" si="45"/>
        <v>1811.4670172685717</v>
      </c>
      <c r="AH70" s="151">
        <v>46080</v>
      </c>
      <c r="AI70" s="152">
        <v>5140.7299999999996</v>
      </c>
      <c r="AJ70" s="159">
        <v>539.76</v>
      </c>
      <c r="AK70" s="171"/>
      <c r="AL70" s="27"/>
      <c r="AM70" s="32">
        <v>485.89437000000009</v>
      </c>
      <c r="AN70" s="32"/>
      <c r="AO70" s="42"/>
      <c r="AP70" s="44"/>
      <c r="AQ70" s="53">
        <f t="shared" si="46"/>
        <v>485.89437000000009</v>
      </c>
      <c r="AS70" s="151">
        <v>46080</v>
      </c>
      <c r="AT70" s="152">
        <v>14598.8</v>
      </c>
      <c r="AU70" s="152">
        <v>1823.06</v>
      </c>
      <c r="AV70" s="152">
        <v>4533.84</v>
      </c>
      <c r="AW70" s="171"/>
      <c r="AX70" s="27"/>
      <c r="AY70" s="32"/>
      <c r="AZ70" s="53">
        <v>144.4771608390476</v>
      </c>
      <c r="BA70" s="52"/>
      <c r="BB70" s="53">
        <f t="shared" si="47"/>
        <v>144.4771608390476</v>
      </c>
      <c r="BD70" s="151">
        <v>46080</v>
      </c>
      <c r="BE70" s="152">
        <v>1393.79</v>
      </c>
      <c r="BF70" s="152">
        <v>1352.19</v>
      </c>
      <c r="BG70" s="158">
        <v>2.78</v>
      </c>
      <c r="BH70" s="158">
        <v>16.54</v>
      </c>
      <c r="BI70" s="27"/>
      <c r="BJ70" s="51"/>
      <c r="BK70" s="42"/>
      <c r="BL70" s="52"/>
      <c r="BM70" s="53">
        <f t="shared" si="48"/>
        <v>16.54</v>
      </c>
      <c r="BO70" s="151">
        <v>46080</v>
      </c>
      <c r="BP70" s="152">
        <v>1809.57</v>
      </c>
      <c r="BQ70" s="161">
        <v>512.58000000000004</v>
      </c>
      <c r="BR70" s="155">
        <v>3.22</v>
      </c>
      <c r="BS70" s="336">
        <v>190.69</v>
      </c>
      <c r="BT70" s="27"/>
      <c r="BU70" s="240"/>
      <c r="BV70" s="42">
        <v>156.95157657723882</v>
      </c>
      <c r="BW70" s="42"/>
      <c r="BX70" s="52"/>
      <c r="BY70" s="53">
        <f t="shared" si="49"/>
        <v>347.64157657723882</v>
      </c>
      <c r="CA70" s="151">
        <v>46080</v>
      </c>
      <c r="CB70" s="152">
        <v>6011.5</v>
      </c>
      <c r="CC70" s="159">
        <v>994.79</v>
      </c>
      <c r="CD70" s="331"/>
      <c r="CE70" s="27"/>
      <c r="CF70" s="32">
        <v>10.394450000000006</v>
      </c>
      <c r="CG70" s="42">
        <v>4.9417255504762068</v>
      </c>
      <c r="CH70" s="44"/>
      <c r="CI70" s="53">
        <f t="shared" si="50"/>
        <v>15.336175550476213</v>
      </c>
      <c r="CK70" s="151">
        <v>46080</v>
      </c>
      <c r="CL70" s="152">
        <v>3538.21</v>
      </c>
      <c r="CM70" s="159">
        <v>259.33</v>
      </c>
      <c r="CN70" s="158">
        <v>444.16</v>
      </c>
      <c r="CO70" s="27"/>
      <c r="CP70" s="51"/>
      <c r="CQ70" s="33">
        <v>410.46228706095218</v>
      </c>
      <c r="CR70" s="52"/>
      <c r="CS70" s="53">
        <f t="shared" si="57"/>
        <v>854.6222870609522</v>
      </c>
      <c r="CU70" s="151">
        <v>46080</v>
      </c>
      <c r="CV70" s="159">
        <v>586.6</v>
      </c>
      <c r="CW70" s="159">
        <v>383.3</v>
      </c>
      <c r="CX70" s="162"/>
      <c r="CY70" s="158">
        <v>50.26</v>
      </c>
      <c r="CZ70" s="27"/>
      <c r="DA70" s="32">
        <v>70.723799999999997</v>
      </c>
      <c r="DB70" s="33">
        <v>30.404044964761908</v>
      </c>
      <c r="DC70" s="44"/>
      <c r="DD70" s="53">
        <f t="shared" si="58"/>
        <v>151.38784496476191</v>
      </c>
      <c r="DE70" s="211"/>
      <c r="DF70" s="151">
        <v>46080</v>
      </c>
      <c r="DG70" s="152">
        <v>1557.76</v>
      </c>
      <c r="DH70" s="159">
        <v>650.74</v>
      </c>
      <c r="DI70" s="162"/>
      <c r="DJ70" s="27"/>
      <c r="DK70" s="32">
        <v>43.916800000000023</v>
      </c>
      <c r="DL70" s="42"/>
      <c r="DM70" s="44"/>
      <c r="DN70" s="53">
        <f t="shared" si="51"/>
        <v>43.916800000000023</v>
      </c>
      <c r="DP70" s="151">
        <v>46080</v>
      </c>
      <c r="DQ70" s="152">
        <v>1511.61</v>
      </c>
      <c r="DR70" s="173"/>
      <c r="DS70" s="27"/>
      <c r="DT70" s="51"/>
      <c r="DU70" s="52"/>
      <c r="DV70" s="52"/>
      <c r="DW70" s="53">
        <f t="shared" si="52"/>
        <v>0</v>
      </c>
      <c r="DY70" s="151">
        <v>46080</v>
      </c>
      <c r="DZ70" s="159">
        <v>301</v>
      </c>
      <c r="EA70" s="174"/>
      <c r="EB70" s="27"/>
      <c r="EC70" s="51"/>
      <c r="ED70" s="52"/>
      <c r="EE70" s="52"/>
      <c r="EF70" s="53">
        <f t="shared" si="53"/>
        <v>0</v>
      </c>
      <c r="EH70" s="151">
        <v>46080</v>
      </c>
      <c r="EI70" s="152">
        <v>1729</v>
      </c>
      <c r="EJ70" s="183">
        <v>10</v>
      </c>
      <c r="EK70" s="27"/>
      <c r="EL70" s="51"/>
      <c r="EM70" s="52"/>
      <c r="EN70" s="52"/>
      <c r="EO70" s="53">
        <f t="shared" si="54"/>
        <v>10</v>
      </c>
      <c r="EQ70" s="151">
        <v>46080</v>
      </c>
      <c r="ER70" s="152">
        <v>1899.63</v>
      </c>
      <c r="ES70" s="173"/>
      <c r="ET70" s="27"/>
      <c r="EU70" s="32">
        <v>42.556704000000032</v>
      </c>
      <c r="EV70" s="52"/>
      <c r="EW70" s="52"/>
      <c r="EX70" s="53">
        <f t="shared" si="55"/>
        <v>42.556704000000032</v>
      </c>
    </row>
    <row r="71" spans="2:154" hidden="1" x14ac:dyDescent="0.25">
      <c r="B71" s="151">
        <v>46081</v>
      </c>
      <c r="C71" s="152">
        <v>7091.75</v>
      </c>
      <c r="D71" s="152">
        <v>2166.1999999999998</v>
      </c>
      <c r="E71" s="158">
        <v>806.87</v>
      </c>
      <c r="F71" s="27"/>
      <c r="G71" s="32">
        <v>340.38170000000014</v>
      </c>
      <c r="H71" s="33"/>
      <c r="I71" s="52"/>
      <c r="J71" s="53">
        <f t="shared" si="56"/>
        <v>1147.2517000000003</v>
      </c>
      <c r="L71" s="151">
        <v>46081</v>
      </c>
      <c r="M71" s="152">
        <v>13792.96</v>
      </c>
      <c r="N71" s="152">
        <v>2022.4</v>
      </c>
      <c r="O71" s="158">
        <v>10.45</v>
      </c>
      <c r="P71" s="27"/>
      <c r="Q71" s="32">
        <v>8.7263499999999929</v>
      </c>
      <c r="R71" s="53"/>
      <c r="S71" s="53"/>
      <c r="T71" s="52"/>
      <c r="U71" s="53">
        <f t="shared" si="44"/>
        <v>19.176349999999992</v>
      </c>
      <c r="W71" s="151">
        <v>46081</v>
      </c>
      <c r="X71" s="152">
        <v>21696.2</v>
      </c>
      <c r="Y71" s="152"/>
      <c r="Z71" s="170">
        <v>5.0999999999999996</v>
      </c>
      <c r="AA71" s="27"/>
      <c r="AB71" s="51">
        <v>1049.1305000000002</v>
      </c>
      <c r="AC71" s="33">
        <v>13.491147230476201</v>
      </c>
      <c r="AD71" s="33"/>
      <c r="AE71" s="52"/>
      <c r="AF71" s="53">
        <f t="shared" si="45"/>
        <v>1067.7216472304763</v>
      </c>
      <c r="AH71" s="151">
        <v>46081</v>
      </c>
      <c r="AI71" s="152">
        <v>7032.58</v>
      </c>
      <c r="AJ71" s="152">
        <v>1046.6400000000001</v>
      </c>
      <c r="AK71" s="171"/>
      <c r="AL71" s="27"/>
      <c r="AM71" s="32">
        <v>382.14408000000009</v>
      </c>
      <c r="AN71" s="32"/>
      <c r="AO71" s="42"/>
      <c r="AP71" s="44"/>
      <c r="AQ71" s="53">
        <f t="shared" si="46"/>
        <v>382.14408000000009</v>
      </c>
      <c r="AS71" s="151">
        <v>46081</v>
      </c>
      <c r="AT71" s="152">
        <v>15635.48</v>
      </c>
      <c r="AU71" s="152">
        <v>1892.65</v>
      </c>
      <c r="AV71" s="152">
        <v>4435.21</v>
      </c>
      <c r="AW71" s="171"/>
      <c r="AX71" s="27"/>
      <c r="AY71" s="32">
        <v>2.9772400000000019</v>
      </c>
      <c r="AZ71" s="53">
        <v>202.05964338380943</v>
      </c>
      <c r="BA71" s="52"/>
      <c r="BB71" s="53">
        <f t="shared" si="47"/>
        <v>205.03688338380942</v>
      </c>
      <c r="BD71" s="151">
        <v>46081</v>
      </c>
      <c r="BE71" s="152">
        <v>1217.77</v>
      </c>
      <c r="BF71" s="152">
        <v>1381.53</v>
      </c>
      <c r="BG71" s="158">
        <v>1.95</v>
      </c>
      <c r="BH71" s="158">
        <v>6.02</v>
      </c>
      <c r="BI71" s="27"/>
      <c r="BJ71" s="51"/>
      <c r="BK71" s="42"/>
      <c r="BL71" s="52"/>
      <c r="BM71" s="53">
        <f t="shared" si="48"/>
        <v>6.02</v>
      </c>
      <c r="BO71" s="151">
        <v>46081</v>
      </c>
      <c r="BP71" s="152">
        <v>2118.33</v>
      </c>
      <c r="BQ71" s="161">
        <v>728.73</v>
      </c>
      <c r="BR71" s="155">
        <v>1.73</v>
      </c>
      <c r="BS71" s="336">
        <v>197.89</v>
      </c>
      <c r="BT71" s="27"/>
      <c r="BU71" s="240"/>
      <c r="BV71" s="42">
        <v>293.71702745447732</v>
      </c>
      <c r="BW71" s="42"/>
      <c r="BX71" s="52"/>
      <c r="BY71" s="53">
        <f t="shared" si="49"/>
        <v>491.6070274544773</v>
      </c>
      <c r="CA71" s="151">
        <v>46081</v>
      </c>
      <c r="CB71" s="152">
        <v>5688.94</v>
      </c>
      <c r="CC71" s="159">
        <v>842.24</v>
      </c>
      <c r="CD71" s="331"/>
      <c r="CE71" s="27"/>
      <c r="CF71" s="32">
        <v>39.930229999999995</v>
      </c>
      <c r="CG71" s="42"/>
      <c r="CH71" s="44"/>
      <c r="CI71" s="53">
        <f t="shared" si="50"/>
        <v>39.930229999999995</v>
      </c>
      <c r="CK71" s="151">
        <v>46081</v>
      </c>
      <c r="CL71" s="152">
        <v>2743.62</v>
      </c>
      <c r="CM71" s="159">
        <v>0</v>
      </c>
      <c r="CN71" s="158">
        <v>826.8</v>
      </c>
      <c r="CO71" s="27"/>
      <c r="CP71" s="51"/>
      <c r="CQ71" s="33">
        <v>196.92847098380938</v>
      </c>
      <c r="CR71" s="52"/>
      <c r="CS71" s="53">
        <f t="shared" si="57"/>
        <v>1023.7284709838093</v>
      </c>
      <c r="CU71" s="151">
        <v>46081</v>
      </c>
      <c r="CV71" s="159">
        <v>679.75</v>
      </c>
      <c r="CW71" s="159">
        <v>489.1</v>
      </c>
      <c r="CX71" s="162"/>
      <c r="CY71" s="158">
        <v>36.979999999999997</v>
      </c>
      <c r="CZ71" s="27"/>
      <c r="DA71" s="32">
        <v>24.355170000000015</v>
      </c>
      <c r="DB71" s="33"/>
      <c r="DC71" s="44"/>
      <c r="DD71" s="53">
        <f t="shared" si="58"/>
        <v>61.335170000000012</v>
      </c>
      <c r="DE71" s="211"/>
      <c r="DF71" s="151">
        <v>46081</v>
      </c>
      <c r="DG71" s="152">
        <v>1523.21</v>
      </c>
      <c r="DH71" s="159">
        <v>306.11</v>
      </c>
      <c r="DI71" s="162"/>
      <c r="DJ71" s="27"/>
      <c r="DK71" s="32">
        <v>246.04606000000004</v>
      </c>
      <c r="DL71" s="42"/>
      <c r="DM71" s="44"/>
      <c r="DN71" s="53">
        <f t="shared" si="51"/>
        <v>246.04606000000004</v>
      </c>
      <c r="DP71" s="151">
        <v>46081</v>
      </c>
      <c r="DQ71" s="159">
        <v>850.56</v>
      </c>
      <c r="DR71" s="173"/>
      <c r="DS71" s="27"/>
      <c r="DT71" s="51"/>
      <c r="DU71" s="52"/>
      <c r="DV71" s="52"/>
      <c r="DW71" s="53">
        <f t="shared" si="52"/>
        <v>0</v>
      </c>
      <c r="DY71" s="151">
        <v>46081</v>
      </c>
      <c r="DZ71" s="159">
        <v>258.7</v>
      </c>
      <c r="EA71" s="174"/>
      <c r="EB71" s="27"/>
      <c r="EC71" s="51"/>
      <c r="ED71" s="52"/>
      <c r="EE71" s="52"/>
      <c r="EF71" s="53">
        <f t="shared" si="53"/>
        <v>0</v>
      </c>
      <c r="EH71" s="151">
        <v>46081</v>
      </c>
      <c r="EI71" s="152">
        <v>2929.07</v>
      </c>
      <c r="EJ71" s="162"/>
      <c r="EK71" s="27"/>
      <c r="EL71" s="51"/>
      <c r="EM71" s="52"/>
      <c r="EN71" s="52"/>
      <c r="EO71" s="53">
        <f t="shared" si="54"/>
        <v>0</v>
      </c>
      <c r="EQ71" s="151">
        <v>46081</v>
      </c>
      <c r="ER71" s="152">
        <v>2458.9299999999998</v>
      </c>
      <c r="ES71" s="173"/>
      <c r="ET71" s="27"/>
      <c r="EU71" s="32">
        <v>158.44905800000009</v>
      </c>
      <c r="EV71" s="52"/>
      <c r="EW71" s="52"/>
      <c r="EX71" s="53">
        <f t="shared" si="55"/>
        <v>158.44905800000009</v>
      </c>
    </row>
    <row r="72" spans="2:154" s="86" customFormat="1" ht="16.5" hidden="1" thickBot="1" x14ac:dyDescent="0.3">
      <c r="B72" s="190" t="s">
        <v>17</v>
      </c>
      <c r="C72" s="195">
        <f>SUM(C44:C71)</f>
        <v>100845.72</v>
      </c>
      <c r="D72" s="195">
        <f>SUM(D44:D71)</f>
        <v>47817.11</v>
      </c>
      <c r="E72" s="192">
        <f>SUM(E44:E71)</f>
        <v>2770.36</v>
      </c>
      <c r="F72" s="83"/>
      <c r="G72" s="84">
        <f>SUM(G44:G71)</f>
        <v>10251.521559999997</v>
      </c>
      <c r="H72" s="85">
        <f>SUM(H44:H71)</f>
        <v>2121.7842936168563</v>
      </c>
      <c r="I72" s="85">
        <f>SUM(I44:I71)</f>
        <v>0</v>
      </c>
      <c r="J72" s="85">
        <f>SUM(J44:J71)</f>
        <v>15143.665853616856</v>
      </c>
      <c r="L72" s="193" t="s">
        <v>17</v>
      </c>
      <c r="M72" s="195">
        <f>SUM(M44:M71)</f>
        <v>539451.4</v>
      </c>
      <c r="N72" s="195">
        <f>SUM(N44:N71)</f>
        <v>80610.319999999978</v>
      </c>
      <c r="O72" s="85">
        <f>SUM(O44:O71)</f>
        <v>1672.3999999999999</v>
      </c>
      <c r="P72" s="83"/>
      <c r="Q72" s="84">
        <f>SUM(Q44:Q71)</f>
        <v>758.06827599999951</v>
      </c>
      <c r="R72" s="85">
        <f>SUM(R44:R71)</f>
        <v>436.0794326440955</v>
      </c>
      <c r="S72" s="85"/>
      <c r="T72" s="85">
        <f>SUM(T44:T71)</f>
        <v>144.55154460000014</v>
      </c>
      <c r="U72" s="85">
        <f>SUM(U44:U71)</f>
        <v>3011.0992532440951</v>
      </c>
      <c r="W72" s="193" t="s">
        <v>17</v>
      </c>
      <c r="X72" s="195">
        <f>SUM(X44:X71)</f>
        <v>646952.92000000004</v>
      </c>
      <c r="Y72" s="195">
        <f>SUM(Y44:Y71)</f>
        <v>0</v>
      </c>
      <c r="Z72" s="85">
        <f>SUM(Z44:Z71)</f>
        <v>149.35999999999999</v>
      </c>
      <c r="AA72" s="83"/>
      <c r="AB72" s="84">
        <f>SUM(AB44:AB71)</f>
        <v>31965.243324999978</v>
      </c>
      <c r="AC72" s="85">
        <f>SUM(AC44:AC71)</f>
        <v>6174.1698545133795</v>
      </c>
      <c r="AD72" s="85"/>
      <c r="AE72" s="85">
        <f>SUM(AE44:AE71)</f>
        <v>20.393436300000005</v>
      </c>
      <c r="AF72" s="85">
        <f>SUM(AF44:AF71)</f>
        <v>38309.166615813367</v>
      </c>
      <c r="AH72" s="193"/>
      <c r="AI72" s="195">
        <f>SUM(AI44:AI71)</f>
        <v>146118.73000000001</v>
      </c>
      <c r="AJ72" s="195">
        <f>SUM(AJ44:AJ71)</f>
        <v>24709.889999999992</v>
      </c>
      <c r="AK72" s="85">
        <f>SUM(AK44:AK71)</f>
        <v>2.4</v>
      </c>
      <c r="AL72" s="83"/>
      <c r="AM72" s="84">
        <f>SUM(AM44:AM71)</f>
        <v>12760.30373</v>
      </c>
      <c r="AN72" s="433"/>
      <c r="AO72" s="85">
        <f>SUM(AO44:AO71)</f>
        <v>621.91365883380968</v>
      </c>
      <c r="AP72" s="85">
        <f>SUM(AP44:AP71)</f>
        <v>0</v>
      </c>
      <c r="AQ72" s="85">
        <f>SUM(AQ44:AQ71)</f>
        <v>13384.617388833811</v>
      </c>
      <c r="AS72" s="193" t="s">
        <v>17</v>
      </c>
      <c r="AT72" s="195">
        <f>SUM(AT44:AT71)</f>
        <v>418154.23999999993</v>
      </c>
      <c r="AU72" s="195">
        <f>SUM(AU44:AU71)</f>
        <v>31474.080000000009</v>
      </c>
      <c r="AV72" s="195">
        <f>SUM(AV44:AV71)</f>
        <v>110593.55</v>
      </c>
      <c r="AW72" s="85">
        <f>SUM(AW44:AW71)</f>
        <v>0</v>
      </c>
      <c r="AX72" s="83"/>
      <c r="AY72" s="84">
        <f>SUM(AY44:AY71)</f>
        <v>975.05739999999992</v>
      </c>
      <c r="AZ72" s="85">
        <f>SUM(AZ44:AZ71)</f>
        <v>2916.2893701907615</v>
      </c>
      <c r="BA72" s="85">
        <f>SUM(BA44:BA71)</f>
        <v>42.588990200000048</v>
      </c>
      <c r="BB72" s="85">
        <f>SUM(BB44:BB71)</f>
        <v>3933.9357603907606</v>
      </c>
      <c r="BD72" s="193" t="s">
        <v>17</v>
      </c>
      <c r="BE72" s="195">
        <f>SUM(BE44:BE71)</f>
        <v>30146.52</v>
      </c>
      <c r="BF72" s="195">
        <f>SUM(BF44:BF71)</f>
        <v>32708.179999999993</v>
      </c>
      <c r="BG72" s="85">
        <f>SUM(BG44:BG71)</f>
        <v>88.050000000000026</v>
      </c>
      <c r="BH72" s="195">
        <f>SUM(BH44:BH71)</f>
        <v>836.65999999999985</v>
      </c>
      <c r="BI72" s="83"/>
      <c r="BJ72" s="84">
        <f>SUM(BJ44:BJ71)</f>
        <v>0</v>
      </c>
      <c r="BK72" s="85">
        <f>SUM(BK44:BK71)</f>
        <v>0</v>
      </c>
      <c r="BL72" s="85">
        <f>SUM(BL44:BL71)</f>
        <v>3.3575170200000031</v>
      </c>
      <c r="BM72" s="85">
        <f>SUM(BM44:BM71)</f>
        <v>840.0175170199999</v>
      </c>
      <c r="BO72" s="193" t="s">
        <v>17</v>
      </c>
      <c r="BP72" s="195">
        <f>SUM(BP44:BP71)</f>
        <v>35976.590000000004</v>
      </c>
      <c r="BQ72" s="195">
        <f>SUM(BQ44:BQ71)</f>
        <v>18242.540000000005</v>
      </c>
      <c r="BR72" s="85">
        <f>SUM(BR44:BR71)</f>
        <v>51.499999999999993</v>
      </c>
      <c r="BS72" s="195">
        <f>SUM(BS44:BS71)</f>
        <v>5135.87</v>
      </c>
      <c r="BT72" s="83"/>
      <c r="BU72" s="84">
        <f>SUM(BU44:BU71)</f>
        <v>396.72556500000024</v>
      </c>
      <c r="BV72" s="85">
        <f>SUM(BV44:BV71)</f>
        <v>15735.270406027672</v>
      </c>
      <c r="BW72" s="85"/>
      <c r="BX72" s="85">
        <f>SUM(BX44:BX71)</f>
        <v>6.43</v>
      </c>
      <c r="BY72" s="85">
        <f>SUM(BY44:BY71)</f>
        <v>21274.29597102767</v>
      </c>
      <c r="CA72" s="193" t="s">
        <v>17</v>
      </c>
      <c r="CB72" s="195">
        <f>SUM(CB44:CB71)</f>
        <v>129853.23999999999</v>
      </c>
      <c r="CC72" s="195">
        <f>SUM(CC44:CC71)</f>
        <v>25024.91</v>
      </c>
      <c r="CD72" s="85">
        <f>SUM(CD44:CD71)</f>
        <v>0</v>
      </c>
      <c r="CE72" s="83"/>
      <c r="CF72" s="84">
        <f>SUM(CF44:CF71)</f>
        <v>2112.8480499999996</v>
      </c>
      <c r="CG72" s="85">
        <f>SUM(CG44:CG71)</f>
        <v>95.056395128571566</v>
      </c>
      <c r="CH72" s="85">
        <f>SUM(CH44:CH71)</f>
        <v>28.247399999999992</v>
      </c>
      <c r="CI72" s="85">
        <f>SUM(CI44:CI71)</f>
        <v>2236.1518451285719</v>
      </c>
      <c r="CK72" s="190" t="s">
        <v>17</v>
      </c>
      <c r="CL72" s="191">
        <f>SUM(CL44:CL71)</f>
        <v>124976.33000000002</v>
      </c>
      <c r="CM72" s="191">
        <f>SUM(CM44:CM71)</f>
        <v>9244.32</v>
      </c>
      <c r="CN72" s="194">
        <f>SUM(CN44:CN71)</f>
        <v>10630.25</v>
      </c>
      <c r="CO72" s="83"/>
      <c r="CP72" s="84">
        <f>SUM(CP44:CP71)</f>
        <v>0</v>
      </c>
      <c r="CQ72" s="85">
        <f>SUM(CQ44:CQ71)</f>
        <v>10264.176970594952</v>
      </c>
      <c r="CR72" s="85">
        <f>SUM(CR44:CR71)</f>
        <v>0</v>
      </c>
      <c r="CS72" s="85">
        <f>SUM(CS44:CS71)</f>
        <v>20894.426970594948</v>
      </c>
      <c r="CU72" s="190" t="s">
        <v>17</v>
      </c>
      <c r="CV72" s="191">
        <f>SUM(CV44:CV71)</f>
        <v>27001.039999999994</v>
      </c>
      <c r="CW72" s="191">
        <f>SUM(CW44:CW71)</f>
        <v>21760.149999999998</v>
      </c>
      <c r="CX72" s="194">
        <f>SUM(CX44:CX71)</f>
        <v>3.39</v>
      </c>
      <c r="CY72" s="191">
        <f>SUM(CY44:CY71)</f>
        <v>1030.2299999999998</v>
      </c>
      <c r="CZ72" s="83"/>
      <c r="DA72" s="84">
        <f>SUM(DA44:DA71)</f>
        <v>1352.2759299999991</v>
      </c>
      <c r="DB72" s="85">
        <f>SUM(DB44:DB71)</f>
        <v>421.94251371809486</v>
      </c>
      <c r="DC72" s="85">
        <f>SUM(DC44:DC71)</f>
        <v>7.6828781000000106</v>
      </c>
      <c r="DD72" s="85">
        <f>SUM(DD44:DD71)</f>
        <v>2812.1313218180935</v>
      </c>
      <c r="DE72" s="212"/>
      <c r="DF72" s="190" t="s">
        <v>17</v>
      </c>
      <c r="DG72" s="191">
        <f>SUM(DG44:DG71)</f>
        <v>36942.559999999998</v>
      </c>
      <c r="DH72" s="191">
        <f>SUM(DH44:DH71)</f>
        <v>12538.809999999998</v>
      </c>
      <c r="DI72" s="194">
        <f>SUM(DI44:DI71)</f>
        <v>15.889999999999999</v>
      </c>
      <c r="DJ72" s="83"/>
      <c r="DK72" s="84">
        <f>SUM(DK44:DK71)</f>
        <v>4077.0621900000019</v>
      </c>
      <c r="DL72" s="85">
        <f>SUM(DL44:DL71)</f>
        <v>519.20262222552367</v>
      </c>
      <c r="DM72" s="85">
        <f>SUM(DM44:DM71)</f>
        <v>123.79886649999997</v>
      </c>
      <c r="DN72" s="85">
        <f>SUM(DN44:DN71)</f>
        <v>4735.9536787255247</v>
      </c>
      <c r="DP72" s="193" t="s">
        <v>17</v>
      </c>
      <c r="DQ72" s="195">
        <f>SUM(DQ44:DQ71)</f>
        <v>20903.880000000005</v>
      </c>
      <c r="DR72" s="85">
        <f>SUM(DR44:DR71)</f>
        <v>0</v>
      </c>
      <c r="DS72" s="83"/>
      <c r="DT72" s="84">
        <f>SUM(DT44:DT71)</f>
        <v>0</v>
      </c>
      <c r="DU72" s="85">
        <f>SUM(DU44:DU71)</f>
        <v>0</v>
      </c>
      <c r="DV72" s="85">
        <f>SUM(DV44:DV71)</f>
        <v>0</v>
      </c>
      <c r="DW72" s="85">
        <f>SUM(DW44:DW71)</f>
        <v>0</v>
      </c>
      <c r="DY72" s="190" t="s">
        <v>17</v>
      </c>
      <c r="DZ72" s="191">
        <f>SUM(DZ44:DZ71)</f>
        <v>8475.7800000000025</v>
      </c>
      <c r="EA72" s="194">
        <f>SUM(EA44:EA71)</f>
        <v>0</v>
      </c>
      <c r="EB72" s="83"/>
      <c r="EC72" s="84">
        <f>SUM(EC44:EC71)</f>
        <v>0</v>
      </c>
      <c r="ED72" s="85">
        <f>SUM(ED44:ED71)</f>
        <v>0</v>
      </c>
      <c r="EE72" s="85">
        <f>SUM(EE44:EE71)</f>
        <v>0</v>
      </c>
      <c r="EF72" s="85">
        <f>SUM(EF44:EF71)</f>
        <v>0</v>
      </c>
      <c r="EH72" s="190" t="s">
        <v>17</v>
      </c>
      <c r="EI72" s="191">
        <f>SUM(EI44:EI71)</f>
        <v>49389.36</v>
      </c>
      <c r="EJ72" s="194">
        <f>SUM(EJ44:EJ71)</f>
        <v>16585.04</v>
      </c>
      <c r="EK72" s="83"/>
      <c r="EL72" s="84">
        <f>SUM(EL44:EL71)</f>
        <v>0</v>
      </c>
      <c r="EM72" s="85">
        <f>SUM(EM44:EM71)</f>
        <v>0</v>
      </c>
      <c r="EN72" s="85">
        <f>SUM(EN44:EN71)</f>
        <v>0</v>
      </c>
      <c r="EO72" s="85">
        <f>SUM(EO44:EO71)</f>
        <v>16585.04</v>
      </c>
      <c r="EQ72" s="190" t="s">
        <v>17</v>
      </c>
      <c r="ER72" s="191">
        <f>SUM(ER44:ER71)</f>
        <v>48320.159999999996</v>
      </c>
      <c r="ES72" s="194">
        <f>SUM(ES44:ES71)</f>
        <v>0</v>
      </c>
      <c r="ET72" s="83"/>
      <c r="EU72" s="84">
        <f>SUM(EU44:EU71)</f>
        <v>1944.2193880000004</v>
      </c>
      <c r="EV72" s="85">
        <f>SUM(EV44:EV71)</f>
        <v>0</v>
      </c>
      <c r="EW72" s="85">
        <f>SUM(EW44:EW71)</f>
        <v>0</v>
      </c>
      <c r="EX72" s="85">
        <f>SUM(EX44:EX71)</f>
        <v>1944.2193880000004</v>
      </c>
    </row>
    <row r="73" spans="2:154" x14ac:dyDescent="0.25">
      <c r="DZ73" s="201"/>
      <c r="EA73" s="202"/>
      <c r="EG73" s="203"/>
    </row>
    <row r="74" spans="2:154" ht="21" x14ac:dyDescent="0.35">
      <c r="J74" s="42"/>
      <c r="DZ74" s="204"/>
      <c r="EA74" s="205"/>
      <c r="EG74" s="205"/>
    </row>
    <row r="76" spans="2:154" ht="21" x14ac:dyDescent="0.35">
      <c r="B76" s="446" t="s">
        <v>28</v>
      </c>
      <c r="C76" s="446"/>
      <c r="D76" s="130"/>
      <c r="E76" s="130"/>
      <c r="F76" s="130"/>
      <c r="G76" s="130"/>
      <c r="H76" s="130"/>
      <c r="I76" s="130"/>
      <c r="J76" s="130"/>
      <c r="K76" s="130"/>
      <c r="L76" s="446" t="s">
        <v>29</v>
      </c>
      <c r="M76" s="446"/>
      <c r="N76" s="446"/>
      <c r="P76" s="130"/>
      <c r="Q76" s="130"/>
      <c r="R76" s="130"/>
      <c r="S76" s="130"/>
      <c r="T76" s="130"/>
      <c r="U76" s="130"/>
      <c r="W76" s="446" t="s">
        <v>30</v>
      </c>
      <c r="X76" s="446"/>
      <c r="AA76" s="130"/>
      <c r="AB76" s="130"/>
      <c r="AC76" s="130"/>
      <c r="AD76" s="130"/>
      <c r="AE76" s="130"/>
      <c r="AF76" s="130"/>
      <c r="AH76" s="446" t="s">
        <v>31</v>
      </c>
      <c r="AI76" s="446"/>
      <c r="AL76" s="130"/>
      <c r="AM76" s="130"/>
      <c r="AN76" s="130"/>
      <c r="AO76" s="130"/>
      <c r="AP76" s="130"/>
      <c r="AQ76" s="130"/>
      <c r="AS76" s="446" t="s">
        <v>32</v>
      </c>
      <c r="AT76" s="446"/>
      <c r="AX76" s="130"/>
      <c r="AY76" s="130"/>
      <c r="AZ76" s="130"/>
      <c r="BA76" s="130"/>
      <c r="BB76" s="130"/>
      <c r="BD76" s="446" t="s">
        <v>33</v>
      </c>
      <c r="BE76" s="446"/>
      <c r="BI76" s="130"/>
      <c r="BJ76" s="130"/>
      <c r="BK76" s="130"/>
      <c r="BL76" s="130"/>
      <c r="BM76" s="130"/>
      <c r="BO76" s="446" t="s">
        <v>34</v>
      </c>
      <c r="BP76" s="446"/>
      <c r="BT76" s="130"/>
      <c r="BU76" s="130"/>
      <c r="BV76" s="130"/>
      <c r="BW76" s="130"/>
      <c r="BX76" s="130"/>
      <c r="BY76" s="130"/>
      <c r="CA76" s="446" t="s">
        <v>35</v>
      </c>
      <c r="CB76" s="446"/>
      <c r="CE76" s="130"/>
      <c r="CF76" s="130"/>
      <c r="CG76" s="130"/>
      <c r="CH76" s="130"/>
      <c r="CI76" s="130"/>
      <c r="CK76" s="446" t="s">
        <v>36</v>
      </c>
      <c r="CL76" s="446"/>
      <c r="CO76" s="130"/>
      <c r="CP76" s="130"/>
      <c r="CQ76" s="130"/>
      <c r="CR76" s="130"/>
      <c r="CS76" s="130"/>
      <c r="CU76" s="446" t="s">
        <v>37</v>
      </c>
      <c r="CV76" s="446"/>
      <c r="CZ76" s="130"/>
      <c r="DA76" s="130"/>
      <c r="DB76" s="130"/>
      <c r="DC76" s="130"/>
      <c r="DD76" s="130"/>
      <c r="DF76" s="131" t="s">
        <v>38</v>
      </c>
      <c r="DG76" s="131"/>
      <c r="DJ76" s="130"/>
      <c r="DK76" s="130"/>
      <c r="DL76" s="130"/>
      <c r="DM76" s="130"/>
      <c r="DN76" s="130"/>
      <c r="DP76" s="131" t="s">
        <v>39</v>
      </c>
      <c r="DQ76" s="131"/>
      <c r="DS76" s="130"/>
      <c r="DT76" s="130"/>
      <c r="DU76" s="130"/>
      <c r="DV76" s="130"/>
      <c r="DW76" s="130"/>
      <c r="DY76" s="131" t="s">
        <v>40</v>
      </c>
      <c r="DZ76" s="131"/>
      <c r="EB76" s="130"/>
      <c r="EC76" s="130"/>
      <c r="ED76" s="130"/>
      <c r="EE76" s="130"/>
      <c r="EF76" s="130"/>
      <c r="EH76" s="131" t="s">
        <v>41</v>
      </c>
      <c r="EI76" s="131"/>
      <c r="EK76" s="130"/>
      <c r="EL76" s="130"/>
      <c r="EM76" s="130"/>
      <c r="EN76" s="130"/>
      <c r="EO76" s="130"/>
      <c r="EQ76" s="131" t="s">
        <v>42</v>
      </c>
      <c r="ER76" s="131"/>
      <c r="ET76" s="130"/>
      <c r="EU76" s="130"/>
      <c r="EV76" s="130"/>
      <c r="EW76" s="130"/>
      <c r="EX76" s="130"/>
    </row>
    <row r="77" spans="2:154" ht="15.75" thickBot="1" x14ac:dyDescent="0.3"/>
    <row r="78" spans="2:154" x14ac:dyDescent="0.25">
      <c r="B78" s="444" t="s">
        <v>14</v>
      </c>
      <c r="C78" s="132" t="s">
        <v>15</v>
      </c>
      <c r="D78" s="132" t="s">
        <v>15</v>
      </c>
      <c r="E78" s="133" t="s">
        <v>16</v>
      </c>
      <c r="F78" s="6"/>
      <c r="G78" s="134" t="s">
        <v>16</v>
      </c>
      <c r="H78" s="135" t="s">
        <v>16</v>
      </c>
      <c r="I78" s="136" t="s">
        <v>16</v>
      </c>
      <c r="J78" s="10" t="s">
        <v>17</v>
      </c>
      <c r="L78" s="444" t="s">
        <v>14</v>
      </c>
      <c r="M78" s="132" t="s">
        <v>15</v>
      </c>
      <c r="N78" s="132" t="s">
        <v>15</v>
      </c>
      <c r="O78" s="137" t="s">
        <v>16</v>
      </c>
      <c r="P78" s="6"/>
      <c r="Q78" s="134" t="s">
        <v>16</v>
      </c>
      <c r="R78" s="135" t="s">
        <v>16</v>
      </c>
      <c r="S78" s="135" t="s">
        <v>84</v>
      </c>
      <c r="T78" s="136" t="s">
        <v>16</v>
      </c>
      <c r="U78" s="10" t="s">
        <v>17</v>
      </c>
      <c r="W78" s="444" t="s">
        <v>14</v>
      </c>
      <c r="X78" s="132" t="s">
        <v>15</v>
      </c>
      <c r="Y78" s="132" t="s">
        <v>15</v>
      </c>
      <c r="Z78" s="137" t="s">
        <v>16</v>
      </c>
      <c r="AA78" s="6"/>
      <c r="AB78" s="134" t="s">
        <v>16</v>
      </c>
      <c r="AC78" s="135" t="s">
        <v>16</v>
      </c>
      <c r="AD78" s="135" t="s">
        <v>84</v>
      </c>
      <c r="AE78" s="136" t="s">
        <v>16</v>
      </c>
      <c r="AF78" s="10" t="s">
        <v>17</v>
      </c>
      <c r="AH78" s="444" t="s">
        <v>14</v>
      </c>
      <c r="AI78" s="132" t="s">
        <v>15</v>
      </c>
      <c r="AJ78" s="132" t="s">
        <v>15</v>
      </c>
      <c r="AK78" s="137" t="s">
        <v>16</v>
      </c>
      <c r="AL78" s="6"/>
      <c r="AM78" s="134" t="s">
        <v>16</v>
      </c>
      <c r="AN78" s="134" t="s">
        <v>83</v>
      </c>
      <c r="AO78" s="135" t="s">
        <v>16</v>
      </c>
      <c r="AP78" s="136" t="s">
        <v>16</v>
      </c>
      <c r="AQ78" s="10" t="s">
        <v>17</v>
      </c>
      <c r="AS78" s="444" t="s">
        <v>14</v>
      </c>
      <c r="AT78" s="132" t="s">
        <v>15</v>
      </c>
      <c r="AU78" s="132" t="s">
        <v>15</v>
      </c>
      <c r="AV78" s="132" t="s">
        <v>15</v>
      </c>
      <c r="AW78" s="137" t="s">
        <v>16</v>
      </c>
      <c r="AX78" s="6"/>
      <c r="AY78" s="338" t="s">
        <v>16</v>
      </c>
      <c r="AZ78" s="339" t="s">
        <v>16</v>
      </c>
      <c r="BA78" s="340" t="s">
        <v>16</v>
      </c>
      <c r="BB78" s="10" t="s">
        <v>17</v>
      </c>
      <c r="BD78" s="444" t="s">
        <v>14</v>
      </c>
      <c r="BE78" s="132" t="s">
        <v>15</v>
      </c>
      <c r="BF78" s="132" t="s">
        <v>15</v>
      </c>
      <c r="BG78" s="137" t="s">
        <v>16</v>
      </c>
      <c r="BH78" s="137" t="s">
        <v>16</v>
      </c>
      <c r="BJ78" s="134" t="s">
        <v>16</v>
      </c>
      <c r="BK78" s="135" t="s">
        <v>16</v>
      </c>
      <c r="BL78" s="136" t="s">
        <v>16</v>
      </c>
      <c r="BM78" s="10" t="s">
        <v>17</v>
      </c>
      <c r="BO78" s="444" t="s">
        <v>14</v>
      </c>
      <c r="BP78" s="132" t="s">
        <v>15</v>
      </c>
      <c r="BQ78" s="132" t="s">
        <v>15</v>
      </c>
      <c r="BR78" s="137" t="s">
        <v>16</v>
      </c>
      <c r="BS78" s="206" t="s">
        <v>16</v>
      </c>
      <c r="BT78" s="6"/>
      <c r="BU78" s="134" t="s">
        <v>16</v>
      </c>
      <c r="BV78" s="135" t="s">
        <v>16</v>
      </c>
      <c r="BW78" s="135" t="s">
        <v>84</v>
      </c>
      <c r="BX78" s="346" t="s">
        <v>83</v>
      </c>
      <c r="BY78" s="10" t="s">
        <v>17</v>
      </c>
      <c r="CA78" s="444" t="s">
        <v>14</v>
      </c>
      <c r="CB78" s="132" t="s">
        <v>15</v>
      </c>
      <c r="CC78" s="132" t="s">
        <v>15</v>
      </c>
      <c r="CD78" s="137" t="s">
        <v>16</v>
      </c>
      <c r="CE78" s="6"/>
      <c r="CF78" s="134" t="s">
        <v>16</v>
      </c>
      <c r="CG78" s="135" t="s">
        <v>16</v>
      </c>
      <c r="CH78" s="136" t="s">
        <v>16</v>
      </c>
      <c r="CI78" s="10" t="s">
        <v>17</v>
      </c>
      <c r="CK78" s="444" t="s">
        <v>14</v>
      </c>
      <c r="CL78" s="132" t="s">
        <v>15</v>
      </c>
      <c r="CM78" s="132" t="s">
        <v>15</v>
      </c>
      <c r="CN78" s="137" t="s">
        <v>16</v>
      </c>
      <c r="CO78" s="6"/>
      <c r="CP78" s="134" t="s">
        <v>16</v>
      </c>
      <c r="CQ78" s="135" t="s">
        <v>16</v>
      </c>
      <c r="CR78" s="136" t="s">
        <v>16</v>
      </c>
      <c r="CS78" s="10" t="s">
        <v>17</v>
      </c>
      <c r="CU78" s="444" t="s">
        <v>14</v>
      </c>
      <c r="CV78" s="132" t="s">
        <v>15</v>
      </c>
      <c r="CW78" s="132" t="s">
        <v>15</v>
      </c>
      <c r="CX78" s="137" t="s">
        <v>16</v>
      </c>
      <c r="CY78" s="137" t="s">
        <v>16</v>
      </c>
      <c r="CZ78" s="6"/>
      <c r="DA78" s="134" t="s">
        <v>16</v>
      </c>
      <c r="DB78" s="135" t="s">
        <v>16</v>
      </c>
      <c r="DC78" s="136" t="s">
        <v>16</v>
      </c>
      <c r="DD78" s="10" t="s">
        <v>17</v>
      </c>
      <c r="DF78" s="325" t="s">
        <v>14</v>
      </c>
      <c r="DG78" s="132" t="s">
        <v>15</v>
      </c>
      <c r="DH78" s="132" t="s">
        <v>15</v>
      </c>
      <c r="DI78" s="137" t="s">
        <v>16</v>
      </c>
      <c r="DJ78" s="6"/>
      <c r="DK78" s="134" t="s">
        <v>16</v>
      </c>
      <c r="DL78" s="135" t="s">
        <v>16</v>
      </c>
      <c r="DM78" s="136" t="s">
        <v>16</v>
      </c>
      <c r="DN78" s="10" t="s">
        <v>17</v>
      </c>
      <c r="DP78" s="325" t="s">
        <v>14</v>
      </c>
      <c r="DQ78" s="132" t="s">
        <v>15</v>
      </c>
      <c r="DR78" s="137" t="s">
        <v>16</v>
      </c>
      <c r="DS78" s="6"/>
      <c r="DT78" s="134" t="s">
        <v>16</v>
      </c>
      <c r="DU78" s="135" t="s">
        <v>16</v>
      </c>
      <c r="DV78" s="136" t="s">
        <v>16</v>
      </c>
      <c r="DW78" s="10" t="s">
        <v>17</v>
      </c>
      <c r="DY78" s="325" t="s">
        <v>14</v>
      </c>
      <c r="DZ78" s="132" t="s">
        <v>15</v>
      </c>
      <c r="EA78" s="137" t="s">
        <v>16</v>
      </c>
      <c r="EB78" s="6"/>
      <c r="EC78" s="134" t="s">
        <v>16</v>
      </c>
      <c r="ED78" s="135" t="s">
        <v>16</v>
      </c>
      <c r="EE78" s="136" t="s">
        <v>16</v>
      </c>
      <c r="EF78" s="10" t="s">
        <v>17</v>
      </c>
      <c r="EH78" s="327" t="s">
        <v>14</v>
      </c>
      <c r="EI78" s="207" t="s">
        <v>15</v>
      </c>
      <c r="EJ78" s="142" t="s">
        <v>16</v>
      </c>
      <c r="EK78" s="6"/>
      <c r="EL78" s="134" t="s">
        <v>16</v>
      </c>
      <c r="EM78" s="135" t="s">
        <v>16</v>
      </c>
      <c r="EN78" s="136" t="s">
        <v>16</v>
      </c>
      <c r="EO78" s="10" t="s">
        <v>17</v>
      </c>
      <c r="EQ78" s="327" t="s">
        <v>14</v>
      </c>
      <c r="ER78" s="141" t="s">
        <v>15</v>
      </c>
      <c r="ES78" s="142" t="s">
        <v>16</v>
      </c>
      <c r="ET78" s="6"/>
      <c r="EU78" s="134" t="s">
        <v>16</v>
      </c>
      <c r="EV78" s="135" t="s">
        <v>16</v>
      </c>
      <c r="EW78" s="136" t="s">
        <v>16</v>
      </c>
      <c r="EX78" s="10" t="s">
        <v>17</v>
      </c>
    </row>
    <row r="79" spans="2:154" ht="15.75" thickBot="1" x14ac:dyDescent="0.3">
      <c r="B79" s="445"/>
      <c r="C79" s="143" t="s">
        <v>18</v>
      </c>
      <c r="D79" s="143" t="s">
        <v>19</v>
      </c>
      <c r="E79" s="144" t="s">
        <v>25</v>
      </c>
      <c r="F79" s="6"/>
      <c r="G79" s="145" t="s">
        <v>21</v>
      </c>
      <c r="H79" s="146" t="s">
        <v>22</v>
      </c>
      <c r="I79" s="147" t="s">
        <v>23</v>
      </c>
      <c r="J79" s="148" t="s">
        <v>24</v>
      </c>
      <c r="L79" s="445"/>
      <c r="M79" s="143" t="s">
        <v>18</v>
      </c>
      <c r="N79" s="143" t="s">
        <v>19</v>
      </c>
      <c r="O79" s="149" t="s">
        <v>25</v>
      </c>
      <c r="P79" s="6"/>
      <c r="Q79" s="145" t="s">
        <v>21</v>
      </c>
      <c r="R79" s="146" t="s">
        <v>22</v>
      </c>
      <c r="S79" s="146"/>
      <c r="T79" s="147" t="s">
        <v>23</v>
      </c>
      <c r="U79" s="148" t="s">
        <v>24</v>
      </c>
      <c r="W79" s="445"/>
      <c r="X79" s="143" t="s">
        <v>18</v>
      </c>
      <c r="Y79" s="143" t="s">
        <v>19</v>
      </c>
      <c r="Z79" s="149" t="s">
        <v>25</v>
      </c>
      <c r="AA79" s="6"/>
      <c r="AB79" s="145" t="s">
        <v>21</v>
      </c>
      <c r="AC79" s="146" t="s">
        <v>22</v>
      </c>
      <c r="AD79" s="146" t="s">
        <v>22</v>
      </c>
      <c r="AE79" s="147" t="s">
        <v>23</v>
      </c>
      <c r="AF79" s="148" t="s">
        <v>24</v>
      </c>
      <c r="AH79" s="445"/>
      <c r="AI79" s="143" t="s">
        <v>18</v>
      </c>
      <c r="AJ79" s="143" t="s">
        <v>19</v>
      </c>
      <c r="AK79" s="149" t="s">
        <v>25</v>
      </c>
      <c r="AL79" s="6"/>
      <c r="AM79" s="145" t="s">
        <v>21</v>
      </c>
      <c r="AN79" s="145" t="s">
        <v>21</v>
      </c>
      <c r="AO79" s="146" t="s">
        <v>22</v>
      </c>
      <c r="AP79" s="147" t="s">
        <v>23</v>
      </c>
      <c r="AQ79" s="148" t="s">
        <v>24</v>
      </c>
      <c r="AS79" s="445"/>
      <c r="AT79" s="143" t="s">
        <v>18</v>
      </c>
      <c r="AU79" s="143" t="s">
        <v>19</v>
      </c>
      <c r="AV79" s="143" t="s">
        <v>20</v>
      </c>
      <c r="AW79" s="149" t="s">
        <v>25</v>
      </c>
      <c r="AX79" s="6"/>
      <c r="AY79" s="341" t="s">
        <v>21</v>
      </c>
      <c r="AZ79" s="342" t="s">
        <v>22</v>
      </c>
      <c r="BA79" s="343" t="s">
        <v>23</v>
      </c>
      <c r="BB79" s="148" t="s">
        <v>24</v>
      </c>
      <c r="BD79" s="445"/>
      <c r="BE79" s="143" t="s">
        <v>18</v>
      </c>
      <c r="BF79" s="143" t="s">
        <v>19</v>
      </c>
      <c r="BG79" s="149" t="s">
        <v>19</v>
      </c>
      <c r="BH79" s="149" t="s">
        <v>25</v>
      </c>
      <c r="BJ79" s="145" t="s">
        <v>21</v>
      </c>
      <c r="BK79" s="146" t="s">
        <v>22</v>
      </c>
      <c r="BL79" s="147" t="s">
        <v>23</v>
      </c>
      <c r="BM79" s="148" t="s">
        <v>24</v>
      </c>
      <c r="BO79" s="445"/>
      <c r="BP79" s="143" t="s">
        <v>18</v>
      </c>
      <c r="BQ79" s="143" t="s">
        <v>19</v>
      </c>
      <c r="BR79" s="149" t="s">
        <v>19</v>
      </c>
      <c r="BS79" s="208" t="s">
        <v>25</v>
      </c>
      <c r="BT79" s="6"/>
      <c r="BU79" s="145" t="s">
        <v>21</v>
      </c>
      <c r="BV79" s="146" t="s">
        <v>22</v>
      </c>
      <c r="BW79" s="146" t="s">
        <v>22</v>
      </c>
      <c r="BX79" s="347" t="s">
        <v>22</v>
      </c>
      <c r="BY79" s="148" t="s">
        <v>24</v>
      </c>
      <c r="CA79" s="445"/>
      <c r="CB79" s="143" t="s">
        <v>18</v>
      </c>
      <c r="CC79" s="143" t="s">
        <v>19</v>
      </c>
      <c r="CD79" s="149" t="s">
        <v>25</v>
      </c>
      <c r="CE79" s="6"/>
      <c r="CF79" s="145" t="s">
        <v>21</v>
      </c>
      <c r="CG79" s="146" t="s">
        <v>22</v>
      </c>
      <c r="CH79" s="147" t="s">
        <v>23</v>
      </c>
      <c r="CI79" s="148" t="s">
        <v>24</v>
      </c>
      <c r="CK79" s="445"/>
      <c r="CL79" s="143" t="s">
        <v>18</v>
      </c>
      <c r="CM79" s="143" t="s">
        <v>19</v>
      </c>
      <c r="CN79" s="149" t="s">
        <v>25</v>
      </c>
      <c r="CO79" s="6"/>
      <c r="CP79" s="145" t="s">
        <v>21</v>
      </c>
      <c r="CQ79" s="146" t="s">
        <v>22</v>
      </c>
      <c r="CR79" s="147" t="s">
        <v>23</v>
      </c>
      <c r="CS79" s="148" t="s">
        <v>24</v>
      </c>
      <c r="CU79" s="445"/>
      <c r="CV79" s="143" t="s">
        <v>18</v>
      </c>
      <c r="CW79" s="143" t="s">
        <v>19</v>
      </c>
      <c r="CX79" s="149" t="s">
        <v>19</v>
      </c>
      <c r="CY79" s="149" t="s">
        <v>25</v>
      </c>
      <c r="CZ79" s="6"/>
      <c r="DA79" s="145" t="s">
        <v>21</v>
      </c>
      <c r="DB79" s="146" t="s">
        <v>22</v>
      </c>
      <c r="DC79" s="147" t="s">
        <v>23</v>
      </c>
      <c r="DD79" s="148" t="s">
        <v>24</v>
      </c>
      <c r="DF79" s="326"/>
      <c r="DG79" s="143" t="s">
        <v>18</v>
      </c>
      <c r="DH79" s="143" t="s">
        <v>19</v>
      </c>
      <c r="DI79" s="149" t="s">
        <v>25</v>
      </c>
      <c r="DJ79" s="6"/>
      <c r="DK79" s="145" t="s">
        <v>21</v>
      </c>
      <c r="DL79" s="146" t="s">
        <v>22</v>
      </c>
      <c r="DM79" s="147" t="s">
        <v>23</v>
      </c>
      <c r="DN79" s="148" t="s">
        <v>24</v>
      </c>
      <c r="DP79" s="326"/>
      <c r="DQ79" s="143" t="s">
        <v>18</v>
      </c>
      <c r="DR79" s="149" t="s">
        <v>25</v>
      </c>
      <c r="DS79" s="6"/>
      <c r="DT79" s="145" t="s">
        <v>21</v>
      </c>
      <c r="DU79" s="146" t="s">
        <v>22</v>
      </c>
      <c r="DV79" s="147" t="s">
        <v>23</v>
      </c>
      <c r="DW79" s="148" t="s">
        <v>24</v>
      </c>
      <c r="DY79" s="326"/>
      <c r="DZ79" s="143" t="s">
        <v>18</v>
      </c>
      <c r="EA79" s="149" t="s">
        <v>25</v>
      </c>
      <c r="EB79" s="6"/>
      <c r="EC79" s="145" t="s">
        <v>21</v>
      </c>
      <c r="ED79" s="146" t="s">
        <v>22</v>
      </c>
      <c r="EE79" s="147" t="s">
        <v>23</v>
      </c>
      <c r="EF79" s="148" t="s">
        <v>24</v>
      </c>
      <c r="EH79" s="209"/>
      <c r="EI79" s="210" t="s">
        <v>18</v>
      </c>
      <c r="EJ79" s="137" t="s">
        <v>25</v>
      </c>
      <c r="EK79" s="6"/>
      <c r="EL79" s="145" t="s">
        <v>21</v>
      </c>
      <c r="EM79" s="146" t="s">
        <v>22</v>
      </c>
      <c r="EN79" s="147" t="s">
        <v>23</v>
      </c>
      <c r="EO79" s="148" t="s">
        <v>24</v>
      </c>
      <c r="EQ79" s="209"/>
      <c r="ER79" s="132" t="s">
        <v>18</v>
      </c>
      <c r="ES79" s="137" t="s">
        <v>25</v>
      </c>
      <c r="ET79" s="6"/>
      <c r="EU79" s="145" t="s">
        <v>21</v>
      </c>
      <c r="EV79" s="146" t="s">
        <v>22</v>
      </c>
      <c r="EW79" s="147" t="s">
        <v>23</v>
      </c>
      <c r="EX79" s="148" t="s">
        <v>24</v>
      </c>
    </row>
    <row r="80" spans="2:154" x14ac:dyDescent="0.25">
      <c r="B80" s="151">
        <v>46082</v>
      </c>
      <c r="C80" s="152">
        <v>3054.95</v>
      </c>
      <c r="D80" s="152">
        <v>1840.96</v>
      </c>
      <c r="E80" s="152">
        <v>139.6</v>
      </c>
      <c r="F80" s="27"/>
      <c r="G80" s="32">
        <v>178.72320000000008</v>
      </c>
      <c r="H80" s="33"/>
      <c r="I80" s="29"/>
      <c r="J80" s="30">
        <f>SUM(E80:I80)</f>
        <v>318.32320000000004</v>
      </c>
      <c r="L80" s="151">
        <v>46082</v>
      </c>
      <c r="M80" s="152">
        <v>23452.78</v>
      </c>
      <c r="N80" s="152">
        <v>3210.41</v>
      </c>
      <c r="O80" s="158">
        <v>37.409999999999997</v>
      </c>
      <c r="P80" s="27"/>
      <c r="Q80" s="32">
        <v>13.219539999999995</v>
      </c>
      <c r="R80" s="53"/>
      <c r="S80" s="248"/>
      <c r="T80" s="30"/>
      <c r="U80" s="30">
        <f t="shared" ref="U80:U110" si="59">SUM(O80:T80)</f>
        <v>50.629539999999992</v>
      </c>
      <c r="W80" s="151">
        <v>46082</v>
      </c>
      <c r="X80" s="152">
        <v>42916.25</v>
      </c>
      <c r="Y80" s="356"/>
      <c r="Z80" s="157"/>
      <c r="AA80" s="27"/>
      <c r="AB80" s="28">
        <v>737.28940000000011</v>
      </c>
      <c r="AC80" s="33">
        <v>155.43402254095253</v>
      </c>
      <c r="AD80" s="33"/>
      <c r="AE80" s="29"/>
      <c r="AF80" s="30">
        <f>SUM(Z80:AE80)</f>
        <v>892.7234225409527</v>
      </c>
      <c r="AH80" s="151">
        <v>46082</v>
      </c>
      <c r="AI80" s="152">
        <v>5484.52</v>
      </c>
      <c r="AJ80" s="161">
        <v>988.78</v>
      </c>
      <c r="AK80" s="158">
        <v>4.42</v>
      </c>
      <c r="AL80" s="27"/>
      <c r="AM80" s="32">
        <v>194.09196000000003</v>
      </c>
      <c r="AN80" s="32">
        <v>167.51741935483872</v>
      </c>
      <c r="AO80" s="42"/>
      <c r="AP80" s="89"/>
      <c r="AQ80" s="30">
        <f t="shared" ref="AQ80:AQ110" si="60">SUM(AK80:AP80)</f>
        <v>366.02937935483874</v>
      </c>
      <c r="AS80" s="151">
        <v>46082</v>
      </c>
      <c r="AT80" s="152">
        <v>18992.22</v>
      </c>
      <c r="AU80" s="152">
        <v>1291.72</v>
      </c>
      <c r="AV80" s="152">
        <v>3528.26</v>
      </c>
      <c r="AW80" s="160"/>
      <c r="AX80" s="27"/>
      <c r="AY80" s="32">
        <v>5.225360000000002</v>
      </c>
      <c r="AZ80" s="30"/>
      <c r="BA80" s="30"/>
      <c r="BB80" s="30">
        <f t="shared" ref="BB80:BB110" si="61">SUM(AW80:BA80)</f>
        <v>5.225360000000002</v>
      </c>
      <c r="BD80" s="151">
        <v>46082</v>
      </c>
      <c r="BE80" s="152">
        <v>1375.96</v>
      </c>
      <c r="BF80" s="154">
        <v>1162.29</v>
      </c>
      <c r="BG80" s="158">
        <v>2.78</v>
      </c>
      <c r="BH80" s="158">
        <v>13.09</v>
      </c>
      <c r="BJ80" s="28"/>
      <c r="BK80" s="42"/>
      <c r="BL80" s="29"/>
      <c r="BM80" s="30">
        <f t="shared" ref="BM80:BM110" si="62">SUM(BG80:BL80)</f>
        <v>15.87</v>
      </c>
      <c r="BO80" s="151">
        <v>46082</v>
      </c>
      <c r="BP80" s="152">
        <v>1465.48</v>
      </c>
      <c r="BQ80" s="161">
        <v>779.68</v>
      </c>
      <c r="BR80" s="158">
        <v>1.43</v>
      </c>
      <c r="BS80" s="163">
        <v>164.38</v>
      </c>
      <c r="BT80" s="27"/>
      <c r="BU80" s="239"/>
      <c r="BV80" s="42">
        <v>398.21241815495381</v>
      </c>
      <c r="BW80" s="42"/>
      <c r="BX80" s="29"/>
      <c r="BY80" s="30">
        <f t="shared" ref="BY80:BY99" si="63">SUM(BS80:BX80)</f>
        <v>562.59241815495375</v>
      </c>
      <c r="CA80" s="151">
        <v>46082</v>
      </c>
      <c r="CB80" s="152">
        <v>5695.17</v>
      </c>
      <c r="CC80" s="152">
        <v>1180.58</v>
      </c>
      <c r="CD80" s="331"/>
      <c r="CE80" s="27"/>
      <c r="CF80" s="32">
        <v>28.878850000000028</v>
      </c>
      <c r="CG80" s="42">
        <v>10.471784682857162</v>
      </c>
      <c r="CH80" s="89"/>
      <c r="CI80" s="30">
        <f t="shared" ref="CI80:CI110" si="64">SUM(CD80:CH80)</f>
        <v>39.350634682857191</v>
      </c>
      <c r="CK80" s="151">
        <v>46082</v>
      </c>
      <c r="CL80" s="152">
        <v>1972.7</v>
      </c>
      <c r="CM80" s="161">
        <v>0</v>
      </c>
      <c r="CN80" s="158">
        <v>513.34</v>
      </c>
      <c r="CO80" s="27"/>
      <c r="CP80" s="28"/>
      <c r="CQ80" s="33">
        <v>620.43276248857103</v>
      </c>
      <c r="CR80" s="29"/>
      <c r="CS80" s="30">
        <f>SUM(CN80:CR80)</f>
        <v>1133.7727624885711</v>
      </c>
      <c r="CU80" s="151">
        <v>46082</v>
      </c>
      <c r="CV80" s="159">
        <v>585.16999999999996</v>
      </c>
      <c r="CW80" s="159">
        <v>456.4</v>
      </c>
      <c r="CX80" s="357"/>
      <c r="CY80" s="158">
        <v>3.62</v>
      </c>
      <c r="CZ80" s="27"/>
      <c r="DA80" s="32"/>
      <c r="DB80" s="33">
        <v>8.4840538466666686</v>
      </c>
      <c r="DC80" s="89">
        <v>4.7139666000000062</v>
      </c>
      <c r="DD80" s="30">
        <f>SUM(CY80:DC80)</f>
        <v>16.818020446666676</v>
      </c>
      <c r="DF80" s="151">
        <v>46082</v>
      </c>
      <c r="DG80" s="152">
        <v>1088.83</v>
      </c>
      <c r="DH80" s="159">
        <v>312.77</v>
      </c>
      <c r="DI80" s="162"/>
      <c r="DJ80" s="27"/>
      <c r="DK80" s="32">
        <v>39.898880000000048</v>
      </c>
      <c r="DL80" s="42">
        <v>162.13029497580953</v>
      </c>
      <c r="DM80" s="89"/>
      <c r="DN80" s="30">
        <f t="shared" ref="DN80:DN110" si="65">SUM(DI80:DM80)</f>
        <v>202.02917497580958</v>
      </c>
      <c r="DP80" s="151">
        <v>46082</v>
      </c>
      <c r="DQ80" s="159">
        <v>691.45</v>
      </c>
      <c r="DR80" s="165"/>
      <c r="DS80" s="27"/>
      <c r="DT80" s="28"/>
      <c r="DU80" s="29"/>
      <c r="DV80" s="29"/>
      <c r="DW80" s="30">
        <f t="shared" ref="DW80:DW110" si="66">SUM(DR80:DV80)</f>
        <v>0</v>
      </c>
      <c r="DY80" s="151">
        <v>46082</v>
      </c>
      <c r="DZ80" s="159">
        <v>186.22</v>
      </c>
      <c r="EA80" s="167"/>
      <c r="EB80" s="27"/>
      <c r="EC80" s="28"/>
      <c r="ED80" s="29"/>
      <c r="EE80" s="29"/>
      <c r="EF80" s="30">
        <f t="shared" ref="EF80:EF110" si="67">SUM(EA80:EE80)</f>
        <v>0</v>
      </c>
      <c r="EH80" s="151">
        <v>46082</v>
      </c>
      <c r="EI80" s="154">
        <v>2721.5</v>
      </c>
      <c r="EJ80" s="162"/>
      <c r="EK80" s="27"/>
      <c r="EL80" s="28"/>
      <c r="EM80" s="29"/>
      <c r="EN80" s="29"/>
      <c r="EO80" s="30">
        <f t="shared" ref="EO80:EO110" si="68">SUM(EJ80:EN80)</f>
        <v>0</v>
      </c>
      <c r="EQ80" s="151">
        <v>46082</v>
      </c>
      <c r="ER80" s="152">
        <v>1356.91</v>
      </c>
      <c r="ES80" s="165"/>
      <c r="ET80" s="27"/>
      <c r="EU80" s="32">
        <v>25.16648800000003</v>
      </c>
      <c r="EV80" s="29"/>
      <c r="EW80" s="29"/>
      <c r="EX80" s="30">
        <f t="shared" ref="EX80:EX110" si="69">SUM(ES80:EW80)</f>
        <v>25.16648800000003</v>
      </c>
    </row>
    <row r="81" spans="2:154" x14ac:dyDescent="0.25">
      <c r="B81" s="151">
        <v>46083</v>
      </c>
      <c r="C81" s="152">
        <v>5575.9</v>
      </c>
      <c r="D81" s="152">
        <v>1926.22</v>
      </c>
      <c r="E81" s="152">
        <v>82.59</v>
      </c>
      <c r="F81" s="27"/>
      <c r="G81" s="32">
        <v>506.32466000000022</v>
      </c>
      <c r="H81" s="33"/>
      <c r="I81" s="52"/>
      <c r="J81" s="53">
        <f t="shared" ref="J81:J110" si="70">SUM(E81:I81)</f>
        <v>588.91466000000025</v>
      </c>
      <c r="L81" s="151">
        <v>46083</v>
      </c>
      <c r="M81" s="152">
        <v>17294.07</v>
      </c>
      <c r="N81" s="152">
        <v>3239.13</v>
      </c>
      <c r="O81" s="158">
        <v>54.4</v>
      </c>
      <c r="P81" s="27"/>
      <c r="Q81" s="32">
        <v>12.136150000000015</v>
      </c>
      <c r="R81" s="53"/>
      <c r="S81" s="53"/>
      <c r="T81" s="53"/>
      <c r="U81" s="53">
        <f t="shared" si="59"/>
        <v>66.536150000000021</v>
      </c>
      <c r="W81" s="151">
        <v>46083</v>
      </c>
      <c r="X81" s="152">
        <v>25091.8</v>
      </c>
      <c r="Y81" s="356"/>
      <c r="Z81" s="170">
        <v>9.36</v>
      </c>
      <c r="AA81" s="27"/>
      <c r="AB81" s="51">
        <v>2206.0149999999999</v>
      </c>
      <c r="AC81" s="33">
        <v>268.10559202571449</v>
      </c>
      <c r="AD81" s="33"/>
      <c r="AE81" s="52">
        <v>8.4797348999999826</v>
      </c>
      <c r="AF81" s="53">
        <f>SUM(Z81:AE81)</f>
        <v>2491.9603269257145</v>
      </c>
      <c r="AH81" s="151">
        <v>46083</v>
      </c>
      <c r="AI81" s="152">
        <v>3304.89</v>
      </c>
      <c r="AJ81" s="161">
        <v>784.8</v>
      </c>
      <c r="AK81" s="158">
        <v>6.88</v>
      </c>
      <c r="AL81" s="27"/>
      <c r="AM81" s="32">
        <v>300.78257000000008</v>
      </c>
      <c r="AN81" s="32">
        <v>167.51741935483872</v>
      </c>
      <c r="AO81" s="42"/>
      <c r="AP81" s="44"/>
      <c r="AQ81" s="53">
        <f t="shared" si="60"/>
        <v>475.17998935483877</v>
      </c>
      <c r="AS81" s="151">
        <v>46083</v>
      </c>
      <c r="AT81" s="152">
        <v>22911.07</v>
      </c>
      <c r="AU81" s="152">
        <v>1440.17</v>
      </c>
      <c r="AV81" s="152">
        <v>1711.27</v>
      </c>
      <c r="AW81" s="171"/>
      <c r="AX81" s="27"/>
      <c r="AY81" s="32">
        <v>71.311539999999951</v>
      </c>
      <c r="AZ81" s="53">
        <v>125.65284760571433</v>
      </c>
      <c r="BA81" s="53"/>
      <c r="BB81" s="53">
        <f t="shared" si="61"/>
        <v>196.96438760571428</v>
      </c>
      <c r="BD81" s="151">
        <v>46083</v>
      </c>
      <c r="BE81" s="152">
        <v>1115.26</v>
      </c>
      <c r="BF81" s="154">
        <v>1092.4100000000001</v>
      </c>
      <c r="BG81" s="158">
        <v>4.68</v>
      </c>
      <c r="BH81" s="158">
        <v>30.31</v>
      </c>
      <c r="BJ81" s="51"/>
      <c r="BK81" s="42"/>
      <c r="BL81" s="52"/>
      <c r="BM81" s="53">
        <f t="shared" si="62"/>
        <v>34.989999999999995</v>
      </c>
      <c r="BO81" s="151">
        <v>46083</v>
      </c>
      <c r="BP81" s="152">
        <v>1472.01</v>
      </c>
      <c r="BQ81" s="161">
        <v>565.49</v>
      </c>
      <c r="BR81" s="158">
        <v>2.71</v>
      </c>
      <c r="BS81" s="163">
        <v>212.97</v>
      </c>
      <c r="BT81" s="27"/>
      <c r="BU81" s="240"/>
      <c r="BV81" s="42">
        <v>354.85776038495391</v>
      </c>
      <c r="BW81" s="42"/>
      <c r="BX81" s="52"/>
      <c r="BY81" s="53">
        <f t="shared" si="63"/>
        <v>567.82776038495388</v>
      </c>
      <c r="CA81" s="151">
        <v>46083</v>
      </c>
      <c r="CB81" s="152">
        <v>2836.76</v>
      </c>
      <c r="CC81" s="152">
        <v>1275.8499999999999</v>
      </c>
      <c r="CD81" s="331"/>
      <c r="CE81" s="27"/>
      <c r="CF81" s="32">
        <v>21.160750000000007</v>
      </c>
      <c r="CG81" s="42"/>
      <c r="CH81" s="44"/>
      <c r="CI81" s="53">
        <f t="shared" si="64"/>
        <v>21.160750000000007</v>
      </c>
      <c r="CK81" s="151">
        <v>46083</v>
      </c>
      <c r="CL81" s="152">
        <v>4049.72</v>
      </c>
      <c r="CM81" s="161">
        <v>0</v>
      </c>
      <c r="CN81" s="158">
        <v>272.13</v>
      </c>
      <c r="CO81" s="27"/>
      <c r="CP81" s="51"/>
      <c r="CQ81" s="33">
        <v>178.91963683619039</v>
      </c>
      <c r="CR81" s="52"/>
      <c r="CS81" s="53">
        <f t="shared" ref="CS81:CS110" si="71">SUM(CN81:CR81)</f>
        <v>451.04963683619042</v>
      </c>
      <c r="CU81" s="151">
        <v>46083</v>
      </c>
      <c r="CV81" s="159">
        <v>32.979999999999997</v>
      </c>
      <c r="CW81" s="159">
        <v>584.5</v>
      </c>
      <c r="CX81" s="357"/>
      <c r="CY81" s="158">
        <v>0</v>
      </c>
      <c r="CZ81" s="27"/>
      <c r="DA81" s="32">
        <v>56.255209999999948</v>
      </c>
      <c r="DB81" s="33">
        <v>23.317281388571445</v>
      </c>
      <c r="DC81" s="44"/>
      <c r="DD81" s="53">
        <f t="shared" ref="DD81" si="72">SUM(CY81:DC81)</f>
        <v>79.572491388571393</v>
      </c>
      <c r="DF81" s="151">
        <v>46083</v>
      </c>
      <c r="DG81" s="152">
        <v>1768.98</v>
      </c>
      <c r="DH81" s="159">
        <v>451.77</v>
      </c>
      <c r="DI81" s="162"/>
      <c r="DJ81" s="27"/>
      <c r="DK81" s="32">
        <v>95.907500000000041</v>
      </c>
      <c r="DL81" s="42"/>
      <c r="DM81" s="44"/>
      <c r="DN81" s="53">
        <f t="shared" si="65"/>
        <v>95.907500000000041</v>
      </c>
      <c r="DP81" s="151">
        <v>46083</v>
      </c>
      <c r="DQ81" s="159">
        <v>842.39</v>
      </c>
      <c r="DR81" s="173"/>
      <c r="DS81" s="27"/>
      <c r="DT81" s="51"/>
      <c r="DU81" s="52"/>
      <c r="DV81" s="52"/>
      <c r="DW81" s="53">
        <f t="shared" si="66"/>
        <v>0</v>
      </c>
      <c r="DY81" s="151">
        <v>46083</v>
      </c>
      <c r="DZ81" s="159">
        <v>0</v>
      </c>
      <c r="EA81" s="174"/>
      <c r="EB81" s="27"/>
      <c r="EC81" s="51"/>
      <c r="ED81" s="52"/>
      <c r="EE81" s="52"/>
      <c r="EF81" s="53">
        <f t="shared" si="67"/>
        <v>0</v>
      </c>
      <c r="EH81" s="151">
        <v>46083</v>
      </c>
      <c r="EI81" s="154">
        <v>2352.8000000000002</v>
      </c>
      <c r="EJ81" s="183">
        <v>1050</v>
      </c>
      <c r="EK81" s="27"/>
      <c r="EL81" s="51"/>
      <c r="EM81" s="52"/>
      <c r="EN81" s="52"/>
      <c r="EO81" s="53">
        <f t="shared" si="68"/>
        <v>1050</v>
      </c>
      <c r="EQ81" s="151">
        <v>46083</v>
      </c>
      <c r="ER81" s="152">
        <v>2223.79</v>
      </c>
      <c r="ES81" s="173"/>
      <c r="ET81" s="27"/>
      <c r="EU81" s="32">
        <v>35.205463000000037</v>
      </c>
      <c r="EV81" s="52"/>
      <c r="EW81" s="52"/>
      <c r="EX81" s="53">
        <f t="shared" si="69"/>
        <v>35.205463000000037</v>
      </c>
    </row>
    <row r="82" spans="2:154" x14ac:dyDescent="0.25">
      <c r="B82" s="151">
        <v>46084</v>
      </c>
      <c r="C82" s="152">
        <v>5682.43</v>
      </c>
      <c r="D82" s="152">
        <v>2230.2800000000002</v>
      </c>
      <c r="E82" s="152">
        <v>818.89</v>
      </c>
      <c r="F82" s="27"/>
      <c r="G82" s="32">
        <v>219.25000000000003</v>
      </c>
      <c r="H82" s="33"/>
      <c r="I82" s="52"/>
      <c r="J82" s="53">
        <f t="shared" si="70"/>
        <v>1038.1400000000001</v>
      </c>
      <c r="L82" s="151">
        <v>46084</v>
      </c>
      <c r="M82" s="152">
        <v>28777.24</v>
      </c>
      <c r="N82" s="152">
        <v>3521.49</v>
      </c>
      <c r="O82" s="158">
        <v>118.83</v>
      </c>
      <c r="P82" s="27"/>
      <c r="Q82" s="32">
        <v>7.8006499999999903</v>
      </c>
      <c r="R82" s="53"/>
      <c r="S82" s="53"/>
      <c r="T82" s="53"/>
      <c r="U82" s="53">
        <f t="shared" si="59"/>
        <v>126.63064999999999</v>
      </c>
      <c r="W82" s="151">
        <v>46084</v>
      </c>
      <c r="X82" s="152">
        <v>19126.68</v>
      </c>
      <c r="Y82" s="356"/>
      <c r="Z82" s="170">
        <v>12.75</v>
      </c>
      <c r="AA82" s="27"/>
      <c r="AB82" s="51">
        <v>1295.2000000000003</v>
      </c>
      <c r="AC82" s="33">
        <v>11.954416240000029</v>
      </c>
      <c r="AD82" s="33"/>
      <c r="AE82" s="52"/>
      <c r="AF82" s="53">
        <f t="shared" ref="AF82:AF109" si="73">SUM(Z82:AE82)</f>
        <v>1319.9044162400003</v>
      </c>
      <c r="AH82" s="151">
        <v>46084</v>
      </c>
      <c r="AI82" s="152">
        <v>5055.8</v>
      </c>
      <c r="AJ82" s="154">
        <v>1028.04</v>
      </c>
      <c r="AK82" s="158">
        <v>149.99</v>
      </c>
      <c r="AL82" s="27"/>
      <c r="AM82" s="32">
        <v>363.63320000000004</v>
      </c>
      <c r="AN82" s="32">
        <v>167.51741935483872</v>
      </c>
      <c r="AO82" s="42"/>
      <c r="AP82" s="44">
        <v>23.251985000000019</v>
      </c>
      <c r="AQ82" s="53">
        <f t="shared" si="60"/>
        <v>704.39260435483868</v>
      </c>
      <c r="AS82" s="151">
        <v>46084</v>
      </c>
      <c r="AT82" s="152">
        <v>24897.9</v>
      </c>
      <c r="AU82" s="152">
        <v>1944.4</v>
      </c>
      <c r="AV82" s="159">
        <v>0</v>
      </c>
      <c r="AW82" s="171"/>
      <c r="AX82" s="27"/>
      <c r="AY82" s="32">
        <v>15.150239999999997</v>
      </c>
      <c r="AZ82" s="53">
        <v>57.766564409904774</v>
      </c>
      <c r="BA82" s="53">
        <v>14.995666499999999</v>
      </c>
      <c r="BB82" s="53">
        <f t="shared" si="61"/>
        <v>87.912470909904769</v>
      </c>
      <c r="BD82" s="151">
        <v>46084</v>
      </c>
      <c r="BE82" s="152">
        <v>1861.1</v>
      </c>
      <c r="BF82" s="154">
        <v>1296.28</v>
      </c>
      <c r="BG82" s="158">
        <v>4.6900000000000004</v>
      </c>
      <c r="BH82" s="158">
        <v>143.53</v>
      </c>
      <c r="BJ82" s="51"/>
      <c r="BK82" s="42"/>
      <c r="BL82" s="52"/>
      <c r="BM82" s="53">
        <f t="shared" si="62"/>
        <v>148.22</v>
      </c>
      <c r="BO82" s="151">
        <v>46084</v>
      </c>
      <c r="BP82" s="152">
        <v>1337.39</v>
      </c>
      <c r="BQ82" s="161">
        <v>685.38</v>
      </c>
      <c r="BR82" s="158">
        <v>4.41</v>
      </c>
      <c r="BS82" s="163">
        <v>156.21</v>
      </c>
      <c r="BT82" s="27"/>
      <c r="BU82" s="240">
        <v>9.2546250000000043</v>
      </c>
      <c r="BV82" s="42">
        <v>-51.713691793902797</v>
      </c>
      <c r="BW82" s="42"/>
      <c r="BX82" s="52"/>
      <c r="BY82" s="53">
        <f t="shared" si="63"/>
        <v>113.75093320609722</v>
      </c>
      <c r="CA82" s="151">
        <v>46084</v>
      </c>
      <c r="CB82" s="152">
        <v>5962.38</v>
      </c>
      <c r="CC82" s="152">
        <v>1506.85</v>
      </c>
      <c r="CD82" s="331"/>
      <c r="CE82" s="27"/>
      <c r="CF82" s="32">
        <v>37.128120000000052</v>
      </c>
      <c r="CG82" s="42"/>
      <c r="CH82" s="44">
        <v>7.6861054000000024</v>
      </c>
      <c r="CI82" s="53">
        <f t="shared" si="64"/>
        <v>44.814225400000055</v>
      </c>
      <c r="CK82" s="151">
        <v>46084</v>
      </c>
      <c r="CL82" s="152">
        <v>5759.59</v>
      </c>
      <c r="CM82" s="161">
        <v>0</v>
      </c>
      <c r="CN82" s="158">
        <v>345.64</v>
      </c>
      <c r="CO82" s="27"/>
      <c r="CP82" s="51"/>
      <c r="CQ82" s="33">
        <v>195.99219611428558</v>
      </c>
      <c r="CR82" s="52"/>
      <c r="CS82" s="53">
        <f t="shared" si="71"/>
        <v>541.63219611428553</v>
      </c>
      <c r="CU82" s="151">
        <v>46084</v>
      </c>
      <c r="CV82" s="159">
        <v>703.02</v>
      </c>
      <c r="CW82" s="159">
        <v>373.2</v>
      </c>
      <c r="CX82" s="357"/>
      <c r="CY82" s="158">
        <v>36.450000000000003</v>
      </c>
      <c r="CZ82" s="27"/>
      <c r="DA82" s="32">
        <v>11.570229999999981</v>
      </c>
      <c r="DB82" s="33">
        <v>12.646119228571479</v>
      </c>
      <c r="DC82" s="44"/>
      <c r="DD82" s="53">
        <f>SUM(CY82:DC82)</f>
        <v>60.666349228571463</v>
      </c>
      <c r="DF82" s="151">
        <v>46084</v>
      </c>
      <c r="DG82" s="152">
        <v>1967.82</v>
      </c>
      <c r="DH82" s="159">
        <v>570.32000000000005</v>
      </c>
      <c r="DI82" s="162"/>
      <c r="DJ82" s="27"/>
      <c r="DK82" s="32">
        <v>204.5357800000001</v>
      </c>
      <c r="DL82" s="42"/>
      <c r="DM82" s="44"/>
      <c r="DN82" s="53">
        <f t="shared" si="65"/>
        <v>204.5357800000001</v>
      </c>
      <c r="DP82" s="151">
        <v>46084</v>
      </c>
      <c r="DQ82" s="159">
        <v>786</v>
      </c>
      <c r="DR82" s="173"/>
      <c r="DS82" s="27"/>
      <c r="DT82" s="51"/>
      <c r="DU82" s="52"/>
      <c r="DV82" s="52"/>
      <c r="DW82" s="53">
        <f t="shared" si="66"/>
        <v>0</v>
      </c>
      <c r="DY82" s="151">
        <v>46084</v>
      </c>
      <c r="DZ82" s="159">
        <v>787.58</v>
      </c>
      <c r="EA82" s="174"/>
      <c r="EB82" s="27"/>
      <c r="EC82" s="51"/>
      <c r="ED82" s="52"/>
      <c r="EE82" s="52"/>
      <c r="EF82" s="53">
        <f t="shared" si="67"/>
        <v>0</v>
      </c>
      <c r="EH82" s="151">
        <v>46084</v>
      </c>
      <c r="EI82" s="154">
        <v>1691.2</v>
      </c>
      <c r="EJ82" s="158">
        <v>370</v>
      </c>
      <c r="EK82" s="27"/>
      <c r="EL82" s="51"/>
      <c r="EM82" s="52"/>
      <c r="EN82" s="52"/>
      <c r="EO82" s="53">
        <f t="shared" si="68"/>
        <v>370</v>
      </c>
      <c r="EQ82" s="151">
        <v>46084</v>
      </c>
      <c r="ER82" s="152">
        <v>1084.28</v>
      </c>
      <c r="ES82" s="173"/>
      <c r="ET82" s="27"/>
      <c r="EU82" s="32">
        <v>78.213430000000074</v>
      </c>
      <c r="EV82" s="52"/>
      <c r="EW82" s="52"/>
      <c r="EX82" s="53">
        <f t="shared" si="69"/>
        <v>78.213430000000074</v>
      </c>
    </row>
    <row r="83" spans="2:154" x14ac:dyDescent="0.25">
      <c r="B83" s="151">
        <v>46085</v>
      </c>
      <c r="C83" s="152">
        <v>4694.41</v>
      </c>
      <c r="D83" s="159">
        <v>0</v>
      </c>
      <c r="E83" s="152">
        <v>554.57000000000005</v>
      </c>
      <c r="F83" s="27"/>
      <c r="G83" s="32">
        <v>374.86215000000004</v>
      </c>
      <c r="H83" s="33">
        <v>401.90628571428601</v>
      </c>
      <c r="I83" s="52"/>
      <c r="J83" s="53">
        <f t="shared" si="70"/>
        <v>1331.3384357142861</v>
      </c>
      <c r="L83" s="151">
        <v>46085</v>
      </c>
      <c r="M83" s="152">
        <v>29509.42</v>
      </c>
      <c r="N83" s="159">
        <v>0</v>
      </c>
      <c r="O83" s="158">
        <v>86.54</v>
      </c>
      <c r="P83" s="27"/>
      <c r="Q83" s="32">
        <v>31.841700000000003</v>
      </c>
      <c r="R83" s="53"/>
      <c r="S83" s="53"/>
      <c r="T83" s="53"/>
      <c r="U83" s="53">
        <f t="shared" si="59"/>
        <v>118.38170000000001</v>
      </c>
      <c r="W83" s="151">
        <v>46085</v>
      </c>
      <c r="X83" s="152">
        <v>21169.02</v>
      </c>
      <c r="Y83" s="356"/>
      <c r="Z83" s="170">
        <v>1.5</v>
      </c>
      <c r="AA83" s="27"/>
      <c r="AB83" s="51">
        <v>1072.5376200000005</v>
      </c>
      <c r="AC83" s="33">
        <v>182.00927143428567</v>
      </c>
      <c r="AD83" s="33"/>
      <c r="AE83" s="52"/>
      <c r="AF83" s="53">
        <f t="shared" si="73"/>
        <v>1256.0468914342862</v>
      </c>
      <c r="AH83" s="151">
        <v>46085</v>
      </c>
      <c r="AI83" s="152">
        <v>4487.21</v>
      </c>
      <c r="AJ83" s="161">
        <v>714.08</v>
      </c>
      <c r="AK83" s="158">
        <v>53.25</v>
      </c>
      <c r="AL83" s="27"/>
      <c r="AM83" s="32">
        <v>154.10350000000003</v>
      </c>
      <c r="AN83" s="32">
        <v>167.51741935483872</v>
      </c>
      <c r="AO83" s="42">
        <v>84.962434361904741</v>
      </c>
      <c r="AP83" s="44"/>
      <c r="AQ83" s="53">
        <f t="shared" si="60"/>
        <v>459.83335371674349</v>
      </c>
      <c r="AS83" s="151">
        <v>46085</v>
      </c>
      <c r="AT83" s="152">
        <v>21859.56</v>
      </c>
      <c r="AU83" s="152">
        <v>1577.89</v>
      </c>
      <c r="AV83" s="159">
        <v>0</v>
      </c>
      <c r="AW83" s="171"/>
      <c r="AX83" s="27"/>
      <c r="AY83" s="32">
        <v>11.697839999999999</v>
      </c>
      <c r="AZ83" s="53">
        <v>115.90954440761911</v>
      </c>
      <c r="BA83" s="53"/>
      <c r="BB83" s="53">
        <f t="shared" si="61"/>
        <v>127.60738440761911</v>
      </c>
      <c r="BD83" s="151">
        <v>46085</v>
      </c>
      <c r="BE83" s="152">
        <v>1814.9</v>
      </c>
      <c r="BF83" s="154">
        <v>2183.85</v>
      </c>
      <c r="BG83" s="158">
        <v>0</v>
      </c>
      <c r="BH83" s="158">
        <v>8.8000000000000007</v>
      </c>
      <c r="BJ83" s="51"/>
      <c r="BK83" s="42"/>
      <c r="BL83" s="52"/>
      <c r="BM83" s="53">
        <f t="shared" si="62"/>
        <v>8.8000000000000007</v>
      </c>
      <c r="BO83" s="151">
        <v>46085</v>
      </c>
      <c r="BP83" s="159">
        <v>982.88</v>
      </c>
      <c r="BQ83" s="161">
        <v>798.6</v>
      </c>
      <c r="BR83" s="158">
        <v>0.45</v>
      </c>
      <c r="BS83" s="163">
        <v>37.619999999999997</v>
      </c>
      <c r="BT83" s="27"/>
      <c r="BU83" s="240">
        <v>4.4017920000000004</v>
      </c>
      <c r="BV83" s="42">
        <v>18.96666142628743</v>
      </c>
      <c r="BW83" s="42"/>
      <c r="BX83" s="52"/>
      <c r="BY83" s="53">
        <f t="shared" si="63"/>
        <v>60.988453426287428</v>
      </c>
      <c r="CA83" s="151">
        <v>46085</v>
      </c>
      <c r="CB83" s="152">
        <v>2389.92</v>
      </c>
      <c r="CC83" s="159">
        <v>710.8</v>
      </c>
      <c r="CD83" s="163"/>
      <c r="CE83" s="27"/>
      <c r="CF83" s="32">
        <v>5.1504200000000537</v>
      </c>
      <c r="CG83" s="42"/>
      <c r="CH83" s="44"/>
      <c r="CI83" s="53">
        <f t="shared" si="64"/>
        <v>5.1504200000000537</v>
      </c>
      <c r="CK83" s="151">
        <v>46085</v>
      </c>
      <c r="CL83" s="152">
        <v>3263.81</v>
      </c>
      <c r="CM83" s="161">
        <v>0</v>
      </c>
      <c r="CN83" s="158">
        <v>546.02</v>
      </c>
      <c r="CO83" s="27"/>
      <c r="CP83" s="51"/>
      <c r="CQ83" s="33">
        <v>133.27768069333322</v>
      </c>
      <c r="CR83" s="52"/>
      <c r="CS83" s="53">
        <f t="shared" si="71"/>
        <v>679.29768069333318</v>
      </c>
      <c r="CU83" s="151">
        <v>46085</v>
      </c>
      <c r="CV83" s="159">
        <v>419.72</v>
      </c>
      <c r="CW83" s="159">
        <v>459.9</v>
      </c>
      <c r="CX83" s="358"/>
      <c r="CY83" s="158">
        <v>59.63</v>
      </c>
      <c r="CZ83" s="27"/>
      <c r="DA83" s="32">
        <v>11.618280000000013</v>
      </c>
      <c r="DB83" s="33"/>
      <c r="DC83" s="44"/>
      <c r="DD83" s="53">
        <f>SUM(CY83:DC83)</f>
        <v>71.248280000000022</v>
      </c>
      <c r="DF83" s="151">
        <v>46085</v>
      </c>
      <c r="DG83" s="152">
        <v>1965.75</v>
      </c>
      <c r="DH83" s="159">
        <v>524.99</v>
      </c>
      <c r="DI83" s="158"/>
      <c r="DJ83" s="27"/>
      <c r="DK83" s="32">
        <v>276.36118000000027</v>
      </c>
      <c r="DL83" s="42"/>
      <c r="DM83" s="44"/>
      <c r="DN83" s="53">
        <f t="shared" si="65"/>
        <v>276.36118000000027</v>
      </c>
      <c r="DP83" s="151">
        <v>46085</v>
      </c>
      <c r="DQ83" s="159">
        <v>785.3</v>
      </c>
      <c r="DR83" s="173"/>
      <c r="DS83" s="27"/>
      <c r="DT83" s="51"/>
      <c r="DU83" s="52"/>
      <c r="DV83" s="52"/>
      <c r="DW83" s="53">
        <f t="shared" si="66"/>
        <v>0</v>
      </c>
      <c r="DY83" s="151">
        <v>46085</v>
      </c>
      <c r="DZ83" s="159">
        <v>570</v>
      </c>
      <c r="EA83" s="174"/>
      <c r="EB83" s="27"/>
      <c r="EC83" s="51"/>
      <c r="ED83" s="52"/>
      <c r="EE83" s="52"/>
      <c r="EF83" s="53">
        <f t="shared" si="67"/>
        <v>0</v>
      </c>
      <c r="EH83" s="151">
        <v>46085</v>
      </c>
      <c r="EI83" s="154">
        <v>1839.5</v>
      </c>
      <c r="EJ83" s="158">
        <v>0</v>
      </c>
      <c r="EK83" s="27"/>
      <c r="EL83" s="51"/>
      <c r="EM83" s="52"/>
      <c r="EN83" s="52"/>
      <c r="EO83" s="53">
        <f t="shared" si="68"/>
        <v>0</v>
      </c>
      <c r="EQ83" s="151">
        <v>46085</v>
      </c>
      <c r="ER83" s="152">
        <v>2318.98</v>
      </c>
      <c r="ES83" s="173"/>
      <c r="ET83" s="27"/>
      <c r="EU83" s="32">
        <v>25.330093000000019</v>
      </c>
      <c r="EV83" s="52"/>
      <c r="EW83" s="52"/>
      <c r="EX83" s="53">
        <f t="shared" si="69"/>
        <v>25.330093000000019</v>
      </c>
    </row>
    <row r="84" spans="2:154" x14ac:dyDescent="0.25">
      <c r="B84" s="151">
        <v>46086</v>
      </c>
      <c r="C84" s="152">
        <v>5986.69</v>
      </c>
      <c r="D84" s="159">
        <v>0</v>
      </c>
      <c r="E84" s="152">
        <v>480.03</v>
      </c>
      <c r="F84" s="27"/>
      <c r="G84" s="32">
        <v>79.824689999999919</v>
      </c>
      <c r="H84" s="33">
        <v>170.97407421714286</v>
      </c>
      <c r="I84" s="52">
        <v>12.556356000000001</v>
      </c>
      <c r="J84" s="53">
        <f t="shared" si="70"/>
        <v>743.3851202171428</v>
      </c>
      <c r="L84" s="151">
        <v>46086</v>
      </c>
      <c r="M84" s="152">
        <v>54043.41</v>
      </c>
      <c r="N84" s="159">
        <v>66.34</v>
      </c>
      <c r="O84" s="158">
        <v>243.28</v>
      </c>
      <c r="P84" s="27"/>
      <c r="Q84" s="32"/>
      <c r="R84" s="53">
        <v>21.218752785142854</v>
      </c>
      <c r="S84" s="53"/>
      <c r="T84" s="53"/>
      <c r="U84" s="53">
        <f t="shared" si="59"/>
        <v>264.49875278514287</v>
      </c>
      <c r="W84" s="151">
        <v>46086</v>
      </c>
      <c r="X84" s="152">
        <v>20763.22</v>
      </c>
      <c r="Y84" s="356"/>
      <c r="Z84" s="170">
        <v>10.5</v>
      </c>
      <c r="AA84" s="27"/>
      <c r="AB84" s="51">
        <v>3020.70597</v>
      </c>
      <c r="AC84" s="33">
        <v>359.79036662457156</v>
      </c>
      <c r="AD84" s="33"/>
      <c r="AE84" s="52"/>
      <c r="AF84" s="53">
        <f t="shared" si="73"/>
        <v>3390.9963366245715</v>
      </c>
      <c r="AH84" s="151">
        <v>46086</v>
      </c>
      <c r="AI84" s="152">
        <v>4720.58</v>
      </c>
      <c r="AJ84" s="161">
        <v>811.53</v>
      </c>
      <c r="AK84" s="158">
        <v>206.06</v>
      </c>
      <c r="AL84" s="27"/>
      <c r="AM84" s="32">
        <v>602.16719000000001</v>
      </c>
      <c r="AN84" s="32">
        <v>167.51741935483872</v>
      </c>
      <c r="AO84" s="42"/>
      <c r="AP84" s="44"/>
      <c r="AQ84" s="53">
        <f t="shared" si="60"/>
        <v>975.74460935483876</v>
      </c>
      <c r="AS84" s="151">
        <v>46086</v>
      </c>
      <c r="AT84" s="152">
        <v>38039.339999999997</v>
      </c>
      <c r="AU84" s="152">
        <v>4379.16</v>
      </c>
      <c r="AV84" s="159">
        <v>0</v>
      </c>
      <c r="AW84" s="171"/>
      <c r="AX84" s="27"/>
      <c r="AY84" s="32">
        <v>7.7703399999999956</v>
      </c>
      <c r="AZ84" s="53">
        <v>154.89185624457139</v>
      </c>
      <c r="BA84" s="53"/>
      <c r="BB84" s="53">
        <f t="shared" si="61"/>
        <v>162.66219624457139</v>
      </c>
      <c r="BD84" s="151">
        <v>46086</v>
      </c>
      <c r="BE84" s="152">
        <v>2949.83</v>
      </c>
      <c r="BF84" s="154">
        <v>1673.67</v>
      </c>
      <c r="BG84" s="162"/>
      <c r="BH84" s="162"/>
      <c r="BJ84" s="51"/>
      <c r="BK84" s="42"/>
      <c r="BL84" s="52"/>
      <c r="BM84" s="53">
        <f t="shared" si="62"/>
        <v>0</v>
      </c>
      <c r="BO84" s="151">
        <v>46086</v>
      </c>
      <c r="BP84" s="152">
        <v>1019.01</v>
      </c>
      <c r="BQ84" s="154">
        <v>1781.05</v>
      </c>
      <c r="BR84" s="158">
        <v>0</v>
      </c>
      <c r="BS84" s="163">
        <v>44.54</v>
      </c>
      <c r="BT84" s="27"/>
      <c r="BU84" s="240"/>
      <c r="BV84" s="42">
        <v>-1600.2905507214848</v>
      </c>
      <c r="BW84" s="42"/>
      <c r="BX84" s="52"/>
      <c r="BY84" s="53">
        <f t="shared" si="63"/>
        <v>-1555.7505507214848</v>
      </c>
      <c r="CA84" s="151">
        <v>46086</v>
      </c>
      <c r="CB84" s="152">
        <v>6314.44</v>
      </c>
      <c r="CC84" s="159">
        <v>795.59</v>
      </c>
      <c r="CD84" s="331"/>
      <c r="CE84" s="27"/>
      <c r="CF84" s="32">
        <v>-302.38968</v>
      </c>
      <c r="CG84" s="42"/>
      <c r="CH84" s="44"/>
      <c r="CI84" s="53">
        <f t="shared" si="64"/>
        <v>-302.38968</v>
      </c>
      <c r="CK84" s="151">
        <v>46086</v>
      </c>
      <c r="CL84" s="152">
        <v>12382.56</v>
      </c>
      <c r="CM84" s="154">
        <v>1003.82</v>
      </c>
      <c r="CN84" s="158">
        <v>507.74</v>
      </c>
      <c r="CO84" s="27"/>
      <c r="CP84" s="51"/>
      <c r="CQ84" s="33">
        <v>-99.384687102857299</v>
      </c>
      <c r="CR84" s="52"/>
      <c r="CS84" s="53">
        <f t="shared" si="71"/>
        <v>408.35531289714271</v>
      </c>
      <c r="CU84" s="151">
        <v>46086</v>
      </c>
      <c r="CV84" s="159">
        <v>787.23</v>
      </c>
      <c r="CW84" s="159">
        <v>407.7</v>
      </c>
      <c r="CX84" s="357"/>
      <c r="CY84" s="158">
        <v>21.18</v>
      </c>
      <c r="CZ84" s="27"/>
      <c r="DA84" s="32">
        <v>-35.619510000000062</v>
      </c>
      <c r="DB84" s="33">
        <v>14.803423800000047</v>
      </c>
      <c r="DC84" s="44">
        <v>-0.2625280000000032</v>
      </c>
      <c r="DD84" s="53">
        <f>SUM(CY84:DC84)</f>
        <v>0.10138579999998143</v>
      </c>
      <c r="DF84" s="151">
        <v>46086</v>
      </c>
      <c r="DG84" s="152">
        <v>1403.36</v>
      </c>
      <c r="DH84" s="159">
        <v>550.46</v>
      </c>
      <c r="DI84" s="162"/>
      <c r="DJ84" s="27"/>
      <c r="DK84" s="32">
        <v>-44.957859999999975</v>
      </c>
      <c r="DL84" s="42"/>
      <c r="DM84" s="44"/>
      <c r="DN84" s="53">
        <f t="shared" si="65"/>
        <v>-44.957859999999975</v>
      </c>
      <c r="DP84" s="151">
        <v>46086</v>
      </c>
      <c r="DQ84" s="159">
        <v>745.36</v>
      </c>
      <c r="DR84" s="173"/>
      <c r="DS84" s="27"/>
      <c r="DT84" s="51"/>
      <c r="DU84" s="52"/>
      <c r="DV84" s="52"/>
      <c r="DW84" s="53">
        <f t="shared" si="66"/>
        <v>0</v>
      </c>
      <c r="DY84" s="151">
        <v>46086</v>
      </c>
      <c r="DZ84" s="159">
        <v>619.80999999999995</v>
      </c>
      <c r="EA84" s="174"/>
      <c r="EB84" s="27"/>
      <c r="EC84" s="51"/>
      <c r="ED84" s="52"/>
      <c r="EE84" s="52"/>
      <c r="EF84" s="53">
        <f t="shared" si="67"/>
        <v>0</v>
      </c>
      <c r="EH84" s="151">
        <v>46086</v>
      </c>
      <c r="EI84" s="154">
        <v>1578.8</v>
      </c>
      <c r="EJ84" s="162"/>
      <c r="EK84" s="27"/>
      <c r="EL84" s="51"/>
      <c r="EM84" s="52"/>
      <c r="EN84" s="52"/>
      <c r="EO84" s="53">
        <f t="shared" si="68"/>
        <v>0</v>
      </c>
      <c r="EQ84" s="151">
        <v>46086</v>
      </c>
      <c r="ER84" s="152">
        <v>1389.37</v>
      </c>
      <c r="ES84" s="173"/>
      <c r="ET84" s="27"/>
      <c r="EU84" s="32">
        <v>162.80845000000008</v>
      </c>
      <c r="EV84" s="52"/>
      <c r="EW84" s="52"/>
      <c r="EX84" s="53">
        <f t="shared" si="69"/>
        <v>162.80845000000008</v>
      </c>
    </row>
    <row r="85" spans="2:154" x14ac:dyDescent="0.25">
      <c r="B85" s="151">
        <v>46087</v>
      </c>
      <c r="C85" s="152">
        <v>6402.67</v>
      </c>
      <c r="D85" s="159">
        <v>0</v>
      </c>
      <c r="E85" s="152">
        <v>732.81</v>
      </c>
      <c r="F85" s="27"/>
      <c r="G85" s="32">
        <v>138.13723000000002</v>
      </c>
      <c r="H85" s="33">
        <v>20.848160342857142</v>
      </c>
      <c r="I85" s="52"/>
      <c r="J85" s="53">
        <f t="shared" si="70"/>
        <v>891.7953903428571</v>
      </c>
      <c r="L85" s="151">
        <v>46087</v>
      </c>
      <c r="M85" s="152">
        <v>32622.14</v>
      </c>
      <c r="N85" s="152">
        <v>5080.47</v>
      </c>
      <c r="O85" s="158">
        <v>42.47</v>
      </c>
      <c r="P85" s="27"/>
      <c r="Q85" s="32">
        <v>191.72718999999972</v>
      </c>
      <c r="R85" s="53"/>
      <c r="S85" s="53"/>
      <c r="T85" s="53"/>
      <c r="U85" s="53">
        <f t="shared" si="59"/>
        <v>234.19718999999972</v>
      </c>
      <c r="W85" s="151">
        <v>46087</v>
      </c>
      <c r="X85" s="152">
        <v>25337.42</v>
      </c>
      <c r="Y85" s="356"/>
      <c r="Z85" s="170">
        <v>4.71</v>
      </c>
      <c r="AA85" s="27"/>
      <c r="AB85" s="51">
        <v>801.13977999999963</v>
      </c>
      <c r="AC85" s="33">
        <v>17.358128057142835</v>
      </c>
      <c r="AD85" s="33"/>
      <c r="AE85" s="52"/>
      <c r="AF85" s="53">
        <f t="shared" si="73"/>
        <v>823.2079080571425</v>
      </c>
      <c r="AH85" s="151">
        <v>46087</v>
      </c>
      <c r="AI85" s="152">
        <v>4599.95</v>
      </c>
      <c r="AJ85" s="154">
        <v>1137.5</v>
      </c>
      <c r="AK85" s="183">
        <v>1319.43</v>
      </c>
      <c r="AL85" s="27"/>
      <c r="AM85" s="32">
        <v>893.83139999999901</v>
      </c>
      <c r="AN85" s="32">
        <v>167.51741935483872</v>
      </c>
      <c r="AO85" s="42">
        <v>55.096515005714366</v>
      </c>
      <c r="AP85" s="44">
        <v>60.733446000000015</v>
      </c>
      <c r="AQ85" s="53">
        <f t="shared" si="60"/>
        <v>2496.6087803605524</v>
      </c>
      <c r="AS85" s="151">
        <v>46087</v>
      </c>
      <c r="AT85" s="152">
        <v>37397.39</v>
      </c>
      <c r="AU85" s="419">
        <v>209.51</v>
      </c>
      <c r="AV85" s="159">
        <v>0</v>
      </c>
      <c r="AW85" s="171"/>
      <c r="AX85" s="27"/>
      <c r="AY85" s="32"/>
      <c r="AZ85" s="53">
        <v>69.715611445714288</v>
      </c>
      <c r="BA85" s="53"/>
      <c r="BB85" s="53">
        <f t="shared" si="61"/>
        <v>69.715611445714288</v>
      </c>
      <c r="BD85" s="151">
        <v>46087</v>
      </c>
      <c r="BE85" s="152">
        <v>5841.02</v>
      </c>
      <c r="BF85" s="161">
        <v>869.77</v>
      </c>
      <c r="BG85" s="162"/>
      <c r="BH85" s="162"/>
      <c r="BJ85" s="51"/>
      <c r="BK85" s="42"/>
      <c r="BL85" s="52"/>
      <c r="BM85" s="53">
        <f t="shared" si="62"/>
        <v>0</v>
      </c>
      <c r="BO85" s="151">
        <v>46087</v>
      </c>
      <c r="BP85" s="152">
        <v>5794.82</v>
      </c>
      <c r="BQ85" s="161">
        <v>540.61</v>
      </c>
      <c r="BR85" s="158"/>
      <c r="BS85" s="331"/>
      <c r="BT85" s="27"/>
      <c r="BU85" s="240"/>
      <c r="BV85" s="42">
        <v>-741.60245829142843</v>
      </c>
      <c r="BW85" s="42"/>
      <c r="BX85" s="52"/>
      <c r="BY85" s="53">
        <f t="shared" si="63"/>
        <v>-741.60245829142843</v>
      </c>
      <c r="CA85" s="151">
        <v>46087</v>
      </c>
      <c r="CB85" s="152">
        <v>12003.18</v>
      </c>
      <c r="CC85" s="152">
        <v>1764.14</v>
      </c>
      <c r="CD85" s="331"/>
      <c r="CE85" s="27"/>
      <c r="CF85" s="32">
        <v>-53.966180000000151</v>
      </c>
      <c r="CG85" s="42"/>
      <c r="CH85" s="44"/>
      <c r="CI85" s="53">
        <f t="shared" si="64"/>
        <v>-53.966180000000151</v>
      </c>
      <c r="CK85" s="151">
        <v>46087</v>
      </c>
      <c r="CL85" s="152">
        <v>5276.54</v>
      </c>
      <c r="CM85" s="154">
        <v>2665.05</v>
      </c>
      <c r="CN85" s="183">
        <v>1187.04</v>
      </c>
      <c r="CO85" s="27"/>
      <c r="CP85" s="51"/>
      <c r="CQ85" s="33">
        <v>19.778414491428805</v>
      </c>
      <c r="CR85" s="52"/>
      <c r="CS85" s="53">
        <f t="shared" si="71"/>
        <v>1206.8184144914287</v>
      </c>
      <c r="CU85" s="151">
        <v>46087</v>
      </c>
      <c r="CV85" s="159">
        <v>485.7</v>
      </c>
      <c r="CW85" s="159">
        <v>321.2</v>
      </c>
      <c r="CX85" s="357"/>
      <c r="CY85" s="158">
        <v>84.6</v>
      </c>
      <c r="CZ85" s="27"/>
      <c r="DA85" s="32">
        <v>2.128169999999983</v>
      </c>
      <c r="DB85" s="33">
        <v>-2.1255441428571089</v>
      </c>
      <c r="DC85" s="44"/>
      <c r="DD85" s="53">
        <f t="shared" ref="DD85:DD93" si="74">SUM(CY85:DC85)</f>
        <v>84.602625857142868</v>
      </c>
      <c r="DF85" s="151">
        <v>46087</v>
      </c>
      <c r="DG85" s="152">
        <v>2441.4299999999998</v>
      </c>
      <c r="DH85" s="159">
        <v>451.34</v>
      </c>
      <c r="DI85" s="162"/>
      <c r="DJ85" s="27"/>
      <c r="DK85" s="32">
        <v>-362.75024000000059</v>
      </c>
      <c r="DL85" s="42"/>
      <c r="DM85" s="44"/>
      <c r="DN85" s="53">
        <f t="shared" si="65"/>
        <v>-362.75024000000059</v>
      </c>
      <c r="DP85" s="151">
        <v>46087</v>
      </c>
      <c r="DQ85" s="152">
        <v>1745.3</v>
      </c>
      <c r="DR85" s="173"/>
      <c r="DS85" s="27"/>
      <c r="DT85" s="51"/>
      <c r="DU85" s="52"/>
      <c r="DV85" s="52"/>
      <c r="DW85" s="53">
        <f t="shared" si="66"/>
        <v>0</v>
      </c>
      <c r="DY85" s="151">
        <v>46087</v>
      </c>
      <c r="DZ85" s="159">
        <v>150</v>
      </c>
      <c r="EA85" s="174"/>
      <c r="EB85" s="27"/>
      <c r="EC85" s="51"/>
      <c r="ED85" s="52"/>
      <c r="EE85" s="52"/>
      <c r="EF85" s="53">
        <f t="shared" si="67"/>
        <v>0</v>
      </c>
      <c r="EH85" s="151">
        <v>46087</v>
      </c>
      <c r="EI85" s="361">
        <v>1676.06</v>
      </c>
      <c r="EJ85" s="183">
        <v>3800</v>
      </c>
      <c r="EK85" s="27"/>
      <c r="EL85" s="51"/>
      <c r="EM85" s="52"/>
      <c r="EN85" s="52"/>
      <c r="EO85" s="53">
        <f t="shared" si="68"/>
        <v>3800</v>
      </c>
      <c r="EQ85" s="151">
        <v>46087</v>
      </c>
      <c r="ER85" s="152">
        <v>2359.02</v>
      </c>
      <c r="ES85" s="173"/>
      <c r="ET85" s="27"/>
      <c r="EU85" s="32">
        <v>161.07165200000003</v>
      </c>
      <c r="EV85" s="52"/>
      <c r="EW85" s="52"/>
      <c r="EX85" s="53">
        <f t="shared" si="69"/>
        <v>161.07165200000003</v>
      </c>
    </row>
    <row r="86" spans="2:154" x14ac:dyDescent="0.25">
      <c r="B86" s="151">
        <v>46088</v>
      </c>
      <c r="C86" s="152">
        <v>4464.55</v>
      </c>
      <c r="D86" s="159">
        <v>0</v>
      </c>
      <c r="E86" s="152">
        <v>372.67</v>
      </c>
      <c r="F86" s="27"/>
      <c r="G86" s="32">
        <v>185.99688999999998</v>
      </c>
      <c r="H86" s="33">
        <v>404.45405462857116</v>
      </c>
      <c r="I86" s="52"/>
      <c r="J86" s="53">
        <f t="shared" si="70"/>
        <v>963.12094462857112</v>
      </c>
      <c r="L86" s="151">
        <v>46088</v>
      </c>
      <c r="M86" s="152">
        <v>25914.42</v>
      </c>
      <c r="N86" s="152">
        <v>2198.6</v>
      </c>
      <c r="O86" s="158">
        <v>19.38</v>
      </c>
      <c r="P86" s="27"/>
      <c r="Q86" s="32">
        <v>815.64008999999965</v>
      </c>
      <c r="R86" s="53"/>
      <c r="S86" s="53"/>
      <c r="T86" s="53"/>
      <c r="U86" s="53">
        <f t="shared" si="59"/>
        <v>835.02008999999964</v>
      </c>
      <c r="W86" s="151">
        <v>46088</v>
      </c>
      <c r="X86" s="152">
        <v>36967.910000000003</v>
      </c>
      <c r="Y86" s="356"/>
      <c r="Z86" s="162"/>
      <c r="AA86" s="27"/>
      <c r="AB86" s="51">
        <v>1483.2976799999983</v>
      </c>
      <c r="AC86" s="33">
        <v>393.42207774285686</v>
      </c>
      <c r="AD86" s="33"/>
      <c r="AE86" s="52"/>
      <c r="AF86" s="53">
        <f t="shared" si="73"/>
        <v>1876.7197577428551</v>
      </c>
      <c r="AH86" s="151">
        <v>46088</v>
      </c>
      <c r="AI86" s="152">
        <v>6355.39</v>
      </c>
      <c r="AJ86" s="154">
        <v>2781.37</v>
      </c>
      <c r="AK86" s="158">
        <v>347.17</v>
      </c>
      <c r="AL86" s="27"/>
      <c r="AM86" s="32">
        <v>279.79895999999979</v>
      </c>
      <c r="AN86" s="32">
        <v>167.51741935483872</v>
      </c>
      <c r="AO86" s="42">
        <v>110.1675351771429</v>
      </c>
      <c r="AP86" s="44"/>
      <c r="AQ86" s="53">
        <f t="shared" si="60"/>
        <v>904.6539145319814</v>
      </c>
      <c r="AS86" s="151">
        <v>46088</v>
      </c>
      <c r="AT86" s="152">
        <v>31400.69</v>
      </c>
      <c r="AU86" s="159">
        <v>0</v>
      </c>
      <c r="AV86" s="159">
        <v>0</v>
      </c>
      <c r="AW86" s="171"/>
      <c r="AX86" s="27"/>
      <c r="AY86" s="32"/>
      <c r="AZ86" s="53">
        <v>161.92670050857132</v>
      </c>
      <c r="BA86" s="53"/>
      <c r="BB86" s="53">
        <f t="shared" si="61"/>
        <v>161.92670050857132</v>
      </c>
      <c r="BD86" s="151">
        <v>46088</v>
      </c>
      <c r="BE86" s="152">
        <v>1646.82</v>
      </c>
      <c r="BF86" s="154">
        <v>2077.71</v>
      </c>
      <c r="BG86" s="162"/>
      <c r="BH86" s="162"/>
      <c r="BJ86" s="51"/>
      <c r="BK86" s="42"/>
      <c r="BL86" s="52">
        <v>20.730926159999996</v>
      </c>
      <c r="BM86" s="53">
        <f t="shared" si="62"/>
        <v>20.730926159999996</v>
      </c>
      <c r="BO86" s="151">
        <v>46088</v>
      </c>
      <c r="BP86" s="152">
        <v>2202.25</v>
      </c>
      <c r="BQ86" s="161">
        <v>867.32</v>
      </c>
      <c r="BR86" s="158"/>
      <c r="BS86" s="331"/>
      <c r="BT86" s="27"/>
      <c r="BU86" s="240">
        <v>40.096271999999971</v>
      </c>
      <c r="BV86" s="42">
        <v>1043.0039535977139</v>
      </c>
      <c r="BW86" s="42"/>
      <c r="BX86" s="52"/>
      <c r="BY86" s="53">
        <f t="shared" si="63"/>
        <v>1083.1002255977139</v>
      </c>
      <c r="CA86" s="151">
        <v>46088</v>
      </c>
      <c r="CB86" s="152">
        <v>11717.28</v>
      </c>
      <c r="CC86" s="152">
        <v>2516.79</v>
      </c>
      <c r="CD86" s="331"/>
      <c r="CE86" s="27"/>
      <c r="CF86" s="32">
        <v>87.59631999999965</v>
      </c>
      <c r="CG86" s="42"/>
      <c r="CH86" s="44"/>
      <c r="CI86" s="53">
        <f t="shared" si="64"/>
        <v>87.59631999999965</v>
      </c>
      <c r="CK86" s="151">
        <v>46088</v>
      </c>
      <c r="CL86" s="152">
        <v>1987.23</v>
      </c>
      <c r="CM86" s="154">
        <v>2221.62</v>
      </c>
      <c r="CN86" s="158">
        <v>152.91999999999999</v>
      </c>
      <c r="CO86" s="27"/>
      <c r="CP86" s="51"/>
      <c r="CQ86" s="33">
        <v>453.24167616000011</v>
      </c>
      <c r="CR86" s="52"/>
      <c r="CS86" s="53">
        <f t="shared" si="71"/>
        <v>606.16167616000007</v>
      </c>
      <c r="CU86" s="151">
        <v>46088</v>
      </c>
      <c r="CV86" s="152">
        <v>1450.84</v>
      </c>
      <c r="CW86" s="159">
        <v>260.2</v>
      </c>
      <c r="CX86" s="357"/>
      <c r="CY86" s="158">
        <v>81.010000000000005</v>
      </c>
      <c r="CZ86" s="27"/>
      <c r="DA86" s="32">
        <v>6.3039599999999041</v>
      </c>
      <c r="DB86" s="33"/>
      <c r="DC86" s="44"/>
      <c r="DD86" s="53">
        <f t="shared" si="74"/>
        <v>87.313959999999909</v>
      </c>
      <c r="DE86" s="211"/>
      <c r="DF86" s="151">
        <v>46088</v>
      </c>
      <c r="DG86" s="152">
        <v>1147.94</v>
      </c>
      <c r="DH86" s="159">
        <v>288.47000000000003</v>
      </c>
      <c r="DI86" s="162"/>
      <c r="DJ86" s="27"/>
      <c r="DK86" s="32">
        <v>30.204329999999743</v>
      </c>
      <c r="DL86" s="42"/>
      <c r="DM86" s="44"/>
      <c r="DN86" s="53">
        <f t="shared" si="65"/>
        <v>30.204329999999743</v>
      </c>
      <c r="DP86" s="151">
        <v>46088</v>
      </c>
      <c r="DQ86" s="159">
        <v>456.35</v>
      </c>
      <c r="DR86" s="173"/>
      <c r="DS86" s="27"/>
      <c r="DT86" s="51"/>
      <c r="DU86" s="52"/>
      <c r="DV86" s="52"/>
      <c r="DW86" s="53">
        <f t="shared" si="66"/>
        <v>0</v>
      </c>
      <c r="DY86" s="151">
        <v>46088</v>
      </c>
      <c r="DZ86" s="159">
        <v>315</v>
      </c>
      <c r="EA86" s="174"/>
      <c r="EB86" s="27"/>
      <c r="EC86" s="51"/>
      <c r="ED86" s="52"/>
      <c r="EE86" s="52"/>
      <c r="EF86" s="53">
        <f t="shared" si="67"/>
        <v>0</v>
      </c>
      <c r="EH86" s="151">
        <v>46088</v>
      </c>
      <c r="EI86" s="154">
        <v>2642.78</v>
      </c>
      <c r="EJ86" s="162"/>
      <c r="EK86" s="27"/>
      <c r="EL86" s="51"/>
      <c r="EM86" s="52"/>
      <c r="EN86" s="52"/>
      <c r="EO86" s="53">
        <f t="shared" si="68"/>
        <v>0</v>
      </c>
      <c r="EQ86" s="151">
        <v>46088</v>
      </c>
      <c r="ER86" s="152">
        <v>3433.97</v>
      </c>
      <c r="ES86" s="173"/>
      <c r="ET86" s="27"/>
      <c r="EU86" s="32">
        <v>111.46959900000003</v>
      </c>
      <c r="EV86" s="52"/>
      <c r="EW86" s="52"/>
      <c r="EX86" s="53">
        <f t="shared" si="69"/>
        <v>111.46959900000003</v>
      </c>
    </row>
    <row r="87" spans="2:154" x14ac:dyDescent="0.25">
      <c r="B87" s="151">
        <v>46089</v>
      </c>
      <c r="C87" s="152">
        <v>4843.83</v>
      </c>
      <c r="D87" s="159">
        <v>0</v>
      </c>
      <c r="E87" s="152"/>
      <c r="F87" s="27"/>
      <c r="G87" s="32">
        <v>38.262069999999966</v>
      </c>
      <c r="H87" s="33"/>
      <c r="I87" s="52"/>
      <c r="J87" s="53">
        <f t="shared" si="70"/>
        <v>38.262069999999966</v>
      </c>
      <c r="L87" s="151">
        <v>46089</v>
      </c>
      <c r="M87" s="152">
        <v>32370.69</v>
      </c>
      <c r="N87" s="159">
        <v>0</v>
      </c>
      <c r="O87" s="158">
        <v>171.82</v>
      </c>
      <c r="P87" s="27"/>
      <c r="Q87" s="32">
        <v>103.84671999999992</v>
      </c>
      <c r="R87" s="53"/>
      <c r="S87" s="53"/>
      <c r="T87" s="53"/>
      <c r="U87" s="53">
        <f t="shared" si="59"/>
        <v>275.66671999999994</v>
      </c>
      <c r="W87" s="151">
        <v>46089</v>
      </c>
      <c r="X87" s="152">
        <v>47301.29</v>
      </c>
      <c r="Y87" s="356"/>
      <c r="Z87" s="162"/>
      <c r="AA87" s="27"/>
      <c r="AB87" s="51">
        <v>979.80005999999946</v>
      </c>
      <c r="AC87" s="33"/>
      <c r="AD87" s="33"/>
      <c r="AE87" s="52"/>
      <c r="AF87" s="53">
        <f t="shared" si="73"/>
        <v>979.80005999999946</v>
      </c>
      <c r="AH87" s="151">
        <v>46089</v>
      </c>
      <c r="AI87" s="152">
        <v>6132</v>
      </c>
      <c r="AJ87" s="154">
        <v>3919.66</v>
      </c>
      <c r="AK87" s="162"/>
      <c r="AL87" s="27"/>
      <c r="AM87" s="32">
        <v>76.393109999999979</v>
      </c>
      <c r="AN87" s="32">
        <v>167.51741935483872</v>
      </c>
      <c r="AO87" s="42"/>
      <c r="AP87" s="44"/>
      <c r="AQ87" s="53">
        <f t="shared" si="60"/>
        <v>243.9105293548387</v>
      </c>
      <c r="AS87" s="151">
        <v>46089</v>
      </c>
      <c r="AT87" s="152">
        <v>21656.71</v>
      </c>
      <c r="AU87" s="159">
        <v>0</v>
      </c>
      <c r="AV87" s="159">
        <v>0</v>
      </c>
      <c r="AW87" s="171"/>
      <c r="AX87" s="27"/>
      <c r="AY87" s="32">
        <v>38.8048</v>
      </c>
      <c r="AZ87" s="53">
        <v>53.96975178971428</v>
      </c>
      <c r="BA87" s="53"/>
      <c r="BB87" s="53">
        <f t="shared" si="61"/>
        <v>92.77455178971428</v>
      </c>
      <c r="BD87" s="151">
        <v>46089</v>
      </c>
      <c r="BE87" s="152">
        <v>1517.78</v>
      </c>
      <c r="BF87" s="154">
        <v>3115.61</v>
      </c>
      <c r="BG87" s="162"/>
      <c r="BH87" s="162"/>
      <c r="BJ87" s="51"/>
      <c r="BK87" s="42"/>
      <c r="BL87" s="52"/>
      <c r="BM87" s="53">
        <f t="shared" si="62"/>
        <v>0</v>
      </c>
      <c r="BO87" s="151">
        <v>46089</v>
      </c>
      <c r="BP87" s="159">
        <v>594.22</v>
      </c>
      <c r="BQ87" s="154">
        <v>4059.27</v>
      </c>
      <c r="BR87" s="158"/>
      <c r="BS87" s="331"/>
      <c r="BT87" s="27"/>
      <c r="BU87" s="240"/>
      <c r="BV87" s="42">
        <v>1182.704145870857</v>
      </c>
      <c r="BW87" s="42"/>
      <c r="BX87" s="52"/>
      <c r="BY87" s="53">
        <f t="shared" si="63"/>
        <v>1182.704145870857</v>
      </c>
      <c r="CA87" s="151">
        <v>46089</v>
      </c>
      <c r="CB87" s="152">
        <v>5031.08</v>
      </c>
      <c r="CC87" s="159">
        <v>732.85</v>
      </c>
      <c r="CD87" s="331"/>
      <c r="CE87" s="27"/>
      <c r="CF87" s="32">
        <v>10.895639999999958</v>
      </c>
      <c r="CG87" s="42"/>
      <c r="CH87" s="44"/>
      <c r="CI87" s="53">
        <f t="shared" si="64"/>
        <v>10.895639999999958</v>
      </c>
      <c r="CK87" s="151">
        <v>46089</v>
      </c>
      <c r="CL87" s="152">
        <v>5290.22</v>
      </c>
      <c r="CM87" s="161">
        <v>0</v>
      </c>
      <c r="CN87" s="158">
        <v>248.38</v>
      </c>
      <c r="CO87" s="27"/>
      <c r="CP87" s="51"/>
      <c r="CQ87" s="33"/>
      <c r="CR87" s="52"/>
      <c r="CS87" s="53">
        <f t="shared" si="71"/>
        <v>248.38</v>
      </c>
      <c r="CU87" s="151">
        <v>46089</v>
      </c>
      <c r="CV87" s="159">
        <v>329.05</v>
      </c>
      <c r="CW87" s="159">
        <v>230.9</v>
      </c>
      <c r="CX87" s="357"/>
      <c r="CY87" s="162"/>
      <c r="CZ87" s="27"/>
      <c r="DA87" s="32">
        <v>7.2165599999999728</v>
      </c>
      <c r="DB87" s="33"/>
      <c r="DC87" s="44"/>
      <c r="DD87" s="53">
        <f t="shared" si="74"/>
        <v>7.2165599999999728</v>
      </c>
      <c r="DE87" s="211"/>
      <c r="DF87" s="151">
        <v>46089</v>
      </c>
      <c r="DG87" s="152">
        <v>1137.45</v>
      </c>
      <c r="DH87" s="159">
        <v>530.11</v>
      </c>
      <c r="DI87" s="162"/>
      <c r="DJ87" s="27"/>
      <c r="DK87" s="32">
        <v>6.8729699999999525</v>
      </c>
      <c r="DL87" s="42"/>
      <c r="DM87" s="44"/>
      <c r="DN87" s="53">
        <f t="shared" si="65"/>
        <v>6.8729699999999525</v>
      </c>
      <c r="DP87" s="151">
        <v>46089</v>
      </c>
      <c r="DQ87" s="159">
        <v>470</v>
      </c>
      <c r="DR87" s="173"/>
      <c r="DS87" s="27"/>
      <c r="DT87" s="51"/>
      <c r="DU87" s="52"/>
      <c r="DV87" s="52"/>
      <c r="DW87" s="53">
        <f t="shared" si="66"/>
        <v>0</v>
      </c>
      <c r="DY87" s="151">
        <v>46089</v>
      </c>
      <c r="DZ87" s="159">
        <v>300</v>
      </c>
      <c r="EA87" s="174"/>
      <c r="EB87" s="27"/>
      <c r="EC87" s="51"/>
      <c r="ED87" s="52"/>
      <c r="EE87" s="52"/>
      <c r="EF87" s="53">
        <f t="shared" si="67"/>
        <v>0</v>
      </c>
      <c r="EH87" s="151">
        <v>46089</v>
      </c>
      <c r="EI87" s="154">
        <v>2741.4</v>
      </c>
      <c r="EJ87" s="162"/>
      <c r="EK87" s="27"/>
      <c r="EL87" s="51"/>
      <c r="EM87" s="52"/>
      <c r="EN87" s="52"/>
      <c r="EO87" s="53">
        <f t="shared" si="68"/>
        <v>0</v>
      </c>
      <c r="EQ87" s="151">
        <v>46089</v>
      </c>
      <c r="ER87" s="159">
        <v>927.17</v>
      </c>
      <c r="ES87" s="173"/>
      <c r="ET87" s="27"/>
      <c r="EU87" s="32"/>
      <c r="EV87" s="52"/>
      <c r="EW87" s="52"/>
      <c r="EX87" s="53">
        <f t="shared" si="69"/>
        <v>0</v>
      </c>
    </row>
    <row r="88" spans="2:154" x14ac:dyDescent="0.25">
      <c r="B88" s="151">
        <v>46090</v>
      </c>
      <c r="C88" s="152">
        <v>9572.07</v>
      </c>
      <c r="D88" s="159">
        <v>0</v>
      </c>
      <c r="E88" s="152">
        <v>1352.47</v>
      </c>
      <c r="F88" s="27"/>
      <c r="G88" s="32">
        <v>338.86688999999996</v>
      </c>
      <c r="H88" s="33">
        <v>480.59657142857077</v>
      </c>
      <c r="I88" s="52"/>
      <c r="J88" s="53">
        <f t="shared" si="70"/>
        <v>2171.9334614285708</v>
      </c>
      <c r="L88" s="151">
        <v>46090</v>
      </c>
      <c r="M88" s="152">
        <v>26664.38</v>
      </c>
      <c r="N88" s="159">
        <v>109.61</v>
      </c>
      <c r="O88" s="158">
        <v>20.03</v>
      </c>
      <c r="P88" s="27"/>
      <c r="Q88" s="32">
        <v>124.04593999999997</v>
      </c>
      <c r="R88" s="53">
        <v>56.236267446857141</v>
      </c>
      <c r="S88" s="53">
        <f>-418.02/7</f>
        <v>-59.717142857142854</v>
      </c>
      <c r="T88" s="53"/>
      <c r="U88" s="53">
        <f t="shared" si="59"/>
        <v>140.59506458971427</v>
      </c>
      <c r="V88" s="437"/>
      <c r="W88" s="151">
        <v>46090</v>
      </c>
      <c r="X88" s="152">
        <v>37611.68</v>
      </c>
      <c r="Y88" s="356"/>
      <c r="Z88" s="170">
        <v>2.4700000000000002</v>
      </c>
      <c r="AA88" s="27"/>
      <c r="AB88" s="51">
        <v>4468.6262399999978</v>
      </c>
      <c r="AC88" s="33">
        <v>277.26672723428544</v>
      </c>
      <c r="AD88" s="440">
        <f>-1213.54/7</f>
        <v>-173.36285714285714</v>
      </c>
      <c r="AE88" s="52">
        <v>23.156690400000002</v>
      </c>
      <c r="AF88" s="53">
        <f t="shared" si="73"/>
        <v>4598.1568004914261</v>
      </c>
      <c r="AH88" s="151">
        <v>46090</v>
      </c>
      <c r="AI88" s="152">
        <v>3943.47</v>
      </c>
      <c r="AJ88" s="161">
        <v>285.93</v>
      </c>
      <c r="AK88" s="183">
        <v>1077.32</v>
      </c>
      <c r="AL88" s="27"/>
      <c r="AM88" s="32">
        <v>209.43163999999993</v>
      </c>
      <c r="AN88" s="32">
        <v>167.51741935483872</v>
      </c>
      <c r="AO88" s="42">
        <v>69.507953474285756</v>
      </c>
      <c r="AP88" s="44"/>
      <c r="AQ88" s="53">
        <f t="shared" si="60"/>
        <v>1523.7770128291245</v>
      </c>
      <c r="AS88" s="151">
        <v>46090</v>
      </c>
      <c r="AT88" s="152">
        <v>38375.18</v>
      </c>
      <c r="AU88" s="159">
        <v>0</v>
      </c>
      <c r="AV88" s="159">
        <v>0</v>
      </c>
      <c r="AW88" s="178"/>
      <c r="AX88" s="27"/>
      <c r="AY88" s="32">
        <v>9.2100000000000009</v>
      </c>
      <c r="AZ88" s="53">
        <v>100.92984329942854</v>
      </c>
      <c r="BA88" s="53"/>
      <c r="BB88" s="53">
        <f t="shared" si="61"/>
        <v>110.13984329942855</v>
      </c>
      <c r="BD88" s="151">
        <v>46090</v>
      </c>
      <c r="BE88" s="152">
        <v>1102.54</v>
      </c>
      <c r="BF88" s="154">
        <v>1280.22</v>
      </c>
      <c r="BG88" s="162"/>
      <c r="BH88" s="162"/>
      <c r="BJ88" s="51"/>
      <c r="BK88" s="42">
        <v>13.653805172571424</v>
      </c>
      <c r="BL88" s="52"/>
      <c r="BM88" s="53">
        <f t="shared" si="62"/>
        <v>13.653805172571424</v>
      </c>
      <c r="BO88" s="151">
        <v>46090</v>
      </c>
      <c r="BP88" s="159">
        <v>635.98</v>
      </c>
      <c r="BQ88" s="159">
        <v>0</v>
      </c>
      <c r="BR88" s="357"/>
      <c r="BS88" s="162"/>
      <c r="BT88" s="27"/>
      <c r="BU88" s="240"/>
      <c r="BV88" s="42">
        <v>2170.4957605577142</v>
      </c>
      <c r="BW88" s="42"/>
      <c r="BX88" s="52"/>
      <c r="BY88" s="53">
        <f t="shared" si="63"/>
        <v>2170.4957605577142</v>
      </c>
      <c r="CA88" s="151">
        <v>46090</v>
      </c>
      <c r="CB88" s="152">
        <v>9157.5</v>
      </c>
      <c r="CC88" s="159">
        <v>0</v>
      </c>
      <c r="CD88" s="331"/>
      <c r="CE88" s="27"/>
      <c r="CF88" s="32">
        <v>69.737779999999759</v>
      </c>
      <c r="CG88" s="42"/>
      <c r="CH88" s="44"/>
      <c r="CI88" s="53">
        <f t="shared" si="64"/>
        <v>69.737779999999759</v>
      </c>
      <c r="CK88" s="151">
        <v>46090</v>
      </c>
      <c r="CL88" s="152">
        <v>9672.15</v>
      </c>
      <c r="CM88" s="161">
        <v>0</v>
      </c>
      <c r="CN88" s="158">
        <v>352.51</v>
      </c>
      <c r="CO88" s="27"/>
      <c r="CP88" s="51"/>
      <c r="CQ88" s="33">
        <v>206.23774436571432</v>
      </c>
      <c r="CR88" s="52"/>
      <c r="CS88" s="53">
        <f t="shared" si="71"/>
        <v>558.74774436571431</v>
      </c>
      <c r="CU88" s="151">
        <v>46090</v>
      </c>
      <c r="CV88" s="159">
        <v>812.62</v>
      </c>
      <c r="CW88" s="159">
        <v>281.3</v>
      </c>
      <c r="CX88" s="357"/>
      <c r="CY88" s="162"/>
      <c r="CZ88" s="27"/>
      <c r="DA88" s="32">
        <v>28.597139999999712</v>
      </c>
      <c r="DB88" s="33">
        <v>18.992501691428572</v>
      </c>
      <c r="DC88" s="44"/>
      <c r="DD88" s="53">
        <f t="shared" si="74"/>
        <v>47.589641691428284</v>
      </c>
      <c r="DE88" s="211"/>
      <c r="DF88" s="151">
        <v>46090</v>
      </c>
      <c r="DG88" s="152">
        <v>1225.29</v>
      </c>
      <c r="DH88" s="159">
        <v>381.52</v>
      </c>
      <c r="DI88" s="162"/>
      <c r="DJ88" s="27"/>
      <c r="DK88" s="32">
        <v>58.252349999999467</v>
      </c>
      <c r="DL88" s="42">
        <v>31.241380782857192</v>
      </c>
      <c r="DM88" s="44"/>
      <c r="DN88" s="53">
        <f t="shared" si="65"/>
        <v>89.493730782856659</v>
      </c>
      <c r="DP88" s="151">
        <v>46090</v>
      </c>
      <c r="DQ88" s="159">
        <v>737.5</v>
      </c>
      <c r="DR88" s="173"/>
      <c r="DS88" s="27"/>
      <c r="DT88" s="51"/>
      <c r="DU88" s="52"/>
      <c r="DV88" s="52"/>
      <c r="DW88" s="53">
        <f t="shared" si="66"/>
        <v>0</v>
      </c>
      <c r="DY88" s="151">
        <v>46090</v>
      </c>
      <c r="DZ88" s="159">
        <v>445</v>
      </c>
      <c r="EA88" s="174"/>
      <c r="EB88" s="27"/>
      <c r="EC88" s="51"/>
      <c r="ED88" s="52"/>
      <c r="EE88" s="52"/>
      <c r="EF88" s="53">
        <f t="shared" si="67"/>
        <v>0</v>
      </c>
      <c r="EH88" s="151">
        <v>46090</v>
      </c>
      <c r="EI88" s="154">
        <v>1988.7</v>
      </c>
      <c r="EJ88" s="183">
        <v>4000</v>
      </c>
      <c r="EK88" s="27"/>
      <c r="EL88" s="51"/>
      <c r="EM88" s="52"/>
      <c r="EN88" s="52"/>
      <c r="EO88" s="53">
        <f t="shared" si="68"/>
        <v>4000</v>
      </c>
      <c r="EQ88" s="151">
        <v>46090</v>
      </c>
      <c r="ER88" s="152">
        <v>1481.03</v>
      </c>
      <c r="ES88" s="173"/>
      <c r="ET88" s="27"/>
      <c r="EU88" s="32">
        <v>32.660126000000012</v>
      </c>
      <c r="EV88" s="52"/>
      <c r="EW88" s="52"/>
      <c r="EX88" s="53">
        <f t="shared" si="69"/>
        <v>32.660126000000012</v>
      </c>
    </row>
    <row r="89" spans="2:154" x14ac:dyDescent="0.25">
      <c r="B89" s="151">
        <v>46091</v>
      </c>
      <c r="C89" s="152">
        <v>6350.95</v>
      </c>
      <c r="D89" s="159">
        <v>0</v>
      </c>
      <c r="E89" s="152">
        <v>552.85</v>
      </c>
      <c r="F89" s="27"/>
      <c r="G89" s="32">
        <v>360.2537099999999</v>
      </c>
      <c r="H89" s="33">
        <v>36.370951209999959</v>
      </c>
      <c r="I89" s="52"/>
      <c r="J89" s="53">
        <f t="shared" si="70"/>
        <v>949.47466120999979</v>
      </c>
      <c r="L89" s="151">
        <v>46091</v>
      </c>
      <c r="M89" s="152">
        <v>36076.75</v>
      </c>
      <c r="N89" s="159">
        <v>0</v>
      </c>
      <c r="O89" s="158">
        <v>31.95</v>
      </c>
      <c r="P89" s="27"/>
      <c r="Q89" s="32">
        <v>236.11161999999987</v>
      </c>
      <c r="R89" s="53">
        <v>743.34185552999998</v>
      </c>
      <c r="S89" s="53">
        <f t="shared" ref="S89:S94" si="75">-418.02/7</f>
        <v>-59.717142857142854</v>
      </c>
      <c r="T89" s="53"/>
      <c r="U89" s="53">
        <f t="shared" si="59"/>
        <v>951.68633267285702</v>
      </c>
      <c r="V89" s="437"/>
      <c r="W89" s="151">
        <v>46091</v>
      </c>
      <c r="X89" s="152">
        <v>24202.71</v>
      </c>
      <c r="Y89" s="356"/>
      <c r="Z89" s="170">
        <v>1.08</v>
      </c>
      <c r="AA89" s="27"/>
      <c r="AB89" s="51">
        <v>2433.4211699999987</v>
      </c>
      <c r="AC89" s="33">
        <v>61.959107932666626</v>
      </c>
      <c r="AD89" s="440">
        <f t="shared" ref="AD89:AD94" si="76">-1213.54/7</f>
        <v>-173.36285714285714</v>
      </c>
      <c r="AE89" s="52"/>
      <c r="AF89" s="53">
        <f t="shared" si="73"/>
        <v>2323.097420789808</v>
      </c>
      <c r="AH89" s="151">
        <v>46091</v>
      </c>
      <c r="AI89" s="152">
        <v>5389.91</v>
      </c>
      <c r="AJ89" s="161">
        <v>0</v>
      </c>
      <c r="AK89" s="158">
        <v>198.31</v>
      </c>
      <c r="AL89" s="27"/>
      <c r="AM89" s="32">
        <v>1269.7824799999996</v>
      </c>
      <c r="AN89" s="32">
        <v>167.51741935483872</v>
      </c>
      <c r="AO89" s="42"/>
      <c r="AP89" s="44"/>
      <c r="AQ89" s="53">
        <f t="shared" si="60"/>
        <v>1635.6098993548383</v>
      </c>
      <c r="AS89" s="151">
        <v>46091</v>
      </c>
      <c r="AT89" s="152">
        <v>32685.02</v>
      </c>
      <c r="AU89" s="159">
        <v>0</v>
      </c>
      <c r="AV89" s="159">
        <v>0</v>
      </c>
      <c r="AW89" s="171"/>
      <c r="AX89" s="27"/>
      <c r="AY89" s="32">
        <v>101.95132999999996</v>
      </c>
      <c r="AZ89" s="53">
        <v>95.64168173266664</v>
      </c>
      <c r="BA89" s="53"/>
      <c r="BB89" s="53">
        <f t="shared" si="61"/>
        <v>197.59301173266658</v>
      </c>
      <c r="BD89" s="151">
        <v>46091</v>
      </c>
      <c r="BE89" s="152">
        <v>2550.1</v>
      </c>
      <c r="BF89" s="161">
        <v>0</v>
      </c>
      <c r="BG89" s="162"/>
      <c r="BH89" s="162"/>
      <c r="BJ89" s="51"/>
      <c r="BK89" s="42">
        <v>24.600785262999977</v>
      </c>
      <c r="BL89" s="52">
        <v>15.674090519999993</v>
      </c>
      <c r="BM89" s="53">
        <f t="shared" si="62"/>
        <v>40.27487578299997</v>
      </c>
      <c r="BO89" s="151">
        <v>46091</v>
      </c>
      <c r="BP89" s="159">
        <v>639.37</v>
      </c>
      <c r="BQ89" s="159">
        <v>0</v>
      </c>
      <c r="BR89" s="358"/>
      <c r="BS89" s="162"/>
      <c r="BT89" s="27"/>
      <c r="BU89" s="240"/>
      <c r="BV89" s="42">
        <v>835.7393299793323</v>
      </c>
      <c r="BW89" s="42"/>
      <c r="BX89" s="52"/>
      <c r="BY89" s="53">
        <f t="shared" si="63"/>
        <v>835.7393299793323</v>
      </c>
      <c r="CA89" s="151">
        <v>46091</v>
      </c>
      <c r="CB89" s="152">
        <v>13214.52</v>
      </c>
      <c r="CC89" s="159">
        <v>0</v>
      </c>
      <c r="CD89" s="331"/>
      <c r="CE89" s="27"/>
      <c r="CF89" s="32">
        <v>56.119439999999869</v>
      </c>
      <c r="CG89" s="42"/>
      <c r="CH89" s="44"/>
      <c r="CI89" s="53">
        <f t="shared" si="64"/>
        <v>56.119439999999869</v>
      </c>
      <c r="CK89" s="151">
        <v>46091</v>
      </c>
      <c r="CL89" s="152">
        <v>3987.39</v>
      </c>
      <c r="CM89" s="161">
        <v>0</v>
      </c>
      <c r="CN89" s="158">
        <v>428.81</v>
      </c>
      <c r="CO89" s="27"/>
      <c r="CP89" s="51"/>
      <c r="CQ89" s="33">
        <v>82.984661516666677</v>
      </c>
      <c r="CR89" s="52"/>
      <c r="CS89" s="53">
        <f t="shared" si="71"/>
        <v>511.79466151666668</v>
      </c>
      <c r="CU89" s="151">
        <v>46091</v>
      </c>
      <c r="CV89" s="152">
        <v>1011.94</v>
      </c>
      <c r="CW89" s="159">
        <v>118</v>
      </c>
      <c r="CX89" s="357"/>
      <c r="CY89" s="162"/>
      <c r="CZ89" s="27"/>
      <c r="DA89" s="32">
        <v>20.580139999999972</v>
      </c>
      <c r="DB89" s="33">
        <v>9.7579903366666372</v>
      </c>
      <c r="DC89" s="44"/>
      <c r="DD89" s="53">
        <f t="shared" si="74"/>
        <v>30.338130336666609</v>
      </c>
      <c r="DE89" s="211"/>
      <c r="DF89" s="151">
        <v>46091</v>
      </c>
      <c r="DG89" s="152">
        <v>2380.37</v>
      </c>
      <c r="DH89" s="159">
        <v>590.70000000000005</v>
      </c>
      <c r="DI89" s="162"/>
      <c r="DJ89" s="27"/>
      <c r="DK89" s="32">
        <v>19.818279999999895</v>
      </c>
      <c r="DL89" s="42"/>
      <c r="DM89" s="44"/>
      <c r="DN89" s="53">
        <f t="shared" si="65"/>
        <v>19.818279999999895</v>
      </c>
      <c r="DP89" s="151">
        <v>46091</v>
      </c>
      <c r="DQ89" s="159">
        <v>209.1</v>
      </c>
      <c r="DR89" s="173"/>
      <c r="DS89" s="27"/>
      <c r="DT89" s="51"/>
      <c r="DU89" s="52"/>
      <c r="DV89" s="52"/>
      <c r="DW89" s="53">
        <f t="shared" si="66"/>
        <v>0</v>
      </c>
      <c r="DY89" s="151">
        <v>46091</v>
      </c>
      <c r="DZ89" s="159">
        <v>343.99</v>
      </c>
      <c r="EA89" s="174"/>
      <c r="EB89" s="27"/>
      <c r="EC89" s="51"/>
      <c r="ED89" s="52"/>
      <c r="EE89" s="52"/>
      <c r="EF89" s="53">
        <f t="shared" si="67"/>
        <v>0</v>
      </c>
      <c r="EH89" s="151">
        <v>46091</v>
      </c>
      <c r="EI89" s="161">
        <v>933.82</v>
      </c>
      <c r="EJ89" s="162"/>
      <c r="EK89" s="27"/>
      <c r="EL89" s="51"/>
      <c r="EM89" s="52"/>
      <c r="EN89" s="52"/>
      <c r="EO89" s="53">
        <f t="shared" si="68"/>
        <v>0</v>
      </c>
      <c r="EQ89" s="151">
        <v>46091</v>
      </c>
      <c r="ER89" s="152">
        <v>1561.64</v>
      </c>
      <c r="ES89" s="173"/>
      <c r="ET89" s="27"/>
      <c r="EU89" s="32">
        <v>76.486717000000056</v>
      </c>
      <c r="EV89" s="52"/>
      <c r="EW89" s="52"/>
      <c r="EX89" s="53">
        <f t="shared" si="69"/>
        <v>76.486717000000056</v>
      </c>
    </row>
    <row r="90" spans="2:154" x14ac:dyDescent="0.25">
      <c r="B90" s="151">
        <v>46092</v>
      </c>
      <c r="C90" s="152">
        <v>3270.18</v>
      </c>
      <c r="D90" s="159">
        <v>0</v>
      </c>
      <c r="E90" s="152">
        <v>92.01</v>
      </c>
      <c r="F90" s="27"/>
      <c r="G90" s="32">
        <v>215.20598999999993</v>
      </c>
      <c r="H90" s="33">
        <v>314.88433333333319</v>
      </c>
      <c r="I90" s="52"/>
      <c r="J90" s="53">
        <f t="shared" si="70"/>
        <v>622.10032333333311</v>
      </c>
      <c r="L90" s="151">
        <v>46092</v>
      </c>
      <c r="M90" s="152">
        <v>29101.48</v>
      </c>
      <c r="N90" s="159">
        <v>101.48</v>
      </c>
      <c r="O90" s="158">
        <v>10.23</v>
      </c>
      <c r="P90" s="27"/>
      <c r="Q90" s="32">
        <v>87.363330000000005</v>
      </c>
      <c r="R90" s="53">
        <v>554.53784786000028</v>
      </c>
      <c r="S90" s="53">
        <f t="shared" si="75"/>
        <v>-59.717142857142854</v>
      </c>
      <c r="T90" s="53"/>
      <c r="U90" s="53">
        <f t="shared" si="59"/>
        <v>592.41403500285742</v>
      </c>
      <c r="V90" s="437"/>
      <c r="W90" s="151">
        <v>46092</v>
      </c>
      <c r="X90" s="152">
        <v>27815.98</v>
      </c>
      <c r="Y90" s="356"/>
      <c r="Z90" s="170">
        <v>0</v>
      </c>
      <c r="AA90" s="27"/>
      <c r="AB90" s="51">
        <v>6523.5609499999991</v>
      </c>
      <c r="AC90" s="33">
        <v>835.48684470333387</v>
      </c>
      <c r="AD90" s="440">
        <f t="shared" si="76"/>
        <v>-173.36285714285714</v>
      </c>
      <c r="AE90" s="52"/>
      <c r="AF90" s="53">
        <f t="shared" si="73"/>
        <v>7185.6849375604761</v>
      </c>
      <c r="AH90" s="151">
        <v>46092</v>
      </c>
      <c r="AI90" s="152">
        <v>4449.8900000000003</v>
      </c>
      <c r="AJ90" s="161">
        <v>0</v>
      </c>
      <c r="AK90" s="158">
        <v>539.72</v>
      </c>
      <c r="AL90" s="27"/>
      <c r="AM90" s="32">
        <v>1937.4241</v>
      </c>
      <c r="AN90" s="32">
        <v>167.51741935483872</v>
      </c>
      <c r="AO90" s="42"/>
      <c r="AP90" s="44"/>
      <c r="AQ90" s="53">
        <f t="shared" si="60"/>
        <v>2644.6615193548387</v>
      </c>
      <c r="AS90" s="151">
        <v>46092</v>
      </c>
      <c r="AT90" s="152">
        <v>32177.94</v>
      </c>
      <c r="AU90" s="159">
        <v>43.98</v>
      </c>
      <c r="AV90" s="159">
        <v>0</v>
      </c>
      <c r="AW90" s="171"/>
      <c r="AX90" s="27"/>
      <c r="AY90" s="32">
        <v>15.548099999999994</v>
      </c>
      <c r="AZ90" s="53">
        <v>290.55796409933339</v>
      </c>
      <c r="BA90" s="53"/>
      <c r="BB90" s="53">
        <f t="shared" si="61"/>
        <v>306.10606409933337</v>
      </c>
      <c r="BD90" s="151">
        <v>46092</v>
      </c>
      <c r="BE90" s="152">
        <v>2172.21</v>
      </c>
      <c r="BF90" s="161">
        <v>82.48</v>
      </c>
      <c r="BG90" s="162"/>
      <c r="BH90" s="162"/>
      <c r="BJ90" s="51"/>
      <c r="BK90" s="42"/>
      <c r="BL90" s="52"/>
      <c r="BM90" s="53">
        <f t="shared" si="62"/>
        <v>0</v>
      </c>
      <c r="BO90" s="151">
        <v>46092</v>
      </c>
      <c r="BP90" s="159">
        <v>385.79</v>
      </c>
      <c r="BQ90" s="159">
        <v>0</v>
      </c>
      <c r="BR90" s="358"/>
      <c r="BS90" s="162"/>
      <c r="BT90" s="27"/>
      <c r="BU90" s="240"/>
      <c r="BV90" s="42">
        <v>839.70104258833328</v>
      </c>
      <c r="BW90" s="42"/>
      <c r="BX90" s="52"/>
      <c r="BY90" s="53">
        <f t="shared" si="63"/>
        <v>839.70104258833328</v>
      </c>
      <c r="CA90" s="151">
        <v>46092</v>
      </c>
      <c r="CB90" s="152">
        <v>3410.24</v>
      </c>
      <c r="CC90" s="159">
        <v>0</v>
      </c>
      <c r="CD90" s="163"/>
      <c r="CE90" s="27"/>
      <c r="CF90" s="32">
        <v>65.746599999999916</v>
      </c>
      <c r="CG90" s="42"/>
      <c r="CH90" s="44"/>
      <c r="CI90" s="53">
        <f t="shared" si="64"/>
        <v>65.746599999999916</v>
      </c>
      <c r="CK90" s="151">
        <v>46092</v>
      </c>
      <c r="CL90" s="152">
        <v>3692.06</v>
      </c>
      <c r="CM90" s="161">
        <v>0</v>
      </c>
      <c r="CN90" s="158">
        <v>339.29</v>
      </c>
      <c r="CO90" s="27"/>
      <c r="CP90" s="51"/>
      <c r="CQ90" s="33">
        <v>271.76219413333337</v>
      </c>
      <c r="CR90" s="52"/>
      <c r="CS90" s="53">
        <f t="shared" si="71"/>
        <v>611.05219413333339</v>
      </c>
      <c r="CU90" s="151">
        <v>46092</v>
      </c>
      <c r="CV90" s="159">
        <v>100</v>
      </c>
      <c r="CW90" s="159">
        <v>541.4</v>
      </c>
      <c r="CX90" s="357"/>
      <c r="CY90" s="158">
        <v>91.66</v>
      </c>
      <c r="CZ90" s="27"/>
      <c r="DA90" s="32">
        <v>108.02009999999963</v>
      </c>
      <c r="DB90" s="33"/>
      <c r="DC90" s="44"/>
      <c r="DD90" s="53">
        <f t="shared" si="74"/>
        <v>199.68009999999964</v>
      </c>
      <c r="DE90" s="211"/>
      <c r="DF90" s="151">
        <v>46092</v>
      </c>
      <c r="DG90" s="152">
        <v>1333.07</v>
      </c>
      <c r="DH90" s="159">
        <v>385.59</v>
      </c>
      <c r="DI90" s="158"/>
      <c r="DJ90" s="27"/>
      <c r="DK90" s="32">
        <v>58.222039999999808</v>
      </c>
      <c r="DL90" s="42"/>
      <c r="DM90" s="44"/>
      <c r="DN90" s="53">
        <f t="shared" si="65"/>
        <v>58.222039999999808</v>
      </c>
      <c r="DP90" s="151">
        <v>46092</v>
      </c>
      <c r="DQ90" s="159">
        <v>964.76</v>
      </c>
      <c r="DR90" s="173"/>
      <c r="DS90" s="27"/>
      <c r="DT90" s="51"/>
      <c r="DU90" s="52"/>
      <c r="DV90" s="52"/>
      <c r="DW90" s="53">
        <f t="shared" si="66"/>
        <v>0</v>
      </c>
      <c r="DY90" s="151">
        <v>46092</v>
      </c>
      <c r="DZ90" s="159">
        <v>0</v>
      </c>
      <c r="EA90" s="174"/>
      <c r="EB90" s="27"/>
      <c r="EC90" s="51"/>
      <c r="ED90" s="52"/>
      <c r="EE90" s="52"/>
      <c r="EF90" s="53">
        <f t="shared" si="67"/>
        <v>0</v>
      </c>
      <c r="EH90" s="151">
        <v>46092</v>
      </c>
      <c r="EI90" s="154">
        <v>1399.2</v>
      </c>
      <c r="EJ90" s="162"/>
      <c r="EK90" s="27"/>
      <c r="EL90" s="51"/>
      <c r="EM90" s="52"/>
      <c r="EN90" s="52"/>
      <c r="EO90" s="53">
        <f t="shared" si="68"/>
        <v>0</v>
      </c>
      <c r="EQ90" s="151">
        <v>46092</v>
      </c>
      <c r="ER90" s="152">
        <v>1449.36</v>
      </c>
      <c r="ES90" s="173"/>
      <c r="ET90" s="27"/>
      <c r="EU90" s="32">
        <v>26.185063999999997</v>
      </c>
      <c r="EV90" s="52"/>
      <c r="EW90" s="52"/>
      <c r="EX90" s="53">
        <f t="shared" si="69"/>
        <v>26.185063999999997</v>
      </c>
    </row>
    <row r="91" spans="2:154" x14ac:dyDescent="0.25">
      <c r="B91" s="151">
        <v>46093</v>
      </c>
      <c r="C91" s="152">
        <v>3533.74</v>
      </c>
      <c r="D91" s="159">
        <v>0</v>
      </c>
      <c r="E91" s="152"/>
      <c r="F91" s="27"/>
      <c r="G91" s="32">
        <v>252.63418999999985</v>
      </c>
      <c r="H91" s="33">
        <v>53.243791923333333</v>
      </c>
      <c r="I91" s="52"/>
      <c r="J91" s="53">
        <f t="shared" si="70"/>
        <v>305.87798192333321</v>
      </c>
      <c r="L91" s="151">
        <v>46093</v>
      </c>
      <c r="M91" s="152">
        <v>24672.15</v>
      </c>
      <c r="N91" s="159">
        <v>0</v>
      </c>
      <c r="O91" s="158">
        <v>15.95</v>
      </c>
      <c r="P91" s="27"/>
      <c r="Q91" s="32">
        <v>68.876009999999951</v>
      </c>
      <c r="R91" s="53"/>
      <c r="S91" s="53">
        <f t="shared" si="75"/>
        <v>-59.717142857142854</v>
      </c>
      <c r="T91" s="53"/>
      <c r="U91" s="53">
        <f t="shared" si="59"/>
        <v>25.1088671428571</v>
      </c>
      <c r="V91" s="437"/>
      <c r="W91" s="151">
        <v>46093</v>
      </c>
      <c r="X91" s="152">
        <v>16728.46</v>
      </c>
      <c r="Y91" s="356"/>
      <c r="Z91" s="170">
        <v>1.1200000000000001</v>
      </c>
      <c r="AA91" s="27"/>
      <c r="AB91" s="51">
        <v>7602.5915699999996</v>
      </c>
      <c r="AC91" s="33"/>
      <c r="AD91" s="440">
        <f t="shared" si="76"/>
        <v>-173.36285714285714</v>
      </c>
      <c r="AE91" s="52"/>
      <c r="AF91" s="53">
        <f t="shared" si="73"/>
        <v>7430.3487128571423</v>
      </c>
      <c r="AH91" s="151">
        <v>46093</v>
      </c>
      <c r="AI91" s="152">
        <v>3685.9</v>
      </c>
      <c r="AJ91" s="161">
        <v>0</v>
      </c>
      <c r="AK91" s="183">
        <v>1028.54</v>
      </c>
      <c r="AL91" s="27"/>
      <c r="AM91" s="32">
        <v>784.47214000000008</v>
      </c>
      <c r="AN91" s="32">
        <v>167.51741935483872</v>
      </c>
      <c r="AO91" s="42"/>
      <c r="AP91" s="44">
        <v>38.764685399999991</v>
      </c>
      <c r="AQ91" s="53">
        <f t="shared" si="60"/>
        <v>2019.2942447548387</v>
      </c>
      <c r="AS91" s="151">
        <v>46093</v>
      </c>
      <c r="AT91" s="152">
        <v>12292.19</v>
      </c>
      <c r="AU91" s="152">
        <v>11908.28</v>
      </c>
      <c r="AV91" s="159">
        <v>0</v>
      </c>
      <c r="AW91" s="171"/>
      <c r="AX91" s="27"/>
      <c r="AY91" s="32">
        <v>106.20562999999996</v>
      </c>
      <c r="AZ91" s="53">
        <v>167.82716893800003</v>
      </c>
      <c r="BA91" s="53"/>
      <c r="BB91" s="53">
        <f t="shared" si="61"/>
        <v>274.03279893799998</v>
      </c>
      <c r="BD91" s="151">
        <v>46093</v>
      </c>
      <c r="BE91" s="152">
        <v>1809.59</v>
      </c>
      <c r="BF91" s="161">
        <v>0</v>
      </c>
      <c r="BG91" s="162"/>
      <c r="BH91" s="158">
        <v>1.35</v>
      </c>
      <c r="BJ91" s="51"/>
      <c r="BK91" s="42">
        <v>17.376966763333343</v>
      </c>
      <c r="BL91" s="52"/>
      <c r="BM91" s="53">
        <f t="shared" si="62"/>
        <v>18.726966763333344</v>
      </c>
      <c r="BO91" s="151">
        <v>46093</v>
      </c>
      <c r="BP91" s="159">
        <v>169.49</v>
      </c>
      <c r="BQ91" s="159">
        <v>0</v>
      </c>
      <c r="BR91" s="357"/>
      <c r="BS91" s="162"/>
      <c r="BT91" s="27"/>
      <c r="BU91" s="240"/>
      <c r="BV91" s="42">
        <v>734.18150477533311</v>
      </c>
      <c r="BW91" s="42"/>
      <c r="BX91" s="52"/>
      <c r="BY91" s="53">
        <f t="shared" si="63"/>
        <v>734.18150477533311</v>
      </c>
      <c r="CA91" s="151">
        <v>46093</v>
      </c>
      <c r="CB91" s="152">
        <v>9320.7800000000007</v>
      </c>
      <c r="CC91" s="159">
        <v>0</v>
      </c>
      <c r="CD91" s="331"/>
      <c r="CE91" s="27"/>
      <c r="CF91" s="32">
        <v>87.115169999999907</v>
      </c>
      <c r="CG91" s="42"/>
      <c r="CH91" s="44">
        <v>6.2955045999999975</v>
      </c>
      <c r="CI91" s="53">
        <f t="shared" si="64"/>
        <v>93.410674599999908</v>
      </c>
      <c r="CK91" s="151">
        <v>46093</v>
      </c>
      <c r="CL91" s="152">
        <v>8950.26</v>
      </c>
      <c r="CM91" s="161">
        <v>0</v>
      </c>
      <c r="CN91" s="158">
        <v>284.77999999999997</v>
      </c>
      <c r="CO91" s="27"/>
      <c r="CP91" s="51"/>
      <c r="CQ91" s="33">
        <v>414.25455507333351</v>
      </c>
      <c r="CR91" s="52"/>
      <c r="CS91" s="53">
        <f t="shared" si="71"/>
        <v>699.03455507333342</v>
      </c>
      <c r="CU91" s="151">
        <v>46093</v>
      </c>
      <c r="CV91" s="152">
        <v>3719.38</v>
      </c>
      <c r="CW91" s="159">
        <v>154.58000000000001</v>
      </c>
      <c r="CX91" s="357"/>
      <c r="CY91" s="158">
        <v>312.93</v>
      </c>
      <c r="CZ91" s="27"/>
      <c r="DA91" s="32">
        <v>35.321759999999898</v>
      </c>
      <c r="DB91" s="33">
        <v>25.929553649999974</v>
      </c>
      <c r="DC91" s="44"/>
      <c r="DD91" s="53">
        <f t="shared" si="74"/>
        <v>374.18131364999988</v>
      </c>
      <c r="DE91" s="211"/>
      <c r="DF91" s="151">
        <v>46093</v>
      </c>
      <c r="DG91" s="152">
        <v>6561.95</v>
      </c>
      <c r="DH91" s="159">
        <v>585.75</v>
      </c>
      <c r="DI91" s="162"/>
      <c r="DJ91" s="27"/>
      <c r="DK91" s="32">
        <v>119.31449999999977</v>
      </c>
      <c r="DL91" s="42"/>
      <c r="DM91" s="44"/>
      <c r="DN91" s="53">
        <f t="shared" si="65"/>
        <v>119.31449999999977</v>
      </c>
      <c r="DP91" s="151">
        <v>46093</v>
      </c>
      <c r="DQ91" s="152">
        <v>1000.3</v>
      </c>
      <c r="DR91" s="173"/>
      <c r="DS91" s="27"/>
      <c r="DT91" s="51"/>
      <c r="DU91" s="52"/>
      <c r="DV91" s="52"/>
      <c r="DW91" s="53">
        <f t="shared" si="66"/>
        <v>0</v>
      </c>
      <c r="DY91" s="151">
        <v>46093</v>
      </c>
      <c r="DZ91" s="152">
        <v>1151.02</v>
      </c>
      <c r="EA91" s="174"/>
      <c r="EB91" s="27"/>
      <c r="EC91" s="51"/>
      <c r="ED91" s="52"/>
      <c r="EE91" s="52"/>
      <c r="EF91" s="53">
        <f t="shared" si="67"/>
        <v>0</v>
      </c>
      <c r="EH91" s="151">
        <v>46093</v>
      </c>
      <c r="EI91" s="161">
        <v>942.1</v>
      </c>
      <c r="EJ91" s="162"/>
      <c r="EK91" s="27"/>
      <c r="EL91" s="51"/>
      <c r="EM91" s="52"/>
      <c r="EN91" s="52"/>
      <c r="EO91" s="53">
        <f t="shared" si="68"/>
        <v>0</v>
      </c>
      <c r="EQ91" s="151">
        <v>46093</v>
      </c>
      <c r="ER91" s="152">
        <v>1852.28</v>
      </c>
      <c r="ES91" s="173"/>
      <c r="ET91" s="27"/>
      <c r="EU91" s="32">
        <v>309.01088800000002</v>
      </c>
      <c r="EV91" s="52"/>
      <c r="EW91" s="52"/>
      <c r="EX91" s="53">
        <f t="shared" si="69"/>
        <v>309.01088800000002</v>
      </c>
    </row>
    <row r="92" spans="2:154" x14ac:dyDescent="0.25">
      <c r="B92" s="151">
        <v>46094</v>
      </c>
      <c r="C92" s="152">
        <v>3392.04</v>
      </c>
      <c r="D92" s="159">
        <v>733.52</v>
      </c>
      <c r="E92" s="152">
        <v>6.5</v>
      </c>
      <c r="F92" s="27"/>
      <c r="G92" s="32">
        <v>458.54933399999965</v>
      </c>
      <c r="H92" s="33">
        <v>86.920671373333334</v>
      </c>
      <c r="I92" s="52"/>
      <c r="J92" s="53">
        <f t="shared" si="70"/>
        <v>551.97000537333292</v>
      </c>
      <c r="L92" s="151">
        <v>46094</v>
      </c>
      <c r="M92" s="152">
        <v>22408.799999999999</v>
      </c>
      <c r="N92" s="159">
        <v>0</v>
      </c>
      <c r="O92" s="158">
        <v>12.95</v>
      </c>
      <c r="P92" s="27"/>
      <c r="Q92" s="32">
        <v>214.53257000000002</v>
      </c>
      <c r="R92" s="53"/>
      <c r="S92" s="53">
        <f t="shared" si="75"/>
        <v>-59.717142857142854</v>
      </c>
      <c r="T92" s="53">
        <v>128.47109999999986</v>
      </c>
      <c r="U92" s="53">
        <f t="shared" si="59"/>
        <v>296.23652714285703</v>
      </c>
      <c r="V92" s="437"/>
      <c r="W92" s="151">
        <v>46094</v>
      </c>
      <c r="X92" s="152">
        <v>20707.55</v>
      </c>
      <c r="Y92" s="356"/>
      <c r="Z92" s="170">
        <v>2.5099999999999998</v>
      </c>
      <c r="AA92" s="27"/>
      <c r="AB92" s="51">
        <v>4188.4249600000012</v>
      </c>
      <c r="AC92" s="33">
        <v>866.02120235399991</v>
      </c>
      <c r="AD92" s="440">
        <f t="shared" si="76"/>
        <v>-173.36285714285714</v>
      </c>
      <c r="AE92" s="52"/>
      <c r="AF92" s="53">
        <f t="shared" si="73"/>
        <v>4883.5933052111441</v>
      </c>
      <c r="AH92" s="151">
        <v>46094</v>
      </c>
      <c r="AI92" s="152">
        <v>4092.7</v>
      </c>
      <c r="AJ92" s="161">
        <v>0</v>
      </c>
      <c r="AK92" s="158">
        <v>270.83999999999997</v>
      </c>
      <c r="AL92" s="27"/>
      <c r="AM92" s="32">
        <v>1576.0858399999997</v>
      </c>
      <c r="AN92" s="32">
        <v>167.51741935483872</v>
      </c>
      <c r="AO92" s="42"/>
      <c r="AP92" s="44"/>
      <c r="AQ92" s="53">
        <f t="shared" si="60"/>
        <v>2014.4432593548383</v>
      </c>
      <c r="AS92" s="151">
        <v>46094</v>
      </c>
      <c r="AT92" s="152">
        <v>11956.89</v>
      </c>
      <c r="AU92" s="152">
        <v>7017.58</v>
      </c>
      <c r="AV92" s="152">
        <v>2654.83</v>
      </c>
      <c r="AW92" s="171"/>
      <c r="AX92" s="27"/>
      <c r="AY92" s="32">
        <v>14.295539999999995</v>
      </c>
      <c r="AZ92" s="53">
        <f>302.491847764667-99.25</f>
        <v>203.241847764667</v>
      </c>
      <c r="BA92" s="53"/>
      <c r="BB92" s="53">
        <f t="shared" si="61"/>
        <v>217.53738776466699</v>
      </c>
      <c r="BD92" s="151">
        <v>46094</v>
      </c>
      <c r="BE92" s="152">
        <v>1352.28</v>
      </c>
      <c r="BF92" s="161">
        <v>0</v>
      </c>
      <c r="BG92" s="162"/>
      <c r="BH92" s="162"/>
      <c r="BJ92" s="51"/>
      <c r="BK92" s="42">
        <v>37.492245310999976</v>
      </c>
      <c r="BL92" s="52"/>
      <c r="BM92" s="53">
        <f t="shared" si="62"/>
        <v>37.492245310999976</v>
      </c>
      <c r="BO92" s="151">
        <v>46094</v>
      </c>
      <c r="BP92" s="159">
        <v>671.85</v>
      </c>
      <c r="BQ92" s="159">
        <v>0</v>
      </c>
      <c r="BR92" s="358"/>
      <c r="BS92" s="162"/>
      <c r="BT92" s="27"/>
      <c r="BU92" s="240">
        <v>45.727547000000015</v>
      </c>
      <c r="BV92" s="42">
        <v>2263.2031019213327</v>
      </c>
      <c r="BW92" s="42"/>
      <c r="BX92" s="52"/>
      <c r="BY92" s="53">
        <f t="shared" si="63"/>
        <v>2308.9306489213327</v>
      </c>
      <c r="CA92" s="151">
        <v>46094</v>
      </c>
      <c r="CB92" s="152">
        <v>8458.07</v>
      </c>
      <c r="CC92" s="159">
        <v>0</v>
      </c>
      <c r="CD92" s="163"/>
      <c r="CE92" s="27"/>
      <c r="CF92" s="32">
        <v>93.535519999999892</v>
      </c>
      <c r="CG92" s="42"/>
      <c r="CH92" s="44"/>
      <c r="CI92" s="53">
        <f t="shared" si="64"/>
        <v>93.535519999999892</v>
      </c>
      <c r="CK92" s="151">
        <v>46094</v>
      </c>
      <c r="CL92" s="152">
        <v>9371.1</v>
      </c>
      <c r="CM92" s="161">
        <v>0</v>
      </c>
      <c r="CN92" s="158">
        <v>526.13</v>
      </c>
      <c r="CO92" s="27"/>
      <c r="CP92" s="51"/>
      <c r="CQ92" s="33">
        <v>472.71092088733337</v>
      </c>
      <c r="CR92" s="52"/>
      <c r="CS92" s="53">
        <f t="shared" si="71"/>
        <v>998.84092088733337</v>
      </c>
      <c r="CU92" s="151">
        <v>46094</v>
      </c>
      <c r="CV92" s="159">
        <v>985.39</v>
      </c>
      <c r="CW92" s="159">
        <v>403.46</v>
      </c>
      <c r="CX92" s="357"/>
      <c r="CY92" s="158">
        <v>145.68</v>
      </c>
      <c r="CZ92" s="27"/>
      <c r="DA92" s="32">
        <v>40.699139999999915</v>
      </c>
      <c r="DB92" s="33">
        <v>40.190470796666688</v>
      </c>
      <c r="DC92" s="44">
        <v>-37.7538208</v>
      </c>
      <c r="DD92" s="53">
        <f t="shared" si="74"/>
        <v>188.81578999666661</v>
      </c>
      <c r="DE92" s="211"/>
      <c r="DF92" s="151">
        <v>46094</v>
      </c>
      <c r="DG92" s="152">
        <v>4149.41</v>
      </c>
      <c r="DH92" s="159">
        <v>254.05</v>
      </c>
      <c r="DI92" s="158"/>
      <c r="DJ92" s="27"/>
      <c r="DK92" s="32">
        <v>130.94343999999984</v>
      </c>
      <c r="DL92" s="42">
        <v>22.757012373333339</v>
      </c>
      <c r="DM92" s="44"/>
      <c r="DN92" s="53">
        <f t="shared" si="65"/>
        <v>153.70045237333318</v>
      </c>
      <c r="DP92" s="151">
        <v>46094</v>
      </c>
      <c r="DQ92" s="152">
        <v>1425.2</v>
      </c>
      <c r="DR92" s="173"/>
      <c r="DS92" s="27"/>
      <c r="DT92" s="51"/>
      <c r="DU92" s="52"/>
      <c r="DV92" s="52"/>
      <c r="DW92" s="53">
        <f t="shared" si="66"/>
        <v>0</v>
      </c>
      <c r="DY92" s="151">
        <v>46094</v>
      </c>
      <c r="DZ92" s="159">
        <v>278.10000000000002</v>
      </c>
      <c r="EA92" s="174"/>
      <c r="EB92" s="27"/>
      <c r="EC92" s="51"/>
      <c r="ED92" s="52"/>
      <c r="EE92" s="52"/>
      <c r="EF92" s="53">
        <f t="shared" si="67"/>
        <v>0</v>
      </c>
      <c r="EH92" s="151">
        <v>46094</v>
      </c>
      <c r="EI92" s="154">
        <v>1613.7</v>
      </c>
      <c r="EJ92" s="162"/>
      <c r="EK92" s="27"/>
      <c r="EL92" s="51"/>
      <c r="EM92" s="52"/>
      <c r="EN92" s="52"/>
      <c r="EO92" s="53">
        <f t="shared" si="68"/>
        <v>0</v>
      </c>
      <c r="EQ92" s="151">
        <v>46094</v>
      </c>
      <c r="ER92" s="152">
        <v>2274.59</v>
      </c>
      <c r="ES92" s="173"/>
      <c r="ET92" s="27"/>
      <c r="EU92" s="32">
        <v>14.468189999999993</v>
      </c>
      <c r="EV92" s="52"/>
      <c r="EW92" s="52"/>
      <c r="EX92" s="53">
        <f t="shared" si="69"/>
        <v>14.468189999999993</v>
      </c>
    </row>
    <row r="93" spans="2:154" x14ac:dyDescent="0.25">
      <c r="B93" s="151">
        <v>46095</v>
      </c>
      <c r="C93" s="152">
        <v>4748.1499999999996</v>
      </c>
      <c r="D93" s="152">
        <v>1274.18</v>
      </c>
      <c r="E93" s="152">
        <v>14.26</v>
      </c>
      <c r="F93" s="27"/>
      <c r="G93" s="32">
        <v>224.19157999999982</v>
      </c>
      <c r="H93" s="33">
        <v>102.83492557999989</v>
      </c>
      <c r="I93" s="52"/>
      <c r="J93" s="53">
        <f t="shared" si="70"/>
        <v>341.2865055799997</v>
      </c>
      <c r="L93" s="151">
        <v>46095</v>
      </c>
      <c r="M93" s="152">
        <v>22582.99</v>
      </c>
      <c r="N93" s="159">
        <v>58.62</v>
      </c>
      <c r="O93" s="158">
        <v>10.97</v>
      </c>
      <c r="P93" s="27"/>
      <c r="Q93" s="32">
        <v>99.255419999999972</v>
      </c>
      <c r="R93" s="53">
        <v>496.12788857333339</v>
      </c>
      <c r="S93" s="53">
        <f t="shared" si="75"/>
        <v>-59.717142857142854</v>
      </c>
      <c r="T93" s="53"/>
      <c r="U93" s="53">
        <f t="shared" si="59"/>
        <v>546.63616571619048</v>
      </c>
      <c r="V93" s="437"/>
      <c r="W93" s="151">
        <v>46095</v>
      </c>
      <c r="X93" s="152">
        <v>24307.439999999999</v>
      </c>
      <c r="Y93" s="356"/>
      <c r="Z93" s="170">
        <v>1.51</v>
      </c>
      <c r="AA93" s="27"/>
      <c r="AB93" s="51">
        <v>2765.1400299999996</v>
      </c>
      <c r="AC93" s="33">
        <v>36.942063116666702</v>
      </c>
      <c r="AD93" s="440">
        <f t="shared" si="76"/>
        <v>-173.36285714285714</v>
      </c>
      <c r="AE93" s="52"/>
      <c r="AF93" s="53">
        <f t="shared" si="73"/>
        <v>2630.2292359738094</v>
      </c>
      <c r="AH93" s="151">
        <v>46095</v>
      </c>
      <c r="AI93" s="152">
        <v>6470.96</v>
      </c>
      <c r="AJ93" s="161">
        <v>0</v>
      </c>
      <c r="AK93" s="158">
        <v>198.31</v>
      </c>
      <c r="AL93" s="27"/>
      <c r="AM93" s="32">
        <v>1088.6587800000002</v>
      </c>
      <c r="AN93" s="32">
        <v>167.51741935483872</v>
      </c>
      <c r="AO93" s="42">
        <v>231.90580595000006</v>
      </c>
      <c r="AP93" s="44"/>
      <c r="AQ93" s="53">
        <f t="shared" si="60"/>
        <v>1686.3920053048389</v>
      </c>
      <c r="AS93" s="151">
        <v>46095</v>
      </c>
      <c r="AT93" s="152">
        <v>12327.38</v>
      </c>
      <c r="AU93" s="159">
        <v>0</v>
      </c>
      <c r="AV93" s="152">
        <v>3796.75</v>
      </c>
      <c r="AW93" s="178"/>
      <c r="AX93" s="27"/>
      <c r="AY93" s="32">
        <v>273.87935999999996</v>
      </c>
      <c r="AZ93" s="53">
        <v>52.271181413333309</v>
      </c>
      <c r="BA93" s="53"/>
      <c r="BB93" s="53">
        <f t="shared" si="61"/>
        <v>326.15054141333326</v>
      </c>
      <c r="BD93" s="151">
        <v>46095</v>
      </c>
      <c r="BE93" s="152">
        <v>1424.82</v>
      </c>
      <c r="BF93" s="161">
        <v>0</v>
      </c>
      <c r="BG93" s="162"/>
      <c r="BH93" s="162"/>
      <c r="BJ93" s="51"/>
      <c r="BK93" s="42"/>
      <c r="BL93" s="52"/>
      <c r="BM93" s="53">
        <f t="shared" si="62"/>
        <v>0</v>
      </c>
      <c r="BO93" s="151">
        <v>46095</v>
      </c>
      <c r="BP93" s="159">
        <v>822.62</v>
      </c>
      <c r="BQ93" s="159">
        <v>0</v>
      </c>
      <c r="BR93" s="358"/>
      <c r="BS93" s="158">
        <v>766.4</v>
      </c>
      <c r="BT93" s="27"/>
      <c r="BU93" s="240"/>
      <c r="BV93" s="42">
        <v>1200.7254666103336</v>
      </c>
      <c r="BW93" s="42"/>
      <c r="BX93" s="52"/>
      <c r="BY93" s="53">
        <f t="shared" si="63"/>
        <v>1967.1254666103337</v>
      </c>
      <c r="CA93" s="151">
        <v>46095</v>
      </c>
      <c r="CB93" s="152">
        <v>1353.59</v>
      </c>
      <c r="CC93" s="159">
        <v>0</v>
      </c>
      <c r="CD93" s="331"/>
      <c r="CE93" s="27"/>
      <c r="CF93" s="32">
        <v>82.956239999999923</v>
      </c>
      <c r="CG93" s="42">
        <v>33.393265036666605</v>
      </c>
      <c r="CH93" s="44"/>
      <c r="CI93" s="53">
        <f t="shared" si="64"/>
        <v>116.34950503666653</v>
      </c>
      <c r="CK93" s="151">
        <v>46095</v>
      </c>
      <c r="CL93" s="152">
        <v>3234.12</v>
      </c>
      <c r="CM93" s="161">
        <v>0</v>
      </c>
      <c r="CN93" s="158">
        <v>240.92</v>
      </c>
      <c r="CO93" s="27"/>
      <c r="CP93" s="51"/>
      <c r="CQ93" s="33">
        <v>105.45349224666673</v>
      </c>
      <c r="CR93" s="52"/>
      <c r="CS93" s="53">
        <f t="shared" si="71"/>
        <v>346.37349224666673</v>
      </c>
      <c r="CU93" s="151">
        <v>46095</v>
      </c>
      <c r="CV93" s="159">
        <v>386.25</v>
      </c>
      <c r="CW93" s="159">
        <v>150.9</v>
      </c>
      <c r="CX93" s="357"/>
      <c r="CY93" s="158">
        <v>34.56</v>
      </c>
      <c r="CZ93" s="27"/>
      <c r="DA93" s="32">
        <v>27.933419999999927</v>
      </c>
      <c r="DB93" s="33"/>
      <c r="DC93" s="44"/>
      <c r="DD93" s="53">
        <f t="shared" si="74"/>
        <v>62.493419999999929</v>
      </c>
      <c r="DE93" s="211"/>
      <c r="DF93" s="151">
        <v>46095</v>
      </c>
      <c r="DG93" s="152">
        <v>1494.63</v>
      </c>
      <c r="DH93" s="159">
        <v>403.11</v>
      </c>
      <c r="DI93" s="162"/>
      <c r="DJ93" s="27"/>
      <c r="DK93" s="32">
        <v>240.83311999999981</v>
      </c>
      <c r="DL93" s="42">
        <v>85.761638638666739</v>
      </c>
      <c r="DM93" s="44"/>
      <c r="DN93" s="53">
        <f t="shared" si="65"/>
        <v>326.59475863866658</v>
      </c>
      <c r="DP93" s="151">
        <v>46095</v>
      </c>
      <c r="DQ93" s="159">
        <v>559.22</v>
      </c>
      <c r="DR93" s="173"/>
      <c r="DS93" s="27"/>
      <c r="DT93" s="51"/>
      <c r="DU93" s="52"/>
      <c r="DV93" s="52"/>
      <c r="DW93" s="53">
        <f t="shared" si="66"/>
        <v>0</v>
      </c>
      <c r="DY93" s="151">
        <v>46095</v>
      </c>
      <c r="DZ93" s="159">
        <v>202.8</v>
      </c>
      <c r="EA93" s="174"/>
      <c r="EB93" s="27"/>
      <c r="EC93" s="51"/>
      <c r="ED93" s="52"/>
      <c r="EE93" s="52"/>
      <c r="EF93" s="53">
        <f t="shared" si="67"/>
        <v>0</v>
      </c>
      <c r="EH93" s="151">
        <v>46095</v>
      </c>
      <c r="EI93" s="154">
        <v>1727.65</v>
      </c>
      <c r="EJ93" s="162"/>
      <c r="EK93" s="27"/>
      <c r="EL93" s="51"/>
      <c r="EM93" s="52"/>
      <c r="EN93" s="52"/>
      <c r="EO93" s="53">
        <f t="shared" si="68"/>
        <v>0</v>
      </c>
      <c r="EQ93" s="151">
        <v>46095</v>
      </c>
      <c r="ER93" s="152">
        <v>1883.71</v>
      </c>
      <c r="ES93" s="173"/>
      <c r="ET93" s="27"/>
      <c r="EU93" s="32">
        <v>149.26297500000015</v>
      </c>
      <c r="EV93" s="52"/>
      <c r="EW93" s="52"/>
      <c r="EX93" s="53">
        <f t="shared" si="69"/>
        <v>149.26297500000015</v>
      </c>
    </row>
    <row r="94" spans="2:154" x14ac:dyDescent="0.25">
      <c r="B94" s="151">
        <v>46096</v>
      </c>
      <c r="C94" s="152">
        <v>2859.94</v>
      </c>
      <c r="D94" s="152">
        <v>1514.06</v>
      </c>
      <c r="E94" s="152"/>
      <c r="F94" s="27"/>
      <c r="G94" s="32">
        <v>74.632169999999945</v>
      </c>
      <c r="H94" s="33"/>
      <c r="I94" s="52"/>
      <c r="J94" s="53">
        <f t="shared" si="70"/>
        <v>74.632169999999945</v>
      </c>
      <c r="L94" s="151">
        <v>46096</v>
      </c>
      <c r="M94" s="152">
        <v>15162.88</v>
      </c>
      <c r="N94" s="152">
        <v>6190.34</v>
      </c>
      <c r="O94" s="158">
        <v>5</v>
      </c>
      <c r="P94" s="27"/>
      <c r="Q94" s="32"/>
      <c r="R94" s="53">
        <v>152.94866323666679</v>
      </c>
      <c r="S94" s="53">
        <f t="shared" si="75"/>
        <v>-59.717142857142854</v>
      </c>
      <c r="T94" s="53"/>
      <c r="U94" s="53">
        <f t="shared" si="59"/>
        <v>98.231520379523943</v>
      </c>
      <c r="V94" s="437"/>
      <c r="W94" s="151">
        <v>46096</v>
      </c>
      <c r="X94" s="152">
        <v>38221.33</v>
      </c>
      <c r="Y94" s="356"/>
      <c r="Z94" s="162"/>
      <c r="AA94" s="27"/>
      <c r="AB94" s="51">
        <v>3399.7932700000001</v>
      </c>
      <c r="AC94" s="33">
        <v>807.30703406666703</v>
      </c>
      <c r="AD94" s="440">
        <f t="shared" si="76"/>
        <v>-173.36285714285714</v>
      </c>
      <c r="AE94" s="52"/>
      <c r="AF94" s="53">
        <f t="shared" si="73"/>
        <v>4033.7374469238102</v>
      </c>
      <c r="AH94" s="151">
        <v>46096</v>
      </c>
      <c r="AI94" s="152">
        <v>5760.01</v>
      </c>
      <c r="AJ94" s="161">
        <v>0</v>
      </c>
      <c r="AK94" s="158">
        <v>0</v>
      </c>
      <c r="AL94" s="27"/>
      <c r="AM94" s="32">
        <v>284.72226000000001</v>
      </c>
      <c r="AN94" s="32">
        <v>167.51741935483872</v>
      </c>
      <c r="AO94" s="42">
        <v>358.15192200666684</v>
      </c>
      <c r="AP94" s="44"/>
      <c r="AQ94" s="53">
        <f t="shared" si="60"/>
        <v>810.39160136150554</v>
      </c>
      <c r="AS94" s="151">
        <v>46096</v>
      </c>
      <c r="AT94" s="152">
        <v>9952.75</v>
      </c>
      <c r="AU94" s="159">
        <v>0</v>
      </c>
      <c r="AV94" s="152">
        <v>2353.15</v>
      </c>
      <c r="AW94" s="171"/>
      <c r="AX94" s="27"/>
      <c r="AY94" s="32"/>
      <c r="AZ94" s="53">
        <v>104.93028555933333</v>
      </c>
      <c r="BA94" s="53"/>
      <c r="BB94" s="53">
        <f t="shared" si="61"/>
        <v>104.93028555933333</v>
      </c>
      <c r="BD94" s="151">
        <v>46096</v>
      </c>
      <c r="BE94" s="152">
        <v>1130.3399999999999</v>
      </c>
      <c r="BF94" s="161">
        <v>0</v>
      </c>
      <c r="BG94" s="162"/>
      <c r="BH94" s="158">
        <v>130</v>
      </c>
      <c r="BJ94" s="51"/>
      <c r="BK94" s="42"/>
      <c r="BL94" s="52"/>
      <c r="BM94" s="53">
        <f t="shared" si="62"/>
        <v>130</v>
      </c>
      <c r="BO94" s="151">
        <v>46096</v>
      </c>
      <c r="BP94" s="152">
        <v>2739.03</v>
      </c>
      <c r="BQ94" s="159">
        <v>0</v>
      </c>
      <c r="BR94" s="358"/>
      <c r="BS94" s="158">
        <v>491.14</v>
      </c>
      <c r="BT94" s="27"/>
      <c r="BU94" s="240"/>
      <c r="BV94" s="42">
        <v>2069.950349526333</v>
      </c>
      <c r="BW94" s="42"/>
      <c r="BX94" s="52"/>
      <c r="BY94" s="53">
        <f t="shared" si="63"/>
        <v>2561.0903495263328</v>
      </c>
      <c r="CA94" s="151">
        <v>46096</v>
      </c>
      <c r="CB94" s="152">
        <v>1200.8</v>
      </c>
      <c r="CC94" s="159">
        <v>0</v>
      </c>
      <c r="CD94" s="334"/>
      <c r="CE94" s="27"/>
      <c r="CF94" s="32"/>
      <c r="CG94" s="42"/>
      <c r="CH94" s="44"/>
      <c r="CI94" s="53">
        <f t="shared" si="64"/>
        <v>0</v>
      </c>
      <c r="CK94" s="151">
        <v>46096</v>
      </c>
      <c r="CL94" s="152">
        <v>3155.61</v>
      </c>
      <c r="CM94" s="161">
        <v>0</v>
      </c>
      <c r="CN94" s="158">
        <v>78.91</v>
      </c>
      <c r="CO94" s="27"/>
      <c r="CP94" s="51"/>
      <c r="CQ94" s="33">
        <v>56.685649020000028</v>
      </c>
      <c r="CR94" s="52"/>
      <c r="CS94" s="53">
        <f t="shared" si="71"/>
        <v>135.59564902000002</v>
      </c>
      <c r="CU94" s="151">
        <v>46096</v>
      </c>
      <c r="CV94" s="159">
        <v>532.01</v>
      </c>
      <c r="CW94" s="159">
        <v>407.9</v>
      </c>
      <c r="CX94" s="357"/>
      <c r="CY94" s="162"/>
      <c r="CZ94" s="27"/>
      <c r="DA94" s="32">
        <v>47.703999999999937</v>
      </c>
      <c r="DB94" s="33"/>
      <c r="DC94" s="44"/>
      <c r="DD94" s="53">
        <f>SUM(CY94:DC94)</f>
        <v>47.703999999999937</v>
      </c>
      <c r="DE94" s="211"/>
      <c r="DF94" s="151">
        <v>46096</v>
      </c>
      <c r="DG94" s="152">
        <v>1651.82</v>
      </c>
      <c r="DH94" s="159">
        <v>365.41</v>
      </c>
      <c r="DI94" s="157"/>
      <c r="DJ94" s="27"/>
      <c r="DK94" s="32"/>
      <c r="DL94" s="42"/>
      <c r="DM94" s="44"/>
      <c r="DN94" s="53">
        <f t="shared" si="65"/>
        <v>0</v>
      </c>
      <c r="DP94" s="151">
        <v>46096</v>
      </c>
      <c r="DQ94" s="159">
        <v>776.62</v>
      </c>
      <c r="DR94" s="173"/>
      <c r="DS94" s="27"/>
      <c r="DT94" s="51"/>
      <c r="DU94" s="52"/>
      <c r="DV94" s="52"/>
      <c r="DW94" s="53">
        <f t="shared" si="66"/>
        <v>0</v>
      </c>
      <c r="DY94" s="151">
        <v>46096</v>
      </c>
      <c r="DZ94" s="159">
        <v>854.2</v>
      </c>
      <c r="EA94" s="174"/>
      <c r="EB94" s="27"/>
      <c r="EC94" s="51"/>
      <c r="ED94" s="52"/>
      <c r="EE94" s="52"/>
      <c r="EF94" s="53">
        <f t="shared" si="67"/>
        <v>0</v>
      </c>
      <c r="EH94" s="151">
        <v>46096</v>
      </c>
      <c r="EI94" s="154">
        <v>2965.46</v>
      </c>
      <c r="EJ94" s="162"/>
      <c r="EK94" s="27"/>
      <c r="EL94" s="51"/>
      <c r="EM94" s="52"/>
      <c r="EN94" s="52"/>
      <c r="EO94" s="53">
        <f t="shared" si="68"/>
        <v>0</v>
      </c>
      <c r="EQ94" s="151">
        <v>46096</v>
      </c>
      <c r="ER94" s="152">
        <v>1253.49</v>
      </c>
      <c r="ES94" s="173"/>
      <c r="ET94" s="27"/>
      <c r="EU94" s="32">
        <v>10.273967000000004</v>
      </c>
      <c r="EV94" s="52"/>
      <c r="EW94" s="52"/>
      <c r="EX94" s="53">
        <f t="shared" si="69"/>
        <v>10.273967000000004</v>
      </c>
    </row>
    <row r="95" spans="2:154" x14ac:dyDescent="0.25">
      <c r="B95" s="151">
        <v>46097</v>
      </c>
      <c r="C95" s="152">
        <v>3484.57</v>
      </c>
      <c r="D95" s="152">
        <v>1605.44</v>
      </c>
      <c r="E95" s="152"/>
      <c r="F95" s="27"/>
      <c r="G95" s="32">
        <v>376.92431999999957</v>
      </c>
      <c r="H95" s="33">
        <v>782.96683169999903</v>
      </c>
      <c r="I95" s="52"/>
      <c r="J95" s="53">
        <f t="shared" si="70"/>
        <v>1159.8911516999985</v>
      </c>
      <c r="L95" s="151">
        <v>46097</v>
      </c>
      <c r="M95" s="152">
        <v>19641.490000000002</v>
      </c>
      <c r="N95" s="152">
        <v>6795.55</v>
      </c>
      <c r="O95" s="158">
        <v>19.41</v>
      </c>
      <c r="P95" s="27"/>
      <c r="Q95" s="32">
        <v>156.61308000000002</v>
      </c>
      <c r="R95" s="53"/>
      <c r="S95" s="53"/>
      <c r="T95" s="53">
        <v>62.550487199999964</v>
      </c>
      <c r="U95" s="53">
        <f t="shared" si="59"/>
        <v>238.57356719999999</v>
      </c>
      <c r="W95" s="151">
        <v>46097</v>
      </c>
      <c r="X95" s="152">
        <v>22787.119999999999</v>
      </c>
      <c r="Y95" s="356"/>
      <c r="Z95" s="170">
        <v>1.53</v>
      </c>
      <c r="AA95" s="27"/>
      <c r="AB95" s="51">
        <v>2210.2337799999982</v>
      </c>
      <c r="AC95" s="33">
        <v>2752.5056419000011</v>
      </c>
      <c r="AD95" s="33"/>
      <c r="AE95" s="52"/>
      <c r="AF95" s="53">
        <f t="shared" si="73"/>
        <v>4964.2694218999995</v>
      </c>
      <c r="AH95" s="151">
        <v>46097</v>
      </c>
      <c r="AI95" s="152">
        <v>5242.21</v>
      </c>
      <c r="AJ95" s="154">
        <v>2868.56</v>
      </c>
      <c r="AK95" s="158">
        <v>661.78</v>
      </c>
      <c r="AL95" s="27"/>
      <c r="AM95" s="32">
        <v>435.95408000000003</v>
      </c>
      <c r="AN95" s="32">
        <v>167.51741935483872</v>
      </c>
      <c r="AO95" s="42"/>
      <c r="AP95" s="44"/>
      <c r="AQ95" s="53">
        <f t="shared" si="60"/>
        <v>1265.2514993548386</v>
      </c>
      <c r="AS95" s="151">
        <v>46097</v>
      </c>
      <c r="AT95" s="152">
        <v>13102.17</v>
      </c>
      <c r="AU95" s="152">
        <v>3398.87</v>
      </c>
      <c r="AV95" s="152">
        <v>3006.41</v>
      </c>
      <c r="AW95" s="171"/>
      <c r="AX95" s="27"/>
      <c r="AY95" s="32">
        <v>38.848569999999981</v>
      </c>
      <c r="AZ95" s="53">
        <v>221.47407270000002</v>
      </c>
      <c r="BA95" s="53"/>
      <c r="BB95" s="53">
        <f t="shared" si="61"/>
        <v>260.32264270000002</v>
      </c>
      <c r="BD95" s="151">
        <v>46097</v>
      </c>
      <c r="BE95" s="152">
        <v>2324.31</v>
      </c>
      <c r="BF95" s="161">
        <v>697.56</v>
      </c>
      <c r="BG95" s="162"/>
      <c r="BH95" s="162"/>
      <c r="BJ95" s="51"/>
      <c r="BK95" s="42"/>
      <c r="BL95" s="52"/>
      <c r="BM95" s="53">
        <f t="shared" si="62"/>
        <v>0</v>
      </c>
      <c r="BO95" s="151">
        <v>46097</v>
      </c>
      <c r="BP95" s="159">
        <v>656.28</v>
      </c>
      <c r="BQ95" s="159">
        <v>487.6</v>
      </c>
      <c r="BR95" s="358"/>
      <c r="BS95" s="158">
        <v>300.14999999999998</v>
      </c>
      <c r="BT95" s="27"/>
      <c r="BU95" s="240"/>
      <c r="BV95" s="42">
        <f>2267.96745252-0.77</f>
        <v>2267.1974525199998</v>
      </c>
      <c r="BW95" s="42"/>
      <c r="BX95" s="52"/>
      <c r="BY95" s="53">
        <f t="shared" si="63"/>
        <v>2567.3474525199999</v>
      </c>
      <c r="CA95" s="151">
        <v>46097</v>
      </c>
      <c r="CB95" s="152">
        <v>3610.73</v>
      </c>
      <c r="CC95" s="159">
        <v>0</v>
      </c>
      <c r="CD95" s="331"/>
      <c r="CE95" s="27"/>
      <c r="CF95" s="32">
        <v>25.47127999999995</v>
      </c>
      <c r="CG95" s="42">
        <v>34.094499600000006</v>
      </c>
      <c r="CH95" s="44"/>
      <c r="CI95" s="53">
        <f t="shared" si="64"/>
        <v>59.565779599999956</v>
      </c>
      <c r="CK95" s="151">
        <v>46097</v>
      </c>
      <c r="CL95" s="152">
        <v>2730.63</v>
      </c>
      <c r="CM95" s="161">
        <v>0</v>
      </c>
      <c r="CN95" s="158">
        <v>198.04</v>
      </c>
      <c r="CO95" s="27"/>
      <c r="CP95" s="51"/>
      <c r="CQ95" s="33">
        <v>401.61931520000007</v>
      </c>
      <c r="CR95" s="52"/>
      <c r="CS95" s="53">
        <f t="shared" si="71"/>
        <v>599.65931520000004</v>
      </c>
      <c r="CU95" s="151">
        <v>46097</v>
      </c>
      <c r="CV95" s="152">
        <v>1288.67</v>
      </c>
      <c r="CW95" s="159">
        <v>370.8</v>
      </c>
      <c r="CX95" s="357"/>
      <c r="CY95" s="162"/>
      <c r="CZ95" s="27"/>
      <c r="DA95" s="32">
        <v>60.15899999999985</v>
      </c>
      <c r="DB95" s="33"/>
      <c r="DC95" s="44"/>
      <c r="DD95" s="53">
        <f>SUM(CY95:DC95)</f>
        <v>60.15899999999985</v>
      </c>
      <c r="DE95" s="211"/>
      <c r="DF95" s="151">
        <v>46097</v>
      </c>
      <c r="DG95" s="152">
        <v>2874.09</v>
      </c>
      <c r="DH95" s="159">
        <v>537.41</v>
      </c>
      <c r="DI95" s="162"/>
      <c r="DJ95" s="27"/>
      <c r="DK95" s="32">
        <v>217.22674999999953</v>
      </c>
      <c r="DL95" s="42">
        <v>36.927949999999996</v>
      </c>
      <c r="DM95" s="44"/>
      <c r="DN95" s="53">
        <f t="shared" si="65"/>
        <v>254.15469999999954</v>
      </c>
      <c r="DP95" s="151">
        <v>46097</v>
      </c>
      <c r="DQ95" s="159">
        <v>984.81</v>
      </c>
      <c r="DR95" s="173"/>
      <c r="DS95" s="27"/>
      <c r="DT95" s="51"/>
      <c r="DU95" s="52"/>
      <c r="DV95" s="52"/>
      <c r="DW95" s="53">
        <f t="shared" si="66"/>
        <v>0</v>
      </c>
      <c r="DY95" s="151">
        <v>46097</v>
      </c>
      <c r="DZ95" s="159">
        <v>335</v>
      </c>
      <c r="EA95" s="174"/>
      <c r="EB95" s="27"/>
      <c r="EC95" s="51"/>
      <c r="ED95" s="52"/>
      <c r="EE95" s="52"/>
      <c r="EF95" s="53">
        <f t="shared" si="67"/>
        <v>0</v>
      </c>
      <c r="EH95" s="151">
        <v>46097</v>
      </c>
      <c r="EI95" s="154">
        <v>1895.11</v>
      </c>
      <c r="EJ95" s="162"/>
      <c r="EK95" s="27"/>
      <c r="EL95" s="51"/>
      <c r="EM95" s="52"/>
      <c r="EN95" s="52"/>
      <c r="EO95" s="53">
        <f t="shared" si="68"/>
        <v>0</v>
      </c>
      <c r="EQ95" s="151">
        <v>46097</v>
      </c>
      <c r="ER95" s="152">
        <v>1860.45</v>
      </c>
      <c r="ES95" s="173"/>
      <c r="ET95" s="27"/>
      <c r="EU95" s="32">
        <v>57.239356000000043</v>
      </c>
      <c r="EV95" s="52"/>
      <c r="EW95" s="52"/>
      <c r="EX95" s="53">
        <f t="shared" si="69"/>
        <v>57.239356000000043</v>
      </c>
    </row>
    <row r="96" spans="2:154" x14ac:dyDescent="0.25">
      <c r="B96" s="151">
        <v>46098</v>
      </c>
      <c r="C96" s="152">
        <v>3995.97</v>
      </c>
      <c r="D96" s="159">
        <v>0</v>
      </c>
      <c r="E96" s="152"/>
      <c r="F96" s="27"/>
      <c r="G96" s="32">
        <v>540.65906999999959</v>
      </c>
      <c r="H96" s="33">
        <v>-2.9798634000000561</v>
      </c>
      <c r="I96" s="52"/>
      <c r="J96" s="53">
        <f t="shared" si="70"/>
        <v>537.67920659999959</v>
      </c>
      <c r="L96" s="151">
        <v>46098</v>
      </c>
      <c r="M96" s="152">
        <v>26139.11</v>
      </c>
      <c r="N96" s="152">
        <v>3460.62</v>
      </c>
      <c r="O96" s="158">
        <v>48.9</v>
      </c>
      <c r="P96" s="27"/>
      <c r="Q96" s="32">
        <v>146.19345000000001</v>
      </c>
      <c r="R96" s="53">
        <v>30.820608799999988</v>
      </c>
      <c r="S96" s="53"/>
      <c r="T96" s="53"/>
      <c r="U96" s="53">
        <f t="shared" si="59"/>
        <v>225.91405880000002</v>
      </c>
      <c r="W96" s="151">
        <v>46098</v>
      </c>
      <c r="X96" s="152">
        <v>25589.27</v>
      </c>
      <c r="Y96" s="356"/>
      <c r="Z96" s="170">
        <v>10.42</v>
      </c>
      <c r="AA96" s="27"/>
      <c r="AB96" s="51">
        <v>5130.1674699999985</v>
      </c>
      <c r="AC96" s="33">
        <v>-13.793185599999759</v>
      </c>
      <c r="AD96" s="33"/>
      <c r="AE96" s="52"/>
      <c r="AF96" s="53">
        <f t="shared" si="73"/>
        <v>5126.794284399999</v>
      </c>
      <c r="AH96" s="151">
        <v>46098</v>
      </c>
      <c r="AI96" s="152">
        <v>5465.04</v>
      </c>
      <c r="AJ96" s="154">
        <v>1643.66</v>
      </c>
      <c r="AK96" s="158">
        <v>403.66</v>
      </c>
      <c r="AL96" s="27"/>
      <c r="AM96" s="32">
        <v>1702.9781399999997</v>
      </c>
      <c r="AN96" s="32">
        <v>167.51741935483872</v>
      </c>
      <c r="AO96" s="42">
        <v>91.983837999999992</v>
      </c>
      <c r="AP96" s="44"/>
      <c r="AQ96" s="53">
        <f t="shared" si="60"/>
        <v>2366.1393973548384</v>
      </c>
      <c r="AS96" s="151">
        <v>46098</v>
      </c>
      <c r="AT96" s="152">
        <v>16327.49</v>
      </c>
      <c r="AU96" s="152">
        <v>5903.85</v>
      </c>
      <c r="AV96" s="152">
        <v>3425.32</v>
      </c>
      <c r="AW96" s="171"/>
      <c r="AX96" s="27"/>
      <c r="AY96" s="32">
        <v>51.572409999999991</v>
      </c>
      <c r="AZ96" s="53">
        <v>27.687316799999984</v>
      </c>
      <c r="BA96" s="53"/>
      <c r="BB96" s="53">
        <f t="shared" si="61"/>
        <v>79.259726799999981</v>
      </c>
      <c r="BD96" s="151">
        <v>46098</v>
      </c>
      <c r="BE96" s="152">
        <v>1172.82</v>
      </c>
      <c r="BF96" s="154">
        <v>1487.82</v>
      </c>
      <c r="BG96" s="162"/>
      <c r="BH96" s="162"/>
      <c r="BJ96" s="51"/>
      <c r="BK96" s="42"/>
      <c r="BL96" s="52"/>
      <c r="BM96" s="53">
        <f t="shared" si="62"/>
        <v>0</v>
      </c>
      <c r="BO96" s="151">
        <v>46098</v>
      </c>
      <c r="BP96" s="152">
        <v>3629.96</v>
      </c>
      <c r="BQ96" s="159">
        <v>718.9</v>
      </c>
      <c r="BR96" s="358"/>
      <c r="BS96" s="158">
        <v>652.63</v>
      </c>
      <c r="BT96" s="27"/>
      <c r="BU96" s="240"/>
      <c r="BV96" s="42">
        <v>-389.02563761999994</v>
      </c>
      <c r="BW96" s="42"/>
      <c r="BX96" s="52"/>
      <c r="BY96" s="53">
        <f t="shared" si="63"/>
        <v>263.60436238000005</v>
      </c>
      <c r="CA96" s="151">
        <v>46098</v>
      </c>
      <c r="CB96" s="152">
        <v>6152.13</v>
      </c>
      <c r="CC96" s="159">
        <v>55.98</v>
      </c>
      <c r="CD96" s="331"/>
      <c r="CE96" s="27"/>
      <c r="CF96" s="32">
        <v>514.72348999999997</v>
      </c>
      <c r="CG96" s="42">
        <v>-19.95827399999996</v>
      </c>
      <c r="CH96" s="44">
        <v>19.268255599999989</v>
      </c>
      <c r="CI96" s="53">
        <f t="shared" si="64"/>
        <v>514.03347159999998</v>
      </c>
      <c r="CK96" s="151">
        <v>46098</v>
      </c>
      <c r="CL96" s="152">
        <v>10771.14</v>
      </c>
      <c r="CM96" s="161">
        <v>0</v>
      </c>
      <c r="CN96" s="158">
        <v>433.01</v>
      </c>
      <c r="CO96" s="27"/>
      <c r="CP96" s="51"/>
      <c r="CQ96" s="33">
        <v>-1.2366386000000489</v>
      </c>
      <c r="CR96" s="52"/>
      <c r="CS96" s="53">
        <f t="shared" si="71"/>
        <v>431.77336139999994</v>
      </c>
      <c r="CU96" s="151">
        <v>46098</v>
      </c>
      <c r="CV96" s="152">
        <v>3480.28</v>
      </c>
      <c r="CW96" s="159">
        <v>328.5</v>
      </c>
      <c r="CX96" s="357"/>
      <c r="CY96" s="158">
        <v>24.07</v>
      </c>
      <c r="CZ96" s="27"/>
      <c r="DA96" s="32">
        <v>170.26515999999992</v>
      </c>
      <c r="DB96" s="33">
        <v>25.087892799999963</v>
      </c>
      <c r="DC96" s="44"/>
      <c r="DD96" s="53">
        <f t="shared" ref="DD96:DD110" si="77">SUM(CY96:DC96)</f>
        <v>219.42305279999988</v>
      </c>
      <c r="DE96" s="211"/>
      <c r="DF96" s="151">
        <v>46098</v>
      </c>
      <c r="DG96" s="152">
        <v>2839.57</v>
      </c>
      <c r="DH96" s="159">
        <v>626.77</v>
      </c>
      <c r="DI96" s="162"/>
      <c r="DJ96" s="27"/>
      <c r="DK96" s="32"/>
      <c r="DL96" s="42"/>
      <c r="DM96" s="44"/>
      <c r="DN96" s="53">
        <f t="shared" si="65"/>
        <v>0</v>
      </c>
      <c r="DP96" s="151">
        <v>46098</v>
      </c>
      <c r="DQ96" s="152">
        <v>1007.89</v>
      </c>
      <c r="DR96" s="173"/>
      <c r="DS96" s="27"/>
      <c r="DT96" s="51"/>
      <c r="DU96" s="52"/>
      <c r="DV96" s="52"/>
      <c r="DW96" s="53">
        <f t="shared" si="66"/>
        <v>0</v>
      </c>
      <c r="DY96" s="151">
        <v>46098</v>
      </c>
      <c r="DZ96" s="159">
        <v>985.46</v>
      </c>
      <c r="EA96" s="174"/>
      <c r="EB96" s="27"/>
      <c r="EC96" s="51"/>
      <c r="ED96" s="52"/>
      <c r="EE96" s="52"/>
      <c r="EF96" s="53">
        <f t="shared" si="67"/>
        <v>0</v>
      </c>
      <c r="EH96" s="151">
        <v>46098</v>
      </c>
      <c r="EI96" s="154">
        <v>2541.9299999999998</v>
      </c>
      <c r="EJ96" s="162"/>
      <c r="EK96" s="27"/>
      <c r="EL96" s="51"/>
      <c r="EM96" s="52"/>
      <c r="EN96" s="52"/>
      <c r="EO96" s="53">
        <f t="shared" si="68"/>
        <v>0</v>
      </c>
      <c r="EQ96" s="151">
        <v>46098</v>
      </c>
      <c r="ER96" s="152">
        <v>1436.69</v>
      </c>
      <c r="ES96" s="173"/>
      <c r="ET96" s="27"/>
      <c r="EU96" s="32">
        <v>93.319093999999993</v>
      </c>
      <c r="EV96" s="52"/>
      <c r="EW96" s="52"/>
      <c r="EX96" s="53">
        <f t="shared" si="69"/>
        <v>93.319093999999993</v>
      </c>
    </row>
    <row r="97" spans="2:154" x14ac:dyDescent="0.25">
      <c r="B97" s="151">
        <v>46099</v>
      </c>
      <c r="C97" s="152">
        <v>5313.56</v>
      </c>
      <c r="D97" s="159">
        <v>0</v>
      </c>
      <c r="E97" s="152"/>
      <c r="F97" s="27"/>
      <c r="G97" s="32">
        <v>53.469449999999767</v>
      </c>
      <c r="H97" s="33"/>
      <c r="I97" s="52"/>
      <c r="J97" s="53">
        <f t="shared" si="70"/>
        <v>53.469449999999767</v>
      </c>
      <c r="L97" s="151">
        <v>46099</v>
      </c>
      <c r="M97" s="152">
        <v>37270.160000000003</v>
      </c>
      <c r="N97" s="152">
        <v>6555.52</v>
      </c>
      <c r="O97" s="158">
        <v>170.47</v>
      </c>
      <c r="P97" s="27"/>
      <c r="Q97" s="32">
        <v>26.975999999999971</v>
      </c>
      <c r="R97" s="53">
        <v>-3.5666047999999364</v>
      </c>
      <c r="S97" s="53"/>
      <c r="T97" s="53"/>
      <c r="U97" s="53">
        <f t="shared" si="59"/>
        <v>193.87939520000003</v>
      </c>
      <c r="W97" s="151">
        <v>46099</v>
      </c>
      <c r="X97" s="152">
        <v>32615.64</v>
      </c>
      <c r="Y97" s="356"/>
      <c r="Z97" s="170">
        <v>0.48</v>
      </c>
      <c r="AA97" s="27"/>
      <c r="AB97" s="51">
        <v>286.29821000000015</v>
      </c>
      <c r="AC97" s="33">
        <v>27.626278799999966</v>
      </c>
      <c r="AD97" s="33"/>
      <c r="AE97" s="52"/>
      <c r="AF97" s="53">
        <f t="shared" si="73"/>
        <v>314.40448880000014</v>
      </c>
      <c r="AH97" s="151">
        <v>46099</v>
      </c>
      <c r="AI97" s="152">
        <v>6278.55</v>
      </c>
      <c r="AJ97" s="161">
        <v>0</v>
      </c>
      <c r="AK97" s="158">
        <v>194.34</v>
      </c>
      <c r="AL97" s="27"/>
      <c r="AM97" s="32">
        <v>451.79672000000011</v>
      </c>
      <c r="AN97" s="32">
        <v>167.51741935483872</v>
      </c>
      <c r="AO97" s="42">
        <v>47.112944000000027</v>
      </c>
      <c r="AP97" s="44"/>
      <c r="AQ97" s="53">
        <f t="shared" si="60"/>
        <v>860.76708335483886</v>
      </c>
      <c r="AS97" s="151">
        <v>46099</v>
      </c>
      <c r="AT97" s="152">
        <v>15316.4</v>
      </c>
      <c r="AU97" s="152">
        <v>4943.59</v>
      </c>
      <c r="AV97" s="152">
        <v>3113.71</v>
      </c>
      <c r="AW97" s="171"/>
      <c r="AX97" s="27"/>
      <c r="AY97" s="32">
        <v>3.4390000000000001</v>
      </c>
      <c r="AZ97" s="53">
        <v>65.673623999999876</v>
      </c>
      <c r="BA97" s="53"/>
      <c r="BB97" s="53">
        <f t="shared" si="61"/>
        <v>69.112623999999869</v>
      </c>
      <c r="BD97" s="151">
        <v>46099</v>
      </c>
      <c r="BE97" s="152">
        <v>1414.99</v>
      </c>
      <c r="BF97" s="154">
        <v>1498.04</v>
      </c>
      <c r="BG97" s="162"/>
      <c r="BH97" s="158">
        <v>295</v>
      </c>
      <c r="BJ97" s="51"/>
      <c r="BK97" s="42"/>
      <c r="BL97" s="52"/>
      <c r="BM97" s="53">
        <f t="shared" si="62"/>
        <v>295</v>
      </c>
      <c r="BO97" s="151">
        <v>46099</v>
      </c>
      <c r="BP97" s="152">
        <v>2596.9699999999998</v>
      </c>
      <c r="BQ97" s="159">
        <v>721.17</v>
      </c>
      <c r="BR97" s="358"/>
      <c r="BS97" s="158">
        <v>371.21</v>
      </c>
      <c r="BT97" s="27"/>
      <c r="BU97" s="240"/>
      <c r="BV97" s="42">
        <v>-662.8084319999997</v>
      </c>
      <c r="BW97" s="42"/>
      <c r="BX97" s="52"/>
      <c r="BY97" s="53">
        <f t="shared" si="63"/>
        <v>-291.59843199999972</v>
      </c>
      <c r="CA97" s="151">
        <v>46099</v>
      </c>
      <c r="CB97" s="152">
        <v>6929.07</v>
      </c>
      <c r="CC97" s="159">
        <v>892.71</v>
      </c>
      <c r="CD97" s="331"/>
      <c r="CE97" s="27"/>
      <c r="CF97" s="32">
        <v>45.913519999999977</v>
      </c>
      <c r="CG97" s="42"/>
      <c r="CH97" s="44"/>
      <c r="CI97" s="53">
        <f t="shared" si="64"/>
        <v>45.913519999999977</v>
      </c>
      <c r="CK97" s="151">
        <v>46099</v>
      </c>
      <c r="CL97" s="152">
        <v>10847.71</v>
      </c>
      <c r="CM97" s="161">
        <v>0</v>
      </c>
      <c r="CN97" s="158">
        <v>475.02</v>
      </c>
      <c r="CO97" s="27"/>
      <c r="CP97" s="51"/>
      <c r="CQ97" s="33">
        <v>245.35848999999979</v>
      </c>
      <c r="CR97" s="52"/>
      <c r="CS97" s="53">
        <f t="shared" si="71"/>
        <v>720.37848999999983</v>
      </c>
      <c r="CU97" s="151">
        <v>46099</v>
      </c>
      <c r="CV97" s="152">
        <v>1424.99</v>
      </c>
      <c r="CW97" s="159">
        <v>442.2</v>
      </c>
      <c r="CX97" s="357"/>
      <c r="CY97" s="158">
        <v>223.74</v>
      </c>
      <c r="CZ97" s="27"/>
      <c r="DA97" s="32">
        <v>10.68549999999999</v>
      </c>
      <c r="DB97" s="33"/>
      <c r="DC97" s="44"/>
      <c r="DD97" s="53">
        <f t="shared" si="77"/>
        <v>234.4255</v>
      </c>
      <c r="DE97" s="211"/>
      <c r="DF97" s="151">
        <v>46099</v>
      </c>
      <c r="DG97" s="152">
        <v>4198.3100000000004</v>
      </c>
      <c r="DH97" s="159">
        <v>573.91</v>
      </c>
      <c r="DI97" s="162"/>
      <c r="DJ97" s="27"/>
      <c r="DK97" s="32">
        <v>-270.56480000000033</v>
      </c>
      <c r="DL97" s="42"/>
      <c r="DM97" s="44"/>
      <c r="DN97" s="53">
        <f t="shared" si="65"/>
        <v>-270.56480000000033</v>
      </c>
      <c r="DP97" s="151">
        <v>46099</v>
      </c>
      <c r="DQ97" s="152">
        <v>1116.3</v>
      </c>
      <c r="DR97" s="173"/>
      <c r="DS97" s="27"/>
      <c r="DT97" s="51"/>
      <c r="DU97" s="52"/>
      <c r="DV97" s="52"/>
      <c r="DW97" s="53">
        <f t="shared" si="66"/>
        <v>0</v>
      </c>
      <c r="DY97" s="151">
        <v>46099</v>
      </c>
      <c r="DZ97" s="159">
        <v>734.6</v>
      </c>
      <c r="EA97" s="174"/>
      <c r="EB97" s="27"/>
      <c r="EC97" s="51"/>
      <c r="ED97" s="52"/>
      <c r="EE97" s="52"/>
      <c r="EF97" s="53">
        <f t="shared" si="67"/>
        <v>0</v>
      </c>
      <c r="EH97" s="151">
        <v>46099</v>
      </c>
      <c r="EI97" s="154">
        <v>2198.5700000000002</v>
      </c>
      <c r="EJ97" s="158">
        <v>12</v>
      </c>
      <c r="EK97" s="27"/>
      <c r="EL97" s="51"/>
      <c r="EM97" s="52"/>
      <c r="EN97" s="52"/>
      <c r="EO97" s="53">
        <f t="shared" si="68"/>
        <v>12</v>
      </c>
      <c r="EQ97" s="151">
        <v>46099</v>
      </c>
      <c r="ER97" s="152">
        <v>1727.57</v>
      </c>
      <c r="ES97" s="173"/>
      <c r="ET97" s="27"/>
      <c r="EU97" s="32">
        <v>80.194436999999937</v>
      </c>
      <c r="EV97" s="52"/>
      <c r="EW97" s="52"/>
      <c r="EX97" s="53">
        <f t="shared" si="69"/>
        <v>80.194436999999937</v>
      </c>
    </row>
    <row r="98" spans="2:154" x14ac:dyDescent="0.25">
      <c r="B98" s="151">
        <v>46100</v>
      </c>
      <c r="C98" s="152">
        <v>5042.29</v>
      </c>
      <c r="D98" s="152">
        <v>2429.88</v>
      </c>
      <c r="E98" s="152">
        <v>9.5</v>
      </c>
      <c r="F98" s="27"/>
      <c r="G98" s="32">
        <v>-10.683920000000228</v>
      </c>
      <c r="H98" s="33">
        <v>175.75148779999986</v>
      </c>
      <c r="I98" s="52"/>
      <c r="J98" s="53">
        <f t="shared" si="70"/>
        <v>174.56756779999964</v>
      </c>
      <c r="L98" s="151">
        <v>46100</v>
      </c>
      <c r="M98" s="152">
        <v>19050.16</v>
      </c>
      <c r="N98" s="152">
        <v>6755.33</v>
      </c>
      <c r="O98" s="158">
        <v>8.6</v>
      </c>
      <c r="P98" s="27"/>
      <c r="Q98" s="32"/>
      <c r="R98" s="53">
        <v>36.904190399999948</v>
      </c>
      <c r="S98" s="53"/>
      <c r="T98" s="53"/>
      <c r="U98" s="53">
        <f t="shared" si="59"/>
        <v>45.504190399999949</v>
      </c>
      <c r="W98" s="151">
        <v>46100</v>
      </c>
      <c r="X98" s="152">
        <v>25211.38</v>
      </c>
      <c r="Y98" s="356"/>
      <c r="Z98" s="170">
        <v>1.2</v>
      </c>
      <c r="AA98" s="27"/>
      <c r="AB98" s="51">
        <v>123.24446999999938</v>
      </c>
      <c r="AC98" s="33"/>
      <c r="AD98" s="33"/>
      <c r="AE98" s="52"/>
      <c r="AF98" s="53">
        <f t="shared" si="73"/>
        <v>124.44446999999938</v>
      </c>
      <c r="AH98" s="151">
        <v>46100</v>
      </c>
      <c r="AI98" s="152">
        <v>6570.57</v>
      </c>
      <c r="AJ98" s="161">
        <v>737.45</v>
      </c>
      <c r="AK98" s="158">
        <v>523.44000000000005</v>
      </c>
      <c r="AL98" s="27"/>
      <c r="AM98" s="32">
        <v>850.29656999999997</v>
      </c>
      <c r="AN98" s="32">
        <v>167.51741935483872</v>
      </c>
      <c r="AO98" s="42">
        <v>99.227154199999973</v>
      </c>
      <c r="AP98" s="44"/>
      <c r="AQ98" s="53">
        <f t="shared" si="60"/>
        <v>1640.4811435548386</v>
      </c>
      <c r="AS98" s="151">
        <v>46100</v>
      </c>
      <c r="AT98" s="152">
        <v>22771.99</v>
      </c>
      <c r="AU98" s="152">
        <v>3072.96</v>
      </c>
      <c r="AV98" s="152">
        <v>3537.89</v>
      </c>
      <c r="AW98" s="171"/>
      <c r="AX98" s="27"/>
      <c r="AY98" s="32">
        <v>33.899259999999984</v>
      </c>
      <c r="AZ98" s="53">
        <v>102.23542319999991</v>
      </c>
      <c r="BA98" s="53"/>
      <c r="BB98" s="53">
        <f t="shared" si="61"/>
        <v>136.1346831999999</v>
      </c>
      <c r="BD98" s="151">
        <v>46100</v>
      </c>
      <c r="BE98" s="152">
        <v>5124</v>
      </c>
      <c r="BF98" s="154">
        <v>1629.55</v>
      </c>
      <c r="BG98" s="162"/>
      <c r="BH98" s="158">
        <v>101.27</v>
      </c>
      <c r="BJ98" s="51"/>
      <c r="BK98" s="42"/>
      <c r="BL98" s="52"/>
      <c r="BM98" s="53">
        <f t="shared" si="62"/>
        <v>101.27</v>
      </c>
      <c r="BO98" s="151">
        <v>46100</v>
      </c>
      <c r="BP98" s="152">
        <v>2292.6</v>
      </c>
      <c r="BQ98" s="159">
        <v>710.65</v>
      </c>
      <c r="BR98" s="358"/>
      <c r="BS98" s="158">
        <v>354.65</v>
      </c>
      <c r="BT98" s="27"/>
      <c r="BU98" s="240">
        <v>-7.5677479999999946</v>
      </c>
      <c r="BV98" s="42">
        <v>-847.91751845999954</v>
      </c>
      <c r="BW98" s="42"/>
      <c r="BX98" s="52"/>
      <c r="BY98" s="53">
        <f t="shared" si="63"/>
        <v>-500.83526645999956</v>
      </c>
      <c r="CA98" s="151">
        <v>46100</v>
      </c>
      <c r="CB98" s="152">
        <v>9110.34</v>
      </c>
      <c r="CC98" s="159">
        <v>549.41</v>
      </c>
      <c r="CD98" s="331"/>
      <c r="CE98" s="27"/>
      <c r="CF98" s="32">
        <v>33.168969999999959</v>
      </c>
      <c r="CG98" s="42"/>
      <c r="CH98" s="44"/>
      <c r="CI98" s="53">
        <f t="shared" si="64"/>
        <v>33.168969999999959</v>
      </c>
      <c r="CK98" s="151">
        <v>46100</v>
      </c>
      <c r="CL98" s="152">
        <v>3129.97</v>
      </c>
      <c r="CM98" s="161">
        <v>0</v>
      </c>
      <c r="CN98" s="158">
        <v>155.91</v>
      </c>
      <c r="CO98" s="27"/>
      <c r="CP98" s="51"/>
      <c r="CQ98" s="33">
        <v>138.87127799999988</v>
      </c>
      <c r="CR98" s="52"/>
      <c r="CS98" s="53">
        <f t="shared" si="71"/>
        <v>294.78127799999987</v>
      </c>
      <c r="CU98" s="151">
        <v>46100</v>
      </c>
      <c r="CV98" s="159">
        <v>137.49</v>
      </c>
      <c r="CW98" s="159">
        <v>102</v>
      </c>
      <c r="CX98" s="357"/>
      <c r="CY98" s="158">
        <v>147.54</v>
      </c>
      <c r="CZ98" s="27"/>
      <c r="DA98" s="32">
        <v>22.654799999999966</v>
      </c>
      <c r="DB98" s="33">
        <v>13.452070399999968</v>
      </c>
      <c r="DC98" s="44"/>
      <c r="DD98" s="53">
        <f t="shared" si="77"/>
        <v>183.64687039999993</v>
      </c>
      <c r="DE98" s="211"/>
      <c r="DF98" s="151">
        <v>46100</v>
      </c>
      <c r="DG98" s="152">
        <v>3666.55</v>
      </c>
      <c r="DH98" s="159">
        <v>391.16</v>
      </c>
      <c r="DI98" s="162"/>
      <c r="DJ98" s="27"/>
      <c r="DK98" s="32">
        <v>-150.48615000000026</v>
      </c>
      <c r="DL98" s="42"/>
      <c r="DM98" s="44"/>
      <c r="DN98" s="53">
        <f t="shared" si="65"/>
        <v>-150.48615000000026</v>
      </c>
      <c r="DP98" s="151">
        <v>46100</v>
      </c>
      <c r="DQ98" s="159">
        <v>824.5</v>
      </c>
      <c r="DR98" s="173"/>
      <c r="DS98" s="27"/>
      <c r="DT98" s="51"/>
      <c r="DU98" s="52"/>
      <c r="DV98" s="52"/>
      <c r="DW98" s="53">
        <f t="shared" si="66"/>
        <v>0</v>
      </c>
      <c r="DY98" s="151">
        <v>46100</v>
      </c>
      <c r="DZ98" s="159">
        <v>974.5</v>
      </c>
      <c r="EA98" s="174"/>
      <c r="EB98" s="27"/>
      <c r="EC98" s="51"/>
      <c r="ED98" s="52"/>
      <c r="EE98" s="52"/>
      <c r="EF98" s="53">
        <f t="shared" si="67"/>
        <v>0</v>
      </c>
      <c r="EH98" s="151">
        <v>46100</v>
      </c>
      <c r="EI98" s="154">
        <v>1990</v>
      </c>
      <c r="EJ98" s="162"/>
      <c r="EK98" s="27"/>
      <c r="EL98" s="51"/>
      <c r="EM98" s="52"/>
      <c r="EN98" s="52"/>
      <c r="EO98" s="53">
        <f t="shared" si="68"/>
        <v>0</v>
      </c>
      <c r="EQ98" s="151">
        <v>46100</v>
      </c>
      <c r="ER98" s="152">
        <v>3965.77</v>
      </c>
      <c r="ES98" s="173"/>
      <c r="ET98" s="27"/>
      <c r="EU98" s="32">
        <v>109.14349499999975</v>
      </c>
      <c r="EV98" s="52"/>
      <c r="EW98" s="52"/>
      <c r="EX98" s="53">
        <f t="shared" si="69"/>
        <v>109.14349499999975</v>
      </c>
    </row>
    <row r="99" spans="2:154" x14ac:dyDescent="0.25">
      <c r="B99" s="151">
        <v>46101</v>
      </c>
      <c r="C99" s="152">
        <v>4147.25</v>
      </c>
      <c r="D99" s="152">
        <v>2814.05</v>
      </c>
      <c r="E99" s="152">
        <v>8.75</v>
      </c>
      <c r="F99" s="27"/>
      <c r="G99" s="32">
        <v>-66.531000000000319</v>
      </c>
      <c r="H99" s="33">
        <v>29.521803999999975</v>
      </c>
      <c r="I99" s="52"/>
      <c r="J99" s="53">
        <f t="shared" si="70"/>
        <v>-28.259196000000344</v>
      </c>
      <c r="L99" s="151">
        <v>46101</v>
      </c>
      <c r="M99" s="152">
        <v>20400.18</v>
      </c>
      <c r="N99" s="152">
        <v>5742.25</v>
      </c>
      <c r="O99" s="158">
        <v>15.95</v>
      </c>
      <c r="P99" s="27"/>
      <c r="Q99" s="32">
        <v>55.611319999999957</v>
      </c>
      <c r="R99" s="53">
        <v>84.593600000000151</v>
      </c>
      <c r="S99" s="53"/>
      <c r="T99" s="53">
        <v>34.710716199999979</v>
      </c>
      <c r="U99" s="53">
        <f t="shared" si="59"/>
        <v>190.8656362000001</v>
      </c>
      <c r="W99" s="151">
        <v>46101</v>
      </c>
      <c r="X99" s="152">
        <v>25452.23</v>
      </c>
      <c r="Y99" s="154">
        <v>4255.99</v>
      </c>
      <c r="Z99" s="170">
        <v>6.85</v>
      </c>
      <c r="AA99" s="27"/>
      <c r="AB99" s="51">
        <v>75.587959999999512</v>
      </c>
      <c r="AC99" s="33"/>
      <c r="AD99" s="33"/>
      <c r="AE99" s="52"/>
      <c r="AF99" s="53">
        <f t="shared" si="73"/>
        <v>82.437959999999507</v>
      </c>
      <c r="AH99" s="151">
        <v>46101</v>
      </c>
      <c r="AI99" s="152">
        <v>7069.87</v>
      </c>
      <c r="AJ99" s="161">
        <v>894.42</v>
      </c>
      <c r="AK99" s="158">
        <v>184.61</v>
      </c>
      <c r="AL99" s="27"/>
      <c r="AM99" s="32">
        <v>785.3772899999999</v>
      </c>
      <c r="AN99" s="32">
        <v>167.51741935483872</v>
      </c>
      <c r="AO99" s="42">
        <v>40.455550199999948</v>
      </c>
      <c r="AP99" s="44"/>
      <c r="AQ99" s="53">
        <f t="shared" si="60"/>
        <v>1177.9602595548386</v>
      </c>
      <c r="AS99" s="151">
        <v>46101</v>
      </c>
      <c r="AT99" s="152">
        <v>23824.63</v>
      </c>
      <c r="AU99" s="152">
        <v>3301.29</v>
      </c>
      <c r="AV99" s="152">
        <v>3721.69</v>
      </c>
      <c r="AW99" s="171"/>
      <c r="AX99" s="27"/>
      <c r="AY99" s="32"/>
      <c r="AZ99" s="53">
        <v>21.527620399999989</v>
      </c>
      <c r="BA99" s="53"/>
      <c r="BB99" s="53">
        <f t="shared" si="61"/>
        <v>21.527620399999989</v>
      </c>
      <c r="BD99" s="151">
        <v>46101</v>
      </c>
      <c r="BE99" s="152">
        <v>2272.1999999999998</v>
      </c>
      <c r="BF99" s="161">
        <v>76.08</v>
      </c>
      <c r="BG99" s="162"/>
      <c r="BH99" s="162"/>
      <c r="BJ99" s="51"/>
      <c r="BK99" s="42"/>
      <c r="BL99" s="52"/>
      <c r="BM99" s="53">
        <f t="shared" si="62"/>
        <v>0</v>
      </c>
      <c r="BO99" s="151">
        <v>46101</v>
      </c>
      <c r="BP99" s="152">
        <v>4331.46</v>
      </c>
      <c r="BQ99" s="152">
        <v>1783.4</v>
      </c>
      <c r="BR99" s="358"/>
      <c r="BS99" s="158">
        <v>417.36</v>
      </c>
      <c r="BT99" s="27"/>
      <c r="BU99" s="240"/>
      <c r="BV99" s="42">
        <v>-410.83166695999984</v>
      </c>
      <c r="BW99" s="42"/>
      <c r="BX99" s="52"/>
      <c r="BY99" s="53">
        <f t="shared" si="63"/>
        <v>6.5283330400001773</v>
      </c>
      <c r="CA99" s="151">
        <v>46101</v>
      </c>
      <c r="CB99" s="152">
        <v>9108.15</v>
      </c>
      <c r="CC99" s="152">
        <v>1317.21</v>
      </c>
      <c r="CD99" s="331"/>
      <c r="CE99" s="27"/>
      <c r="CF99" s="32">
        <v>48.530650000000023</v>
      </c>
      <c r="CG99" s="42"/>
      <c r="CH99" s="44"/>
      <c r="CI99" s="53">
        <f t="shared" si="64"/>
        <v>48.530650000000023</v>
      </c>
      <c r="CK99" s="151">
        <v>46101</v>
      </c>
      <c r="CL99" s="152">
        <v>11551.92</v>
      </c>
      <c r="CM99" s="161">
        <v>0</v>
      </c>
      <c r="CN99" s="158">
        <v>382.49</v>
      </c>
      <c r="CO99" s="27"/>
      <c r="CP99" s="51"/>
      <c r="CQ99" s="33">
        <v>160.58147299999979</v>
      </c>
      <c r="CR99" s="52"/>
      <c r="CS99" s="53">
        <f t="shared" si="71"/>
        <v>543.07147299999974</v>
      </c>
      <c r="CU99" s="151">
        <v>46101</v>
      </c>
      <c r="CV99" s="152">
        <v>2134.71</v>
      </c>
      <c r="CW99" s="159">
        <v>173</v>
      </c>
      <c r="CX99" s="357"/>
      <c r="CY99" s="158">
        <v>84.8</v>
      </c>
      <c r="CZ99" s="27"/>
      <c r="DA99" s="32">
        <v>87.951909999999856</v>
      </c>
      <c r="DB99" s="33">
        <v>18.136988799999983</v>
      </c>
      <c r="DC99" s="44"/>
      <c r="DD99" s="53">
        <f t="shared" si="77"/>
        <v>190.88889879999982</v>
      </c>
      <c r="DE99" s="211"/>
      <c r="DF99" s="151">
        <v>46101</v>
      </c>
      <c r="DG99" s="152">
        <v>2329.64</v>
      </c>
      <c r="DH99" s="159">
        <v>441</v>
      </c>
      <c r="DI99" s="162"/>
      <c r="DJ99" s="27"/>
      <c r="DK99" s="32">
        <v>-130.61108000000019</v>
      </c>
      <c r="DL99" s="42">
        <v>21.354342399999979</v>
      </c>
      <c r="DM99" s="44"/>
      <c r="DN99" s="53">
        <f t="shared" si="65"/>
        <v>-109.25673760000021</v>
      </c>
      <c r="DP99" s="151">
        <v>46101</v>
      </c>
      <c r="DQ99" s="159">
        <v>281</v>
      </c>
      <c r="DR99" s="173"/>
      <c r="DS99" s="27"/>
      <c r="DT99" s="51"/>
      <c r="DU99" s="52"/>
      <c r="DV99" s="52"/>
      <c r="DW99" s="53">
        <f t="shared" si="66"/>
        <v>0</v>
      </c>
      <c r="DY99" s="151">
        <v>46101</v>
      </c>
      <c r="DZ99" s="159">
        <v>126.8</v>
      </c>
      <c r="EA99" s="174"/>
      <c r="EB99" s="27"/>
      <c r="EC99" s="51"/>
      <c r="ED99" s="52"/>
      <c r="EE99" s="52"/>
      <c r="EF99" s="53">
        <f t="shared" si="67"/>
        <v>0</v>
      </c>
      <c r="EH99" s="151">
        <v>46101</v>
      </c>
      <c r="EI99" s="154">
        <v>2306.8000000000002</v>
      </c>
      <c r="EJ99" s="162"/>
      <c r="EK99" s="27"/>
      <c r="EL99" s="51"/>
      <c r="EM99" s="52"/>
      <c r="EN99" s="52"/>
      <c r="EO99" s="53">
        <f t="shared" si="68"/>
        <v>0</v>
      </c>
      <c r="EQ99" s="151">
        <v>46101</v>
      </c>
      <c r="ER99" s="152">
        <v>2239.4</v>
      </c>
      <c r="ES99" s="173"/>
      <c r="ET99" s="27"/>
      <c r="EU99" s="32">
        <v>37.221629999999962</v>
      </c>
      <c r="EV99" s="52"/>
      <c r="EW99" s="52"/>
      <c r="EX99" s="53">
        <f t="shared" si="69"/>
        <v>37.221629999999962</v>
      </c>
    </row>
    <row r="100" spans="2:154" x14ac:dyDescent="0.25">
      <c r="B100" s="151">
        <v>46102</v>
      </c>
      <c r="C100" s="152">
        <v>4422.8500000000004</v>
      </c>
      <c r="D100" s="152">
        <v>2874.03</v>
      </c>
      <c r="E100" s="152"/>
      <c r="F100" s="27"/>
      <c r="G100" s="32">
        <v>-38.721500000000304</v>
      </c>
      <c r="H100" s="33"/>
      <c r="I100" s="52"/>
      <c r="J100" s="53">
        <f t="shared" si="70"/>
        <v>-38.721500000000304</v>
      </c>
      <c r="L100" s="151">
        <v>46102</v>
      </c>
      <c r="M100" s="152">
        <v>19926.5</v>
      </c>
      <c r="N100" s="152">
        <v>5665.3</v>
      </c>
      <c r="O100" s="158">
        <v>23.05</v>
      </c>
      <c r="P100" s="27"/>
      <c r="Q100" s="32"/>
      <c r="R100" s="53">
        <v>39.961644800000045</v>
      </c>
      <c r="S100" s="53"/>
      <c r="T100" s="53"/>
      <c r="U100" s="53">
        <f t="shared" si="59"/>
        <v>63.011644800000042</v>
      </c>
      <c r="W100" s="151">
        <v>46102</v>
      </c>
      <c r="X100" s="152">
        <v>24227.68</v>
      </c>
      <c r="Y100" s="154">
        <v>5307.11</v>
      </c>
      <c r="Z100" s="162"/>
      <c r="AA100" s="27"/>
      <c r="AB100" s="51">
        <v>97.686419999999586</v>
      </c>
      <c r="AC100" s="33">
        <v>160.65369319999985</v>
      </c>
      <c r="AD100" s="33"/>
      <c r="AE100" s="52"/>
      <c r="AF100" s="53">
        <f t="shared" si="73"/>
        <v>258.34011319999945</v>
      </c>
      <c r="AH100" s="151">
        <v>46102</v>
      </c>
      <c r="AI100" s="152">
        <v>8755.84</v>
      </c>
      <c r="AJ100" s="154">
        <v>1354.29</v>
      </c>
      <c r="AK100" s="158">
        <v>307.89999999999998</v>
      </c>
      <c r="AL100" s="27"/>
      <c r="AM100" s="32">
        <v>862.17949999999996</v>
      </c>
      <c r="AN100" s="32">
        <v>167.51741935483872</v>
      </c>
      <c r="AO100" s="42">
        <v>104.1626536</v>
      </c>
      <c r="AP100" s="44"/>
      <c r="AQ100" s="53">
        <f t="shared" si="60"/>
        <v>1441.7595729548384</v>
      </c>
      <c r="AS100" s="151">
        <v>46102</v>
      </c>
      <c r="AT100" s="152">
        <v>29651.93</v>
      </c>
      <c r="AU100" s="152">
        <v>3857.37</v>
      </c>
      <c r="AV100" s="152">
        <v>2159.8000000000002</v>
      </c>
      <c r="AW100" s="180"/>
      <c r="AX100" s="27"/>
      <c r="AY100" s="32">
        <v>14.319999999999993</v>
      </c>
      <c r="AZ100" s="53">
        <v>29.190979999999968</v>
      </c>
      <c r="BA100" s="53"/>
      <c r="BB100" s="53">
        <f t="shared" si="61"/>
        <v>43.510979999999961</v>
      </c>
      <c r="BD100" s="151">
        <v>46102</v>
      </c>
      <c r="BE100" s="152">
        <v>1841.23</v>
      </c>
      <c r="BF100" s="154">
        <v>1427.28</v>
      </c>
      <c r="BG100" s="162"/>
      <c r="BH100" s="162"/>
      <c r="BJ100" s="51"/>
      <c r="BK100" s="42"/>
      <c r="BL100" s="52"/>
      <c r="BM100" s="53">
        <f t="shared" si="62"/>
        <v>0</v>
      </c>
      <c r="BO100" s="151">
        <v>46102</v>
      </c>
      <c r="BP100" s="152">
        <v>5039.76</v>
      </c>
      <c r="BQ100" s="159">
        <v>877.96</v>
      </c>
      <c r="BR100" s="358"/>
      <c r="BS100" s="158">
        <v>485.16</v>
      </c>
      <c r="BT100" s="27"/>
      <c r="BU100" s="240"/>
      <c r="BV100" s="42">
        <v>-329.80712388000029</v>
      </c>
      <c r="BW100" s="42"/>
      <c r="BX100" s="52"/>
      <c r="BY100" s="53">
        <f t="shared" ref="BY100:BY110" si="78">SUM(BS100:BX100)</f>
        <v>155.35287611999973</v>
      </c>
      <c r="CA100" s="151">
        <v>46102</v>
      </c>
      <c r="CB100" s="152">
        <v>8214.59</v>
      </c>
      <c r="CC100" s="159">
        <v>907.91</v>
      </c>
      <c r="CD100" s="331"/>
      <c r="CE100" s="27"/>
      <c r="CF100" s="32">
        <v>48.326070000000158</v>
      </c>
      <c r="CG100" s="42"/>
      <c r="CH100" s="44"/>
      <c r="CI100" s="53">
        <f t="shared" si="64"/>
        <v>48.326070000000158</v>
      </c>
      <c r="CK100" s="151">
        <v>46102</v>
      </c>
      <c r="CL100" s="152">
        <v>1493.75</v>
      </c>
      <c r="CM100" s="161">
        <v>0</v>
      </c>
      <c r="CN100" s="158">
        <v>42.5</v>
      </c>
      <c r="CO100" s="27"/>
      <c r="CP100" s="51"/>
      <c r="CQ100" s="33">
        <v>84.096493000000009</v>
      </c>
      <c r="CR100" s="52"/>
      <c r="CS100" s="53">
        <f t="shared" si="71"/>
        <v>126.59649300000001</v>
      </c>
      <c r="CU100" s="151">
        <v>46102</v>
      </c>
      <c r="CV100" s="159">
        <v>501.91</v>
      </c>
      <c r="CW100" s="159">
        <v>224.5</v>
      </c>
      <c r="CX100" s="357"/>
      <c r="CY100" s="162"/>
      <c r="CZ100" s="27"/>
      <c r="DA100" s="32"/>
      <c r="DB100" s="33"/>
      <c r="DC100" s="44"/>
      <c r="DD100" s="53">
        <f t="shared" si="77"/>
        <v>0</v>
      </c>
      <c r="DE100" s="211"/>
      <c r="DF100" s="151">
        <v>46102</v>
      </c>
      <c r="DG100" s="152">
        <v>4345.75</v>
      </c>
      <c r="DH100" s="159">
        <v>360.33</v>
      </c>
      <c r="DI100" s="162"/>
      <c r="DJ100" s="27"/>
      <c r="DK100" s="32">
        <v>-125.60940000000014</v>
      </c>
      <c r="DL100" s="42"/>
      <c r="DM100" s="44"/>
      <c r="DN100" s="53">
        <f t="shared" si="65"/>
        <v>-125.60940000000014</v>
      </c>
      <c r="DP100" s="151">
        <v>46102</v>
      </c>
      <c r="DQ100" s="159">
        <v>722.14</v>
      </c>
      <c r="DR100" s="173"/>
      <c r="DS100" s="27"/>
      <c r="DT100" s="51"/>
      <c r="DU100" s="52"/>
      <c r="DV100" s="52"/>
      <c r="DW100" s="53">
        <f t="shared" si="66"/>
        <v>0</v>
      </c>
      <c r="DY100" s="151">
        <v>46102</v>
      </c>
      <c r="DZ100" s="159">
        <v>470.6</v>
      </c>
      <c r="EA100" s="174"/>
      <c r="EB100" s="27"/>
      <c r="EC100" s="51"/>
      <c r="ED100" s="52"/>
      <c r="EE100" s="52"/>
      <c r="EF100" s="53">
        <f t="shared" si="67"/>
        <v>0</v>
      </c>
      <c r="EH100" s="151">
        <v>46102</v>
      </c>
      <c r="EI100" s="154">
        <v>3254.55</v>
      </c>
      <c r="EJ100" s="162"/>
      <c r="EK100" s="27"/>
      <c r="EL100" s="51"/>
      <c r="EM100" s="52"/>
      <c r="EN100" s="52"/>
      <c r="EO100" s="53">
        <f t="shared" si="68"/>
        <v>0</v>
      </c>
      <c r="EQ100" s="151">
        <v>46102</v>
      </c>
      <c r="ER100" s="152">
        <v>2314.37</v>
      </c>
      <c r="ES100" s="173"/>
      <c r="ET100" s="27"/>
      <c r="EU100" s="32">
        <v>62.13703199999992</v>
      </c>
      <c r="EV100" s="52"/>
      <c r="EW100" s="52"/>
      <c r="EX100" s="53">
        <f t="shared" si="69"/>
        <v>62.13703199999992</v>
      </c>
    </row>
    <row r="101" spans="2:154" x14ac:dyDescent="0.25">
      <c r="B101" s="151">
        <v>46103</v>
      </c>
      <c r="C101" s="152">
        <v>5545.67</v>
      </c>
      <c r="D101" s="159">
        <v>763.52</v>
      </c>
      <c r="E101" s="152"/>
      <c r="F101" s="27"/>
      <c r="G101" s="32">
        <v>-14.486400000000089</v>
      </c>
      <c r="H101" s="33"/>
      <c r="I101" s="52"/>
      <c r="J101" s="53">
        <f t="shared" si="70"/>
        <v>-14.486400000000089</v>
      </c>
      <c r="L101" s="151">
        <v>46103</v>
      </c>
      <c r="M101" s="152">
        <v>15641.99</v>
      </c>
      <c r="N101" s="152">
        <v>2929.11</v>
      </c>
      <c r="O101" s="158">
        <v>22.12</v>
      </c>
      <c r="P101" s="27"/>
      <c r="Q101" s="32">
        <v>12.354420000000061</v>
      </c>
      <c r="R101" s="53">
        <v>157.88791200000014</v>
      </c>
      <c r="S101" s="53"/>
      <c r="T101" s="53"/>
      <c r="U101" s="53">
        <f t="shared" si="59"/>
        <v>192.36233200000021</v>
      </c>
      <c r="W101" s="151">
        <v>46103</v>
      </c>
      <c r="X101" s="152">
        <v>37809.129999999997</v>
      </c>
      <c r="Y101" s="154">
        <v>6140.38</v>
      </c>
      <c r="Z101" s="162"/>
      <c r="AA101" s="27"/>
      <c r="AB101" s="51">
        <v>76.284850000000091</v>
      </c>
      <c r="AC101" s="33"/>
      <c r="AD101" s="33"/>
      <c r="AE101" s="52"/>
      <c r="AF101" s="53">
        <f t="shared" si="73"/>
        <v>76.284850000000091</v>
      </c>
      <c r="AH101" s="151">
        <v>46103</v>
      </c>
      <c r="AI101" s="152">
        <v>5064.8100000000004</v>
      </c>
      <c r="AJ101" s="154">
        <v>1748.11</v>
      </c>
      <c r="AK101" s="162"/>
      <c r="AL101" s="27"/>
      <c r="AM101" s="32">
        <v>319.45517999999993</v>
      </c>
      <c r="AN101" s="32">
        <v>167.51741935483872</v>
      </c>
      <c r="AO101" s="42"/>
      <c r="AP101" s="44"/>
      <c r="AQ101" s="53">
        <f t="shared" si="60"/>
        <v>486.97259935483862</v>
      </c>
      <c r="AS101" s="151">
        <v>46103</v>
      </c>
      <c r="AT101" s="152">
        <v>21223.01</v>
      </c>
      <c r="AU101" s="152">
        <v>1849.25</v>
      </c>
      <c r="AV101" s="159">
        <v>0</v>
      </c>
      <c r="AW101" s="171"/>
      <c r="AX101" s="27"/>
      <c r="AY101" s="32">
        <v>6.3279999999999959</v>
      </c>
      <c r="AZ101" s="53"/>
      <c r="BA101" s="53">
        <v>2.3849063999999984</v>
      </c>
      <c r="BB101" s="53">
        <f t="shared" si="61"/>
        <v>8.7129063999999943</v>
      </c>
      <c r="BD101" s="151">
        <v>46103</v>
      </c>
      <c r="BE101" s="152">
        <v>2562.3000000000002</v>
      </c>
      <c r="BF101" s="154">
        <v>1805.04</v>
      </c>
      <c r="BG101" s="162"/>
      <c r="BH101" s="162"/>
      <c r="BJ101" s="51"/>
      <c r="BK101" s="42"/>
      <c r="BL101" s="52"/>
      <c r="BM101" s="53">
        <f t="shared" si="62"/>
        <v>0</v>
      </c>
      <c r="BO101" s="151">
        <v>46103</v>
      </c>
      <c r="BP101" s="152">
        <v>4797.8100000000004</v>
      </c>
      <c r="BQ101" s="159">
        <v>943.97</v>
      </c>
      <c r="BR101" s="358"/>
      <c r="BS101" s="158">
        <v>488</v>
      </c>
      <c r="BT101" s="27"/>
      <c r="BU101" s="240"/>
      <c r="BV101" s="42">
        <v>-96.700477900000038</v>
      </c>
      <c r="BW101" s="42"/>
      <c r="BX101" s="52"/>
      <c r="BY101" s="53">
        <f t="shared" si="78"/>
        <v>391.29952209999999</v>
      </c>
      <c r="CA101" s="151">
        <v>46103</v>
      </c>
      <c r="CB101" s="152">
        <v>9212.9599999999991</v>
      </c>
      <c r="CC101" s="159">
        <v>620.22</v>
      </c>
      <c r="CD101" s="331"/>
      <c r="CE101" s="27"/>
      <c r="CF101" s="32">
        <v>15.984150000000014</v>
      </c>
      <c r="CG101" s="42"/>
      <c r="CH101" s="44"/>
      <c r="CI101" s="53">
        <f t="shared" si="64"/>
        <v>15.984150000000014</v>
      </c>
      <c r="CK101" s="151">
        <v>46103</v>
      </c>
      <c r="CL101" s="152">
        <v>2110.7600000000002</v>
      </c>
      <c r="CM101" s="161">
        <v>0</v>
      </c>
      <c r="CN101" s="158">
        <v>211.42</v>
      </c>
      <c r="CO101" s="27"/>
      <c r="CP101" s="51"/>
      <c r="CQ101" s="33">
        <v>144.08616299999983</v>
      </c>
      <c r="CR101" s="52"/>
      <c r="CS101" s="53">
        <f t="shared" si="71"/>
        <v>355.50616299999979</v>
      </c>
      <c r="CU101" s="151">
        <v>46103</v>
      </c>
      <c r="CV101" s="159">
        <v>995.22</v>
      </c>
      <c r="CW101" s="159">
        <v>561.29999999999995</v>
      </c>
      <c r="CX101" s="357"/>
      <c r="CY101" s="162"/>
      <c r="CZ101" s="27"/>
      <c r="DA101" s="32">
        <v>11.566480000000013</v>
      </c>
      <c r="DB101" s="33"/>
      <c r="DC101" s="44"/>
      <c r="DD101" s="53">
        <f t="shared" si="77"/>
        <v>11.566480000000013</v>
      </c>
      <c r="DE101" s="211"/>
      <c r="DF101" s="151">
        <v>46103</v>
      </c>
      <c r="DG101" s="152">
        <v>2073.13</v>
      </c>
      <c r="DH101" s="159">
        <v>793</v>
      </c>
      <c r="DI101" s="162"/>
      <c r="DJ101" s="27"/>
      <c r="DK101" s="32">
        <v>-32.232200000000034</v>
      </c>
      <c r="DL101" s="42"/>
      <c r="DM101" s="44"/>
      <c r="DN101" s="53">
        <f t="shared" si="65"/>
        <v>-32.232200000000034</v>
      </c>
      <c r="DP101" s="151">
        <v>46103</v>
      </c>
      <c r="DQ101" s="159">
        <v>661.06</v>
      </c>
      <c r="DR101" s="173"/>
      <c r="DS101" s="27"/>
      <c r="DT101" s="51"/>
      <c r="DU101" s="52"/>
      <c r="DV101" s="52"/>
      <c r="DW101" s="53">
        <f t="shared" si="66"/>
        <v>0</v>
      </c>
      <c r="DY101" s="151">
        <v>46103</v>
      </c>
      <c r="DZ101" s="159">
        <v>309</v>
      </c>
      <c r="EA101" s="174"/>
      <c r="EB101" s="27"/>
      <c r="EC101" s="51"/>
      <c r="ED101" s="52"/>
      <c r="EE101" s="52"/>
      <c r="EF101" s="53">
        <f t="shared" si="67"/>
        <v>0</v>
      </c>
      <c r="EH101" s="151">
        <v>46103</v>
      </c>
      <c r="EI101" s="154">
        <v>2826.07</v>
      </c>
      <c r="EJ101" s="162"/>
      <c r="EK101" s="27"/>
      <c r="EL101" s="51"/>
      <c r="EM101" s="52"/>
      <c r="EN101" s="52"/>
      <c r="EO101" s="53">
        <f t="shared" si="68"/>
        <v>0</v>
      </c>
      <c r="EQ101" s="151">
        <v>46103</v>
      </c>
      <c r="ER101" s="159">
        <v>983.45</v>
      </c>
      <c r="ES101" s="173"/>
      <c r="ET101" s="27"/>
      <c r="EU101" s="32">
        <v>4.0361819999999966</v>
      </c>
      <c r="EV101" s="52"/>
      <c r="EW101" s="52"/>
      <c r="EX101" s="53">
        <f t="shared" si="69"/>
        <v>4.0361819999999966</v>
      </c>
    </row>
    <row r="102" spans="2:154" x14ac:dyDescent="0.25">
      <c r="B102" s="151">
        <v>46104</v>
      </c>
      <c r="C102" s="152">
        <v>4020.77</v>
      </c>
      <c r="D102" s="159">
        <v>994.05</v>
      </c>
      <c r="E102" s="152"/>
      <c r="F102" s="27"/>
      <c r="G102" s="32">
        <v>285.73552999999959</v>
      </c>
      <c r="H102" s="33"/>
      <c r="I102" s="52"/>
      <c r="J102" s="53">
        <f t="shared" si="70"/>
        <v>285.73552999999959</v>
      </c>
      <c r="L102" s="151">
        <v>46104</v>
      </c>
      <c r="M102" s="152">
        <v>19221.650000000001</v>
      </c>
      <c r="N102" s="152">
        <v>3094.56</v>
      </c>
      <c r="O102" s="158">
        <v>22.07</v>
      </c>
      <c r="P102" s="27"/>
      <c r="Q102" s="32">
        <v>47.497850000000028</v>
      </c>
      <c r="R102" s="53">
        <v>38.642931282095219</v>
      </c>
      <c r="S102" s="53"/>
      <c r="T102" s="53">
        <v>8.3500667999999791</v>
      </c>
      <c r="U102" s="53">
        <f t="shared" si="59"/>
        <v>116.56084808209522</v>
      </c>
      <c r="W102" s="151">
        <v>46104</v>
      </c>
      <c r="X102" s="152">
        <v>24876.91</v>
      </c>
      <c r="Y102" s="154">
        <v>1449.12</v>
      </c>
      <c r="Z102" s="170">
        <v>4.7300000000000004</v>
      </c>
      <c r="AA102" s="27"/>
      <c r="AB102" s="51">
        <v>3422.9188899999976</v>
      </c>
      <c r="AC102" s="33">
        <v>102.65155135380948</v>
      </c>
      <c r="AD102" s="33"/>
      <c r="AE102" s="52">
        <v>8.5807063999999968</v>
      </c>
      <c r="AF102" s="53">
        <f t="shared" si="73"/>
        <v>3538.881147753807</v>
      </c>
      <c r="AH102" s="151">
        <v>46104</v>
      </c>
      <c r="AI102" s="152">
        <v>6665.69</v>
      </c>
      <c r="AJ102" s="154">
        <v>1552.54</v>
      </c>
      <c r="AK102" s="158">
        <v>179.81</v>
      </c>
      <c r="AL102" s="27"/>
      <c r="AM102" s="32">
        <v>419.70264999999984</v>
      </c>
      <c r="AN102" s="32">
        <v>167.51741935483872</v>
      </c>
      <c r="AO102" s="42"/>
      <c r="AP102" s="44"/>
      <c r="AQ102" s="53">
        <f t="shared" si="60"/>
        <v>767.03006935483859</v>
      </c>
      <c r="AS102" s="151">
        <v>46104</v>
      </c>
      <c r="AT102" s="152">
        <v>15929.84</v>
      </c>
      <c r="AU102" s="159">
        <v>991.25</v>
      </c>
      <c r="AV102" s="152">
        <v>1083.1199999999999</v>
      </c>
      <c r="AW102" s="171"/>
      <c r="AX102" s="27"/>
      <c r="AY102" s="32">
        <v>-0.31521000000000043</v>
      </c>
      <c r="AZ102" s="53">
        <v>89.490585947904833</v>
      </c>
      <c r="BA102" s="53"/>
      <c r="BB102" s="53">
        <f t="shared" si="61"/>
        <v>89.175375947904826</v>
      </c>
      <c r="BD102" s="151">
        <v>46104</v>
      </c>
      <c r="BE102" s="152">
        <v>2086.17</v>
      </c>
      <c r="BF102" s="154">
        <v>1291.76</v>
      </c>
      <c r="BG102" s="162"/>
      <c r="BH102" s="162"/>
      <c r="BJ102" s="51"/>
      <c r="BK102" s="42"/>
      <c r="BL102" s="52"/>
      <c r="BM102" s="53">
        <f t="shared" si="62"/>
        <v>0</v>
      </c>
      <c r="BO102" s="151">
        <v>46104</v>
      </c>
      <c r="BP102" s="152">
        <v>3829.69</v>
      </c>
      <c r="BQ102" s="159">
        <v>865.05</v>
      </c>
      <c r="BR102" s="358"/>
      <c r="BS102" s="158">
        <v>387.56</v>
      </c>
      <c r="BT102" s="27"/>
      <c r="BU102" s="240">
        <v>-2.1207899999999995</v>
      </c>
      <c r="BV102" s="42">
        <v>-219.37096843999987</v>
      </c>
      <c r="BW102" s="42">
        <f>-2013.99/9</f>
        <v>-223.77666666666667</v>
      </c>
      <c r="BX102" s="52"/>
      <c r="BY102" s="53">
        <f t="shared" si="78"/>
        <v>-57.708425106666539</v>
      </c>
      <c r="CA102" s="151">
        <v>46104</v>
      </c>
      <c r="CB102" s="152">
        <v>9362.19</v>
      </c>
      <c r="CC102" s="159">
        <v>410.55</v>
      </c>
      <c r="CD102" s="331"/>
      <c r="CE102" s="27"/>
      <c r="CF102" s="32">
        <v>11.108249999999991</v>
      </c>
      <c r="CG102" s="42"/>
      <c r="CH102" s="44"/>
      <c r="CI102" s="53">
        <f t="shared" si="64"/>
        <v>11.108249999999991</v>
      </c>
      <c r="CK102" s="151">
        <v>46104</v>
      </c>
      <c r="CL102" s="152">
        <v>9971.44</v>
      </c>
      <c r="CM102" s="161">
        <v>0</v>
      </c>
      <c r="CN102" s="158">
        <v>207.57</v>
      </c>
      <c r="CO102" s="27"/>
      <c r="CP102" s="51"/>
      <c r="CQ102" s="33">
        <v>127.28441679095258</v>
      </c>
      <c r="CR102" s="52"/>
      <c r="CS102" s="53">
        <f t="shared" si="71"/>
        <v>334.85441679095254</v>
      </c>
      <c r="CU102" s="151">
        <v>46104</v>
      </c>
      <c r="CV102" s="152">
        <v>1937.68</v>
      </c>
      <c r="CW102" s="159">
        <v>354.4</v>
      </c>
      <c r="CX102" s="357"/>
      <c r="CY102" s="158">
        <v>36.32</v>
      </c>
      <c r="CZ102" s="27"/>
      <c r="DA102" s="32">
        <v>16.231549999999942</v>
      </c>
      <c r="DB102" s="33"/>
      <c r="DC102" s="44"/>
      <c r="DD102" s="53">
        <f t="shared" si="77"/>
        <v>52.551549999999942</v>
      </c>
      <c r="DE102" s="211"/>
      <c r="DF102" s="151">
        <v>46104</v>
      </c>
      <c r="DG102" s="152">
        <v>4085.39</v>
      </c>
      <c r="DH102" s="152">
        <v>1042.78</v>
      </c>
      <c r="DI102" s="162"/>
      <c r="DJ102" s="27"/>
      <c r="DK102" s="32">
        <v>104.13969999999983</v>
      </c>
      <c r="DL102" s="42"/>
      <c r="DM102" s="44"/>
      <c r="DN102" s="53">
        <f t="shared" si="65"/>
        <v>104.13969999999983</v>
      </c>
      <c r="DP102" s="151">
        <v>46104</v>
      </c>
      <c r="DQ102" s="152">
        <v>1047.67</v>
      </c>
      <c r="DR102" s="173"/>
      <c r="DS102" s="27"/>
      <c r="DT102" s="51"/>
      <c r="DU102" s="52"/>
      <c r="DV102" s="52"/>
      <c r="DW102" s="53">
        <f t="shared" si="66"/>
        <v>0</v>
      </c>
      <c r="DY102" s="151">
        <v>46104</v>
      </c>
      <c r="DZ102" s="159">
        <v>589.29999999999995</v>
      </c>
      <c r="EA102" s="174"/>
      <c r="EB102" s="27"/>
      <c r="EC102" s="51"/>
      <c r="ED102" s="52"/>
      <c r="EE102" s="52"/>
      <c r="EF102" s="53">
        <f t="shared" si="67"/>
        <v>0</v>
      </c>
      <c r="EH102" s="151">
        <v>46104</v>
      </c>
      <c r="EI102" s="154">
        <v>2083</v>
      </c>
      <c r="EJ102" s="158">
        <v>962</v>
      </c>
      <c r="EK102" s="27"/>
      <c r="EL102" s="51"/>
      <c r="EM102" s="52"/>
      <c r="EN102" s="52"/>
      <c r="EO102" s="53">
        <f t="shared" si="68"/>
        <v>962</v>
      </c>
      <c r="EQ102" s="151">
        <v>46104</v>
      </c>
      <c r="ER102" s="152">
        <v>2920.39</v>
      </c>
      <c r="ES102" s="173"/>
      <c r="ET102" s="27"/>
      <c r="EU102" s="32">
        <v>125.04576799999985</v>
      </c>
      <c r="EV102" s="52"/>
      <c r="EW102" s="52"/>
      <c r="EX102" s="53">
        <f t="shared" si="69"/>
        <v>125.04576799999985</v>
      </c>
    </row>
    <row r="103" spans="2:154" x14ac:dyDescent="0.25">
      <c r="B103" s="151">
        <v>46105</v>
      </c>
      <c r="C103" s="152">
        <v>4429.07</v>
      </c>
      <c r="D103" s="152">
        <v>2610.34</v>
      </c>
      <c r="E103" s="152"/>
      <c r="F103" s="27"/>
      <c r="G103" s="32">
        <v>166.59325999999965</v>
      </c>
      <c r="H103" s="33"/>
      <c r="I103" s="52"/>
      <c r="J103" s="53">
        <f t="shared" si="70"/>
        <v>166.59325999999965</v>
      </c>
      <c r="L103" s="151">
        <v>46105</v>
      </c>
      <c r="M103" s="152">
        <v>17499.2</v>
      </c>
      <c r="N103" s="152">
        <v>1874.17</v>
      </c>
      <c r="O103" s="158">
        <v>27.88</v>
      </c>
      <c r="P103" s="27"/>
      <c r="Q103" s="32">
        <v>52.522849999999977</v>
      </c>
      <c r="R103" s="53">
        <v>-57.585404434285351</v>
      </c>
      <c r="S103" s="53"/>
      <c r="T103" s="53"/>
      <c r="U103" s="53">
        <f t="shared" si="59"/>
        <v>22.817445565714621</v>
      </c>
      <c r="W103" s="151">
        <v>46105</v>
      </c>
      <c r="X103" s="152">
        <v>24958.39</v>
      </c>
      <c r="Y103" s="154">
        <v>1340.97</v>
      </c>
      <c r="Z103" s="170">
        <v>7.55</v>
      </c>
      <c r="AA103" s="27"/>
      <c r="AB103" s="51">
        <v>1231.8618899999992</v>
      </c>
      <c r="AC103" s="33">
        <v>-458.81615658971157</v>
      </c>
      <c r="AD103" s="33"/>
      <c r="AE103" s="52"/>
      <c r="AF103" s="53">
        <f t="shared" si="73"/>
        <v>780.59573341028761</v>
      </c>
      <c r="AH103" s="151">
        <v>46105</v>
      </c>
      <c r="AI103" s="152">
        <v>7657</v>
      </c>
      <c r="AJ103" s="161">
        <v>941.79</v>
      </c>
      <c r="AK103" s="158">
        <v>299.17</v>
      </c>
      <c r="AL103" s="27"/>
      <c r="AM103" s="32">
        <v>636.80442999999968</v>
      </c>
      <c r="AN103" s="32">
        <v>167.51741935483872</v>
      </c>
      <c r="AO103" s="42">
        <v>15.489728074285892</v>
      </c>
      <c r="AP103" s="44"/>
      <c r="AQ103" s="53">
        <f t="shared" si="60"/>
        <v>1118.9815774291244</v>
      </c>
      <c r="AS103" s="151">
        <v>46105</v>
      </c>
      <c r="AT103" s="152">
        <v>23773.69</v>
      </c>
      <c r="AU103" s="152">
        <v>1428.72</v>
      </c>
      <c r="AV103" s="152">
        <v>3668.65</v>
      </c>
      <c r="AW103" s="171"/>
      <c r="AX103" s="27"/>
      <c r="AY103" s="32">
        <v>0.28617000000000203</v>
      </c>
      <c r="AZ103" s="53">
        <v>16.028252800000047</v>
      </c>
      <c r="BA103" s="53">
        <v>13.438213599999969</v>
      </c>
      <c r="BB103" s="53">
        <f t="shared" si="61"/>
        <v>29.752636400000018</v>
      </c>
      <c r="BD103" s="151">
        <v>46105</v>
      </c>
      <c r="BE103" s="152">
        <v>1999.95</v>
      </c>
      <c r="BF103" s="154">
        <v>1263.31</v>
      </c>
      <c r="BG103" s="162"/>
      <c r="BH103" s="162"/>
      <c r="BJ103" s="51"/>
      <c r="BK103" s="42"/>
      <c r="BL103" s="52"/>
      <c r="BM103" s="53">
        <f t="shared" si="62"/>
        <v>0</v>
      </c>
      <c r="BO103" s="151">
        <v>46105</v>
      </c>
      <c r="BP103" s="152">
        <v>4738.1499999999996</v>
      </c>
      <c r="BQ103" s="159">
        <v>638.63</v>
      </c>
      <c r="BR103" s="357"/>
      <c r="BS103" s="158">
        <v>303.64</v>
      </c>
      <c r="BT103" s="27"/>
      <c r="BU103" s="240"/>
      <c r="BV103" s="42">
        <v>-1025.0416023857131</v>
      </c>
      <c r="BW103" s="42">
        <f t="shared" ref="BW103:BW110" si="79">-2013.99/9</f>
        <v>-223.77666666666667</v>
      </c>
      <c r="BX103" s="52"/>
      <c r="BY103" s="53">
        <f t="shared" si="78"/>
        <v>-945.17826905237973</v>
      </c>
      <c r="CA103" s="151">
        <v>46105</v>
      </c>
      <c r="CB103" s="152">
        <v>7443.86</v>
      </c>
      <c r="CC103" s="159">
        <v>569.76</v>
      </c>
      <c r="CD103" s="163"/>
      <c r="CE103" s="27"/>
      <c r="CF103" s="32">
        <v>48.769439999999975</v>
      </c>
      <c r="CG103" s="42"/>
      <c r="CH103" s="44">
        <v>13.677869999999984</v>
      </c>
      <c r="CI103" s="53">
        <f t="shared" si="64"/>
        <v>62.447309999999959</v>
      </c>
      <c r="CK103" s="151">
        <v>46105</v>
      </c>
      <c r="CL103" s="152">
        <v>22140.75</v>
      </c>
      <c r="CM103" s="161">
        <v>70</v>
      </c>
      <c r="CN103" s="158">
        <v>590.23</v>
      </c>
      <c r="CO103" s="27"/>
      <c r="CP103" s="51"/>
      <c r="CQ103" s="33">
        <v>-28.817052422856449</v>
      </c>
      <c r="CR103" s="52"/>
      <c r="CS103" s="53">
        <f t="shared" si="71"/>
        <v>561.41294757714354</v>
      </c>
      <c r="CU103" s="151">
        <v>46105</v>
      </c>
      <c r="CV103" s="152">
        <v>3073.98</v>
      </c>
      <c r="CW103" s="159">
        <v>355.9</v>
      </c>
      <c r="CX103" s="357"/>
      <c r="CY103" s="158">
        <v>74.97</v>
      </c>
      <c r="CZ103" s="27"/>
      <c r="DA103" s="32">
        <v>50.901049999999913</v>
      </c>
      <c r="DB103" s="33">
        <v>-26.340854948571177</v>
      </c>
      <c r="DC103" s="44">
        <v>-23.632397099999999</v>
      </c>
      <c r="DD103" s="53">
        <f t="shared" si="77"/>
        <v>75.897797951428743</v>
      </c>
      <c r="DE103" s="211"/>
      <c r="DF103" s="151">
        <v>46105</v>
      </c>
      <c r="DG103" s="152">
        <v>10012.719999999999</v>
      </c>
      <c r="DH103" s="159">
        <v>277</v>
      </c>
      <c r="DI103" s="158"/>
      <c r="DJ103" s="27"/>
      <c r="DK103" s="32">
        <v>32.815299999999979</v>
      </c>
      <c r="DL103" s="42">
        <v>-21.542416182856954</v>
      </c>
      <c r="DM103" s="44"/>
      <c r="DN103" s="53">
        <f t="shared" si="65"/>
        <v>11.272883817143025</v>
      </c>
      <c r="DP103" s="151">
        <v>46105</v>
      </c>
      <c r="DQ103" s="159">
        <v>753.67</v>
      </c>
      <c r="DR103" s="173"/>
      <c r="DS103" s="27"/>
      <c r="DT103" s="51"/>
      <c r="DU103" s="52"/>
      <c r="DV103" s="52"/>
      <c r="DW103" s="53">
        <f t="shared" si="66"/>
        <v>0</v>
      </c>
      <c r="DY103" s="151">
        <v>46105</v>
      </c>
      <c r="DZ103" s="159">
        <v>408</v>
      </c>
      <c r="EA103" s="174"/>
      <c r="EB103" s="27"/>
      <c r="EC103" s="51"/>
      <c r="ED103" s="52"/>
      <c r="EE103" s="52"/>
      <c r="EF103" s="53">
        <f t="shared" si="67"/>
        <v>0</v>
      </c>
      <c r="EH103" s="151">
        <v>46105</v>
      </c>
      <c r="EI103" s="154">
        <v>2278.6</v>
      </c>
      <c r="EJ103" s="162"/>
      <c r="EK103" s="27"/>
      <c r="EL103" s="51"/>
      <c r="EM103" s="52"/>
      <c r="EN103" s="52"/>
      <c r="EO103" s="53">
        <f t="shared" si="68"/>
        <v>0</v>
      </c>
      <c r="EQ103" s="151">
        <v>46105</v>
      </c>
      <c r="ER103" s="152">
        <v>1732.91</v>
      </c>
      <c r="ES103" s="173"/>
      <c r="ET103" s="27"/>
      <c r="EU103" s="32">
        <v>173.37367499999988</v>
      </c>
      <c r="EV103" s="52"/>
      <c r="EW103" s="52"/>
      <c r="EX103" s="53">
        <f t="shared" si="69"/>
        <v>173.37367499999988</v>
      </c>
    </row>
    <row r="104" spans="2:154" x14ac:dyDescent="0.25">
      <c r="B104" s="151">
        <v>46106</v>
      </c>
      <c r="C104" s="152">
        <v>8808.7800000000007</v>
      </c>
      <c r="D104" s="152">
        <v>1824.68</v>
      </c>
      <c r="E104" s="152">
        <v>60.02</v>
      </c>
      <c r="F104" s="27"/>
      <c r="G104" s="32">
        <v>-5.922720000000222</v>
      </c>
      <c r="H104" s="33">
        <v>13.819068795428564</v>
      </c>
      <c r="I104" s="52"/>
      <c r="J104" s="53">
        <f t="shared" si="70"/>
        <v>67.916348795428348</v>
      </c>
      <c r="L104" s="151">
        <v>46106</v>
      </c>
      <c r="M104" s="152">
        <v>27945.46</v>
      </c>
      <c r="N104" s="159">
        <v>826.18</v>
      </c>
      <c r="O104" s="158">
        <v>45.53</v>
      </c>
      <c r="P104" s="27"/>
      <c r="Q104" s="32">
        <v>-15.768040000000155</v>
      </c>
      <c r="R104" s="53">
        <v>-11.589940308571101</v>
      </c>
      <c r="S104" s="53"/>
      <c r="T104" s="53">
        <v>17.147293999999995</v>
      </c>
      <c r="U104" s="53">
        <f t="shared" si="59"/>
        <v>35.319313691428739</v>
      </c>
      <c r="W104" s="151">
        <v>46106</v>
      </c>
      <c r="X104" s="152">
        <v>24732.35</v>
      </c>
      <c r="Y104" s="154">
        <v>1164.47</v>
      </c>
      <c r="Z104" s="170">
        <v>3.98</v>
      </c>
      <c r="AA104" s="27"/>
      <c r="AB104" s="51">
        <v>119.76163999999807</v>
      </c>
      <c r="AC104" s="33">
        <v>-92.317230822856743</v>
      </c>
      <c r="AD104" s="33"/>
      <c r="AE104" s="52"/>
      <c r="AF104" s="53">
        <f t="shared" si="73"/>
        <v>31.424409177141328</v>
      </c>
      <c r="AH104" s="151">
        <v>46106</v>
      </c>
      <c r="AI104" s="152">
        <v>5831.47</v>
      </c>
      <c r="AJ104" s="161">
        <v>902.5</v>
      </c>
      <c r="AK104" s="158">
        <v>183.02</v>
      </c>
      <c r="AL104" s="27"/>
      <c r="AM104" s="32">
        <v>136.12780999999987</v>
      </c>
      <c r="AN104" s="32">
        <v>167.51741935483872</v>
      </c>
      <c r="AO104" s="42"/>
      <c r="AP104" s="44"/>
      <c r="AQ104" s="53">
        <f t="shared" si="60"/>
        <v>486.66522935483863</v>
      </c>
      <c r="AS104" s="151">
        <v>46106</v>
      </c>
      <c r="AT104" s="152">
        <v>16125.23</v>
      </c>
      <c r="AU104" s="152">
        <v>1185.82</v>
      </c>
      <c r="AV104" s="152">
        <v>3781.96</v>
      </c>
      <c r="AW104" s="180"/>
      <c r="AX104" s="27"/>
      <c r="AY104" s="32">
        <v>1.3639999999999972</v>
      </c>
      <c r="AZ104" s="53">
        <v>47.910466180571433</v>
      </c>
      <c r="BA104" s="53"/>
      <c r="BB104" s="53">
        <f t="shared" si="61"/>
        <v>49.27446618057143</v>
      </c>
      <c r="BD104" s="151">
        <v>46106</v>
      </c>
      <c r="BE104" s="152">
        <v>1706.49</v>
      </c>
      <c r="BF104" s="161">
        <v>787.84</v>
      </c>
      <c r="BG104" s="162"/>
      <c r="BH104" s="162"/>
      <c r="BJ104" s="51"/>
      <c r="BK104" s="42"/>
      <c r="BL104" s="52"/>
      <c r="BM104" s="53">
        <f t="shared" si="62"/>
        <v>0</v>
      </c>
      <c r="BO104" s="151">
        <v>46106</v>
      </c>
      <c r="BP104" s="152">
        <v>1728.03</v>
      </c>
      <c r="BQ104" s="159">
        <v>338.15</v>
      </c>
      <c r="BR104" s="358"/>
      <c r="BS104" s="158">
        <v>660.84</v>
      </c>
      <c r="BT104" s="27"/>
      <c r="BU104" s="240"/>
      <c r="BV104" s="42">
        <v>-442.2600539851411</v>
      </c>
      <c r="BW104" s="42">
        <f t="shared" si="79"/>
        <v>-223.77666666666667</v>
      </c>
      <c r="BX104" s="52"/>
      <c r="BY104" s="53">
        <f t="shared" si="78"/>
        <v>-5.1967206518077376</v>
      </c>
      <c r="CA104" s="151">
        <v>46106</v>
      </c>
      <c r="CB104" s="152">
        <v>9036.4699999999993</v>
      </c>
      <c r="CC104" s="159">
        <v>535.08000000000004</v>
      </c>
      <c r="CD104" s="331"/>
      <c r="CE104" s="27"/>
      <c r="CF104" s="32">
        <v>49.008799999999965</v>
      </c>
      <c r="CG104" s="42"/>
      <c r="CH104" s="44"/>
      <c r="CI104" s="53">
        <f t="shared" si="64"/>
        <v>49.008799999999965</v>
      </c>
      <c r="CK104" s="151">
        <v>46106</v>
      </c>
      <c r="CL104" s="152">
        <v>30173.15</v>
      </c>
      <c r="CM104" s="161">
        <v>367.31</v>
      </c>
      <c r="CN104" s="158">
        <v>770</v>
      </c>
      <c r="CO104" s="27"/>
      <c r="CP104" s="51"/>
      <c r="CQ104" s="33">
        <v>-13.888749765713897</v>
      </c>
      <c r="CR104" s="52"/>
      <c r="CS104" s="53">
        <f t="shared" si="71"/>
        <v>756.1112502342861</v>
      </c>
      <c r="CU104" s="151">
        <v>46106</v>
      </c>
      <c r="CV104" s="152">
        <v>2959.28</v>
      </c>
      <c r="CW104" s="159">
        <v>57</v>
      </c>
      <c r="CX104" s="357"/>
      <c r="CY104" s="158">
        <v>24.66</v>
      </c>
      <c r="CZ104" s="27"/>
      <c r="DA104" s="32">
        <v>2.5630799999999851</v>
      </c>
      <c r="DB104" s="33"/>
      <c r="DC104" s="44"/>
      <c r="DD104" s="53">
        <f t="shared" si="77"/>
        <v>27.223079999999985</v>
      </c>
      <c r="DE104" s="211"/>
      <c r="DF104" s="151">
        <v>46106</v>
      </c>
      <c r="DG104" s="152">
        <v>6684.61</v>
      </c>
      <c r="DH104" s="159">
        <v>101.05</v>
      </c>
      <c r="DI104" s="162"/>
      <c r="DJ104" s="27"/>
      <c r="DK104" s="32">
        <v>19.364459999999951</v>
      </c>
      <c r="DL104" s="42"/>
      <c r="DM104" s="44"/>
      <c r="DN104" s="53">
        <f t="shared" si="65"/>
        <v>19.364459999999951</v>
      </c>
      <c r="DP104" s="151">
        <v>46106</v>
      </c>
      <c r="DQ104" s="159">
        <v>881</v>
      </c>
      <c r="DR104" s="173"/>
      <c r="DS104" s="27"/>
      <c r="DT104" s="51"/>
      <c r="DU104" s="52"/>
      <c r="DV104" s="52"/>
      <c r="DW104" s="53">
        <f t="shared" si="66"/>
        <v>0</v>
      </c>
      <c r="DY104" s="151">
        <v>46106</v>
      </c>
      <c r="DZ104" s="159">
        <v>473.4</v>
      </c>
      <c r="EA104" s="174"/>
      <c r="EB104" s="27"/>
      <c r="EC104" s="51"/>
      <c r="ED104" s="52"/>
      <c r="EE104" s="52"/>
      <c r="EF104" s="53">
        <f t="shared" si="67"/>
        <v>0</v>
      </c>
      <c r="EH104" s="151">
        <v>46106</v>
      </c>
      <c r="EI104" s="154">
        <v>3842.58</v>
      </c>
      <c r="EJ104" s="162"/>
      <c r="EK104" s="27"/>
      <c r="EL104" s="51"/>
      <c r="EM104" s="52"/>
      <c r="EN104" s="52"/>
      <c r="EO104" s="53">
        <f t="shared" si="68"/>
        <v>0</v>
      </c>
      <c r="EQ104" s="151">
        <v>46106</v>
      </c>
      <c r="ER104" s="152">
        <v>2126.38</v>
      </c>
      <c r="ES104" s="173"/>
      <c r="ET104" s="27"/>
      <c r="EU104" s="32">
        <v>86.437364999999943</v>
      </c>
      <c r="EV104" s="52"/>
      <c r="EW104" s="52"/>
      <c r="EX104" s="53">
        <f t="shared" si="69"/>
        <v>86.437364999999943</v>
      </c>
    </row>
    <row r="105" spans="2:154" x14ac:dyDescent="0.25">
      <c r="B105" s="151">
        <v>46107</v>
      </c>
      <c r="C105" s="152">
        <v>14329.47</v>
      </c>
      <c r="D105" s="152">
        <v>2915.81</v>
      </c>
      <c r="E105" s="152">
        <v>96.37</v>
      </c>
      <c r="F105" s="27"/>
      <c r="G105" s="32">
        <v>8.6826399999998003</v>
      </c>
      <c r="H105" s="33">
        <v>14.331479657142893</v>
      </c>
      <c r="I105" s="52"/>
      <c r="J105" s="53">
        <f t="shared" si="70"/>
        <v>119.38411965714269</v>
      </c>
      <c r="L105" s="151">
        <v>46107</v>
      </c>
      <c r="M105" s="152">
        <v>37650.370000000003</v>
      </c>
      <c r="N105" s="152">
        <v>1829.96</v>
      </c>
      <c r="O105" s="158">
        <v>168.68</v>
      </c>
      <c r="P105" s="27"/>
      <c r="Q105" s="32">
        <v>3.8516799999999982</v>
      </c>
      <c r="R105" s="53">
        <v>-62.903379451428009</v>
      </c>
      <c r="S105" s="53">
        <f>-76.35/6</f>
        <v>-12.725</v>
      </c>
      <c r="T105" s="53"/>
      <c r="U105" s="53">
        <f t="shared" si="59"/>
        <v>96.903300548571991</v>
      </c>
      <c r="W105" s="151">
        <v>46107</v>
      </c>
      <c r="X105" s="152">
        <v>31261.89</v>
      </c>
      <c r="Y105" s="154">
        <v>1705.85</v>
      </c>
      <c r="Z105" s="170">
        <v>9.32</v>
      </c>
      <c r="AA105" s="27"/>
      <c r="AB105" s="51">
        <v>87.078239999997635</v>
      </c>
      <c r="AC105" s="33">
        <v>22.267257787428548</v>
      </c>
      <c r="AD105" s="33"/>
      <c r="AE105" s="52"/>
      <c r="AF105" s="53">
        <f t="shared" si="73"/>
        <v>118.66549778742618</v>
      </c>
      <c r="AH105" s="151">
        <v>46107</v>
      </c>
      <c r="AI105" s="152">
        <v>9080.1</v>
      </c>
      <c r="AJ105" s="161">
        <v>862.71</v>
      </c>
      <c r="AK105" s="158">
        <v>342.08</v>
      </c>
      <c r="AL105" s="27"/>
      <c r="AM105" s="32">
        <v>122.07450999999978</v>
      </c>
      <c r="AN105" s="32">
        <v>167.51741935483872</v>
      </c>
      <c r="AO105" s="42">
        <v>11.815662857143025</v>
      </c>
      <c r="AP105" s="44"/>
      <c r="AQ105" s="53">
        <f t="shared" si="60"/>
        <v>643.48759221198145</v>
      </c>
      <c r="AS105" s="151">
        <v>46107</v>
      </c>
      <c r="AT105" s="152">
        <v>19069.009999999998</v>
      </c>
      <c r="AU105" s="152">
        <v>3098.12</v>
      </c>
      <c r="AV105" s="152">
        <v>4194.32</v>
      </c>
      <c r="AW105" s="171"/>
      <c r="AX105" s="27"/>
      <c r="AY105" s="32"/>
      <c r="AZ105" s="53">
        <v>62.767939213714413</v>
      </c>
      <c r="BA105" s="53"/>
      <c r="BB105" s="53">
        <f t="shared" si="61"/>
        <v>62.767939213714413</v>
      </c>
      <c r="BD105" s="151">
        <v>46107</v>
      </c>
      <c r="BE105" s="152">
        <v>1811.24</v>
      </c>
      <c r="BF105" s="161">
        <v>650.71</v>
      </c>
      <c r="BG105" s="162"/>
      <c r="BH105" s="162"/>
      <c r="BJ105" s="51"/>
      <c r="BK105" s="42"/>
      <c r="BL105" s="52"/>
      <c r="BM105" s="53">
        <f t="shared" si="62"/>
        <v>0</v>
      </c>
      <c r="BO105" s="151">
        <v>46107</v>
      </c>
      <c r="BP105" s="152">
        <v>2734.83</v>
      </c>
      <c r="BQ105" s="159">
        <v>211.51</v>
      </c>
      <c r="BR105" s="357"/>
      <c r="BS105" s="158">
        <v>381.77</v>
      </c>
      <c r="BT105" s="27"/>
      <c r="BU105" s="240"/>
      <c r="BV105" s="42">
        <v>-8.1672849308571358</v>
      </c>
      <c r="BW105" s="42">
        <f t="shared" si="79"/>
        <v>-223.77666666666667</v>
      </c>
      <c r="BX105" s="52"/>
      <c r="BY105" s="53">
        <f t="shared" si="78"/>
        <v>149.82604840247618</v>
      </c>
      <c r="CA105" s="151">
        <v>46107</v>
      </c>
      <c r="CB105" s="152">
        <v>10970.44</v>
      </c>
      <c r="CC105" s="159">
        <v>697.33</v>
      </c>
      <c r="CD105" s="331"/>
      <c r="CE105" s="27"/>
      <c r="CF105" s="32">
        <v>72.369780000000048</v>
      </c>
      <c r="CG105" s="42"/>
      <c r="CH105" s="44">
        <v>4.9667082000000065</v>
      </c>
      <c r="CI105" s="53">
        <f t="shared" si="64"/>
        <v>77.336488200000048</v>
      </c>
      <c r="CK105" s="151">
        <v>46107</v>
      </c>
      <c r="CL105" s="152">
        <v>32077.57</v>
      </c>
      <c r="CM105" s="161">
        <v>295.63</v>
      </c>
      <c r="CN105" s="158">
        <v>792.43</v>
      </c>
      <c r="CO105" s="27"/>
      <c r="CP105" s="51"/>
      <c r="CQ105" s="33">
        <v>14.641861772571474</v>
      </c>
      <c r="CR105" s="52"/>
      <c r="CS105" s="53">
        <f t="shared" si="71"/>
        <v>807.07186177257142</v>
      </c>
      <c r="CU105" s="151">
        <v>46107</v>
      </c>
      <c r="CV105" s="152">
        <v>1122.3599999999999</v>
      </c>
      <c r="CW105" s="159">
        <v>28.8</v>
      </c>
      <c r="CX105" s="357"/>
      <c r="CY105" s="162"/>
      <c r="CZ105" s="27"/>
      <c r="DA105" s="32">
        <v>39.144319999999823</v>
      </c>
      <c r="DB105" s="33">
        <v>9.6756702171428799</v>
      </c>
      <c r="DC105" s="44"/>
      <c r="DD105" s="53">
        <f t="shared" si="77"/>
        <v>48.819990217142703</v>
      </c>
      <c r="DE105" s="211"/>
      <c r="DF105" s="151">
        <v>46107</v>
      </c>
      <c r="DG105" s="152">
        <v>4171.79</v>
      </c>
      <c r="DH105" s="159">
        <v>334.12</v>
      </c>
      <c r="DI105" s="162"/>
      <c r="DJ105" s="27"/>
      <c r="DK105" s="32">
        <v>102.51667999999958</v>
      </c>
      <c r="DL105" s="42">
        <v>21.927460525714395</v>
      </c>
      <c r="DM105" s="44"/>
      <c r="DN105" s="53">
        <f t="shared" si="65"/>
        <v>124.44414052571398</v>
      </c>
      <c r="DP105" s="151">
        <v>46107</v>
      </c>
      <c r="DQ105" s="159">
        <v>236.17</v>
      </c>
      <c r="DR105" s="173"/>
      <c r="DS105" s="27"/>
      <c r="DT105" s="51"/>
      <c r="DU105" s="52"/>
      <c r="DV105" s="52"/>
      <c r="DW105" s="53">
        <f t="shared" si="66"/>
        <v>0</v>
      </c>
      <c r="DY105" s="151">
        <v>46107</v>
      </c>
      <c r="DZ105" s="159">
        <v>400</v>
      </c>
      <c r="EA105" s="174"/>
      <c r="EB105" s="27"/>
      <c r="EC105" s="51"/>
      <c r="ED105" s="52"/>
      <c r="EE105" s="52"/>
      <c r="EF105" s="53">
        <f t="shared" si="67"/>
        <v>0</v>
      </c>
      <c r="EH105" s="151">
        <v>46107</v>
      </c>
      <c r="EI105" s="161">
        <v>442.74</v>
      </c>
      <c r="EJ105" s="162"/>
      <c r="EK105" s="27"/>
      <c r="EL105" s="51"/>
      <c r="EM105" s="52"/>
      <c r="EN105" s="52"/>
      <c r="EO105" s="53">
        <f t="shared" si="68"/>
        <v>0</v>
      </c>
      <c r="EQ105" s="151">
        <v>46107</v>
      </c>
      <c r="ER105" s="159">
        <v>25</v>
      </c>
      <c r="ES105" s="173"/>
      <c r="ET105" s="27"/>
      <c r="EU105" s="32">
        <v>95.301708000000048</v>
      </c>
      <c r="EV105" s="52"/>
      <c r="EW105" s="52"/>
      <c r="EX105" s="53">
        <f t="shared" si="69"/>
        <v>95.301708000000048</v>
      </c>
    </row>
    <row r="106" spans="2:154" x14ac:dyDescent="0.25">
      <c r="B106" s="151">
        <v>46108</v>
      </c>
      <c r="C106" s="152">
        <v>13299.51</v>
      </c>
      <c r="D106" s="152">
        <v>2863.52</v>
      </c>
      <c r="E106" s="152">
        <v>2.5</v>
      </c>
      <c r="F106" s="27"/>
      <c r="G106" s="32">
        <v>98.87375999999972</v>
      </c>
      <c r="H106" s="33">
        <v>55.330182306666757</v>
      </c>
      <c r="I106" s="52"/>
      <c r="J106" s="53">
        <f t="shared" si="70"/>
        <v>156.70394230666648</v>
      </c>
      <c r="L106" s="151">
        <v>46108</v>
      </c>
      <c r="M106" s="152">
        <v>46622.06</v>
      </c>
      <c r="N106" s="152">
        <v>1586.72</v>
      </c>
      <c r="O106" s="158">
        <v>71.16</v>
      </c>
      <c r="P106" s="27"/>
      <c r="Q106" s="32">
        <v>1.1222399999999997</v>
      </c>
      <c r="R106" s="53">
        <v>88.402164986476208</v>
      </c>
      <c r="S106" s="53">
        <f t="shared" ref="S106:S110" si="80">-76.35/6</f>
        <v>-12.725</v>
      </c>
      <c r="T106" s="53">
        <v>-45.21281120000009</v>
      </c>
      <c r="U106" s="53">
        <f t="shared" si="59"/>
        <v>102.74659378647613</v>
      </c>
      <c r="W106" s="151">
        <v>46108</v>
      </c>
      <c r="X106" s="152">
        <v>38519.699999999997</v>
      </c>
      <c r="Y106" s="154">
        <v>2078.21</v>
      </c>
      <c r="Z106" s="170">
        <v>3.73</v>
      </c>
      <c r="AA106" s="27"/>
      <c r="AB106" s="51">
        <v>512.2905999999989</v>
      </c>
      <c r="AC106" s="33">
        <v>21.672944779618973</v>
      </c>
      <c r="AD106" s="33"/>
      <c r="AE106" s="52"/>
      <c r="AF106" s="53">
        <f t="shared" si="73"/>
        <v>537.69354477961792</v>
      </c>
      <c r="AH106" s="151">
        <v>46108</v>
      </c>
      <c r="AI106" s="152">
        <v>8467.7000000000007</v>
      </c>
      <c r="AJ106" s="161">
        <v>940.67</v>
      </c>
      <c r="AK106" s="158">
        <v>76.81</v>
      </c>
      <c r="AL106" s="27"/>
      <c r="AM106" s="32">
        <v>234.65546999999975</v>
      </c>
      <c r="AN106" s="32">
        <v>167.51741935483872</v>
      </c>
      <c r="AO106" s="42">
        <v>175.79786849904758</v>
      </c>
      <c r="AP106" s="44"/>
      <c r="AQ106" s="53">
        <f t="shared" si="60"/>
        <v>654.78075785388603</v>
      </c>
      <c r="AS106" s="151">
        <v>46108</v>
      </c>
      <c r="AT106" s="152">
        <v>19567.689999999999</v>
      </c>
      <c r="AU106" s="152">
        <v>2839.69</v>
      </c>
      <c r="AV106" s="152">
        <v>4108.8100000000004</v>
      </c>
      <c r="AW106" s="171"/>
      <c r="AX106" s="27"/>
      <c r="AY106" s="32"/>
      <c r="AZ106" s="53"/>
      <c r="BA106" s="53"/>
      <c r="BB106" s="53">
        <f t="shared" si="61"/>
        <v>0</v>
      </c>
      <c r="BD106" s="151">
        <v>46108</v>
      </c>
      <c r="BE106" s="152">
        <v>1346.51</v>
      </c>
      <c r="BF106" s="161">
        <v>652.34</v>
      </c>
      <c r="BG106" s="162"/>
      <c r="BH106" s="162"/>
      <c r="BJ106" s="51"/>
      <c r="BK106" s="42"/>
      <c r="BL106" s="52"/>
      <c r="BM106" s="53">
        <f t="shared" si="62"/>
        <v>0</v>
      </c>
      <c r="BO106" s="151">
        <v>46108</v>
      </c>
      <c r="BP106" s="152">
        <v>4457.05</v>
      </c>
      <c r="BQ106" s="159">
        <v>315.79000000000002</v>
      </c>
      <c r="BR106" s="358"/>
      <c r="BS106" s="158">
        <v>676.22</v>
      </c>
      <c r="BT106" s="27"/>
      <c r="BU106" s="240"/>
      <c r="BV106" s="42"/>
      <c r="BW106" s="42">
        <f t="shared" si="79"/>
        <v>-223.77666666666667</v>
      </c>
      <c r="BX106" s="52"/>
      <c r="BY106" s="53">
        <f t="shared" si="78"/>
        <v>452.44333333333338</v>
      </c>
      <c r="CA106" s="151">
        <v>46108</v>
      </c>
      <c r="CB106" s="152">
        <v>6884.28</v>
      </c>
      <c r="CC106" s="152">
        <v>1201.22</v>
      </c>
      <c r="CD106" s="331"/>
      <c r="CE106" s="27"/>
      <c r="CF106" s="32">
        <v>21.948120000000017</v>
      </c>
      <c r="CG106" s="42"/>
      <c r="CH106" s="44"/>
      <c r="CI106" s="53">
        <f t="shared" si="64"/>
        <v>21.948120000000017</v>
      </c>
      <c r="CK106" s="151">
        <v>46108</v>
      </c>
      <c r="CL106" s="152">
        <v>15967.06</v>
      </c>
      <c r="CM106" s="161">
        <v>803.36</v>
      </c>
      <c r="CN106" s="158">
        <v>733.17</v>
      </c>
      <c r="CO106" s="27"/>
      <c r="CP106" s="51"/>
      <c r="CQ106" s="33">
        <v>82.288550711999903</v>
      </c>
      <c r="CR106" s="52"/>
      <c r="CS106" s="53">
        <f t="shared" si="71"/>
        <v>815.45855071199981</v>
      </c>
      <c r="CU106" s="151">
        <v>46108</v>
      </c>
      <c r="CV106" s="152">
        <v>1685.17</v>
      </c>
      <c r="CW106" s="159">
        <v>144</v>
      </c>
      <c r="CX106" s="357"/>
      <c r="CY106" s="158">
        <v>63.98</v>
      </c>
      <c r="CZ106" s="27"/>
      <c r="DA106" s="32">
        <v>92.071949999999731</v>
      </c>
      <c r="DB106" s="33">
        <v>42.47627240857139</v>
      </c>
      <c r="DC106" s="44"/>
      <c r="DD106" s="53">
        <f t="shared" si="77"/>
        <v>198.52822240857111</v>
      </c>
      <c r="DE106" s="211"/>
      <c r="DF106" s="151">
        <v>46108</v>
      </c>
      <c r="DG106" s="152">
        <v>4308.74</v>
      </c>
      <c r="DH106" s="159">
        <v>511.44</v>
      </c>
      <c r="DI106" s="162"/>
      <c r="DJ106" s="27"/>
      <c r="DK106" s="32">
        <v>153.41097999999965</v>
      </c>
      <c r="DL106" s="42"/>
      <c r="DM106" s="44"/>
      <c r="DN106" s="53">
        <f t="shared" si="65"/>
        <v>153.41097999999965</v>
      </c>
      <c r="DP106" s="151">
        <v>46108</v>
      </c>
      <c r="DQ106" s="159">
        <v>525.87</v>
      </c>
      <c r="DR106" s="173"/>
      <c r="DS106" s="27"/>
      <c r="DT106" s="51"/>
      <c r="DU106" s="52"/>
      <c r="DV106" s="52"/>
      <c r="DW106" s="53">
        <f t="shared" si="66"/>
        <v>0</v>
      </c>
      <c r="DY106" s="151">
        <v>46108</v>
      </c>
      <c r="DZ106" s="159">
        <v>245</v>
      </c>
      <c r="EA106" s="174"/>
      <c r="EB106" s="27"/>
      <c r="EC106" s="51"/>
      <c r="ED106" s="52"/>
      <c r="EE106" s="52"/>
      <c r="EF106" s="53">
        <f t="shared" si="67"/>
        <v>0</v>
      </c>
      <c r="EH106" s="151">
        <v>46108</v>
      </c>
      <c r="EI106" s="154">
        <v>2632.94</v>
      </c>
      <c r="EJ106" s="158">
        <v>400</v>
      </c>
      <c r="EK106" s="27"/>
      <c r="EL106" s="51"/>
      <c r="EM106" s="52"/>
      <c r="EN106" s="52"/>
      <c r="EO106" s="53">
        <f t="shared" si="68"/>
        <v>400</v>
      </c>
      <c r="EQ106" s="151">
        <v>46108</v>
      </c>
      <c r="ER106" s="152">
        <v>1734.34</v>
      </c>
      <c r="ES106" s="173"/>
      <c r="ET106" s="27"/>
      <c r="EU106" s="32">
        <v>62.507416000000021</v>
      </c>
      <c r="EV106" s="52"/>
      <c r="EW106" s="52"/>
      <c r="EX106" s="53">
        <f t="shared" si="69"/>
        <v>62.507416000000021</v>
      </c>
    </row>
    <row r="107" spans="2:154" x14ac:dyDescent="0.25">
      <c r="B107" s="151">
        <v>46109</v>
      </c>
      <c r="C107" s="152">
        <v>10020.73</v>
      </c>
      <c r="D107" s="152">
        <v>2485.1799999999998</v>
      </c>
      <c r="E107" s="152">
        <v>52.5</v>
      </c>
      <c r="F107" s="27"/>
      <c r="G107" s="32">
        <v>57.328139999999813</v>
      </c>
      <c r="H107" s="33">
        <v>19.516006249523798</v>
      </c>
      <c r="I107" s="52"/>
      <c r="J107" s="53">
        <f t="shared" si="70"/>
        <v>129.34414624952362</v>
      </c>
      <c r="L107" s="151">
        <v>46109</v>
      </c>
      <c r="M107" s="152">
        <v>34571.949999999997</v>
      </c>
      <c r="N107" s="152">
        <v>2024.64</v>
      </c>
      <c r="O107" s="158">
        <v>76.55</v>
      </c>
      <c r="P107" s="27"/>
      <c r="Q107" s="32"/>
      <c r="R107" s="53">
        <v>3.2083492104762001</v>
      </c>
      <c r="S107" s="53">
        <f t="shared" si="80"/>
        <v>-12.725</v>
      </c>
      <c r="T107" s="53"/>
      <c r="U107" s="53">
        <f t="shared" si="59"/>
        <v>67.033349210476203</v>
      </c>
      <c r="W107" s="151">
        <v>46109</v>
      </c>
      <c r="X107" s="152">
        <v>31311.22</v>
      </c>
      <c r="Y107" s="154">
        <v>1846.64</v>
      </c>
      <c r="Z107" s="170">
        <v>17.14</v>
      </c>
      <c r="AA107" s="27"/>
      <c r="AB107" s="51">
        <v>910.37407999999834</v>
      </c>
      <c r="AC107" s="33"/>
      <c r="AD107" s="33"/>
      <c r="AE107" s="52"/>
      <c r="AF107" s="53">
        <f t="shared" si="73"/>
        <v>927.51407999999833</v>
      </c>
      <c r="AH107" s="151">
        <v>46109</v>
      </c>
      <c r="AI107" s="152">
        <v>5635.96</v>
      </c>
      <c r="AJ107" s="161">
        <v>920.94</v>
      </c>
      <c r="AK107" s="158">
        <v>266.95999999999998</v>
      </c>
      <c r="AL107" s="27"/>
      <c r="AM107" s="32">
        <v>575.54081999999948</v>
      </c>
      <c r="AN107" s="32">
        <v>167.51741935483872</v>
      </c>
      <c r="AO107" s="42"/>
      <c r="AP107" s="44"/>
      <c r="AQ107" s="53">
        <f t="shared" si="60"/>
        <v>1010.0182393548382</v>
      </c>
      <c r="AS107" s="151">
        <v>46109</v>
      </c>
      <c r="AT107" s="152">
        <v>17839.919999999998</v>
      </c>
      <c r="AU107" s="152">
        <v>3284.77</v>
      </c>
      <c r="AV107" s="152">
        <v>4481.2700000000004</v>
      </c>
      <c r="AW107" s="171"/>
      <c r="AX107" s="27"/>
      <c r="AY107" s="32"/>
      <c r="AZ107" s="53"/>
      <c r="BA107" s="53"/>
      <c r="BB107" s="53">
        <f t="shared" si="61"/>
        <v>0</v>
      </c>
      <c r="BD107" s="151">
        <v>46109</v>
      </c>
      <c r="BE107" s="152">
        <v>1571.86</v>
      </c>
      <c r="BF107" s="161">
        <v>887.77</v>
      </c>
      <c r="BG107" s="162"/>
      <c r="BH107" s="162"/>
      <c r="BJ107" s="51"/>
      <c r="BK107" s="42"/>
      <c r="BL107" s="52"/>
      <c r="BM107" s="53">
        <f t="shared" si="62"/>
        <v>0</v>
      </c>
      <c r="BO107" s="151">
        <v>46109</v>
      </c>
      <c r="BP107" s="152">
        <v>3871.8</v>
      </c>
      <c r="BQ107" s="159">
        <v>387.35</v>
      </c>
      <c r="BR107" s="358"/>
      <c r="BS107" s="158">
        <v>588.42999999999995</v>
      </c>
      <c r="BT107" s="27"/>
      <c r="BU107" s="240">
        <v>29.340179999999975</v>
      </c>
      <c r="BV107" s="42"/>
      <c r="BW107" s="42">
        <f t="shared" si="79"/>
        <v>-223.77666666666667</v>
      </c>
      <c r="BX107" s="52"/>
      <c r="BY107" s="53">
        <f t="shared" si="78"/>
        <v>393.99351333333334</v>
      </c>
      <c r="CA107" s="151">
        <v>46109</v>
      </c>
      <c r="CB107" s="152">
        <v>8653.76</v>
      </c>
      <c r="CC107" s="159">
        <v>767.88</v>
      </c>
      <c r="CD107" s="331"/>
      <c r="CE107" s="27"/>
      <c r="CF107" s="32">
        <v>79.930829999999872</v>
      </c>
      <c r="CG107" s="42"/>
      <c r="CH107" s="44"/>
      <c r="CI107" s="53">
        <f t="shared" si="64"/>
        <v>79.930829999999872</v>
      </c>
      <c r="CK107" s="151">
        <v>46109</v>
      </c>
      <c r="CL107" s="152">
        <v>23380.37</v>
      </c>
      <c r="CM107" s="161">
        <v>349.98</v>
      </c>
      <c r="CN107" s="183">
        <v>1211.9100000000001</v>
      </c>
      <c r="CO107" s="27"/>
      <c r="CP107" s="51"/>
      <c r="CQ107" s="33">
        <v>121.02124578095234</v>
      </c>
      <c r="CR107" s="52"/>
      <c r="CS107" s="53">
        <f t="shared" si="71"/>
        <v>1332.9312457809524</v>
      </c>
      <c r="CU107" s="151">
        <v>46109</v>
      </c>
      <c r="CV107" s="159">
        <v>828.61</v>
      </c>
      <c r="CW107" s="159">
        <v>47</v>
      </c>
      <c r="CX107" s="357"/>
      <c r="CY107" s="158">
        <v>14</v>
      </c>
      <c r="CZ107" s="27"/>
      <c r="DA107" s="32">
        <v>36.653219999999891</v>
      </c>
      <c r="DB107" s="33"/>
      <c r="DC107" s="44"/>
      <c r="DD107" s="53">
        <f t="shared" si="77"/>
        <v>50.653219999999891</v>
      </c>
      <c r="DE107" s="211"/>
      <c r="DF107" s="151">
        <v>46109</v>
      </c>
      <c r="DG107" s="152">
        <v>2518.06</v>
      </c>
      <c r="DH107" s="159">
        <v>407</v>
      </c>
      <c r="DI107" s="162"/>
      <c r="DJ107" s="27"/>
      <c r="DK107" s="32">
        <v>109.34798999999978</v>
      </c>
      <c r="DL107" s="42"/>
      <c r="DM107" s="44"/>
      <c r="DN107" s="53">
        <f t="shared" si="65"/>
        <v>109.34798999999978</v>
      </c>
      <c r="DP107" s="151">
        <v>46109</v>
      </c>
      <c r="DQ107" s="159">
        <v>753.75</v>
      </c>
      <c r="DR107" s="173"/>
      <c r="DS107" s="27"/>
      <c r="DT107" s="51"/>
      <c r="DU107" s="52"/>
      <c r="DV107" s="52"/>
      <c r="DW107" s="53">
        <f t="shared" si="66"/>
        <v>0</v>
      </c>
      <c r="DY107" s="151">
        <v>46109</v>
      </c>
      <c r="DZ107" s="159">
        <v>950.75</v>
      </c>
      <c r="EA107" s="174"/>
      <c r="EB107" s="27"/>
      <c r="EC107" s="51"/>
      <c r="ED107" s="52"/>
      <c r="EE107" s="52"/>
      <c r="EF107" s="53">
        <f t="shared" si="67"/>
        <v>0</v>
      </c>
      <c r="EH107" s="151">
        <v>46109</v>
      </c>
      <c r="EI107" s="154">
        <v>2315</v>
      </c>
      <c r="EJ107" s="162"/>
      <c r="EK107" s="27"/>
      <c r="EL107" s="51"/>
      <c r="EM107" s="52"/>
      <c r="EN107" s="52"/>
      <c r="EO107" s="53">
        <f t="shared" si="68"/>
        <v>0</v>
      </c>
      <c r="EQ107" s="151">
        <v>46109</v>
      </c>
      <c r="ER107" s="152">
        <v>2815.08</v>
      </c>
      <c r="ES107" s="173"/>
      <c r="ET107" s="27"/>
      <c r="EU107" s="32">
        <v>44.024813999999992</v>
      </c>
      <c r="EV107" s="52"/>
      <c r="EW107" s="52"/>
      <c r="EX107" s="53">
        <f t="shared" si="69"/>
        <v>44.024813999999992</v>
      </c>
    </row>
    <row r="108" spans="2:154" x14ac:dyDescent="0.25">
      <c r="B108" s="151">
        <v>46110</v>
      </c>
      <c r="C108" s="152">
        <v>8232.42</v>
      </c>
      <c r="D108" s="152">
        <v>2568.86</v>
      </c>
      <c r="E108" s="152"/>
      <c r="F108" s="27"/>
      <c r="G108" s="32"/>
      <c r="H108" s="33"/>
      <c r="I108" s="52"/>
      <c r="J108" s="53">
        <f t="shared" si="70"/>
        <v>0</v>
      </c>
      <c r="L108" s="151">
        <v>46110</v>
      </c>
      <c r="M108" s="152">
        <v>23914.560000000001</v>
      </c>
      <c r="N108" s="152">
        <v>2032.01</v>
      </c>
      <c r="O108" s="158">
        <v>24.18</v>
      </c>
      <c r="P108" s="27"/>
      <c r="Q108" s="32">
        <v>4.0453400000000101</v>
      </c>
      <c r="R108" s="53"/>
      <c r="S108" s="53">
        <f t="shared" si="80"/>
        <v>-12.725</v>
      </c>
      <c r="T108" s="53"/>
      <c r="U108" s="53">
        <f t="shared" si="59"/>
        <v>15.50034000000001</v>
      </c>
      <c r="W108" s="151">
        <v>46110</v>
      </c>
      <c r="X108" s="152">
        <v>28135.87</v>
      </c>
      <c r="Y108" s="154">
        <v>2898.09</v>
      </c>
      <c r="Z108" s="170">
        <v>0.47</v>
      </c>
      <c r="AA108" s="27"/>
      <c r="AB108" s="51">
        <v>420.31779999999947</v>
      </c>
      <c r="AC108" s="33"/>
      <c r="AD108" s="33"/>
      <c r="AE108" s="52"/>
      <c r="AF108" s="53">
        <f t="shared" si="73"/>
        <v>420.78779999999949</v>
      </c>
      <c r="AH108" s="151">
        <v>46110</v>
      </c>
      <c r="AI108" s="152">
        <v>6191.69</v>
      </c>
      <c r="AJ108" s="154">
        <v>1118.1400000000001</v>
      </c>
      <c r="AK108" s="162"/>
      <c r="AL108" s="27"/>
      <c r="AM108" s="32">
        <v>96.610019999999963</v>
      </c>
      <c r="AN108" s="32">
        <v>167.51741935483872</v>
      </c>
      <c r="AO108" s="42"/>
      <c r="AP108" s="44"/>
      <c r="AQ108" s="53">
        <f t="shared" si="60"/>
        <v>264.12743935483866</v>
      </c>
      <c r="AS108" s="151">
        <v>46110</v>
      </c>
      <c r="AT108" s="152">
        <v>18223.57</v>
      </c>
      <c r="AU108" s="152">
        <v>3944.02</v>
      </c>
      <c r="AV108" s="152">
        <v>3026.37</v>
      </c>
      <c r="AW108" s="171"/>
      <c r="AX108" s="27"/>
      <c r="AY108" s="32">
        <v>2.7788399999999953</v>
      </c>
      <c r="AZ108" s="53">
        <v>13.00267512342856</v>
      </c>
      <c r="BA108" s="53"/>
      <c r="BB108" s="53">
        <f t="shared" si="61"/>
        <v>15.781515123428555</v>
      </c>
      <c r="BD108" s="151">
        <v>46110</v>
      </c>
      <c r="BE108" s="152">
        <v>1561.78</v>
      </c>
      <c r="BF108" s="161">
        <v>693.03</v>
      </c>
      <c r="BG108" s="162"/>
      <c r="BH108" s="162"/>
      <c r="BJ108" s="51"/>
      <c r="BK108" s="42"/>
      <c r="BL108" s="52"/>
      <c r="BM108" s="53">
        <f t="shared" si="62"/>
        <v>0</v>
      </c>
      <c r="BO108" s="151">
        <v>46110</v>
      </c>
      <c r="BP108" s="152">
        <v>3947.51</v>
      </c>
      <c r="BQ108" s="159">
        <v>608.69000000000005</v>
      </c>
      <c r="BR108" s="358"/>
      <c r="BS108" s="158">
        <v>700.03</v>
      </c>
      <c r="BT108" s="27"/>
      <c r="BU108" s="240"/>
      <c r="BV108" s="42">
        <v>19.294199999999989</v>
      </c>
      <c r="BW108" s="42">
        <f t="shared" si="79"/>
        <v>-223.77666666666667</v>
      </c>
      <c r="BX108" s="52"/>
      <c r="BY108" s="53">
        <f t="shared" si="78"/>
        <v>495.54753333333338</v>
      </c>
      <c r="CA108" s="151">
        <v>46110</v>
      </c>
      <c r="CB108" s="152">
        <v>8208.7199999999993</v>
      </c>
      <c r="CC108" s="159">
        <v>0</v>
      </c>
      <c r="CD108" s="331"/>
      <c r="CE108" s="27"/>
      <c r="CF108" s="32">
        <v>13.052609999999959</v>
      </c>
      <c r="CG108" s="42"/>
      <c r="CH108" s="44"/>
      <c r="CI108" s="53">
        <f t="shared" si="64"/>
        <v>13.052609999999959</v>
      </c>
      <c r="CK108" s="151">
        <v>46110</v>
      </c>
      <c r="CL108" s="152">
        <v>14241.21</v>
      </c>
      <c r="CM108" s="161">
        <v>772.79</v>
      </c>
      <c r="CN108" s="158">
        <v>658.67</v>
      </c>
      <c r="CO108" s="27"/>
      <c r="CP108" s="51"/>
      <c r="CQ108" s="33">
        <v>45.97334399523811</v>
      </c>
      <c r="CR108" s="52"/>
      <c r="CS108" s="53">
        <f t="shared" si="71"/>
        <v>704.64334399523807</v>
      </c>
      <c r="CU108" s="151">
        <v>46110</v>
      </c>
      <c r="CV108" s="152">
        <v>1018.41</v>
      </c>
      <c r="CW108" s="159">
        <v>187.2</v>
      </c>
      <c r="CX108" s="357"/>
      <c r="CY108" s="158">
        <v>7.7</v>
      </c>
      <c r="CZ108" s="27"/>
      <c r="DA108" s="32">
        <v>65.095339999999908</v>
      </c>
      <c r="DB108" s="33"/>
      <c r="DC108" s="44"/>
      <c r="DD108" s="53">
        <f t="shared" si="77"/>
        <v>72.795339999999911</v>
      </c>
      <c r="DE108" s="211"/>
      <c r="DF108" s="151">
        <v>46110</v>
      </c>
      <c r="DG108" s="152">
        <v>2615.02</v>
      </c>
      <c r="DH108" s="159">
        <v>381.93</v>
      </c>
      <c r="DI108" s="162"/>
      <c r="DJ108" s="27"/>
      <c r="DK108" s="32">
        <v>79.923989999999776</v>
      </c>
      <c r="DL108" s="42"/>
      <c r="DM108" s="44"/>
      <c r="DN108" s="53">
        <f t="shared" si="65"/>
        <v>79.923989999999776</v>
      </c>
      <c r="DP108" s="151">
        <v>46110</v>
      </c>
      <c r="DQ108" s="159">
        <v>453</v>
      </c>
      <c r="DR108" s="173"/>
      <c r="DS108" s="27"/>
      <c r="DT108" s="51"/>
      <c r="DU108" s="52"/>
      <c r="DV108" s="52"/>
      <c r="DW108" s="53">
        <f t="shared" si="66"/>
        <v>0</v>
      </c>
      <c r="DY108" s="151">
        <v>46110</v>
      </c>
      <c r="DZ108" s="152">
        <v>1064.1600000000001</v>
      </c>
      <c r="EA108" s="174"/>
      <c r="EB108" s="27"/>
      <c r="EC108" s="51"/>
      <c r="ED108" s="52"/>
      <c r="EE108" s="52"/>
      <c r="EF108" s="53">
        <f t="shared" si="67"/>
        <v>0</v>
      </c>
      <c r="EH108" s="151">
        <v>46110</v>
      </c>
      <c r="EI108" s="154">
        <v>2585.6</v>
      </c>
      <c r="EJ108" s="162"/>
      <c r="EK108" s="27"/>
      <c r="EL108" s="51"/>
      <c r="EM108" s="52"/>
      <c r="EN108" s="52"/>
      <c r="EO108" s="53">
        <f t="shared" si="68"/>
        <v>0</v>
      </c>
      <c r="EQ108" s="151">
        <v>46110</v>
      </c>
      <c r="ER108" s="159">
        <v>767.57</v>
      </c>
      <c r="ES108" s="173"/>
      <c r="ET108" s="27"/>
      <c r="EU108" s="32">
        <v>84.636978999999997</v>
      </c>
      <c r="EV108" s="52"/>
      <c r="EW108" s="52"/>
      <c r="EX108" s="53">
        <f t="shared" si="69"/>
        <v>84.636978999999997</v>
      </c>
    </row>
    <row r="109" spans="2:154" x14ac:dyDescent="0.25">
      <c r="B109" s="151">
        <v>46111</v>
      </c>
      <c r="C109" s="152">
        <v>19227.759999999998</v>
      </c>
      <c r="D109" s="152">
        <v>2433.29</v>
      </c>
      <c r="E109" s="152">
        <v>140.51</v>
      </c>
      <c r="F109" s="27"/>
      <c r="G109" s="32">
        <v>100.11983999999974</v>
      </c>
      <c r="H109" s="33"/>
      <c r="I109" s="52"/>
      <c r="J109" s="53">
        <f t="shared" si="70"/>
        <v>240.62983999999972</v>
      </c>
      <c r="L109" s="151">
        <v>46111</v>
      </c>
      <c r="M109" s="152">
        <v>34741.199999999997</v>
      </c>
      <c r="N109" s="152">
        <v>2031.27</v>
      </c>
      <c r="O109" s="158">
        <v>128.43</v>
      </c>
      <c r="P109" s="27"/>
      <c r="Q109" s="32">
        <v>89.599999999999909</v>
      </c>
      <c r="R109" s="53">
        <v>39.332001104190482</v>
      </c>
      <c r="S109" s="53">
        <f t="shared" si="80"/>
        <v>-12.725</v>
      </c>
      <c r="T109" s="53"/>
      <c r="U109" s="53">
        <f t="shared" si="59"/>
        <v>244.63700110419043</v>
      </c>
      <c r="W109" s="151">
        <v>46111</v>
      </c>
      <c r="X109" s="152">
        <v>23092.07</v>
      </c>
      <c r="Y109" s="161">
        <v>968.36</v>
      </c>
      <c r="Z109" s="170">
        <v>2.16</v>
      </c>
      <c r="AA109" s="27"/>
      <c r="AB109" s="51">
        <v>1816.5077999999971</v>
      </c>
      <c r="AC109" s="33">
        <v>12.922613871619006</v>
      </c>
      <c r="AD109" s="33"/>
      <c r="AE109" s="52"/>
      <c r="AF109" s="53">
        <f t="shared" si="73"/>
        <v>1831.5904138716162</v>
      </c>
      <c r="AH109" s="151">
        <v>46111</v>
      </c>
      <c r="AI109" s="152">
        <v>7846.3</v>
      </c>
      <c r="AJ109" s="154">
        <v>1001.17</v>
      </c>
      <c r="AK109" s="158">
        <v>251.6</v>
      </c>
      <c r="AL109" s="27"/>
      <c r="AM109" s="32">
        <v>354.91475999999966</v>
      </c>
      <c r="AN109" s="32">
        <v>167.51741935483872</v>
      </c>
      <c r="AO109" s="42"/>
      <c r="AP109" s="44"/>
      <c r="AQ109" s="53">
        <f t="shared" si="60"/>
        <v>774.03217935483838</v>
      </c>
      <c r="AS109" s="151">
        <v>46111</v>
      </c>
      <c r="AT109" s="152">
        <v>16796.91</v>
      </c>
      <c r="AU109" s="152">
        <v>2902.3</v>
      </c>
      <c r="AV109" s="152">
        <v>3654</v>
      </c>
      <c r="AW109" s="171"/>
      <c r="AX109" s="27"/>
      <c r="AY109" s="32">
        <v>53.66221999999992</v>
      </c>
      <c r="AZ109" s="53">
        <v>69.832644852380952</v>
      </c>
      <c r="BA109" s="53"/>
      <c r="BB109" s="53">
        <f t="shared" si="61"/>
        <v>123.49486485238087</v>
      </c>
      <c r="BD109" s="151">
        <v>46111</v>
      </c>
      <c r="BE109" s="152">
        <v>1302.8499999999999</v>
      </c>
      <c r="BF109" s="161">
        <v>859.96</v>
      </c>
      <c r="BG109" s="162"/>
      <c r="BH109" s="162"/>
      <c r="BJ109" s="51"/>
      <c r="BK109" s="42"/>
      <c r="BL109" s="52"/>
      <c r="BM109" s="53">
        <f t="shared" si="62"/>
        <v>0</v>
      </c>
      <c r="BO109" s="151">
        <v>46111</v>
      </c>
      <c r="BP109" s="152">
        <v>2814.56</v>
      </c>
      <c r="BQ109" s="159">
        <v>672.27</v>
      </c>
      <c r="BR109" s="358"/>
      <c r="BS109" s="158">
        <v>677.77</v>
      </c>
      <c r="BT109" s="27"/>
      <c r="BU109" s="240"/>
      <c r="BV109" s="42"/>
      <c r="BW109" s="42">
        <f t="shared" si="79"/>
        <v>-223.77666666666667</v>
      </c>
      <c r="BX109" s="52"/>
      <c r="BY109" s="53">
        <f t="shared" si="78"/>
        <v>453.99333333333334</v>
      </c>
      <c r="CA109" s="151">
        <v>46111</v>
      </c>
      <c r="CB109" s="152">
        <v>10394.049999999999</v>
      </c>
      <c r="CC109" s="159">
        <v>747.76</v>
      </c>
      <c r="CD109" s="331"/>
      <c r="CE109" s="27"/>
      <c r="CF109" s="32">
        <v>94.99268999999984</v>
      </c>
      <c r="CG109" s="42"/>
      <c r="CH109" s="44">
        <v>10.159071200000014</v>
      </c>
      <c r="CI109" s="53">
        <f t="shared" si="64"/>
        <v>105.15176119999985</v>
      </c>
      <c r="CK109" s="151">
        <v>46111</v>
      </c>
      <c r="CL109" s="152">
        <v>37176.480000000003</v>
      </c>
      <c r="CM109" s="161">
        <v>395.97</v>
      </c>
      <c r="CN109" s="183">
        <v>1139.42</v>
      </c>
      <c r="CO109" s="27"/>
      <c r="CP109" s="51"/>
      <c r="CQ109" s="33">
        <v>187.93915833428565</v>
      </c>
      <c r="CR109" s="52"/>
      <c r="CS109" s="53">
        <f t="shared" si="71"/>
        <v>1327.3591583342857</v>
      </c>
      <c r="CU109" s="151">
        <v>46111</v>
      </c>
      <c r="CV109" s="159">
        <v>880.76</v>
      </c>
      <c r="CW109" s="159">
        <v>97</v>
      </c>
      <c r="CX109" s="357"/>
      <c r="CY109" s="158">
        <v>8.8800000000000008</v>
      </c>
      <c r="CZ109" s="27"/>
      <c r="DA109" s="32">
        <v>56.590149999999937</v>
      </c>
      <c r="DB109" s="33">
        <v>26.157776749523777</v>
      </c>
      <c r="DC109" s="44"/>
      <c r="DD109" s="53">
        <f t="shared" si="77"/>
        <v>91.627926749523709</v>
      </c>
      <c r="DE109" s="211"/>
      <c r="DF109" s="151">
        <v>46111</v>
      </c>
      <c r="DG109" s="152">
        <v>2956.16</v>
      </c>
      <c r="DH109" s="159">
        <v>293.91000000000003</v>
      </c>
      <c r="DI109" s="162"/>
      <c r="DJ109" s="27"/>
      <c r="DK109" s="32">
        <v>76.474699999999871</v>
      </c>
      <c r="DL109" s="42">
        <v>20.855438272380923</v>
      </c>
      <c r="DM109" s="44"/>
      <c r="DN109" s="53">
        <f t="shared" si="65"/>
        <v>97.330138272380793</v>
      </c>
      <c r="DP109" s="151">
        <v>46111</v>
      </c>
      <c r="DQ109" s="158">
        <v>787.3</v>
      </c>
      <c r="DR109" s="173"/>
      <c r="DS109" s="27"/>
      <c r="DT109" s="51"/>
      <c r="DU109" s="52"/>
      <c r="DV109" s="52"/>
      <c r="DW109" s="53">
        <f t="shared" si="66"/>
        <v>0</v>
      </c>
      <c r="DY109" s="151">
        <v>46111</v>
      </c>
      <c r="DZ109" s="159">
        <v>920</v>
      </c>
      <c r="EA109" s="174"/>
      <c r="EB109" s="27"/>
      <c r="EC109" s="51"/>
      <c r="ED109" s="52"/>
      <c r="EE109" s="52"/>
      <c r="EF109" s="53">
        <f t="shared" si="67"/>
        <v>0</v>
      </c>
      <c r="EH109" s="151">
        <v>46111</v>
      </c>
      <c r="EI109" s="154">
        <v>2016.67</v>
      </c>
      <c r="EJ109" s="158">
        <v>42</v>
      </c>
      <c r="EK109" s="27"/>
      <c r="EL109" s="51"/>
      <c r="EM109" s="52"/>
      <c r="EN109" s="52"/>
      <c r="EO109" s="53">
        <f t="shared" si="68"/>
        <v>42</v>
      </c>
      <c r="EQ109" s="151">
        <v>46111</v>
      </c>
      <c r="ER109" s="152">
        <v>2022.27</v>
      </c>
      <c r="ES109" s="173"/>
      <c r="ET109" s="27"/>
      <c r="EU109" s="32">
        <v>80.35753499999997</v>
      </c>
      <c r="EV109" s="52"/>
      <c r="EW109" s="52"/>
      <c r="EX109" s="53">
        <f t="shared" si="69"/>
        <v>80.35753499999997</v>
      </c>
    </row>
    <row r="110" spans="2:154" ht="15.75" thickBot="1" x14ac:dyDescent="0.3">
      <c r="B110" s="354">
        <v>46112</v>
      </c>
      <c r="C110" s="355">
        <v>12846.17</v>
      </c>
      <c r="D110" s="355">
        <v>2083.8000000000002</v>
      </c>
      <c r="E110" s="355">
        <v>29.52</v>
      </c>
      <c r="F110" s="27"/>
      <c r="G110" s="32">
        <v>-42.575470000000536</v>
      </c>
      <c r="H110" s="33">
        <v>1.3749327214285714</v>
      </c>
      <c r="I110" s="52"/>
      <c r="J110" s="53">
        <f t="shared" si="70"/>
        <v>-11.680537278571965</v>
      </c>
      <c r="L110" s="151">
        <v>46112</v>
      </c>
      <c r="M110" s="152">
        <v>61471.89</v>
      </c>
      <c r="N110" s="152">
        <v>2307.14</v>
      </c>
      <c r="O110" s="158">
        <v>254.55</v>
      </c>
      <c r="P110" s="27"/>
      <c r="Q110" s="32">
        <v>5.528739999999857</v>
      </c>
      <c r="R110" s="53">
        <v>22.419839999999795</v>
      </c>
      <c r="S110" s="53">
        <f t="shared" si="80"/>
        <v>-12.725</v>
      </c>
      <c r="T110" s="53"/>
      <c r="U110" s="53">
        <f t="shared" si="59"/>
        <v>269.77357999999964</v>
      </c>
      <c r="W110" s="151">
        <v>46112</v>
      </c>
      <c r="X110" s="152">
        <v>28673.58</v>
      </c>
      <c r="Y110" s="154">
        <v>1964.98</v>
      </c>
      <c r="Z110" s="170">
        <v>0.92</v>
      </c>
      <c r="AA110" s="27"/>
      <c r="AB110" s="51">
        <v>1224.4287999999935</v>
      </c>
      <c r="AC110" s="33">
        <v>14.370137185142823</v>
      </c>
      <c r="AD110" s="33"/>
      <c r="AE110" s="52"/>
      <c r="AF110" s="53">
        <f>SUM(Z110:AE110)</f>
        <v>1239.7189371851364</v>
      </c>
      <c r="AH110" s="151">
        <v>46112</v>
      </c>
      <c r="AI110" s="152">
        <v>6409.43</v>
      </c>
      <c r="AJ110" s="161">
        <v>723.07</v>
      </c>
      <c r="AK110" s="158">
        <v>97.21</v>
      </c>
      <c r="AL110" s="27"/>
      <c r="AM110" s="32">
        <v>284.52167999999978</v>
      </c>
      <c r="AN110" s="32">
        <v>167.51741935483872</v>
      </c>
      <c r="AO110" s="42"/>
      <c r="AP110" s="44"/>
      <c r="AQ110" s="53">
        <f t="shared" si="60"/>
        <v>549.24909935483845</v>
      </c>
      <c r="AS110" s="151">
        <v>46112</v>
      </c>
      <c r="AT110" s="152">
        <v>19190.2</v>
      </c>
      <c r="AU110" s="152">
        <v>2674.68</v>
      </c>
      <c r="AV110" s="152">
        <v>3768.08</v>
      </c>
      <c r="AW110" s="171"/>
      <c r="AX110" s="27"/>
      <c r="AY110" s="32">
        <v>0.73100000000000165</v>
      </c>
      <c r="AZ110" s="53">
        <v>24.265545685714358</v>
      </c>
      <c r="BA110" s="53"/>
      <c r="BB110" s="53">
        <f t="shared" si="61"/>
        <v>24.996545685714359</v>
      </c>
      <c r="BD110" s="151">
        <v>46112</v>
      </c>
      <c r="BE110" s="152">
        <v>1563.34</v>
      </c>
      <c r="BF110" s="161">
        <v>949.27</v>
      </c>
      <c r="BG110" s="162"/>
      <c r="BH110" s="162"/>
      <c r="BJ110" s="51"/>
      <c r="BK110" s="42"/>
      <c r="BL110" s="52"/>
      <c r="BM110" s="53">
        <f t="shared" si="62"/>
        <v>0</v>
      </c>
      <c r="BO110" s="151">
        <v>46112</v>
      </c>
      <c r="BP110" s="152">
        <v>3557.04</v>
      </c>
      <c r="BQ110" s="159">
        <v>618.36</v>
      </c>
      <c r="BR110" s="359"/>
      <c r="BS110" s="158">
        <v>745.45</v>
      </c>
      <c r="BT110" s="27"/>
      <c r="BU110" s="240"/>
      <c r="BV110" s="42"/>
      <c r="BW110" s="42">
        <f t="shared" si="79"/>
        <v>-223.77666666666667</v>
      </c>
      <c r="BX110" s="52"/>
      <c r="BY110" s="53">
        <f t="shared" si="78"/>
        <v>521.6733333333334</v>
      </c>
      <c r="CA110" s="151">
        <v>46112</v>
      </c>
      <c r="CB110" s="152">
        <v>14120.93</v>
      </c>
      <c r="CC110" s="159">
        <v>899.86</v>
      </c>
      <c r="CD110" s="331"/>
      <c r="CE110" s="27"/>
      <c r="CF110" s="32">
        <v>-2.730559999999997</v>
      </c>
      <c r="CG110" s="42"/>
      <c r="CH110" s="44"/>
      <c r="CI110" s="53">
        <f t="shared" si="64"/>
        <v>-2.730559999999997</v>
      </c>
      <c r="CK110" s="151">
        <v>46112</v>
      </c>
      <c r="CL110" s="152">
        <v>13149.31</v>
      </c>
      <c r="CM110" s="161">
        <v>395.99</v>
      </c>
      <c r="CN110" s="158">
        <v>517.29</v>
      </c>
      <c r="CO110" s="27"/>
      <c r="CP110" s="51"/>
      <c r="CQ110" s="33">
        <v>10.307650030000076</v>
      </c>
      <c r="CR110" s="52"/>
      <c r="CS110" s="53">
        <f t="shared" si="71"/>
        <v>527.59765003000007</v>
      </c>
      <c r="CU110" s="151">
        <v>46112</v>
      </c>
      <c r="CV110" s="159">
        <v>566.14</v>
      </c>
      <c r="CW110" s="159">
        <v>0</v>
      </c>
      <c r="CX110" s="360"/>
      <c r="CY110" s="158">
        <v>125.64</v>
      </c>
      <c r="CZ110" s="27"/>
      <c r="DA110" s="32">
        <v>13.837499999999977</v>
      </c>
      <c r="DB110" s="33"/>
      <c r="DC110" s="44"/>
      <c r="DD110" s="53">
        <f t="shared" si="77"/>
        <v>139.47749999999996</v>
      </c>
      <c r="DE110" s="211"/>
      <c r="DF110" s="151">
        <v>46112</v>
      </c>
      <c r="DG110" s="152">
        <v>7858.89</v>
      </c>
      <c r="DH110" s="159">
        <v>332.93</v>
      </c>
      <c r="DI110" s="162"/>
      <c r="DJ110" s="27"/>
      <c r="DK110" s="32">
        <v>65.212140000000147</v>
      </c>
      <c r="DL110" s="42"/>
      <c r="DM110" s="44"/>
      <c r="DN110" s="53">
        <f t="shared" si="65"/>
        <v>65.212140000000147</v>
      </c>
      <c r="DP110" s="151">
        <v>46112</v>
      </c>
      <c r="DQ110" s="158">
        <v>789.17</v>
      </c>
      <c r="DR110" s="173"/>
      <c r="DS110" s="27"/>
      <c r="DT110" s="51"/>
      <c r="DU110" s="52"/>
      <c r="DV110" s="52"/>
      <c r="DW110" s="53">
        <f t="shared" si="66"/>
        <v>0</v>
      </c>
      <c r="DY110" s="151">
        <v>46112</v>
      </c>
      <c r="DZ110" s="159">
        <v>260</v>
      </c>
      <c r="EA110" s="174"/>
      <c r="EB110" s="27"/>
      <c r="EC110" s="51"/>
      <c r="ED110" s="52"/>
      <c r="EE110" s="52"/>
      <c r="EF110" s="53">
        <f t="shared" si="67"/>
        <v>0</v>
      </c>
      <c r="EH110" s="151">
        <v>46112</v>
      </c>
      <c r="EI110" s="154">
        <v>2556.11</v>
      </c>
      <c r="EJ110" s="162"/>
      <c r="EK110" s="27"/>
      <c r="EL110" s="51"/>
      <c r="EM110" s="52"/>
      <c r="EN110" s="52"/>
      <c r="EO110" s="53">
        <f t="shared" si="68"/>
        <v>0</v>
      </c>
      <c r="EQ110" s="151">
        <v>46112</v>
      </c>
      <c r="ER110" s="152">
        <v>1792.14</v>
      </c>
      <c r="ES110" s="173"/>
      <c r="ET110" s="27"/>
      <c r="EU110" s="32">
        <v>71.509064999999978</v>
      </c>
      <c r="EV110" s="52"/>
      <c r="EW110" s="52"/>
      <c r="EX110" s="53">
        <f t="shared" si="69"/>
        <v>71.509064999999978</v>
      </c>
    </row>
    <row r="111" spans="2:154" s="86" customFormat="1" ht="16.5" thickBot="1" x14ac:dyDescent="0.3">
      <c r="B111" s="190" t="s">
        <v>17</v>
      </c>
      <c r="C111" s="195">
        <f>SUM(C80:C110)</f>
        <v>201599.34000000005</v>
      </c>
      <c r="D111" s="195">
        <f>SUM(D80:D110)</f>
        <v>40785.670000000006</v>
      </c>
      <c r="E111" s="192">
        <f>SUM(E80:E110)</f>
        <v>5598.9200000000019</v>
      </c>
      <c r="F111" s="83"/>
      <c r="G111" s="84">
        <f>SUM(G80:G110)</f>
        <v>5155.1797539999943</v>
      </c>
      <c r="H111" s="85">
        <f>SUM(H80:H110)</f>
        <v>3162.6657495816171</v>
      </c>
      <c r="I111" s="85">
        <f>SUM(I80:I110)</f>
        <v>12.556356000000001</v>
      </c>
      <c r="J111" s="85">
        <f>SUM(J80:J110)</f>
        <v>13929.321859581611</v>
      </c>
      <c r="L111" s="193" t="s">
        <v>17</v>
      </c>
      <c r="M111" s="195">
        <f>SUM(M80:M110)</f>
        <v>882361.52999999991</v>
      </c>
      <c r="N111" s="195">
        <f>SUM(N80:N110)</f>
        <v>79286.819999999992</v>
      </c>
      <c r="O111" s="85">
        <f>SUM(O80:O110)</f>
        <v>2008.7400000000002</v>
      </c>
      <c r="P111" s="83"/>
      <c r="Q111" s="84">
        <f>SUM(Q80:Q110)</f>
        <v>2592.5458599999993</v>
      </c>
      <c r="R111" s="85">
        <f>SUM(R80:R110)</f>
        <v>2430.9391890209545</v>
      </c>
      <c r="S111" s="85">
        <f>SUM(S80:S110)</f>
        <v>-494.37000000000012</v>
      </c>
      <c r="T111" s="85">
        <f>SUM(T80:T110)</f>
        <v>206.01685299999968</v>
      </c>
      <c r="U111" s="85">
        <f>SUM(U80:U110)</f>
        <v>6743.8719020209537</v>
      </c>
      <c r="W111" s="193" t="s">
        <v>17</v>
      </c>
      <c r="X111" s="195">
        <f>SUM(X80:X110)</f>
        <v>877523.16999999993</v>
      </c>
      <c r="Y111" s="195">
        <f>SUM(Y80:Y110)</f>
        <v>31120.17</v>
      </c>
      <c r="Z111" s="85">
        <f>SUM(Z80:Z110)</f>
        <v>117.99</v>
      </c>
      <c r="AA111" s="83"/>
      <c r="AB111" s="84">
        <f>SUM(AB80:AB110)</f>
        <v>60722.586599999981</v>
      </c>
      <c r="AC111" s="85">
        <f>SUM(AC80:AC110)</f>
        <v>6822.8003999381963</v>
      </c>
      <c r="AD111" s="85"/>
      <c r="AE111" s="85">
        <f>SUM(AE80:AE110)</f>
        <v>40.217131699999982</v>
      </c>
      <c r="AF111" s="85">
        <f>SUM(AF80:AF110)</f>
        <v>66490.054131638171</v>
      </c>
      <c r="AH111" s="193"/>
      <c r="AI111" s="195">
        <f>SUM(AI80:AI110)</f>
        <v>182165.40999999997</v>
      </c>
      <c r="AJ111" s="195">
        <f>SUM(AJ80:AJ110)</f>
        <v>30661.709999999995</v>
      </c>
      <c r="AK111" s="85">
        <f>SUM(AK80:AK110)</f>
        <v>9372.6299999999992</v>
      </c>
      <c r="AL111" s="83"/>
      <c r="AM111" s="84">
        <f>SUM(AM80:AM110)</f>
        <v>18284.36875999999</v>
      </c>
      <c r="AN111" s="84">
        <f t="shared" ref="AN111:AO111" si="81">SUM(AN80:AN110)</f>
        <v>5193.0400000000027</v>
      </c>
      <c r="AO111" s="84">
        <f t="shared" si="81"/>
        <v>1495.8375654061911</v>
      </c>
      <c r="AP111" s="85">
        <f>SUM(AP80:AP110)</f>
        <v>122.75011640000002</v>
      </c>
      <c r="AQ111" s="85">
        <f>SUM(AQ80:AQ110)</f>
        <v>34468.626441806184</v>
      </c>
      <c r="AS111" s="193" t="s">
        <v>17</v>
      </c>
      <c r="AT111" s="195">
        <f>SUM(AT80:AT110)</f>
        <v>675655.9099999998</v>
      </c>
      <c r="AU111" s="195">
        <f>SUM(AU80:AU110)</f>
        <v>78489.240000000005</v>
      </c>
      <c r="AV111" s="195">
        <f>SUM(AV80:AV110)</f>
        <v>64775.659999999996</v>
      </c>
      <c r="AW111" s="85">
        <f>SUM(AW80:AW110)</f>
        <v>0</v>
      </c>
      <c r="AX111" s="83"/>
      <c r="AY111" s="84">
        <f>SUM(AY80:AY110)</f>
        <v>877.96433999999965</v>
      </c>
      <c r="AZ111" s="85">
        <f>SUM(AZ80:AZ110)</f>
        <v>2546.3199961222858</v>
      </c>
      <c r="BA111" s="85">
        <f>SUM(BA80:BA110)</f>
        <v>30.818786499999966</v>
      </c>
      <c r="BB111" s="85">
        <f>SUM(BB80:BB110)</f>
        <v>3455.1031226222858</v>
      </c>
      <c r="BD111" s="193" t="s">
        <v>17</v>
      </c>
      <c r="BE111" s="195">
        <f>SUM(BE80:BE110)</f>
        <v>61326.589999999989</v>
      </c>
      <c r="BF111" s="195">
        <f>SUM(BF80:BF110)</f>
        <v>31491.649999999998</v>
      </c>
      <c r="BG111" s="195">
        <f>SUM(BG80:BG110)</f>
        <v>12.149999999999999</v>
      </c>
      <c r="BH111" s="85">
        <f>SUM(BH80:BH110)</f>
        <v>723.35</v>
      </c>
      <c r="BJ111" s="84">
        <f>SUM(BJ80:BJ110)</f>
        <v>0</v>
      </c>
      <c r="BK111" s="85">
        <f>SUM(BK80:BK110)</f>
        <v>93.123802509904721</v>
      </c>
      <c r="BL111" s="85">
        <f>SUM(BL80:BL110)</f>
        <v>36.405016679999989</v>
      </c>
      <c r="BM111" s="85">
        <f>SUM(BM80:BM110)</f>
        <v>865.02881918990465</v>
      </c>
      <c r="BO111" s="193" t="s">
        <v>17</v>
      </c>
      <c r="BP111" s="195">
        <f>SUM(BP80:BP110)</f>
        <v>75955.689999999988</v>
      </c>
      <c r="BQ111" s="195">
        <f>SUM(BQ80:BQ110)</f>
        <v>20976.85</v>
      </c>
      <c r="BR111" s="85">
        <f>SUM(BR80:BR110)</f>
        <v>9</v>
      </c>
      <c r="BS111" s="195">
        <f>SUM(BS80:BS110)</f>
        <v>10064.130000000003</v>
      </c>
      <c r="BT111" s="83"/>
      <c r="BU111" s="84">
        <f>SUM(BU80:BU110)</f>
        <v>119.13187799999997</v>
      </c>
      <c r="BV111" s="85">
        <f>SUM(BV80:BV110)</f>
        <v>8572.6956805449536</v>
      </c>
      <c r="BW111" s="85">
        <f>SUM(BW80:BW110)</f>
        <v>-2013.99</v>
      </c>
      <c r="BX111" s="85">
        <f>SUM(BX80:BX110)</f>
        <v>0</v>
      </c>
      <c r="BY111" s="85">
        <f>SUM(BY80:BY110)</f>
        <v>16741.967558544955</v>
      </c>
      <c r="CA111" s="193" t="s">
        <v>17</v>
      </c>
      <c r="CB111" s="195">
        <f>SUM(CB80:CB110)</f>
        <v>235478.37999999998</v>
      </c>
      <c r="CC111" s="195">
        <f>SUM(CC80:CC110)</f>
        <v>20656.329999999998</v>
      </c>
      <c r="CD111" s="85">
        <f>SUM(CD80:CD110)</f>
        <v>0</v>
      </c>
      <c r="CE111" s="83"/>
      <c r="CF111" s="84">
        <f>SUM(CF80:CF110)</f>
        <v>1410.2330799999986</v>
      </c>
      <c r="CG111" s="85">
        <f>SUM(CG80:CG110)</f>
        <v>58.001275319523813</v>
      </c>
      <c r="CH111" s="85">
        <f>SUM(CH80:CH110)</f>
        <v>62.053514999999997</v>
      </c>
      <c r="CI111" s="85">
        <f>SUM(CI80:CI110)</f>
        <v>1530.2878703195222</v>
      </c>
      <c r="CK111" s="190" t="s">
        <v>17</v>
      </c>
      <c r="CL111" s="191">
        <f>SUM(CL80:CL110)</f>
        <v>322958.27999999997</v>
      </c>
      <c r="CM111" s="191">
        <f>SUM(CM80:CM110)</f>
        <v>9341.52</v>
      </c>
      <c r="CN111" s="194">
        <f>SUM(CN80:CN110)</f>
        <v>14543.64</v>
      </c>
      <c r="CO111" s="83"/>
      <c r="CP111" s="84">
        <f>SUM(CP80:CP110)</f>
        <v>0</v>
      </c>
      <c r="CQ111" s="85">
        <f>SUM(CQ80:CQ110)</f>
        <v>4832.4738957514282</v>
      </c>
      <c r="CR111" s="85">
        <f>SUM(CR80:CR110)</f>
        <v>0</v>
      </c>
      <c r="CS111" s="85">
        <f>SUM(CS80:CS110)</f>
        <v>19376.113895751427</v>
      </c>
      <c r="CU111" s="190" t="s">
        <v>17</v>
      </c>
      <c r="CV111" s="191">
        <f>SUM(CV80:CV110)</f>
        <v>36376.960000000006</v>
      </c>
      <c r="CW111" s="191">
        <f>SUM(CW80:CW110)</f>
        <v>8625.14</v>
      </c>
      <c r="CX111" s="194">
        <f>SUM(CX80:CX110)</f>
        <v>0</v>
      </c>
      <c r="CY111" s="191">
        <f>SUM(CY80:CY110)</f>
        <v>1707.6200000000003</v>
      </c>
      <c r="CZ111" s="83"/>
      <c r="DA111" s="84">
        <f>SUM(DA80:DA110)</f>
        <v>1104.6996099999978</v>
      </c>
      <c r="DB111" s="85">
        <f>SUM(DB80:DB110)</f>
        <v>260.64166702238117</v>
      </c>
      <c r="DC111" s="85">
        <f>SUM(DC80:DC110)</f>
        <v>-56.934779299999995</v>
      </c>
      <c r="DD111" s="85">
        <f>SUM(DD80:DD110)</f>
        <v>3016.0264977223796</v>
      </c>
      <c r="DE111" s="212"/>
      <c r="DF111" s="190" t="s">
        <v>17</v>
      </c>
      <c r="DG111" s="191">
        <f>SUM(DG80:DG110)</f>
        <v>99256.52</v>
      </c>
      <c r="DH111" s="191">
        <f>SUM(DH80:DH110)</f>
        <v>14052.100000000002</v>
      </c>
      <c r="DI111" s="194">
        <f>SUM(DI80:DI110)</f>
        <v>0</v>
      </c>
      <c r="DJ111" s="83"/>
      <c r="DK111" s="84">
        <f>SUM(DK80:DK110)</f>
        <v>1124.3853299999951</v>
      </c>
      <c r="DL111" s="85">
        <f>SUM(DL80:DL110)</f>
        <v>381.4131017859051</v>
      </c>
      <c r="DM111" s="85">
        <f>SUM(DM80:DM110)</f>
        <v>0</v>
      </c>
      <c r="DN111" s="85">
        <f>SUM(DN80:DN110)</f>
        <v>1505.7984317859</v>
      </c>
      <c r="DP111" s="193" t="s">
        <v>17</v>
      </c>
      <c r="DQ111" s="195">
        <f>SUM(DQ80:DQ110)</f>
        <v>24020.149999999994</v>
      </c>
      <c r="DR111" s="85">
        <f>SUM(DR80:DR110)</f>
        <v>0</v>
      </c>
      <c r="DS111" s="83"/>
      <c r="DT111" s="84">
        <f>SUM(DT80:DT110)</f>
        <v>0</v>
      </c>
      <c r="DU111" s="85">
        <f>SUM(DU80:DU110)</f>
        <v>0</v>
      </c>
      <c r="DV111" s="85">
        <f>SUM(DV80:DV110)</f>
        <v>0</v>
      </c>
      <c r="DW111" s="85">
        <f>SUM(DW80:DW110)</f>
        <v>0</v>
      </c>
      <c r="DY111" s="190" t="s">
        <v>17</v>
      </c>
      <c r="DZ111" s="191">
        <f>SUM(DZ80:DZ110)</f>
        <v>15450.289999999999</v>
      </c>
      <c r="EA111" s="194">
        <f>SUM(EA80:EA110)</f>
        <v>0</v>
      </c>
      <c r="EB111" s="83"/>
      <c r="EC111" s="84">
        <f>SUM(EC80:EC110)</f>
        <v>0</v>
      </c>
      <c r="ED111" s="85">
        <f>SUM(ED80:ED110)</f>
        <v>0</v>
      </c>
      <c r="EE111" s="85">
        <f>SUM(EE80:EE110)</f>
        <v>0</v>
      </c>
      <c r="EF111" s="85">
        <f>SUM(EF80:EF110)</f>
        <v>0</v>
      </c>
      <c r="EH111" s="190" t="s">
        <v>17</v>
      </c>
      <c r="EI111" s="191">
        <f>SUM(EI80:EI110)</f>
        <v>66580.94</v>
      </c>
      <c r="EJ111" s="194">
        <f>SUM(EJ80:EJ110)</f>
        <v>10636</v>
      </c>
      <c r="EK111" s="83"/>
      <c r="EL111" s="84">
        <f>SUM(EL80:EL110)</f>
        <v>0</v>
      </c>
      <c r="EM111" s="85">
        <f>SUM(EM80:EM110)</f>
        <v>0</v>
      </c>
      <c r="EN111" s="85">
        <f>SUM(EN80:EN110)</f>
        <v>0</v>
      </c>
      <c r="EO111" s="85">
        <f>SUM(EO80:EO110)</f>
        <v>10636</v>
      </c>
      <c r="EQ111" s="190" t="s">
        <v>17</v>
      </c>
      <c r="ER111" s="191">
        <f>SUM(ER80:ER110)</f>
        <v>57313.369999999988</v>
      </c>
      <c r="ES111" s="194">
        <f>SUM(ES80:ES110)</f>
        <v>0</v>
      </c>
      <c r="ET111" s="83"/>
      <c r="EU111" s="84">
        <f>SUM(EU80:EU110)</f>
        <v>2484.098653</v>
      </c>
      <c r="EV111" s="85">
        <f>SUM(EV80:EV110)</f>
        <v>0</v>
      </c>
      <c r="EW111" s="85">
        <f>SUM(EW80:EW110)</f>
        <v>0</v>
      </c>
      <c r="EX111" s="85">
        <f>SUM(EX80:EX110)</f>
        <v>2484.098653</v>
      </c>
    </row>
    <row r="112" spans="2:154" x14ac:dyDescent="0.25">
      <c r="DZ112" s="201"/>
      <c r="EA112" s="202"/>
      <c r="EG112" s="203"/>
    </row>
    <row r="115" spans="2:154" s="130" customFormat="1" ht="21" x14ac:dyDescent="0.35">
      <c r="B115" s="446" t="s">
        <v>28</v>
      </c>
      <c r="C115" s="446"/>
      <c r="L115" s="446" t="s">
        <v>29</v>
      </c>
      <c r="M115" s="446"/>
      <c r="N115" s="446"/>
      <c r="W115" s="446" t="s">
        <v>30</v>
      </c>
      <c r="X115" s="446"/>
      <c r="AH115" s="446" t="s">
        <v>31</v>
      </c>
      <c r="AI115" s="446"/>
      <c r="AS115" s="446" t="s">
        <v>32</v>
      </c>
      <c r="AT115" s="446"/>
      <c r="BD115" s="446" t="s">
        <v>33</v>
      </c>
      <c r="BE115" s="446"/>
      <c r="BO115" s="446" t="s">
        <v>34</v>
      </c>
      <c r="BP115" s="446"/>
      <c r="CA115" s="446" t="s">
        <v>35</v>
      </c>
      <c r="CB115" s="446"/>
      <c r="CK115" s="446" t="s">
        <v>36</v>
      </c>
      <c r="CL115" s="446"/>
      <c r="CU115" s="446" t="s">
        <v>37</v>
      </c>
      <c r="CV115" s="446"/>
      <c r="DF115" s="131" t="s">
        <v>38</v>
      </c>
      <c r="DG115" s="131"/>
      <c r="DP115" s="131" t="s">
        <v>39</v>
      </c>
      <c r="DQ115" s="131"/>
      <c r="DY115" s="131" t="s">
        <v>40</v>
      </c>
      <c r="DZ115" s="131"/>
      <c r="EH115" s="131" t="s">
        <v>41</v>
      </c>
      <c r="EI115" s="131"/>
      <c r="EQ115" s="131" t="s">
        <v>42</v>
      </c>
      <c r="ER115" s="131"/>
    </row>
    <row r="116" spans="2:154" ht="15.75" thickBot="1" x14ac:dyDescent="0.3"/>
    <row r="117" spans="2:154" x14ac:dyDescent="0.25">
      <c r="B117" s="444" t="s">
        <v>14</v>
      </c>
      <c r="C117" s="132" t="s">
        <v>15</v>
      </c>
      <c r="D117" s="132" t="s">
        <v>15</v>
      </c>
      <c r="E117" s="133" t="s">
        <v>16</v>
      </c>
      <c r="F117" s="6"/>
      <c r="G117" s="134" t="s">
        <v>16</v>
      </c>
      <c r="H117" s="135" t="s">
        <v>16</v>
      </c>
      <c r="I117" s="136" t="s">
        <v>16</v>
      </c>
      <c r="J117" s="10" t="s">
        <v>17</v>
      </c>
      <c r="L117" s="444" t="s">
        <v>14</v>
      </c>
      <c r="M117" s="132" t="s">
        <v>15</v>
      </c>
      <c r="N117" s="132" t="s">
        <v>15</v>
      </c>
      <c r="O117" s="137" t="s">
        <v>16</v>
      </c>
      <c r="P117" s="6"/>
      <c r="Q117" s="134" t="s">
        <v>16</v>
      </c>
      <c r="R117" s="135" t="s">
        <v>16</v>
      </c>
      <c r="S117" s="135"/>
      <c r="T117" s="136" t="s">
        <v>16</v>
      </c>
      <c r="U117" s="10" t="s">
        <v>17</v>
      </c>
      <c r="W117" s="444" t="s">
        <v>14</v>
      </c>
      <c r="X117" s="132" t="s">
        <v>15</v>
      </c>
      <c r="Y117" s="132" t="s">
        <v>15</v>
      </c>
      <c r="Z117" s="137" t="s">
        <v>16</v>
      </c>
      <c r="AA117" s="6"/>
      <c r="AB117" s="134" t="s">
        <v>16</v>
      </c>
      <c r="AC117" s="135" t="s">
        <v>16</v>
      </c>
      <c r="AD117" s="135"/>
      <c r="AE117" s="136" t="s">
        <v>16</v>
      </c>
      <c r="AF117" s="10" t="s">
        <v>17</v>
      </c>
      <c r="AH117" s="444" t="s">
        <v>14</v>
      </c>
      <c r="AI117" s="132" t="s">
        <v>15</v>
      </c>
      <c r="AJ117" s="132" t="s">
        <v>15</v>
      </c>
      <c r="AK117" s="137" t="s">
        <v>16</v>
      </c>
      <c r="AL117" s="6"/>
      <c r="AM117" s="134" t="s">
        <v>16</v>
      </c>
      <c r="AN117" s="134" t="s">
        <v>83</v>
      </c>
      <c r="AO117" s="135" t="s">
        <v>16</v>
      </c>
      <c r="AP117" s="136" t="s">
        <v>16</v>
      </c>
      <c r="AQ117" s="10" t="s">
        <v>17</v>
      </c>
      <c r="AS117" s="444" t="s">
        <v>14</v>
      </c>
      <c r="AT117" s="132" t="s">
        <v>15</v>
      </c>
      <c r="AU117" s="132" t="s">
        <v>15</v>
      </c>
      <c r="AV117" s="132" t="s">
        <v>15</v>
      </c>
      <c r="AW117" s="137" t="s">
        <v>16</v>
      </c>
      <c r="AX117" s="6"/>
      <c r="AY117" s="338" t="s">
        <v>16</v>
      </c>
      <c r="AZ117" s="339" t="s">
        <v>16</v>
      </c>
      <c r="BA117" s="340" t="s">
        <v>16</v>
      </c>
      <c r="BB117" s="10" t="s">
        <v>17</v>
      </c>
      <c r="BD117" s="444" t="s">
        <v>14</v>
      </c>
      <c r="BE117" s="132" t="s">
        <v>15</v>
      </c>
      <c r="BF117" s="132" t="s">
        <v>15</v>
      </c>
      <c r="BG117" s="137" t="s">
        <v>16</v>
      </c>
      <c r="BH117" s="137" t="s">
        <v>16</v>
      </c>
      <c r="BI117" s="6"/>
      <c r="BJ117" s="134" t="s">
        <v>16</v>
      </c>
      <c r="BK117" s="135" t="s">
        <v>16</v>
      </c>
      <c r="BL117" s="136" t="s">
        <v>16</v>
      </c>
      <c r="BM117" s="10" t="s">
        <v>17</v>
      </c>
      <c r="BO117" s="444" t="s">
        <v>14</v>
      </c>
      <c r="BP117" s="132" t="s">
        <v>15</v>
      </c>
      <c r="BQ117" s="132" t="s">
        <v>15</v>
      </c>
      <c r="BR117" s="137" t="s">
        <v>16</v>
      </c>
      <c r="BS117" s="206" t="s">
        <v>16</v>
      </c>
      <c r="BT117" s="6"/>
      <c r="BU117" s="134" t="s">
        <v>16</v>
      </c>
      <c r="BV117" s="135" t="s">
        <v>16</v>
      </c>
      <c r="BW117" s="135"/>
      <c r="BX117" s="346" t="s">
        <v>83</v>
      </c>
      <c r="BY117" s="10" t="s">
        <v>17</v>
      </c>
      <c r="CA117" s="444" t="s">
        <v>14</v>
      </c>
      <c r="CB117" s="132" t="s">
        <v>15</v>
      </c>
      <c r="CC117" s="132" t="s">
        <v>15</v>
      </c>
      <c r="CD117" s="137" t="s">
        <v>16</v>
      </c>
      <c r="CE117" s="6"/>
      <c r="CF117" s="134" t="s">
        <v>16</v>
      </c>
      <c r="CG117" s="135" t="s">
        <v>16</v>
      </c>
      <c r="CH117" s="136" t="s">
        <v>16</v>
      </c>
      <c r="CI117" s="10" t="s">
        <v>17</v>
      </c>
      <c r="CK117" s="444" t="s">
        <v>14</v>
      </c>
      <c r="CL117" s="132" t="s">
        <v>15</v>
      </c>
      <c r="CM117" s="132" t="s">
        <v>15</v>
      </c>
      <c r="CN117" s="137" t="s">
        <v>16</v>
      </c>
      <c r="CO117" s="6"/>
      <c r="CP117" s="134" t="s">
        <v>16</v>
      </c>
      <c r="CQ117" s="135" t="s">
        <v>16</v>
      </c>
      <c r="CR117" s="136" t="s">
        <v>16</v>
      </c>
      <c r="CS117" s="10" t="s">
        <v>17</v>
      </c>
      <c r="CU117" s="444" t="s">
        <v>14</v>
      </c>
      <c r="CV117" s="132" t="s">
        <v>15</v>
      </c>
      <c r="CW117" s="132" t="s">
        <v>15</v>
      </c>
      <c r="CX117" s="137" t="s">
        <v>16</v>
      </c>
      <c r="CY117" s="137" t="s">
        <v>16</v>
      </c>
      <c r="CZ117" s="6"/>
      <c r="DA117" s="134" t="s">
        <v>16</v>
      </c>
      <c r="DB117" s="135" t="s">
        <v>16</v>
      </c>
      <c r="DC117" s="136" t="s">
        <v>16</v>
      </c>
      <c r="DD117" s="10" t="s">
        <v>17</v>
      </c>
      <c r="DF117" s="325" t="s">
        <v>14</v>
      </c>
      <c r="DG117" s="132" t="s">
        <v>15</v>
      </c>
      <c r="DH117" s="132" t="s">
        <v>15</v>
      </c>
      <c r="DI117" s="137" t="s">
        <v>16</v>
      </c>
      <c r="DJ117" s="6"/>
      <c r="DK117" s="134" t="s">
        <v>16</v>
      </c>
      <c r="DL117" s="135" t="s">
        <v>16</v>
      </c>
      <c r="DM117" s="136" t="s">
        <v>16</v>
      </c>
      <c r="DN117" s="10" t="s">
        <v>17</v>
      </c>
      <c r="DP117" s="325" t="s">
        <v>14</v>
      </c>
      <c r="DQ117" s="132" t="s">
        <v>15</v>
      </c>
      <c r="DR117" s="137" t="s">
        <v>16</v>
      </c>
      <c r="DS117" s="6"/>
      <c r="DT117" s="134" t="s">
        <v>16</v>
      </c>
      <c r="DU117" s="135" t="s">
        <v>16</v>
      </c>
      <c r="DV117" s="136" t="s">
        <v>16</v>
      </c>
      <c r="DW117" s="10" t="s">
        <v>17</v>
      </c>
      <c r="DY117" s="325" t="s">
        <v>14</v>
      </c>
      <c r="DZ117" s="132" t="s">
        <v>15</v>
      </c>
      <c r="EA117" s="137" t="s">
        <v>16</v>
      </c>
      <c r="EB117" s="6"/>
      <c r="EC117" s="134" t="s">
        <v>16</v>
      </c>
      <c r="ED117" s="135" t="s">
        <v>16</v>
      </c>
      <c r="EE117" s="136" t="s">
        <v>16</v>
      </c>
      <c r="EF117" s="10" t="s">
        <v>17</v>
      </c>
      <c r="EH117" s="327" t="s">
        <v>14</v>
      </c>
      <c r="EI117" s="207" t="s">
        <v>15</v>
      </c>
      <c r="EJ117" s="142" t="s">
        <v>16</v>
      </c>
      <c r="EK117" s="6"/>
      <c r="EL117" s="134" t="s">
        <v>16</v>
      </c>
      <c r="EM117" s="135" t="s">
        <v>16</v>
      </c>
      <c r="EN117" s="136" t="s">
        <v>16</v>
      </c>
      <c r="EO117" s="10" t="s">
        <v>17</v>
      </c>
      <c r="EQ117" s="327" t="s">
        <v>14</v>
      </c>
      <c r="ER117" s="141" t="s">
        <v>15</v>
      </c>
      <c r="ES117" s="142" t="s">
        <v>16</v>
      </c>
      <c r="ET117" s="6"/>
      <c r="EU117" s="134" t="s">
        <v>16</v>
      </c>
      <c r="EV117" s="135" t="s">
        <v>16</v>
      </c>
      <c r="EW117" s="136" t="s">
        <v>16</v>
      </c>
      <c r="EX117" s="10" t="s">
        <v>17</v>
      </c>
    </row>
    <row r="118" spans="2:154" ht="15.75" thickBot="1" x14ac:dyDescent="0.3">
      <c r="B118" s="445"/>
      <c r="C118" s="143" t="s">
        <v>18</v>
      </c>
      <c r="D118" s="143" t="s">
        <v>19</v>
      </c>
      <c r="E118" s="144" t="s">
        <v>25</v>
      </c>
      <c r="F118" s="6"/>
      <c r="G118" s="145" t="s">
        <v>21</v>
      </c>
      <c r="H118" s="146" t="s">
        <v>22</v>
      </c>
      <c r="I118" s="147" t="s">
        <v>23</v>
      </c>
      <c r="J118" s="148" t="s">
        <v>24</v>
      </c>
      <c r="L118" s="445"/>
      <c r="M118" s="143" t="s">
        <v>18</v>
      </c>
      <c r="N118" s="143" t="s">
        <v>19</v>
      </c>
      <c r="O118" s="149" t="s">
        <v>25</v>
      </c>
      <c r="P118" s="6"/>
      <c r="Q118" s="145" t="s">
        <v>21</v>
      </c>
      <c r="R118" s="146" t="s">
        <v>22</v>
      </c>
      <c r="S118" s="146"/>
      <c r="T118" s="147" t="s">
        <v>23</v>
      </c>
      <c r="U118" s="148" t="s">
        <v>24</v>
      </c>
      <c r="W118" s="445"/>
      <c r="X118" s="143" t="s">
        <v>18</v>
      </c>
      <c r="Y118" s="143" t="s">
        <v>19</v>
      </c>
      <c r="Z118" s="149" t="s">
        <v>25</v>
      </c>
      <c r="AA118" s="6"/>
      <c r="AB118" s="145" t="s">
        <v>21</v>
      </c>
      <c r="AC118" s="146" t="s">
        <v>22</v>
      </c>
      <c r="AD118" s="146"/>
      <c r="AE118" s="147" t="s">
        <v>23</v>
      </c>
      <c r="AF118" s="148" t="s">
        <v>24</v>
      </c>
      <c r="AH118" s="445"/>
      <c r="AI118" s="143" t="s">
        <v>18</v>
      </c>
      <c r="AJ118" s="143" t="s">
        <v>19</v>
      </c>
      <c r="AK118" s="149" t="s">
        <v>25</v>
      </c>
      <c r="AL118" s="6"/>
      <c r="AM118" s="145" t="s">
        <v>21</v>
      </c>
      <c r="AN118" s="145" t="s">
        <v>21</v>
      </c>
      <c r="AO118" s="146" t="s">
        <v>22</v>
      </c>
      <c r="AP118" s="147" t="s">
        <v>23</v>
      </c>
      <c r="AQ118" s="148" t="s">
        <v>24</v>
      </c>
      <c r="AS118" s="445"/>
      <c r="AT118" s="143" t="s">
        <v>18</v>
      </c>
      <c r="AU118" s="143" t="s">
        <v>19</v>
      </c>
      <c r="AV118" s="143" t="s">
        <v>20</v>
      </c>
      <c r="AW118" s="149" t="s">
        <v>25</v>
      </c>
      <c r="AX118" s="6"/>
      <c r="AY118" s="341" t="s">
        <v>21</v>
      </c>
      <c r="AZ118" s="342" t="s">
        <v>22</v>
      </c>
      <c r="BA118" s="343" t="s">
        <v>23</v>
      </c>
      <c r="BB118" s="148" t="s">
        <v>24</v>
      </c>
      <c r="BD118" s="445"/>
      <c r="BE118" s="143" t="s">
        <v>18</v>
      </c>
      <c r="BF118" s="143" t="s">
        <v>19</v>
      </c>
      <c r="BG118" s="149" t="s">
        <v>19</v>
      </c>
      <c r="BH118" s="149" t="s">
        <v>25</v>
      </c>
      <c r="BI118" s="6"/>
      <c r="BJ118" s="145" t="s">
        <v>21</v>
      </c>
      <c r="BK118" s="146" t="s">
        <v>22</v>
      </c>
      <c r="BL118" s="147" t="s">
        <v>23</v>
      </c>
      <c r="BM118" s="148" t="s">
        <v>24</v>
      </c>
      <c r="BO118" s="445"/>
      <c r="BP118" s="143" t="s">
        <v>18</v>
      </c>
      <c r="BQ118" s="143" t="s">
        <v>19</v>
      </c>
      <c r="BR118" s="149" t="s">
        <v>19</v>
      </c>
      <c r="BS118" s="208" t="s">
        <v>25</v>
      </c>
      <c r="BT118" s="6"/>
      <c r="BU118" s="145" t="s">
        <v>21</v>
      </c>
      <c r="BV118" s="146" t="s">
        <v>22</v>
      </c>
      <c r="BW118" s="146"/>
      <c r="BX118" s="347" t="s">
        <v>22</v>
      </c>
      <c r="BY118" s="148" t="s">
        <v>24</v>
      </c>
      <c r="CA118" s="445"/>
      <c r="CB118" s="143" t="s">
        <v>18</v>
      </c>
      <c r="CC118" s="143" t="s">
        <v>19</v>
      </c>
      <c r="CD118" s="149" t="s">
        <v>25</v>
      </c>
      <c r="CE118" s="6"/>
      <c r="CF118" s="145" t="s">
        <v>21</v>
      </c>
      <c r="CG118" s="146" t="s">
        <v>22</v>
      </c>
      <c r="CH118" s="147" t="s">
        <v>23</v>
      </c>
      <c r="CI118" s="148" t="s">
        <v>24</v>
      </c>
      <c r="CK118" s="445"/>
      <c r="CL118" s="143" t="s">
        <v>18</v>
      </c>
      <c r="CM118" s="143" t="s">
        <v>19</v>
      </c>
      <c r="CN118" s="149" t="s">
        <v>25</v>
      </c>
      <c r="CO118" s="6"/>
      <c r="CP118" s="145" t="s">
        <v>21</v>
      </c>
      <c r="CQ118" s="146" t="s">
        <v>22</v>
      </c>
      <c r="CR118" s="147" t="s">
        <v>23</v>
      </c>
      <c r="CS118" s="148" t="s">
        <v>24</v>
      </c>
      <c r="CU118" s="445"/>
      <c r="CV118" s="143" t="s">
        <v>18</v>
      </c>
      <c r="CW118" s="143" t="s">
        <v>19</v>
      </c>
      <c r="CX118" s="149" t="s">
        <v>19</v>
      </c>
      <c r="CY118" s="149" t="s">
        <v>25</v>
      </c>
      <c r="CZ118" s="6"/>
      <c r="DA118" s="145" t="s">
        <v>21</v>
      </c>
      <c r="DB118" s="146" t="s">
        <v>22</v>
      </c>
      <c r="DC118" s="147" t="s">
        <v>23</v>
      </c>
      <c r="DD118" s="148" t="s">
        <v>24</v>
      </c>
      <c r="DF118" s="326"/>
      <c r="DG118" s="143" t="s">
        <v>18</v>
      </c>
      <c r="DH118" s="143" t="s">
        <v>19</v>
      </c>
      <c r="DI118" s="149" t="s">
        <v>25</v>
      </c>
      <c r="DJ118" s="6"/>
      <c r="DK118" s="145" t="s">
        <v>21</v>
      </c>
      <c r="DL118" s="146" t="s">
        <v>22</v>
      </c>
      <c r="DM118" s="147" t="s">
        <v>23</v>
      </c>
      <c r="DN118" s="148" t="s">
        <v>24</v>
      </c>
      <c r="DP118" s="326"/>
      <c r="DQ118" s="143" t="s">
        <v>18</v>
      </c>
      <c r="DR118" s="149" t="s">
        <v>25</v>
      </c>
      <c r="DS118" s="6"/>
      <c r="DT118" s="145" t="s">
        <v>21</v>
      </c>
      <c r="DU118" s="146" t="s">
        <v>22</v>
      </c>
      <c r="DV118" s="147" t="s">
        <v>23</v>
      </c>
      <c r="DW118" s="148" t="s">
        <v>24</v>
      </c>
      <c r="DY118" s="326"/>
      <c r="DZ118" s="143" t="s">
        <v>18</v>
      </c>
      <c r="EA118" s="149" t="s">
        <v>25</v>
      </c>
      <c r="EB118" s="6"/>
      <c r="EC118" s="145" t="s">
        <v>21</v>
      </c>
      <c r="ED118" s="146" t="s">
        <v>22</v>
      </c>
      <c r="EE118" s="147" t="s">
        <v>23</v>
      </c>
      <c r="EF118" s="148" t="s">
        <v>24</v>
      </c>
      <c r="EH118" s="209"/>
      <c r="EI118" s="210" t="s">
        <v>18</v>
      </c>
      <c r="EJ118" s="137" t="s">
        <v>25</v>
      </c>
      <c r="EK118" s="6"/>
      <c r="EL118" s="145" t="s">
        <v>21</v>
      </c>
      <c r="EM118" s="146" t="s">
        <v>22</v>
      </c>
      <c r="EN118" s="147" t="s">
        <v>23</v>
      </c>
      <c r="EO118" s="148" t="s">
        <v>24</v>
      </c>
      <c r="EQ118" s="209"/>
      <c r="ER118" s="132" t="s">
        <v>18</v>
      </c>
      <c r="ES118" s="137" t="s">
        <v>25</v>
      </c>
      <c r="ET118" s="6"/>
      <c r="EU118" s="145" t="s">
        <v>21</v>
      </c>
      <c r="EV118" s="146" t="s">
        <v>22</v>
      </c>
      <c r="EW118" s="147" t="s">
        <v>23</v>
      </c>
      <c r="EX118" s="148" t="s">
        <v>24</v>
      </c>
    </row>
    <row r="119" spans="2:154" ht="15.75" thickBot="1" x14ac:dyDescent="0.3">
      <c r="B119" s="151">
        <v>46113</v>
      </c>
      <c r="C119" s="152">
        <v>11759.68</v>
      </c>
      <c r="D119" s="152">
        <v>2980.68</v>
      </c>
      <c r="E119" s="158">
        <v>37.86</v>
      </c>
      <c r="F119" s="27"/>
      <c r="G119" s="32">
        <v>242.07747999999975</v>
      </c>
      <c r="H119" s="33">
        <v>450.68160232942864</v>
      </c>
      <c r="I119" s="29"/>
      <c r="J119" s="30">
        <f>SUM(E119:I119)</f>
        <v>730.61908232942847</v>
      </c>
      <c r="L119" s="151">
        <v>46113</v>
      </c>
      <c r="M119" s="362">
        <v>41782.75</v>
      </c>
      <c r="N119" s="363">
        <v>3102.17</v>
      </c>
      <c r="O119" s="371">
        <v>44.78</v>
      </c>
      <c r="P119" s="27"/>
      <c r="Q119" s="32">
        <v>121.54433999999861</v>
      </c>
      <c r="R119" s="53">
        <v>42.941050053428725</v>
      </c>
      <c r="S119" s="248"/>
      <c r="T119" s="29"/>
      <c r="U119" s="30">
        <f t="shared" ref="U119:U148" si="82">SUM(O119:T119)</f>
        <v>209.26539005342732</v>
      </c>
      <c r="W119" s="151">
        <v>46113</v>
      </c>
      <c r="X119" s="374">
        <v>18211.86</v>
      </c>
      <c r="Y119" s="375">
        <v>2397.38</v>
      </c>
      <c r="Z119" s="381">
        <v>10.4</v>
      </c>
      <c r="AA119" s="27"/>
      <c r="AB119" s="28">
        <v>627.18855999999744</v>
      </c>
      <c r="AC119" s="33"/>
      <c r="AD119" s="33"/>
      <c r="AE119" s="30"/>
      <c r="AF119" s="30">
        <f t="shared" ref="AF119:AF148" si="83">SUM(Z119:AE119)</f>
        <v>637.58855999999741</v>
      </c>
      <c r="AH119" s="151">
        <v>46113</v>
      </c>
      <c r="AI119" s="362">
        <v>8235</v>
      </c>
      <c r="AJ119" s="363">
        <v>1100.2</v>
      </c>
      <c r="AK119" s="368">
        <v>222.31</v>
      </c>
      <c r="AL119" s="27"/>
      <c r="AM119" s="32">
        <v>314.05801999999971</v>
      </c>
      <c r="AN119" s="32">
        <v>134.84800000000001</v>
      </c>
      <c r="AO119" s="42">
        <v>59.271170828571712</v>
      </c>
      <c r="AP119" s="89"/>
      <c r="AQ119" s="30">
        <f t="shared" ref="AQ119:AQ148" si="84">SUM(AK119:AP119)</f>
        <v>730.48719082857133</v>
      </c>
      <c r="AS119" s="151">
        <v>46113</v>
      </c>
      <c r="AT119" s="362">
        <v>21051.88</v>
      </c>
      <c r="AU119" s="363">
        <v>2183.92</v>
      </c>
      <c r="AV119" s="363">
        <v>3348.45</v>
      </c>
      <c r="AW119" s="160"/>
      <c r="AX119" s="27"/>
      <c r="AY119" s="32">
        <v>2.6330000000000098</v>
      </c>
      <c r="AZ119" s="30">
        <v>31.223364478571455</v>
      </c>
      <c r="BA119" s="30"/>
      <c r="BB119" s="30">
        <f t="shared" ref="BB119:BB148" si="85">SUM(AW119:BA119)</f>
        <v>33.856364478571464</v>
      </c>
      <c r="BD119" s="151">
        <v>46113</v>
      </c>
      <c r="BE119" s="152">
        <v>1758.32</v>
      </c>
      <c r="BF119" s="152">
        <v>1130.27</v>
      </c>
      <c r="BG119" s="158"/>
      <c r="BH119" s="162"/>
      <c r="BI119" s="27"/>
      <c r="BJ119" s="28"/>
      <c r="BK119" s="42"/>
      <c r="BL119" s="29"/>
      <c r="BM119" s="30">
        <f t="shared" ref="BM119:BM148" si="86">SUM(BH119:BL119)</f>
        <v>0</v>
      </c>
      <c r="BO119" s="151">
        <v>46113</v>
      </c>
      <c r="BP119" s="152">
        <v>3924.14</v>
      </c>
      <c r="BQ119" s="159">
        <v>519.38</v>
      </c>
      <c r="BR119" s="162"/>
      <c r="BS119" s="158">
        <v>711.4</v>
      </c>
      <c r="BT119" s="27"/>
      <c r="BU119" s="239"/>
      <c r="BV119" s="42">
        <v>18.796839285714441</v>
      </c>
      <c r="BW119" s="42"/>
      <c r="BX119" s="29"/>
      <c r="BY119" s="30">
        <f t="shared" ref="BY119:BY139" si="87">SUM(BS119:BX119)</f>
        <v>730.19683928571442</v>
      </c>
      <c r="CA119" s="151">
        <v>46113</v>
      </c>
      <c r="CB119" s="362">
        <v>12444.49</v>
      </c>
      <c r="CC119" s="391">
        <v>641.9</v>
      </c>
      <c r="CD119" s="331"/>
      <c r="CE119" s="27"/>
      <c r="CF119" s="32">
        <v>40.193279999999874</v>
      </c>
      <c r="CG119" s="42"/>
      <c r="CH119" s="89"/>
      <c r="CI119" s="30">
        <f t="shared" ref="CI119:CI148" si="88">SUM(CD119:CH119)</f>
        <v>40.193279999999874</v>
      </c>
      <c r="CK119" s="151">
        <v>46113</v>
      </c>
      <c r="CL119" s="362">
        <v>16718.04</v>
      </c>
      <c r="CM119" s="391">
        <v>472.36</v>
      </c>
      <c r="CN119" s="158"/>
      <c r="CO119" s="27"/>
      <c r="CP119" s="28"/>
      <c r="CQ119" s="33">
        <v>128.6395510585732</v>
      </c>
      <c r="CR119" s="29"/>
      <c r="CS119" s="30">
        <f>SUM(CN119:CR119)</f>
        <v>128.6395510585732</v>
      </c>
      <c r="CU119" s="151">
        <v>46113</v>
      </c>
      <c r="CV119" s="392">
        <v>571.58000000000004</v>
      </c>
      <c r="CW119" s="391">
        <v>172</v>
      </c>
      <c r="CX119" s="162"/>
      <c r="CY119" s="368">
        <v>14</v>
      </c>
      <c r="CZ119" s="27"/>
      <c r="DA119" s="32">
        <v>14.692350000000062</v>
      </c>
      <c r="DB119" s="33">
        <v>67.947168514285863</v>
      </c>
      <c r="DC119" s="89"/>
      <c r="DD119" s="30">
        <f>SUM(CY119:DC119)</f>
        <v>96.639518514285925</v>
      </c>
      <c r="DF119" s="151">
        <v>46113</v>
      </c>
      <c r="DG119" s="362">
        <v>3717.89</v>
      </c>
      <c r="DH119" s="391">
        <v>402.07</v>
      </c>
      <c r="DI119" s="162"/>
      <c r="DJ119" s="27"/>
      <c r="DK119" s="32">
        <v>33.034909999999932</v>
      </c>
      <c r="DL119" s="42">
        <v>71.599846222857082</v>
      </c>
      <c r="DM119" s="89"/>
      <c r="DN119" s="30">
        <f t="shared" ref="DN119:DN148" si="89">SUM(DI119:DM119)</f>
        <v>104.63475622285702</v>
      </c>
      <c r="DP119" s="151">
        <v>46113</v>
      </c>
      <c r="DQ119" s="392">
        <v>912.7</v>
      </c>
      <c r="DR119" s="165"/>
      <c r="DS119" s="27"/>
      <c r="DT119" s="28"/>
      <c r="DU119" s="29"/>
      <c r="DV119" s="29"/>
      <c r="DW119" s="30">
        <f t="shared" ref="DW119:DW148" si="90">SUM(DR119:DV119)</f>
        <v>0</v>
      </c>
      <c r="DY119" s="151">
        <v>46113</v>
      </c>
      <c r="DZ119" s="392">
        <v>455</v>
      </c>
      <c r="EA119" s="167"/>
      <c r="EB119" s="27"/>
      <c r="EC119" s="28"/>
      <c r="ED119" s="29"/>
      <c r="EE119" s="29"/>
      <c r="EF119" s="30">
        <f t="shared" ref="EF119:EF148" si="91">SUM(EA119:EE119)</f>
        <v>0</v>
      </c>
      <c r="EH119" s="151">
        <v>46113</v>
      </c>
      <c r="EI119" s="152">
        <v>2545.25</v>
      </c>
      <c r="EJ119" s="162"/>
      <c r="EK119" s="27"/>
      <c r="EL119" s="28"/>
      <c r="EM119" s="29"/>
      <c r="EN119" s="29"/>
      <c r="EO119" s="30">
        <f t="shared" ref="EO119:EO148" si="92">SUM(EJ119:EN119)</f>
        <v>0</v>
      </c>
      <c r="EQ119" s="151">
        <v>46113</v>
      </c>
      <c r="ER119" s="152">
        <v>3291.7</v>
      </c>
      <c r="ES119" s="396"/>
      <c r="ET119" s="27"/>
      <c r="EU119" s="32">
        <v>78.281952000000103</v>
      </c>
      <c r="EV119" s="29"/>
      <c r="EW119" s="29"/>
      <c r="EX119" s="30">
        <f t="shared" ref="EX119:EX148" si="93">SUM(ES119:EW119)</f>
        <v>78.281952000000103</v>
      </c>
    </row>
    <row r="120" spans="2:154" ht="15.75" thickBot="1" x14ac:dyDescent="0.3">
      <c r="B120" s="151">
        <v>46114</v>
      </c>
      <c r="C120" s="152">
        <v>9344.2800000000007</v>
      </c>
      <c r="D120" s="152">
        <v>2514.73</v>
      </c>
      <c r="E120" s="162"/>
      <c r="F120" s="27"/>
      <c r="G120" s="32">
        <v>36.215239999999994</v>
      </c>
      <c r="H120" s="33"/>
      <c r="I120" s="52"/>
      <c r="J120" s="53">
        <f t="shared" ref="J120:J148" si="94">SUM(E120:I120)</f>
        <v>36.215239999999994</v>
      </c>
      <c r="L120" s="151">
        <v>46114</v>
      </c>
      <c r="M120" s="364">
        <v>44440.49</v>
      </c>
      <c r="N120" s="365">
        <v>5549.7</v>
      </c>
      <c r="O120" s="372">
        <v>54.68</v>
      </c>
      <c r="P120" s="27"/>
      <c r="Q120" s="32">
        <v>42.460199999999986</v>
      </c>
      <c r="R120" s="53">
        <v>17.648836971428636</v>
      </c>
      <c r="S120" s="53"/>
      <c r="T120" s="52"/>
      <c r="U120" s="53">
        <f t="shared" si="82"/>
        <v>114.78903697142863</v>
      </c>
      <c r="W120" s="151">
        <v>46114</v>
      </c>
      <c r="X120" s="376">
        <v>23672.45</v>
      </c>
      <c r="Y120" s="377">
        <v>2176.4</v>
      </c>
      <c r="Z120" s="382"/>
      <c r="AA120" s="27"/>
      <c r="AB120" s="51">
        <v>1172.2141199999994</v>
      </c>
      <c r="AC120" s="33"/>
      <c r="AD120" s="33"/>
      <c r="AE120" s="53"/>
      <c r="AF120" s="53">
        <f t="shared" si="83"/>
        <v>1172.2141199999994</v>
      </c>
      <c r="AH120" s="151">
        <v>46114</v>
      </c>
      <c r="AI120" s="364">
        <v>8841.11</v>
      </c>
      <c r="AJ120" s="365">
        <v>1005.44</v>
      </c>
      <c r="AK120" s="369"/>
      <c r="AL120" s="27"/>
      <c r="AM120" s="32">
        <v>185.75123999999985</v>
      </c>
      <c r="AN120" s="32">
        <v>134.84800000000001</v>
      </c>
      <c r="AO120" s="42"/>
      <c r="AP120" s="44"/>
      <c r="AQ120" s="53">
        <f t="shared" si="84"/>
        <v>320.5992399999999</v>
      </c>
      <c r="AS120" s="151">
        <v>46114</v>
      </c>
      <c r="AT120" s="364">
        <v>19361.349999999999</v>
      </c>
      <c r="AU120" s="365">
        <v>2228.23</v>
      </c>
      <c r="AV120" s="365">
        <v>2678.18</v>
      </c>
      <c r="AW120" s="171"/>
      <c r="AX120" s="27"/>
      <c r="AY120" s="32">
        <v>7.1871799999999944</v>
      </c>
      <c r="AZ120" s="53">
        <v>34.908814450000023</v>
      </c>
      <c r="BA120" s="53"/>
      <c r="BB120" s="53">
        <f t="shared" si="85"/>
        <v>42.09599445000002</v>
      </c>
      <c r="BD120" s="151">
        <v>46114</v>
      </c>
      <c r="BE120" s="152">
        <v>1713.68</v>
      </c>
      <c r="BF120" s="152">
        <v>1157.7</v>
      </c>
      <c r="BG120" s="158"/>
      <c r="BH120" s="162"/>
      <c r="BI120" s="27"/>
      <c r="BJ120" s="51"/>
      <c r="BK120" s="42"/>
      <c r="BL120" s="52"/>
      <c r="BM120" s="53">
        <f t="shared" si="86"/>
        <v>0</v>
      </c>
      <c r="BO120" s="151">
        <v>46114</v>
      </c>
      <c r="BP120" s="152">
        <v>7777.78</v>
      </c>
      <c r="BQ120" s="159">
        <v>571.87</v>
      </c>
      <c r="BR120" s="162"/>
      <c r="BS120" s="158">
        <v>499.58</v>
      </c>
      <c r="BT120" s="27"/>
      <c r="BU120" s="240"/>
      <c r="BV120" s="42"/>
      <c r="BW120" s="42"/>
      <c r="BX120" s="52"/>
      <c r="BY120" s="53">
        <f t="shared" si="87"/>
        <v>499.58</v>
      </c>
      <c r="CA120" s="151">
        <v>46114</v>
      </c>
      <c r="CB120" s="364">
        <v>8075.46</v>
      </c>
      <c r="CC120" s="365">
        <v>1130.6600000000001</v>
      </c>
      <c r="CD120" s="331"/>
      <c r="CE120" s="27"/>
      <c r="CF120" s="32">
        <v>68.848720000000014</v>
      </c>
      <c r="CG120" s="42"/>
      <c r="CH120" s="44"/>
      <c r="CI120" s="53">
        <f t="shared" si="88"/>
        <v>68.848720000000014</v>
      </c>
      <c r="CK120" s="151">
        <v>46114</v>
      </c>
      <c r="CL120" s="364">
        <v>14800.49</v>
      </c>
      <c r="CM120" s="385">
        <v>288.94</v>
      </c>
      <c r="CN120" s="158"/>
      <c r="CO120" s="27"/>
      <c r="CP120" s="51"/>
      <c r="CQ120" s="33">
        <v>90.356003883143813</v>
      </c>
      <c r="CR120" s="52"/>
      <c r="CS120" s="53">
        <f t="shared" ref="CS120:CS148" si="95">SUM(CN120:CR120)</f>
        <v>90.356003883143813</v>
      </c>
      <c r="CU120" s="151">
        <v>46114</v>
      </c>
      <c r="CV120" s="364">
        <v>4020.66</v>
      </c>
      <c r="CW120" s="385">
        <v>632.4</v>
      </c>
      <c r="CX120" s="162"/>
      <c r="CY120" s="370">
        <v>14</v>
      </c>
      <c r="CZ120" s="27"/>
      <c r="DA120" s="32"/>
      <c r="DB120" s="33"/>
      <c r="DC120" s="44"/>
      <c r="DD120" s="53">
        <f t="shared" ref="DD120" si="96">SUM(CY120:DC120)</f>
        <v>14</v>
      </c>
      <c r="DF120" s="151">
        <v>46114</v>
      </c>
      <c r="DG120" s="364">
        <v>3658.39</v>
      </c>
      <c r="DH120" s="385">
        <v>715.28</v>
      </c>
      <c r="DI120" s="162"/>
      <c r="DJ120" s="27"/>
      <c r="DK120" s="32">
        <v>-11.983540000000062</v>
      </c>
      <c r="DL120" s="42"/>
      <c r="DM120" s="44"/>
      <c r="DN120" s="53">
        <f t="shared" si="89"/>
        <v>-11.983540000000062</v>
      </c>
      <c r="DP120" s="151">
        <v>46114</v>
      </c>
      <c r="DQ120" s="389">
        <v>308.38</v>
      </c>
      <c r="DR120" s="173"/>
      <c r="DS120" s="27"/>
      <c r="DT120" s="51"/>
      <c r="DU120" s="52"/>
      <c r="DV120" s="52"/>
      <c r="DW120" s="53">
        <f t="shared" si="90"/>
        <v>0</v>
      </c>
      <c r="DY120" s="151">
        <v>46114</v>
      </c>
      <c r="DZ120" s="389">
        <v>435.31</v>
      </c>
      <c r="EA120" s="174"/>
      <c r="EB120" s="27"/>
      <c r="EC120" s="51"/>
      <c r="ED120" s="52"/>
      <c r="EE120" s="52"/>
      <c r="EF120" s="53">
        <f t="shared" si="91"/>
        <v>0</v>
      </c>
      <c r="EH120" s="151">
        <v>46114</v>
      </c>
      <c r="EI120" s="152">
        <v>2596.1</v>
      </c>
      <c r="EJ120" s="162"/>
      <c r="EK120" s="27"/>
      <c r="EL120" s="51"/>
      <c r="EM120" s="52"/>
      <c r="EN120" s="52"/>
      <c r="EO120" s="53">
        <f t="shared" si="92"/>
        <v>0</v>
      </c>
      <c r="EQ120" s="151">
        <v>46114</v>
      </c>
      <c r="ER120" s="152">
        <v>1868.03</v>
      </c>
      <c r="ES120" s="396"/>
      <c r="ET120" s="27"/>
      <c r="EU120" s="32">
        <v>47.220760000000041</v>
      </c>
      <c r="EV120" s="52"/>
      <c r="EW120" s="52"/>
      <c r="EX120" s="53">
        <f t="shared" si="93"/>
        <v>47.220760000000041</v>
      </c>
    </row>
    <row r="121" spans="2:154" ht="15.75" thickBot="1" x14ac:dyDescent="0.3">
      <c r="B121" s="151">
        <v>46115</v>
      </c>
      <c r="C121" s="152">
        <v>5884.16</v>
      </c>
      <c r="D121" s="152">
        <v>3077.8</v>
      </c>
      <c r="E121" s="162"/>
      <c r="F121" s="27"/>
      <c r="G121" s="32">
        <v>31.024699999999996</v>
      </c>
      <c r="H121" s="33"/>
      <c r="I121" s="52"/>
      <c r="J121" s="53">
        <f t="shared" si="94"/>
        <v>31.024699999999996</v>
      </c>
      <c r="L121" s="151">
        <v>46115</v>
      </c>
      <c r="M121" s="364">
        <v>32727.71</v>
      </c>
      <c r="N121" s="365">
        <v>2505.67</v>
      </c>
      <c r="O121" s="372">
        <v>60.31</v>
      </c>
      <c r="P121" s="27"/>
      <c r="Q121" s="32">
        <v>2.3434599999999506</v>
      </c>
      <c r="R121" s="53"/>
      <c r="S121" s="53"/>
      <c r="T121" s="52"/>
      <c r="U121" s="53">
        <f t="shared" si="82"/>
        <v>62.653459999999953</v>
      </c>
      <c r="W121" s="151">
        <v>46115</v>
      </c>
      <c r="X121" s="376">
        <v>39112.43</v>
      </c>
      <c r="Y121" s="377">
        <v>4028.68</v>
      </c>
      <c r="Z121" s="382"/>
      <c r="AA121" s="27"/>
      <c r="AB121" s="51">
        <v>417.33999999999969</v>
      </c>
      <c r="AC121" s="33"/>
      <c r="AD121" s="33"/>
      <c r="AE121" s="53"/>
      <c r="AF121" s="53">
        <f t="shared" si="83"/>
        <v>417.33999999999969</v>
      </c>
      <c r="AH121" s="151">
        <v>46115</v>
      </c>
      <c r="AI121" s="364">
        <v>7224.96</v>
      </c>
      <c r="AJ121" s="365">
        <v>1284.77</v>
      </c>
      <c r="AK121" s="369"/>
      <c r="AL121" s="27"/>
      <c r="AM121" s="32"/>
      <c r="AN121" s="32">
        <v>134.84800000000001</v>
      </c>
      <c r="AO121" s="42"/>
      <c r="AP121" s="44"/>
      <c r="AQ121" s="53">
        <f t="shared" si="84"/>
        <v>134.84800000000001</v>
      </c>
      <c r="AS121" s="151">
        <v>46115</v>
      </c>
      <c r="AT121" s="364">
        <v>13795.54</v>
      </c>
      <c r="AU121" s="365">
        <v>1549.14</v>
      </c>
      <c r="AV121" s="365">
        <v>2326.6</v>
      </c>
      <c r="AW121" s="171"/>
      <c r="AX121" s="27"/>
      <c r="AY121" s="32">
        <v>11.037239999999997</v>
      </c>
      <c r="AZ121" s="53"/>
      <c r="BA121" s="53"/>
      <c r="BB121" s="53">
        <f t="shared" si="85"/>
        <v>11.037239999999997</v>
      </c>
      <c r="BD121" s="151">
        <v>46115</v>
      </c>
      <c r="BE121" s="152">
        <v>2133.98</v>
      </c>
      <c r="BF121" s="152">
        <v>1184.1300000000001</v>
      </c>
      <c r="BG121" s="158"/>
      <c r="BH121" s="162"/>
      <c r="BI121" s="27"/>
      <c r="BJ121" s="51"/>
      <c r="BK121" s="42"/>
      <c r="BL121" s="52"/>
      <c r="BM121" s="53">
        <f t="shared" si="86"/>
        <v>0</v>
      </c>
      <c r="BO121" s="151">
        <v>46115</v>
      </c>
      <c r="BP121" s="152">
        <v>4625.16</v>
      </c>
      <c r="BQ121" s="159">
        <v>595.95000000000005</v>
      </c>
      <c r="BR121" s="162"/>
      <c r="BS121" s="158">
        <v>382.05</v>
      </c>
      <c r="BT121" s="27"/>
      <c r="BU121" s="240"/>
      <c r="BV121" s="42"/>
      <c r="BW121" s="42"/>
      <c r="BX121" s="52"/>
      <c r="BY121" s="53">
        <f t="shared" si="87"/>
        <v>382.05</v>
      </c>
      <c r="CA121" s="151">
        <v>46115</v>
      </c>
      <c r="CB121" s="364">
        <v>8046.32</v>
      </c>
      <c r="CC121" s="385">
        <v>625.4</v>
      </c>
      <c r="CD121" s="331"/>
      <c r="CE121" s="27"/>
      <c r="CF121" s="32">
        <v>50.470779999999934</v>
      </c>
      <c r="CG121" s="42"/>
      <c r="CH121" s="44"/>
      <c r="CI121" s="53">
        <f t="shared" si="88"/>
        <v>50.470779999999934</v>
      </c>
      <c r="CK121" s="151">
        <v>46115</v>
      </c>
      <c r="CL121" s="364">
        <v>15140.75</v>
      </c>
      <c r="CM121" s="385">
        <v>229.11</v>
      </c>
      <c r="CN121" s="158"/>
      <c r="CO121" s="27"/>
      <c r="CP121" s="51"/>
      <c r="CQ121" s="33">
        <v>77.889484992858399</v>
      </c>
      <c r="CR121" s="52"/>
      <c r="CS121" s="53">
        <f t="shared" si="95"/>
        <v>77.889484992858399</v>
      </c>
      <c r="CU121" s="151">
        <v>46115</v>
      </c>
      <c r="CV121" s="364">
        <v>1529.98</v>
      </c>
      <c r="CW121" s="385">
        <v>249.5</v>
      </c>
      <c r="CX121" s="162"/>
      <c r="CY121" s="369"/>
      <c r="CZ121" s="27"/>
      <c r="DA121" s="32"/>
      <c r="DB121" s="33"/>
      <c r="DC121" s="44"/>
      <c r="DD121" s="53">
        <f>SUM(CY121:DC121)</f>
        <v>0</v>
      </c>
      <c r="DF121" s="151">
        <v>46115</v>
      </c>
      <c r="DG121" s="364">
        <v>10101.51</v>
      </c>
      <c r="DH121" s="385">
        <v>391.88</v>
      </c>
      <c r="DI121" s="162"/>
      <c r="DJ121" s="27"/>
      <c r="DK121" s="32">
        <v>42.815070000000048</v>
      </c>
      <c r="DL121" s="42">
        <v>4.2877366231428198</v>
      </c>
      <c r="DM121" s="44"/>
      <c r="DN121" s="53">
        <f t="shared" si="89"/>
        <v>47.102806623142868</v>
      </c>
      <c r="DP121" s="151">
        <v>46115</v>
      </c>
      <c r="DQ121" s="389">
        <v>958.59</v>
      </c>
      <c r="DR121" s="173"/>
      <c r="DS121" s="27"/>
      <c r="DT121" s="51"/>
      <c r="DU121" s="52"/>
      <c r="DV121" s="52"/>
      <c r="DW121" s="53">
        <f t="shared" si="90"/>
        <v>0</v>
      </c>
      <c r="DY121" s="151">
        <v>46115</v>
      </c>
      <c r="DZ121" s="389">
        <v>155</v>
      </c>
      <c r="EA121" s="174"/>
      <c r="EB121" s="27"/>
      <c r="EC121" s="51"/>
      <c r="ED121" s="52"/>
      <c r="EE121" s="52"/>
      <c r="EF121" s="53">
        <f t="shared" si="91"/>
        <v>0</v>
      </c>
      <c r="EH121" s="151">
        <v>46115</v>
      </c>
      <c r="EI121" s="152">
        <v>4094.28</v>
      </c>
      <c r="EJ121" s="162"/>
      <c r="EK121" s="27"/>
      <c r="EL121" s="51"/>
      <c r="EM121" s="52"/>
      <c r="EN121" s="52"/>
      <c r="EO121" s="53">
        <f t="shared" si="92"/>
        <v>0</v>
      </c>
      <c r="EQ121" s="151">
        <v>46115</v>
      </c>
      <c r="ER121" s="159">
        <v>400</v>
      </c>
      <c r="ES121" s="396"/>
      <c r="ET121" s="27"/>
      <c r="EU121" s="32"/>
      <c r="EV121" s="52"/>
      <c r="EW121" s="52"/>
      <c r="EX121" s="53">
        <f t="shared" si="93"/>
        <v>0</v>
      </c>
    </row>
    <row r="122" spans="2:154" ht="15.75" thickBot="1" x14ac:dyDescent="0.3">
      <c r="B122" s="151">
        <v>46116</v>
      </c>
      <c r="C122" s="152">
        <v>6692.2</v>
      </c>
      <c r="D122" s="152">
        <v>2599.04</v>
      </c>
      <c r="E122" s="162"/>
      <c r="F122" s="27"/>
      <c r="G122" s="32">
        <v>88.282739999999933</v>
      </c>
      <c r="H122" s="33">
        <v>173.43467888571445</v>
      </c>
      <c r="I122" s="52"/>
      <c r="J122" s="53">
        <f t="shared" si="94"/>
        <v>261.71741888571438</v>
      </c>
      <c r="L122" s="151">
        <v>46116</v>
      </c>
      <c r="M122" s="364">
        <v>35082.57</v>
      </c>
      <c r="N122" s="365">
        <v>2970.77</v>
      </c>
      <c r="O122" s="372">
        <v>50.36</v>
      </c>
      <c r="P122" s="27"/>
      <c r="Q122" s="32"/>
      <c r="R122" s="53">
        <v>44.801140007142976</v>
      </c>
      <c r="S122" s="53"/>
      <c r="T122" s="52">
        <v>-0.34343100000023696</v>
      </c>
      <c r="U122" s="53">
        <f t="shared" si="82"/>
        <v>94.817709007142739</v>
      </c>
      <c r="W122" s="151">
        <v>46116</v>
      </c>
      <c r="X122" s="376">
        <v>39141.480000000003</v>
      </c>
      <c r="Y122" s="377">
        <v>5739.87</v>
      </c>
      <c r="Z122" s="383">
        <v>1.59</v>
      </c>
      <c r="AA122" s="27"/>
      <c r="AB122" s="51">
        <v>1383.7525799999999</v>
      </c>
      <c r="AC122" s="33">
        <v>3.0027814285714314</v>
      </c>
      <c r="AD122" s="33"/>
      <c r="AE122" s="53"/>
      <c r="AF122" s="53">
        <f t="shared" si="83"/>
        <v>1388.3453614285711</v>
      </c>
      <c r="AH122" s="151">
        <v>46116</v>
      </c>
      <c r="AI122" s="364">
        <v>8528.1299999999992</v>
      </c>
      <c r="AJ122" s="365">
        <v>1303.68</v>
      </c>
      <c r="AK122" s="369"/>
      <c r="AL122" s="27"/>
      <c r="AM122" s="32">
        <v>188.29740999999987</v>
      </c>
      <c r="AN122" s="32">
        <v>134.84800000000001</v>
      </c>
      <c r="AO122" s="42"/>
      <c r="AP122" s="44"/>
      <c r="AQ122" s="53">
        <f t="shared" si="84"/>
        <v>323.14540999999986</v>
      </c>
      <c r="AS122" s="151">
        <v>46116</v>
      </c>
      <c r="AT122" s="364">
        <v>12169.23</v>
      </c>
      <c r="AU122" s="365">
        <v>1702.65</v>
      </c>
      <c r="AV122" s="365">
        <v>3485.56</v>
      </c>
      <c r="AW122" s="171"/>
      <c r="AX122" s="27"/>
      <c r="AY122" s="32">
        <v>4.7045600000000007</v>
      </c>
      <c r="AZ122" s="53">
        <v>26.363111328571478</v>
      </c>
      <c r="BA122" s="53"/>
      <c r="BB122" s="53">
        <f t="shared" si="85"/>
        <v>31.067671328571478</v>
      </c>
      <c r="BD122" s="151">
        <v>46116</v>
      </c>
      <c r="BE122" s="152">
        <v>1218.73</v>
      </c>
      <c r="BF122" s="152">
        <v>1005.9</v>
      </c>
      <c r="BG122" s="158"/>
      <c r="BH122" s="162"/>
      <c r="BI122" s="27"/>
      <c r="BJ122" s="51"/>
      <c r="BK122" s="42"/>
      <c r="BL122" s="52"/>
      <c r="BM122" s="53">
        <f t="shared" si="86"/>
        <v>0</v>
      </c>
      <c r="BO122" s="151">
        <v>46116</v>
      </c>
      <c r="BP122" s="152">
        <v>5855.17</v>
      </c>
      <c r="BQ122" s="159">
        <v>393.52</v>
      </c>
      <c r="BR122" s="162"/>
      <c r="BS122" s="158">
        <v>480.16</v>
      </c>
      <c r="BT122" s="27"/>
      <c r="BU122" s="240"/>
      <c r="BV122" s="42"/>
      <c r="BW122" s="42"/>
      <c r="BX122" s="52"/>
      <c r="BY122" s="53">
        <f t="shared" si="87"/>
        <v>480.16</v>
      </c>
      <c r="CA122" s="151">
        <v>46116</v>
      </c>
      <c r="CB122" s="364">
        <v>10349.049999999999</v>
      </c>
      <c r="CC122" s="385">
        <v>809.61</v>
      </c>
      <c r="CD122" s="163"/>
      <c r="CE122" s="27"/>
      <c r="CF122" s="32">
        <v>31.587279999999907</v>
      </c>
      <c r="CG122" s="42"/>
      <c r="CH122" s="44"/>
      <c r="CI122" s="53">
        <f t="shared" si="88"/>
        <v>31.587279999999907</v>
      </c>
      <c r="CK122" s="151">
        <v>46116</v>
      </c>
      <c r="CL122" s="364">
        <v>9409.44</v>
      </c>
      <c r="CM122" s="385">
        <v>546.96</v>
      </c>
      <c r="CN122" s="158"/>
      <c r="CO122" s="27"/>
      <c r="CP122" s="51"/>
      <c r="CQ122" s="33">
        <v>27.973237132285931</v>
      </c>
      <c r="CR122" s="52"/>
      <c r="CS122" s="53">
        <f t="shared" si="95"/>
        <v>27.973237132285931</v>
      </c>
      <c r="CU122" s="151">
        <v>46116</v>
      </c>
      <c r="CV122" s="364">
        <v>1959.15</v>
      </c>
      <c r="CW122" s="385">
        <v>410</v>
      </c>
      <c r="CX122" s="158"/>
      <c r="CY122" s="369"/>
      <c r="CZ122" s="27"/>
      <c r="DA122" s="32"/>
      <c r="DB122" s="33"/>
      <c r="DC122" s="44"/>
      <c r="DD122" s="53">
        <f>SUM(CY122:DC122)</f>
        <v>0</v>
      </c>
      <c r="DF122" s="151">
        <v>46116</v>
      </c>
      <c r="DG122" s="364">
        <v>2539.1</v>
      </c>
      <c r="DH122" s="385">
        <v>640.51</v>
      </c>
      <c r="DI122" s="158"/>
      <c r="DJ122" s="27"/>
      <c r="DK122" s="32"/>
      <c r="DL122" s="42"/>
      <c r="DM122" s="44"/>
      <c r="DN122" s="53">
        <f t="shared" si="89"/>
        <v>0</v>
      </c>
      <c r="DP122" s="151">
        <v>46116</v>
      </c>
      <c r="DQ122" s="389">
        <v>951.33</v>
      </c>
      <c r="DR122" s="173"/>
      <c r="DS122" s="27"/>
      <c r="DT122" s="51"/>
      <c r="DU122" s="52"/>
      <c r="DV122" s="52"/>
      <c r="DW122" s="53">
        <f t="shared" si="90"/>
        <v>0</v>
      </c>
      <c r="DY122" s="151">
        <v>46116</v>
      </c>
      <c r="DZ122" s="389">
        <v>839.5</v>
      </c>
      <c r="EA122" s="174"/>
      <c r="EB122" s="27"/>
      <c r="EC122" s="51"/>
      <c r="ED122" s="52"/>
      <c r="EE122" s="52"/>
      <c r="EF122" s="53">
        <f t="shared" si="91"/>
        <v>0</v>
      </c>
      <c r="EH122" s="151">
        <v>46116</v>
      </c>
      <c r="EI122" s="152">
        <v>2531.5</v>
      </c>
      <c r="EJ122" s="162"/>
      <c r="EK122" s="27"/>
      <c r="EL122" s="51"/>
      <c r="EM122" s="52"/>
      <c r="EN122" s="52"/>
      <c r="EO122" s="53">
        <f t="shared" si="92"/>
        <v>0</v>
      </c>
      <c r="EQ122" s="151">
        <v>46116</v>
      </c>
      <c r="ER122" s="152">
        <v>1674.63</v>
      </c>
      <c r="ES122" s="396"/>
      <c r="ET122" s="27"/>
      <c r="EU122" s="32">
        <v>181.21223700000013</v>
      </c>
      <c r="EV122" s="52"/>
      <c r="EW122" s="52"/>
      <c r="EX122" s="53">
        <f t="shared" si="93"/>
        <v>181.21223700000013</v>
      </c>
    </row>
    <row r="123" spans="2:154" ht="15.75" thickBot="1" x14ac:dyDescent="0.3">
      <c r="B123" s="151">
        <v>46117</v>
      </c>
      <c r="C123" s="152">
        <v>5749.41</v>
      </c>
      <c r="D123" s="152">
        <v>1856.11</v>
      </c>
      <c r="E123" s="162"/>
      <c r="F123" s="27"/>
      <c r="G123" s="32">
        <v>31.736320000000035</v>
      </c>
      <c r="H123" s="33">
        <v>1458.7950525642868</v>
      </c>
      <c r="I123" s="52"/>
      <c r="J123" s="53">
        <f t="shared" si="94"/>
        <v>1490.5313725642868</v>
      </c>
      <c r="L123" s="151">
        <v>46117</v>
      </c>
      <c r="M123" s="364">
        <v>27022.82</v>
      </c>
      <c r="N123" s="365">
        <v>3616.92</v>
      </c>
      <c r="O123" s="372">
        <v>39.270000000000003</v>
      </c>
      <c r="P123" s="27"/>
      <c r="Q123" s="32">
        <v>1.1199999999999761</v>
      </c>
      <c r="R123" s="53"/>
      <c r="S123" s="53"/>
      <c r="T123" s="52"/>
      <c r="U123" s="53">
        <f t="shared" si="82"/>
        <v>40.389999999999979</v>
      </c>
      <c r="W123" s="151">
        <v>46117</v>
      </c>
      <c r="X123" s="376">
        <v>49432.21</v>
      </c>
      <c r="Y123" s="377">
        <v>8116.31</v>
      </c>
      <c r="Z123" s="383">
        <v>0.88</v>
      </c>
      <c r="AA123" s="27"/>
      <c r="AB123" s="51">
        <v>1095.8901799999999</v>
      </c>
      <c r="AC123" s="33">
        <v>14.734992727428533</v>
      </c>
      <c r="AD123" s="33"/>
      <c r="AE123" s="53"/>
      <c r="AF123" s="53">
        <f t="shared" si="83"/>
        <v>1111.5051727274285</v>
      </c>
      <c r="AH123" s="151">
        <v>46117</v>
      </c>
      <c r="AI123" s="364">
        <v>9252.26</v>
      </c>
      <c r="AJ123" s="385">
        <v>851.52</v>
      </c>
      <c r="AK123" s="369"/>
      <c r="AL123" s="27"/>
      <c r="AM123" s="32">
        <v>74.905379999999965</v>
      </c>
      <c r="AN123" s="32">
        <v>134.84800000000001</v>
      </c>
      <c r="AO123" s="42"/>
      <c r="AP123" s="44"/>
      <c r="AQ123" s="53">
        <f t="shared" si="84"/>
        <v>209.75337999999999</v>
      </c>
      <c r="AS123" s="151">
        <v>46117</v>
      </c>
      <c r="AT123" s="364">
        <v>12539.81</v>
      </c>
      <c r="AU123" s="365">
        <v>1226.94</v>
      </c>
      <c r="AV123" s="365">
        <v>3072</v>
      </c>
      <c r="AW123" s="171"/>
      <c r="AX123" s="27"/>
      <c r="AY123" s="32"/>
      <c r="AZ123" s="53">
        <v>53.094476349428561</v>
      </c>
      <c r="BA123" s="53"/>
      <c r="BB123" s="53">
        <f t="shared" si="85"/>
        <v>53.094476349428561</v>
      </c>
      <c r="BD123" s="151">
        <v>46117</v>
      </c>
      <c r="BE123" s="152">
        <v>1927.1</v>
      </c>
      <c r="BF123" s="152">
        <v>1340.19</v>
      </c>
      <c r="BG123" s="158"/>
      <c r="BH123" s="162"/>
      <c r="BI123" s="27"/>
      <c r="BJ123" s="51"/>
      <c r="BK123" s="42"/>
      <c r="BL123" s="52"/>
      <c r="BM123" s="53">
        <f t="shared" si="86"/>
        <v>0</v>
      </c>
      <c r="BO123" s="151">
        <v>46117</v>
      </c>
      <c r="BP123" s="152">
        <v>7590.93</v>
      </c>
      <c r="BQ123" s="159">
        <v>542.37</v>
      </c>
      <c r="BR123" s="162"/>
      <c r="BS123" s="158">
        <v>617.34</v>
      </c>
      <c r="BT123" s="27"/>
      <c r="BU123" s="240"/>
      <c r="BV123" s="42"/>
      <c r="BW123" s="42"/>
      <c r="BX123" s="52"/>
      <c r="BY123" s="53">
        <f t="shared" si="87"/>
        <v>617.34</v>
      </c>
      <c r="CA123" s="151">
        <v>46117</v>
      </c>
      <c r="CB123" s="364">
        <v>13635.9</v>
      </c>
      <c r="CC123" s="385">
        <v>637.97</v>
      </c>
      <c r="CD123" s="331"/>
      <c r="CE123" s="27"/>
      <c r="CF123" s="32">
        <v>17.711360000000013</v>
      </c>
      <c r="CG123" s="42"/>
      <c r="CH123" s="44"/>
      <c r="CI123" s="53">
        <f t="shared" si="88"/>
        <v>17.711360000000013</v>
      </c>
      <c r="CK123" s="151">
        <v>46117</v>
      </c>
      <c r="CL123" s="364">
        <v>15641.72</v>
      </c>
      <c r="CM123" s="385">
        <v>508.37</v>
      </c>
      <c r="CN123" s="158"/>
      <c r="CO123" s="27"/>
      <c r="CP123" s="51"/>
      <c r="CQ123" s="33">
        <v>31.574215371429091</v>
      </c>
      <c r="CR123" s="52"/>
      <c r="CS123" s="53">
        <f t="shared" si="95"/>
        <v>31.574215371429091</v>
      </c>
      <c r="CU123" s="151">
        <v>46117</v>
      </c>
      <c r="CV123" s="364">
        <v>3888.15</v>
      </c>
      <c r="CW123" s="385">
        <v>130.30000000000001</v>
      </c>
      <c r="CX123" s="162"/>
      <c r="CY123" s="369"/>
      <c r="CZ123" s="27"/>
      <c r="DA123" s="32"/>
      <c r="DB123" s="33"/>
      <c r="DC123" s="44"/>
      <c r="DD123" s="53">
        <f>SUM(CY123:DC123)</f>
        <v>0</v>
      </c>
      <c r="DF123" s="151">
        <v>46117</v>
      </c>
      <c r="DG123" s="364">
        <v>2539.54</v>
      </c>
      <c r="DH123" s="385">
        <v>198.62</v>
      </c>
      <c r="DI123" s="162"/>
      <c r="DJ123" s="27"/>
      <c r="DK123" s="32">
        <v>27.507309999999961</v>
      </c>
      <c r="DL123" s="42"/>
      <c r="DM123" s="44"/>
      <c r="DN123" s="53">
        <f t="shared" si="89"/>
        <v>27.507309999999961</v>
      </c>
      <c r="DP123" s="151">
        <v>46117</v>
      </c>
      <c r="DQ123" s="389">
        <v>981.86</v>
      </c>
      <c r="DR123" s="173"/>
      <c r="DS123" s="27"/>
      <c r="DT123" s="51"/>
      <c r="DU123" s="52"/>
      <c r="DV123" s="52"/>
      <c r="DW123" s="53">
        <f t="shared" si="90"/>
        <v>0</v>
      </c>
      <c r="DY123" s="151">
        <v>46117</v>
      </c>
      <c r="DZ123" s="389">
        <v>771.5</v>
      </c>
      <c r="EA123" s="174"/>
      <c r="EB123" s="27"/>
      <c r="EC123" s="51"/>
      <c r="ED123" s="52"/>
      <c r="EE123" s="52"/>
      <c r="EF123" s="53">
        <f t="shared" si="91"/>
        <v>0</v>
      </c>
      <c r="EH123" s="151">
        <v>46117</v>
      </c>
      <c r="EI123" s="152">
        <v>3391.18</v>
      </c>
      <c r="EJ123" s="162"/>
      <c r="EK123" s="27"/>
      <c r="EL123" s="51"/>
      <c r="EM123" s="52"/>
      <c r="EN123" s="52"/>
      <c r="EO123" s="53">
        <f t="shared" si="92"/>
        <v>0</v>
      </c>
      <c r="EQ123" s="151">
        <v>46117</v>
      </c>
      <c r="ER123" s="152">
        <v>1073.48</v>
      </c>
      <c r="ES123" s="396"/>
      <c r="ET123" s="27"/>
      <c r="EU123" s="32"/>
      <c r="EV123" s="52"/>
      <c r="EW123" s="52"/>
      <c r="EX123" s="53">
        <f t="shared" si="93"/>
        <v>0</v>
      </c>
    </row>
    <row r="124" spans="2:154" ht="15.75" thickBot="1" x14ac:dyDescent="0.3">
      <c r="B124" s="151">
        <v>46118</v>
      </c>
      <c r="C124" s="152">
        <v>5750.06</v>
      </c>
      <c r="D124" s="152">
        <v>2011.39</v>
      </c>
      <c r="E124" s="158">
        <v>30.69</v>
      </c>
      <c r="F124" s="27"/>
      <c r="G124" s="32">
        <v>165.96776000000006</v>
      </c>
      <c r="H124" s="33"/>
      <c r="I124" s="52"/>
      <c r="J124" s="53">
        <f t="shared" si="94"/>
        <v>196.65776000000005</v>
      </c>
      <c r="L124" s="151">
        <v>46118</v>
      </c>
      <c r="M124" s="364">
        <v>55381.57</v>
      </c>
      <c r="N124" s="365">
        <v>1805.79</v>
      </c>
      <c r="O124" s="372">
        <v>503.05</v>
      </c>
      <c r="P124" s="27"/>
      <c r="Q124" s="32">
        <v>2.196459999999945</v>
      </c>
      <c r="R124" s="53">
        <v>80.129534292857898</v>
      </c>
      <c r="S124" s="53"/>
      <c r="T124" s="52">
        <v>11.619839999999954</v>
      </c>
      <c r="U124" s="53">
        <f t="shared" si="82"/>
        <v>596.99583429285781</v>
      </c>
      <c r="W124" s="151">
        <v>46118</v>
      </c>
      <c r="X124" s="376">
        <v>28755.68</v>
      </c>
      <c r="Y124" s="377">
        <v>2095.21</v>
      </c>
      <c r="Z124" s="383">
        <v>3.15</v>
      </c>
      <c r="AA124" s="27"/>
      <c r="AB124" s="51">
        <v>2438.15726</v>
      </c>
      <c r="AC124" s="33"/>
      <c r="AD124" s="33"/>
      <c r="AE124" s="53"/>
      <c r="AF124" s="53">
        <f t="shared" si="83"/>
        <v>2441.30726</v>
      </c>
      <c r="AH124" s="151">
        <v>46118</v>
      </c>
      <c r="AI124" s="364">
        <v>8320.8799999999992</v>
      </c>
      <c r="AJ124" s="385">
        <v>915.61</v>
      </c>
      <c r="AK124" s="370">
        <v>186.81</v>
      </c>
      <c r="AL124" s="27"/>
      <c r="AM124" s="32">
        <v>294.14315999999974</v>
      </c>
      <c r="AN124" s="32">
        <v>134.84800000000001</v>
      </c>
      <c r="AO124" s="42">
        <v>48.597122378571612</v>
      </c>
      <c r="AP124" s="44"/>
      <c r="AQ124" s="53">
        <f t="shared" si="84"/>
        <v>664.39828237857137</v>
      </c>
      <c r="AS124" s="151">
        <v>46118</v>
      </c>
      <c r="AT124" s="364">
        <v>18357.689999999999</v>
      </c>
      <c r="AU124" s="365">
        <v>1894.97</v>
      </c>
      <c r="AV124" s="365">
        <v>3753.73</v>
      </c>
      <c r="AW124" s="171"/>
      <c r="AX124" s="27"/>
      <c r="AY124" s="32">
        <v>35.990519999999975</v>
      </c>
      <c r="AZ124" s="53">
        <v>70.292748556285673</v>
      </c>
      <c r="BA124" s="53">
        <v>12.740867999999978</v>
      </c>
      <c r="BB124" s="53">
        <f t="shared" si="85"/>
        <v>119.02413655628563</v>
      </c>
      <c r="BD124" s="151">
        <v>46118</v>
      </c>
      <c r="BE124" s="152">
        <v>1666.65</v>
      </c>
      <c r="BF124" s="152">
        <v>1115.8599999999999</v>
      </c>
      <c r="BG124" s="158"/>
      <c r="BH124" s="162"/>
      <c r="BI124" s="27"/>
      <c r="BJ124" s="51"/>
      <c r="BK124" s="42"/>
      <c r="BL124" s="52"/>
      <c r="BM124" s="53">
        <f t="shared" si="86"/>
        <v>0</v>
      </c>
      <c r="BO124" s="151">
        <v>46118</v>
      </c>
      <c r="BP124" s="152">
        <v>5075.07</v>
      </c>
      <c r="BQ124" s="159">
        <v>359.36</v>
      </c>
      <c r="BR124" s="162"/>
      <c r="BS124" s="158">
        <v>474.97</v>
      </c>
      <c r="BT124" s="27"/>
      <c r="BU124" s="240"/>
      <c r="BV124" s="42"/>
      <c r="BW124" s="42"/>
      <c r="BX124" s="52"/>
      <c r="BY124" s="53">
        <f t="shared" si="87"/>
        <v>474.97</v>
      </c>
      <c r="CA124" s="151">
        <v>46118</v>
      </c>
      <c r="CB124" s="364">
        <v>11820.46</v>
      </c>
      <c r="CC124" s="385">
        <v>909.89</v>
      </c>
      <c r="CD124" s="331"/>
      <c r="CE124" s="27"/>
      <c r="CF124" s="32">
        <v>112.46080000000006</v>
      </c>
      <c r="CG124" s="42"/>
      <c r="CH124" s="44">
        <v>11.883728699999992</v>
      </c>
      <c r="CI124" s="53">
        <f t="shared" si="88"/>
        <v>124.34452870000005</v>
      </c>
      <c r="CK124" s="151">
        <v>46118</v>
      </c>
      <c r="CL124" s="364">
        <v>23179.26</v>
      </c>
      <c r="CM124" s="385">
        <v>438.09</v>
      </c>
      <c r="CN124" s="158"/>
      <c r="CO124" s="27"/>
      <c r="CP124" s="51"/>
      <c r="CQ124" s="33">
        <v>71.88577559057245</v>
      </c>
      <c r="CR124" s="52"/>
      <c r="CS124" s="53">
        <f t="shared" si="95"/>
        <v>71.88577559057245</v>
      </c>
      <c r="CU124" s="151">
        <v>46118</v>
      </c>
      <c r="CV124" s="364">
        <v>1598.92</v>
      </c>
      <c r="CW124" s="385">
        <v>219.2</v>
      </c>
      <c r="CX124" s="162"/>
      <c r="CY124" s="370">
        <v>183.47</v>
      </c>
      <c r="CZ124" s="27"/>
      <c r="DA124" s="32">
        <v>27.886150000000043</v>
      </c>
      <c r="DB124" s="33"/>
      <c r="DC124" s="44">
        <v>1.0573009999999954</v>
      </c>
      <c r="DD124" s="53">
        <f t="shared" ref="DD124:DD132" si="97">SUM(CY124:DC124)</f>
        <v>212.41345100000004</v>
      </c>
      <c r="DF124" s="151">
        <v>46118</v>
      </c>
      <c r="DG124" s="364">
        <v>1783.91</v>
      </c>
      <c r="DH124" s="385">
        <v>252.13</v>
      </c>
      <c r="DI124" s="162"/>
      <c r="DJ124" s="27"/>
      <c r="DK124" s="32">
        <v>39.143520000000024</v>
      </c>
      <c r="DL124" s="42">
        <v>62.521961461142837</v>
      </c>
      <c r="DM124" s="44"/>
      <c r="DN124" s="53">
        <f t="shared" si="89"/>
        <v>101.66548146114286</v>
      </c>
      <c r="DP124" s="151">
        <v>46118</v>
      </c>
      <c r="DQ124" s="364">
        <v>1545.72</v>
      </c>
      <c r="DR124" s="173"/>
      <c r="DS124" s="27"/>
      <c r="DT124" s="51"/>
      <c r="DU124" s="52"/>
      <c r="DV124" s="52"/>
      <c r="DW124" s="53">
        <f t="shared" si="90"/>
        <v>0</v>
      </c>
      <c r="DY124" s="151">
        <v>46118</v>
      </c>
      <c r="DZ124" s="364">
        <v>1624.5</v>
      </c>
      <c r="EA124" s="174"/>
      <c r="EB124" s="27"/>
      <c r="EC124" s="51"/>
      <c r="ED124" s="52"/>
      <c r="EE124" s="52"/>
      <c r="EF124" s="53">
        <f t="shared" si="91"/>
        <v>0</v>
      </c>
      <c r="EH124" s="151">
        <v>46118</v>
      </c>
      <c r="EI124" s="152">
        <v>2471.04</v>
      </c>
      <c r="EJ124" s="158">
        <v>42</v>
      </c>
      <c r="EK124" s="27"/>
      <c r="EL124" s="51"/>
      <c r="EM124" s="52"/>
      <c r="EN124" s="52"/>
      <c r="EO124" s="53">
        <f t="shared" si="92"/>
        <v>42</v>
      </c>
      <c r="EQ124" s="151">
        <v>46118</v>
      </c>
      <c r="ER124" s="152">
        <v>4357.9799999999996</v>
      </c>
      <c r="ES124" s="396"/>
      <c r="ET124" s="27"/>
      <c r="EU124" s="32">
        <v>83.968918000000087</v>
      </c>
      <c r="EV124" s="52"/>
      <c r="EW124" s="52"/>
      <c r="EX124" s="53">
        <f t="shared" si="93"/>
        <v>83.968918000000087</v>
      </c>
    </row>
    <row r="125" spans="2:154" ht="15.75" thickBot="1" x14ac:dyDescent="0.3">
      <c r="B125" s="151">
        <v>46119</v>
      </c>
      <c r="C125" s="152">
        <v>7080.58</v>
      </c>
      <c r="D125" s="152">
        <v>1754.48</v>
      </c>
      <c r="E125" s="158">
        <v>74.73</v>
      </c>
      <c r="F125" s="27"/>
      <c r="G125" s="32">
        <v>358.44923999999975</v>
      </c>
      <c r="H125" s="33">
        <v>1517.1997445890452</v>
      </c>
      <c r="I125" s="52"/>
      <c r="J125" s="53">
        <f t="shared" si="94"/>
        <v>1950.3789845890449</v>
      </c>
      <c r="L125" s="151">
        <v>46119</v>
      </c>
      <c r="M125" s="364">
        <v>58252.57</v>
      </c>
      <c r="N125" s="365">
        <v>2170.39</v>
      </c>
      <c r="O125" s="372">
        <v>176.87</v>
      </c>
      <c r="P125" s="27"/>
      <c r="Q125" s="32">
        <v>1.1715199999999584</v>
      </c>
      <c r="R125" s="53">
        <v>21.486193279047626</v>
      </c>
      <c r="S125" s="53"/>
      <c r="T125" s="52"/>
      <c r="U125" s="53">
        <f t="shared" si="82"/>
        <v>199.52771327904759</v>
      </c>
      <c r="W125" s="151">
        <v>46119</v>
      </c>
      <c r="X125" s="376">
        <v>21917.67</v>
      </c>
      <c r="Y125" s="377">
        <v>1360.38</v>
      </c>
      <c r="Z125" s="382"/>
      <c r="AA125" s="27"/>
      <c r="AB125" s="51">
        <v>2340.5999399999992</v>
      </c>
      <c r="AC125" s="33">
        <v>-127.36454702904621</v>
      </c>
      <c r="AD125" s="33"/>
      <c r="AE125" s="53"/>
      <c r="AF125" s="53">
        <f t="shared" si="83"/>
        <v>2213.2353929709529</v>
      </c>
      <c r="AH125" s="151">
        <v>46119</v>
      </c>
      <c r="AI125" s="364">
        <v>6858.3</v>
      </c>
      <c r="AJ125" s="385">
        <v>802.22</v>
      </c>
      <c r="AK125" s="370">
        <v>47.71</v>
      </c>
      <c r="AL125" s="27"/>
      <c r="AM125" s="32">
        <v>284.01389999999981</v>
      </c>
      <c r="AN125" s="32">
        <v>134.84800000000001</v>
      </c>
      <c r="AO125" s="42">
        <v>54.738455125714438</v>
      </c>
      <c r="AP125" s="44"/>
      <c r="AQ125" s="53">
        <f t="shared" si="84"/>
        <v>521.3103551257143</v>
      </c>
      <c r="AS125" s="151">
        <v>46119</v>
      </c>
      <c r="AT125" s="364">
        <v>14909.7</v>
      </c>
      <c r="AU125" s="365">
        <v>1202.44</v>
      </c>
      <c r="AV125" s="365">
        <v>4255.95</v>
      </c>
      <c r="AW125" s="171"/>
      <c r="AX125" s="27"/>
      <c r="AY125" s="32">
        <v>5.8965200000000024</v>
      </c>
      <c r="AZ125" s="53">
        <v>17.725245615714243</v>
      </c>
      <c r="BA125" s="53"/>
      <c r="BB125" s="53">
        <f t="shared" si="85"/>
        <v>23.621765615714246</v>
      </c>
      <c r="BD125" s="151">
        <v>46119</v>
      </c>
      <c r="BE125" s="152">
        <v>1834.28</v>
      </c>
      <c r="BF125" s="152">
        <v>1231.71</v>
      </c>
      <c r="BG125" s="158"/>
      <c r="BH125" s="162"/>
      <c r="BI125" s="27"/>
      <c r="BJ125" s="51"/>
      <c r="BK125" s="42"/>
      <c r="BL125" s="52"/>
      <c r="BM125" s="53">
        <f t="shared" si="86"/>
        <v>0</v>
      </c>
      <c r="BO125" s="151">
        <v>46119</v>
      </c>
      <c r="BP125" s="152">
        <v>3388.79</v>
      </c>
      <c r="BQ125" s="159">
        <v>395.29</v>
      </c>
      <c r="BR125" s="162"/>
      <c r="BS125" s="158">
        <v>263.48</v>
      </c>
      <c r="BT125" s="27"/>
      <c r="BU125" s="240"/>
      <c r="BV125" s="42"/>
      <c r="BW125" s="42"/>
      <c r="BX125" s="52"/>
      <c r="BY125" s="53">
        <f t="shared" si="87"/>
        <v>263.48</v>
      </c>
      <c r="CA125" s="151">
        <v>46119</v>
      </c>
      <c r="CB125" s="364">
        <v>10950.38</v>
      </c>
      <c r="CC125" s="385">
        <v>845.12</v>
      </c>
      <c r="CD125" s="331"/>
      <c r="CE125" s="27"/>
      <c r="CF125" s="32">
        <v>83.7134199999999</v>
      </c>
      <c r="CG125" s="42"/>
      <c r="CH125" s="44"/>
      <c r="CI125" s="53">
        <f t="shared" si="88"/>
        <v>83.7134199999999</v>
      </c>
      <c r="CK125" s="151">
        <v>46119</v>
      </c>
      <c r="CL125" s="364">
        <v>25169.48</v>
      </c>
      <c r="CM125" s="385">
        <v>594.26</v>
      </c>
      <c r="CN125" s="158"/>
      <c r="CO125" s="27"/>
      <c r="CP125" s="51"/>
      <c r="CQ125" s="33">
        <v>28.908615376190781</v>
      </c>
      <c r="CR125" s="52"/>
      <c r="CS125" s="53">
        <f t="shared" si="95"/>
        <v>28.908615376190781</v>
      </c>
      <c r="CU125" s="151">
        <v>46119</v>
      </c>
      <c r="CV125" s="364">
        <v>1670.1</v>
      </c>
      <c r="CW125" s="385">
        <v>20</v>
      </c>
      <c r="CX125" s="162"/>
      <c r="CY125" s="370">
        <v>180.6</v>
      </c>
      <c r="CZ125" s="27"/>
      <c r="DA125" s="32">
        <v>3.9210800000000177</v>
      </c>
      <c r="DB125" s="33">
        <v>15.617954209047582</v>
      </c>
      <c r="DC125" s="44"/>
      <c r="DD125" s="53">
        <f t="shared" si="97"/>
        <v>200.13903420904759</v>
      </c>
      <c r="DE125" s="211"/>
      <c r="DF125" s="151">
        <v>46119</v>
      </c>
      <c r="DG125" s="364">
        <v>4287.67</v>
      </c>
      <c r="DH125" s="385">
        <v>292.52999999999997</v>
      </c>
      <c r="DI125" s="162"/>
      <c r="DJ125" s="27"/>
      <c r="DK125" s="32">
        <v>29.772150000000011</v>
      </c>
      <c r="DL125" s="42"/>
      <c r="DM125" s="44"/>
      <c r="DN125" s="53">
        <f t="shared" si="89"/>
        <v>29.772150000000011</v>
      </c>
      <c r="DP125" s="151">
        <v>46119</v>
      </c>
      <c r="DQ125" s="389">
        <v>868.23</v>
      </c>
      <c r="DR125" s="173"/>
      <c r="DS125" s="27"/>
      <c r="DT125" s="51"/>
      <c r="DU125" s="52"/>
      <c r="DV125" s="52"/>
      <c r="DW125" s="53">
        <f t="shared" si="90"/>
        <v>0</v>
      </c>
      <c r="DY125" s="151">
        <v>46119</v>
      </c>
      <c r="DZ125" s="364">
        <v>1068.5</v>
      </c>
      <c r="EA125" s="174"/>
      <c r="EB125" s="27"/>
      <c r="EC125" s="51"/>
      <c r="ED125" s="52"/>
      <c r="EE125" s="52"/>
      <c r="EF125" s="53">
        <f t="shared" si="91"/>
        <v>0</v>
      </c>
      <c r="EH125" s="151">
        <v>46119</v>
      </c>
      <c r="EI125" s="152">
        <v>2924.51</v>
      </c>
      <c r="EJ125" s="158">
        <v>500</v>
      </c>
      <c r="EK125" s="27"/>
      <c r="EL125" s="51"/>
      <c r="EM125" s="52"/>
      <c r="EN125" s="52"/>
      <c r="EO125" s="53">
        <f t="shared" si="92"/>
        <v>500</v>
      </c>
      <c r="EQ125" s="151">
        <v>46119</v>
      </c>
      <c r="ER125" s="152">
        <v>2767.46</v>
      </c>
      <c r="ES125" s="396"/>
      <c r="ET125" s="27"/>
      <c r="EU125" s="32">
        <v>57.254321000000033</v>
      </c>
      <c r="EV125" s="52"/>
      <c r="EW125" s="52"/>
      <c r="EX125" s="53">
        <f t="shared" si="93"/>
        <v>57.254321000000033</v>
      </c>
    </row>
    <row r="126" spans="2:154" ht="15.75" thickBot="1" x14ac:dyDescent="0.3">
      <c r="B126" s="151">
        <v>46120</v>
      </c>
      <c r="C126" s="152">
        <v>7677.25</v>
      </c>
      <c r="D126" s="152">
        <v>1951.6</v>
      </c>
      <c r="E126" s="158">
        <v>21.8</v>
      </c>
      <c r="F126" s="27"/>
      <c r="G126" s="32">
        <v>261.70530000000002</v>
      </c>
      <c r="H126" s="33"/>
      <c r="I126" s="52"/>
      <c r="J126" s="53">
        <f t="shared" si="94"/>
        <v>283.50530000000003</v>
      </c>
      <c r="L126" s="151">
        <v>46120</v>
      </c>
      <c r="M126" s="364">
        <v>45483.85</v>
      </c>
      <c r="N126" s="365">
        <v>2462.83</v>
      </c>
      <c r="O126" s="372">
        <v>123.42</v>
      </c>
      <c r="P126" s="27"/>
      <c r="Q126" s="32">
        <v>9.6451199999999915</v>
      </c>
      <c r="R126" s="53">
        <v>8.086594743333535</v>
      </c>
      <c r="S126" s="53"/>
      <c r="T126" s="52"/>
      <c r="U126" s="53">
        <f t="shared" si="82"/>
        <v>141.15171474333351</v>
      </c>
      <c r="W126" s="151">
        <v>46120</v>
      </c>
      <c r="X126" s="376">
        <v>23253.13</v>
      </c>
      <c r="Y126" s="377">
        <v>1217.74</v>
      </c>
      <c r="Z126" s="383">
        <v>4.37</v>
      </c>
      <c r="AA126" s="27"/>
      <c r="AB126" s="51">
        <v>1564.1962899999985</v>
      </c>
      <c r="AC126" s="33">
        <v>17.267558613809541</v>
      </c>
      <c r="AD126" s="33"/>
      <c r="AE126" s="53"/>
      <c r="AF126" s="53">
        <f t="shared" si="83"/>
        <v>1585.833848613808</v>
      </c>
      <c r="AH126" s="151">
        <v>46120</v>
      </c>
      <c r="AI126" s="364">
        <v>10356.879999999999</v>
      </c>
      <c r="AJ126" s="385">
        <v>854.89</v>
      </c>
      <c r="AK126" s="370">
        <v>84.11</v>
      </c>
      <c r="AL126" s="27"/>
      <c r="AM126" s="32">
        <v>155.1309899999998</v>
      </c>
      <c r="AN126" s="32">
        <v>134.84800000000001</v>
      </c>
      <c r="AO126" s="42">
        <v>53.894702785238223</v>
      </c>
      <c r="AP126" s="44"/>
      <c r="AQ126" s="53">
        <f t="shared" si="84"/>
        <v>427.98369278523802</v>
      </c>
      <c r="AS126" s="151">
        <v>46120</v>
      </c>
      <c r="AT126" s="364">
        <v>18916.310000000001</v>
      </c>
      <c r="AU126" s="365">
        <v>1366.73</v>
      </c>
      <c r="AV126" s="365">
        <v>3782.02</v>
      </c>
      <c r="AW126" s="171"/>
      <c r="AX126" s="27"/>
      <c r="AY126" s="32"/>
      <c r="AZ126" s="53">
        <v>46.932993031904743</v>
      </c>
      <c r="BA126" s="53">
        <v>2.1617999999999995</v>
      </c>
      <c r="BB126" s="53">
        <f t="shared" si="85"/>
        <v>49.094793031904743</v>
      </c>
      <c r="BD126" s="151">
        <v>46120</v>
      </c>
      <c r="BE126" s="152">
        <v>3773.03</v>
      </c>
      <c r="BF126" s="152">
        <v>1290.2</v>
      </c>
      <c r="BG126" s="158"/>
      <c r="BH126" s="158">
        <v>64.83</v>
      </c>
      <c r="BI126" s="27"/>
      <c r="BJ126" s="51"/>
      <c r="BK126" s="42"/>
      <c r="BL126" s="52"/>
      <c r="BM126" s="53">
        <f t="shared" si="86"/>
        <v>64.83</v>
      </c>
      <c r="BO126" s="151">
        <v>46120</v>
      </c>
      <c r="BP126" s="152">
        <v>5680.84</v>
      </c>
      <c r="BQ126" s="159">
        <v>387.41</v>
      </c>
      <c r="BR126" s="162"/>
      <c r="BS126" s="158">
        <v>456.95</v>
      </c>
      <c r="BT126" s="27"/>
      <c r="BU126" s="240">
        <v>7.9857359999999886</v>
      </c>
      <c r="BV126" s="42"/>
      <c r="BW126" s="42"/>
      <c r="BX126" s="52"/>
      <c r="BY126" s="53">
        <f t="shared" si="87"/>
        <v>464.93573599999996</v>
      </c>
      <c r="CA126" s="151">
        <v>46120</v>
      </c>
      <c r="CB126" s="364">
        <v>9334.26</v>
      </c>
      <c r="CC126" s="385">
        <v>535.49</v>
      </c>
      <c r="CD126" s="331"/>
      <c r="CE126" s="27"/>
      <c r="CF126" s="32">
        <v>82.713959999999986</v>
      </c>
      <c r="CG126" s="42"/>
      <c r="CH126" s="44"/>
      <c r="CI126" s="53">
        <f t="shared" si="88"/>
        <v>82.713959999999986</v>
      </c>
      <c r="CK126" s="151">
        <v>46120</v>
      </c>
      <c r="CL126" s="364">
        <v>7563.9</v>
      </c>
      <c r="CM126" s="385">
        <v>467.43</v>
      </c>
      <c r="CN126" s="158"/>
      <c r="CO126" s="27"/>
      <c r="CP126" s="51"/>
      <c r="CQ126" s="33">
        <v>27.839338333714494</v>
      </c>
      <c r="CR126" s="52"/>
      <c r="CS126" s="53">
        <f t="shared" si="95"/>
        <v>27.839338333714494</v>
      </c>
      <c r="CU126" s="151">
        <v>46120</v>
      </c>
      <c r="CV126" s="364">
        <v>1251.98</v>
      </c>
      <c r="CW126" s="385">
        <v>258.7</v>
      </c>
      <c r="CX126" s="162"/>
      <c r="CY126" s="370">
        <v>84</v>
      </c>
      <c r="CZ126" s="27"/>
      <c r="DA126" s="32">
        <v>35.13767</v>
      </c>
      <c r="DB126" s="33"/>
      <c r="DC126" s="44"/>
      <c r="DD126" s="53">
        <f t="shared" si="97"/>
        <v>119.13767</v>
      </c>
      <c r="DE126" s="211"/>
      <c r="DF126" s="151">
        <v>46120</v>
      </c>
      <c r="DG126" s="364">
        <v>4419.03</v>
      </c>
      <c r="DH126" s="385">
        <v>428.89</v>
      </c>
      <c r="DI126" s="162"/>
      <c r="DJ126" s="27"/>
      <c r="DK126" s="32">
        <v>-5.0352500000000191</v>
      </c>
      <c r="DL126" s="42"/>
      <c r="DM126" s="44"/>
      <c r="DN126" s="53">
        <f t="shared" si="89"/>
        <v>-5.0352500000000191</v>
      </c>
      <c r="DP126" s="151">
        <v>46120</v>
      </c>
      <c r="DQ126" s="389">
        <v>903.58</v>
      </c>
      <c r="DR126" s="173"/>
      <c r="DS126" s="27"/>
      <c r="DT126" s="51"/>
      <c r="DU126" s="52"/>
      <c r="DV126" s="52"/>
      <c r="DW126" s="53">
        <f t="shared" si="90"/>
        <v>0</v>
      </c>
      <c r="DY126" s="151">
        <v>46120</v>
      </c>
      <c r="DZ126" s="389">
        <v>510</v>
      </c>
      <c r="EA126" s="174"/>
      <c r="EB126" s="27"/>
      <c r="EC126" s="51"/>
      <c r="ED126" s="52"/>
      <c r="EE126" s="52"/>
      <c r="EF126" s="53">
        <f t="shared" si="91"/>
        <v>0</v>
      </c>
      <c r="EH126" s="151">
        <v>46120</v>
      </c>
      <c r="EI126" s="152">
        <v>3349.99</v>
      </c>
      <c r="EJ126" s="162"/>
      <c r="EK126" s="27"/>
      <c r="EL126" s="51"/>
      <c r="EM126" s="52"/>
      <c r="EN126" s="52"/>
      <c r="EO126" s="53">
        <f t="shared" si="92"/>
        <v>0</v>
      </c>
      <c r="EQ126" s="151">
        <v>46120</v>
      </c>
      <c r="ER126" s="152">
        <v>2787.61</v>
      </c>
      <c r="ES126" s="396"/>
      <c r="ET126" s="27"/>
      <c r="EU126" s="32">
        <v>51.30159340000003</v>
      </c>
      <c r="EV126" s="52"/>
      <c r="EW126" s="52"/>
      <c r="EX126" s="53">
        <f t="shared" si="93"/>
        <v>51.30159340000003</v>
      </c>
    </row>
    <row r="127" spans="2:154" ht="15.75" thickBot="1" x14ac:dyDescent="0.3">
      <c r="B127" s="151">
        <v>46121</v>
      </c>
      <c r="C127" s="152">
        <v>6617.81</v>
      </c>
      <c r="D127" s="152">
        <v>1975.76</v>
      </c>
      <c r="E127" s="158">
        <v>9.2200000000000006</v>
      </c>
      <c r="F127" s="27"/>
      <c r="G127" s="32">
        <v>353.50639999999987</v>
      </c>
      <c r="H127" s="33">
        <v>46.356162621333283</v>
      </c>
      <c r="I127" s="52"/>
      <c r="J127" s="53">
        <f t="shared" si="94"/>
        <v>409.08256262133318</v>
      </c>
      <c r="L127" s="151">
        <v>46121</v>
      </c>
      <c r="M127" s="364">
        <v>53732.99</v>
      </c>
      <c r="N127" s="365">
        <v>2399.0100000000002</v>
      </c>
      <c r="O127" s="372">
        <v>117.55</v>
      </c>
      <c r="P127" s="27"/>
      <c r="Q127" s="32">
        <v>-7.8343500000000859</v>
      </c>
      <c r="R127" s="53">
        <v>2.31071033952378</v>
      </c>
      <c r="S127" s="53"/>
      <c r="T127" s="52"/>
      <c r="U127" s="53">
        <f t="shared" si="82"/>
        <v>112.02636033952369</v>
      </c>
      <c r="W127" s="151">
        <v>46121</v>
      </c>
      <c r="X127" s="376">
        <v>36093.68</v>
      </c>
      <c r="Y127" s="377">
        <v>1465.27</v>
      </c>
      <c r="Z127" s="383">
        <v>4.37</v>
      </c>
      <c r="AA127" s="27"/>
      <c r="AB127" s="51">
        <v>1426.7147999999984</v>
      </c>
      <c r="AC127" s="33">
        <v>62.874223826666878</v>
      </c>
      <c r="AD127" s="33"/>
      <c r="AE127" s="53"/>
      <c r="AF127" s="53">
        <f t="shared" si="83"/>
        <v>1493.9590238266651</v>
      </c>
      <c r="AH127" s="151">
        <v>46121</v>
      </c>
      <c r="AI127" s="364">
        <v>7664.88</v>
      </c>
      <c r="AJ127" s="385">
        <v>765.95</v>
      </c>
      <c r="AK127" s="370">
        <v>41.7</v>
      </c>
      <c r="AL127" s="27"/>
      <c r="AM127" s="32">
        <v>311.5395199999997</v>
      </c>
      <c r="AN127" s="32">
        <v>134.84800000000001</v>
      </c>
      <c r="AO127" s="42"/>
      <c r="AP127" s="44"/>
      <c r="AQ127" s="53">
        <f t="shared" si="84"/>
        <v>488.0875199999997</v>
      </c>
      <c r="AS127" s="151">
        <v>46121</v>
      </c>
      <c r="AT127" s="364">
        <v>17184.21</v>
      </c>
      <c r="AU127" s="365">
        <v>1201.24</v>
      </c>
      <c r="AV127" s="365">
        <v>4177.62</v>
      </c>
      <c r="AW127" s="178"/>
      <c r="AX127" s="27"/>
      <c r="AY127" s="32">
        <v>0.37158000000000158</v>
      </c>
      <c r="AZ127" s="53">
        <v>97.231266912857208</v>
      </c>
      <c r="BA127" s="53"/>
      <c r="BB127" s="53">
        <f t="shared" si="85"/>
        <v>97.602846912857217</v>
      </c>
      <c r="BD127" s="151">
        <v>46121</v>
      </c>
      <c r="BE127" s="152">
        <v>1920.61</v>
      </c>
      <c r="BF127" s="159">
        <v>630.67999999999995</v>
      </c>
      <c r="BG127" s="158"/>
      <c r="BH127" s="162"/>
      <c r="BI127" s="27"/>
      <c r="BJ127" s="51"/>
      <c r="BK127" s="42"/>
      <c r="BL127" s="52"/>
      <c r="BM127" s="53">
        <f t="shared" si="86"/>
        <v>0</v>
      </c>
      <c r="BO127" s="151">
        <v>46121</v>
      </c>
      <c r="BP127" s="152">
        <v>5090.2</v>
      </c>
      <c r="BQ127" s="159">
        <v>383.99</v>
      </c>
      <c r="BR127" s="162"/>
      <c r="BS127" s="158">
        <v>643.84</v>
      </c>
      <c r="BT127" s="27"/>
      <c r="BU127" s="240"/>
      <c r="BV127" s="42"/>
      <c r="BW127" s="42"/>
      <c r="BX127" s="52"/>
      <c r="BY127" s="53">
        <f t="shared" si="87"/>
        <v>643.84</v>
      </c>
      <c r="CA127" s="151">
        <v>46121</v>
      </c>
      <c r="CB127" s="364">
        <v>9486.92</v>
      </c>
      <c r="CC127" s="385">
        <v>933.35</v>
      </c>
      <c r="CD127" s="331"/>
      <c r="CE127" s="27"/>
      <c r="CF127" s="32">
        <v>178.24277999999958</v>
      </c>
      <c r="CG127" s="42"/>
      <c r="CH127" s="44"/>
      <c r="CI127" s="53">
        <f t="shared" si="88"/>
        <v>178.24277999999958</v>
      </c>
      <c r="CK127" s="151">
        <v>46121</v>
      </c>
      <c r="CL127" s="364">
        <v>15675.76</v>
      </c>
      <c r="CM127" s="385">
        <v>225.49</v>
      </c>
      <c r="CN127" s="158"/>
      <c r="CO127" s="27"/>
      <c r="CP127" s="51"/>
      <c r="CQ127" s="33">
        <v>65.176921489429205</v>
      </c>
      <c r="CR127" s="52"/>
      <c r="CS127" s="53">
        <f t="shared" si="95"/>
        <v>65.176921489429205</v>
      </c>
      <c r="CU127" s="151">
        <v>46121</v>
      </c>
      <c r="CV127" s="389">
        <v>415.03</v>
      </c>
      <c r="CW127" s="385">
        <v>198.5</v>
      </c>
      <c r="CX127" s="162"/>
      <c r="CY127" s="370">
        <v>58</v>
      </c>
      <c r="CZ127" s="27"/>
      <c r="DA127" s="32">
        <v>21.731999999999971</v>
      </c>
      <c r="DB127" s="33"/>
      <c r="DC127" s="44"/>
      <c r="DD127" s="53">
        <f t="shared" si="97"/>
        <v>79.731999999999971</v>
      </c>
      <c r="DE127" s="211"/>
      <c r="DF127" s="151">
        <v>46121</v>
      </c>
      <c r="DG127" s="364">
        <v>3725.21</v>
      </c>
      <c r="DH127" s="385">
        <v>314.14999999999998</v>
      </c>
      <c r="DI127" s="162"/>
      <c r="DJ127" s="27"/>
      <c r="DK127" s="32">
        <v>72.522750000000087</v>
      </c>
      <c r="DL127" s="42">
        <v>28.697464216666617</v>
      </c>
      <c r="DM127" s="44"/>
      <c r="DN127" s="53">
        <f t="shared" si="89"/>
        <v>101.2202142166667</v>
      </c>
      <c r="DP127" s="151">
        <v>46121</v>
      </c>
      <c r="DQ127" s="364">
        <v>1121.19</v>
      </c>
      <c r="DR127" s="173"/>
      <c r="DS127" s="27"/>
      <c r="DT127" s="51"/>
      <c r="DU127" s="52"/>
      <c r="DV127" s="52"/>
      <c r="DW127" s="53">
        <f t="shared" si="90"/>
        <v>0</v>
      </c>
      <c r="DY127" s="151">
        <v>46121</v>
      </c>
      <c r="DZ127" s="389">
        <v>507</v>
      </c>
      <c r="EA127" s="174"/>
      <c r="EB127" s="27"/>
      <c r="EC127" s="51"/>
      <c r="ED127" s="52"/>
      <c r="EE127" s="52"/>
      <c r="EF127" s="53">
        <f t="shared" si="91"/>
        <v>0</v>
      </c>
      <c r="EH127" s="151">
        <v>46121</v>
      </c>
      <c r="EI127" s="152">
        <v>2991.24</v>
      </c>
      <c r="EJ127" s="162"/>
      <c r="EK127" s="27"/>
      <c r="EL127" s="51"/>
      <c r="EM127" s="52"/>
      <c r="EN127" s="52"/>
      <c r="EO127" s="53">
        <f t="shared" si="92"/>
        <v>0</v>
      </c>
      <c r="EQ127" s="151">
        <v>46121</v>
      </c>
      <c r="ER127" s="152">
        <v>3079.31</v>
      </c>
      <c r="ES127" s="396"/>
      <c r="ET127" s="27"/>
      <c r="EU127" s="32">
        <v>222.26104940000005</v>
      </c>
      <c r="EV127" s="52"/>
      <c r="EW127" s="52"/>
      <c r="EX127" s="53">
        <f t="shared" si="93"/>
        <v>222.26104940000005</v>
      </c>
    </row>
    <row r="128" spans="2:154" ht="15.75" thickBot="1" x14ac:dyDescent="0.3">
      <c r="B128" s="151">
        <v>46122</v>
      </c>
      <c r="C128" s="152">
        <v>8031.54</v>
      </c>
      <c r="D128" s="152">
        <v>1928.26</v>
      </c>
      <c r="E128" s="158">
        <v>19.13</v>
      </c>
      <c r="F128" s="27"/>
      <c r="G128" s="32">
        <v>387.30435999999975</v>
      </c>
      <c r="H128" s="33">
        <v>22.551169850000008</v>
      </c>
      <c r="I128" s="52"/>
      <c r="J128" s="53">
        <f t="shared" si="94"/>
        <v>428.98552984999975</v>
      </c>
      <c r="L128" s="151">
        <v>46122</v>
      </c>
      <c r="M128" s="364">
        <v>50901.82</v>
      </c>
      <c r="N128" s="365">
        <v>1188.0999999999999</v>
      </c>
      <c r="O128" s="372">
        <v>178.55</v>
      </c>
      <c r="P128" s="27"/>
      <c r="Q128" s="32"/>
      <c r="R128" s="53">
        <v>165.0665505757147</v>
      </c>
      <c r="S128" s="53"/>
      <c r="T128" s="52">
        <v>24.508785600000067</v>
      </c>
      <c r="U128" s="53">
        <f t="shared" si="82"/>
        <v>368.12533617571478</v>
      </c>
      <c r="W128" s="151">
        <v>46122</v>
      </c>
      <c r="X128" s="376">
        <v>22558.89</v>
      </c>
      <c r="Y128" s="377">
        <v>2254.1799999999998</v>
      </c>
      <c r="Z128" s="382"/>
      <c r="AA128" s="27"/>
      <c r="AB128" s="51">
        <v>2349.1731199999967</v>
      </c>
      <c r="AC128" s="33">
        <v>13.602487142857129</v>
      </c>
      <c r="AD128" s="33"/>
      <c r="AE128" s="53"/>
      <c r="AF128" s="53">
        <f t="shared" si="83"/>
        <v>2362.7756071428539</v>
      </c>
      <c r="AH128" s="151">
        <v>46122</v>
      </c>
      <c r="AI128" s="364">
        <v>10548.99</v>
      </c>
      <c r="AJ128" s="385">
        <v>839.07</v>
      </c>
      <c r="AK128" s="370">
        <v>153.82</v>
      </c>
      <c r="AL128" s="27"/>
      <c r="AM128" s="32">
        <v>413.81003999999962</v>
      </c>
      <c r="AN128" s="32">
        <v>134.84800000000001</v>
      </c>
      <c r="AO128" s="42">
        <v>58.516997210000227</v>
      </c>
      <c r="AP128" s="44"/>
      <c r="AQ128" s="53">
        <f t="shared" si="84"/>
        <v>760.99503720999974</v>
      </c>
      <c r="AS128" s="151">
        <v>46122</v>
      </c>
      <c r="AT128" s="364">
        <v>15845.69</v>
      </c>
      <c r="AU128" s="365">
        <v>1314.68</v>
      </c>
      <c r="AV128" s="365">
        <v>4220.12</v>
      </c>
      <c r="AW128" s="171"/>
      <c r="AX128" s="27"/>
      <c r="AY128" s="32"/>
      <c r="AZ128" s="53">
        <v>135.08119056000001</v>
      </c>
      <c r="BA128" s="53"/>
      <c r="BB128" s="53">
        <f t="shared" si="85"/>
        <v>135.08119056000001</v>
      </c>
      <c r="BD128" s="151">
        <v>46122</v>
      </c>
      <c r="BE128" s="152">
        <v>1261.46</v>
      </c>
      <c r="BF128" s="159">
        <v>815.95</v>
      </c>
      <c r="BG128" s="158"/>
      <c r="BH128" s="162"/>
      <c r="BI128" s="27"/>
      <c r="BJ128" s="51"/>
      <c r="BK128" s="42"/>
      <c r="BL128" s="52"/>
      <c r="BM128" s="53">
        <f t="shared" si="86"/>
        <v>0</v>
      </c>
      <c r="BO128" s="151">
        <v>46122</v>
      </c>
      <c r="BP128" s="152">
        <v>8058.39</v>
      </c>
      <c r="BQ128" s="159">
        <v>640.69000000000005</v>
      </c>
      <c r="BR128" s="162"/>
      <c r="BS128" s="183">
        <v>1395.95</v>
      </c>
      <c r="BT128" s="27"/>
      <c r="BU128" s="240"/>
      <c r="BV128" s="42"/>
      <c r="BW128" s="42"/>
      <c r="BX128" s="52"/>
      <c r="BY128" s="53">
        <f t="shared" si="87"/>
        <v>1395.95</v>
      </c>
      <c r="CA128" s="151">
        <v>46122</v>
      </c>
      <c r="CB128" s="364">
        <v>10313.07</v>
      </c>
      <c r="CC128" s="365">
        <v>1218.8900000000001</v>
      </c>
      <c r="CD128" s="331"/>
      <c r="CE128" s="27"/>
      <c r="CF128" s="32"/>
      <c r="CG128" s="42"/>
      <c r="CH128" s="44"/>
      <c r="CI128" s="53">
        <f t="shared" si="88"/>
        <v>0</v>
      </c>
      <c r="CK128" s="151">
        <v>46122</v>
      </c>
      <c r="CL128" s="364">
        <v>7472.98</v>
      </c>
      <c r="CM128" s="385">
        <v>241.98</v>
      </c>
      <c r="CN128" s="158"/>
      <c r="CO128" s="27"/>
      <c r="CP128" s="51"/>
      <c r="CQ128" s="33">
        <v>59.071925539143713</v>
      </c>
      <c r="CR128" s="52"/>
      <c r="CS128" s="53">
        <f t="shared" si="95"/>
        <v>59.071925539143713</v>
      </c>
      <c r="CU128" s="151">
        <v>46122</v>
      </c>
      <c r="CV128" s="389">
        <v>853.01</v>
      </c>
      <c r="CW128" s="385">
        <v>330.6</v>
      </c>
      <c r="CX128" s="162"/>
      <c r="CY128" s="369"/>
      <c r="CZ128" s="27"/>
      <c r="DA128" s="32">
        <v>25.780109999999951</v>
      </c>
      <c r="DB128" s="33">
        <v>42.30416217857146</v>
      </c>
      <c r="DC128" s="44"/>
      <c r="DD128" s="53">
        <f t="shared" si="97"/>
        <v>68.08427217857141</v>
      </c>
      <c r="DE128" s="211"/>
      <c r="DF128" s="151">
        <v>46122</v>
      </c>
      <c r="DG128" s="364">
        <v>2466.09</v>
      </c>
      <c r="DH128" s="385">
        <v>386.74</v>
      </c>
      <c r="DI128" s="162"/>
      <c r="DJ128" s="27"/>
      <c r="DK128" s="32">
        <v>48.775500000000022</v>
      </c>
      <c r="DL128" s="42"/>
      <c r="DM128" s="44"/>
      <c r="DN128" s="53">
        <f t="shared" si="89"/>
        <v>48.775500000000022</v>
      </c>
      <c r="DP128" s="151">
        <v>46122</v>
      </c>
      <c r="DQ128" s="364">
        <v>1028.52</v>
      </c>
      <c r="DR128" s="173"/>
      <c r="DS128" s="27"/>
      <c r="DT128" s="51"/>
      <c r="DU128" s="52"/>
      <c r="DV128" s="52"/>
      <c r="DW128" s="53">
        <f t="shared" si="90"/>
        <v>0</v>
      </c>
      <c r="DY128" s="151">
        <v>46122</v>
      </c>
      <c r="DZ128" s="389">
        <v>575.5</v>
      </c>
      <c r="EA128" s="174"/>
      <c r="EB128" s="27"/>
      <c r="EC128" s="51"/>
      <c r="ED128" s="52"/>
      <c r="EE128" s="52"/>
      <c r="EF128" s="53">
        <f t="shared" si="91"/>
        <v>0</v>
      </c>
      <c r="EH128" s="151">
        <v>46122</v>
      </c>
      <c r="EI128" s="152">
        <v>3664.18</v>
      </c>
      <c r="EJ128" s="162"/>
      <c r="EK128" s="27"/>
      <c r="EL128" s="51"/>
      <c r="EM128" s="52"/>
      <c r="EN128" s="52"/>
      <c r="EO128" s="53">
        <f t="shared" si="92"/>
        <v>0</v>
      </c>
      <c r="EQ128" s="151">
        <v>46122</v>
      </c>
      <c r="ER128" s="152">
        <v>1997.52</v>
      </c>
      <c r="ES128" s="396"/>
      <c r="ET128" s="27"/>
      <c r="EU128" s="32">
        <v>68.194937100000033</v>
      </c>
      <c r="EV128" s="52"/>
      <c r="EW128" s="52"/>
      <c r="EX128" s="53">
        <f t="shared" si="93"/>
        <v>68.194937100000033</v>
      </c>
    </row>
    <row r="129" spans="2:154" ht="15.75" thickBot="1" x14ac:dyDescent="0.3">
      <c r="B129" s="151">
        <v>46123</v>
      </c>
      <c r="C129" s="152">
        <v>7467.83</v>
      </c>
      <c r="D129" s="152">
        <v>2094.25</v>
      </c>
      <c r="E129" s="162"/>
      <c r="F129" s="27"/>
      <c r="G129" s="32">
        <v>145.0119499999999</v>
      </c>
      <c r="H129" s="33">
        <v>45.201669958571529</v>
      </c>
      <c r="I129" s="52"/>
      <c r="J129" s="53">
        <f t="shared" si="94"/>
        <v>190.21361995857143</v>
      </c>
      <c r="L129" s="151">
        <v>46123</v>
      </c>
      <c r="M129" s="364">
        <v>36704.370000000003</v>
      </c>
      <c r="N129" s="365">
        <v>2382.0500000000002</v>
      </c>
      <c r="O129" s="372">
        <v>75.02</v>
      </c>
      <c r="P129" s="27"/>
      <c r="Q129" s="32">
        <v>45.012599999999992</v>
      </c>
      <c r="R129" s="53">
        <v>73.904301010000154</v>
      </c>
      <c r="S129" s="53"/>
      <c r="T129" s="52"/>
      <c r="U129" s="53">
        <f t="shared" si="82"/>
        <v>193.93690101000016</v>
      </c>
      <c r="W129" s="151">
        <v>46123</v>
      </c>
      <c r="X129" s="376">
        <v>26852.67</v>
      </c>
      <c r="Y129" s="377">
        <v>2865.55</v>
      </c>
      <c r="Z129" s="383">
        <v>5.29</v>
      </c>
      <c r="AA129" s="27"/>
      <c r="AB129" s="51">
        <v>1902.1939500000008</v>
      </c>
      <c r="AC129" s="33"/>
      <c r="AD129" s="33"/>
      <c r="AE129" s="53"/>
      <c r="AF129" s="53">
        <f t="shared" si="83"/>
        <v>1907.4839500000007</v>
      </c>
      <c r="AH129" s="151">
        <v>46123</v>
      </c>
      <c r="AI129" s="364">
        <v>8597.9</v>
      </c>
      <c r="AJ129" s="365">
        <v>1034.1300000000001</v>
      </c>
      <c r="AK129" s="369"/>
      <c r="AL129" s="27"/>
      <c r="AM129" s="32">
        <v>221.95595999999989</v>
      </c>
      <c r="AN129" s="32">
        <v>134.84800000000001</v>
      </c>
      <c r="AO129" s="42">
        <v>27.739309052857266</v>
      </c>
      <c r="AP129" s="44"/>
      <c r="AQ129" s="53">
        <f t="shared" si="84"/>
        <v>384.54326905285717</v>
      </c>
      <c r="AS129" s="151">
        <v>46123</v>
      </c>
      <c r="AT129" s="364">
        <v>25667.43</v>
      </c>
      <c r="AU129" s="365">
        <v>2061.9</v>
      </c>
      <c r="AV129" s="365">
        <v>4147.26</v>
      </c>
      <c r="AW129" s="171"/>
      <c r="AX129" s="27"/>
      <c r="AY129" s="32">
        <v>23.332770000000004</v>
      </c>
      <c r="AZ129" s="53">
        <v>59.548054194285726</v>
      </c>
      <c r="BA129" s="53"/>
      <c r="BB129" s="53">
        <f t="shared" si="85"/>
        <v>82.880824194285736</v>
      </c>
      <c r="BD129" s="151">
        <v>46123</v>
      </c>
      <c r="BE129" s="152">
        <v>1984.63</v>
      </c>
      <c r="BF129" s="159">
        <v>793.4</v>
      </c>
      <c r="BG129" s="158"/>
      <c r="BH129" s="158">
        <v>13.21</v>
      </c>
      <c r="BI129" s="27"/>
      <c r="BJ129" s="51"/>
      <c r="BK129" s="42"/>
      <c r="BL129" s="52"/>
      <c r="BM129" s="53">
        <f t="shared" si="86"/>
        <v>13.21</v>
      </c>
      <c r="BO129" s="151">
        <v>46123</v>
      </c>
      <c r="BP129" s="152">
        <v>13458.52</v>
      </c>
      <c r="BQ129" s="159">
        <v>663.53</v>
      </c>
      <c r="BR129" s="162"/>
      <c r="BS129" s="183">
        <v>2085.3200000000002</v>
      </c>
      <c r="BT129" s="27"/>
      <c r="BU129" s="240"/>
      <c r="BV129" s="42"/>
      <c r="BW129" s="42"/>
      <c r="BX129" s="52"/>
      <c r="BY129" s="53">
        <f t="shared" si="87"/>
        <v>2085.3200000000002</v>
      </c>
      <c r="CA129" s="151">
        <v>46123</v>
      </c>
      <c r="CB129" s="364">
        <v>11589.41</v>
      </c>
      <c r="CC129" s="365">
        <v>1129.24</v>
      </c>
      <c r="CD129" s="163"/>
      <c r="CE129" s="27"/>
      <c r="CF129" s="32">
        <v>140.16377999999983</v>
      </c>
      <c r="CG129" s="42"/>
      <c r="CH129" s="44">
        <v>3.4218443999999906</v>
      </c>
      <c r="CI129" s="53">
        <f t="shared" si="88"/>
        <v>143.58562439999983</v>
      </c>
      <c r="CK129" s="151">
        <v>46123</v>
      </c>
      <c r="CL129" s="364">
        <v>13311.5</v>
      </c>
      <c r="CM129" s="385">
        <v>0</v>
      </c>
      <c r="CN129" s="158"/>
      <c r="CO129" s="27"/>
      <c r="CP129" s="51"/>
      <c r="CQ129" s="33">
        <v>54.694288882572408</v>
      </c>
      <c r="CR129" s="52"/>
      <c r="CS129" s="53">
        <f t="shared" si="95"/>
        <v>54.694288882572408</v>
      </c>
      <c r="CU129" s="151">
        <v>46123</v>
      </c>
      <c r="CV129" s="389">
        <v>793.04</v>
      </c>
      <c r="CW129" s="385">
        <v>193.9</v>
      </c>
      <c r="CX129" s="162"/>
      <c r="CY129" s="369"/>
      <c r="CZ129" s="27"/>
      <c r="DA129" s="32">
        <v>12.08850000000001</v>
      </c>
      <c r="DB129" s="33"/>
      <c r="DC129" s="44"/>
      <c r="DD129" s="53">
        <f t="shared" si="97"/>
        <v>12.08850000000001</v>
      </c>
      <c r="DE129" s="211"/>
      <c r="DF129" s="151">
        <v>46123</v>
      </c>
      <c r="DG129" s="364">
        <v>2250.27</v>
      </c>
      <c r="DH129" s="385">
        <v>517.67999999999995</v>
      </c>
      <c r="DI129" s="158"/>
      <c r="DJ129" s="27"/>
      <c r="DK129" s="32">
        <v>4.6243999999995538</v>
      </c>
      <c r="DL129" s="42"/>
      <c r="DM129" s="44"/>
      <c r="DN129" s="53">
        <f t="shared" si="89"/>
        <v>4.6243999999995538</v>
      </c>
      <c r="DP129" s="151">
        <v>46123</v>
      </c>
      <c r="DQ129" s="364">
        <v>1487.7</v>
      </c>
      <c r="DR129" s="173"/>
      <c r="DS129" s="27"/>
      <c r="DT129" s="51"/>
      <c r="DU129" s="52"/>
      <c r="DV129" s="52"/>
      <c r="DW129" s="53">
        <f t="shared" si="90"/>
        <v>0</v>
      </c>
      <c r="DY129" s="151">
        <v>46123</v>
      </c>
      <c r="DZ129" s="389">
        <v>148.5</v>
      </c>
      <c r="EA129" s="174"/>
      <c r="EB129" s="27"/>
      <c r="EC129" s="51"/>
      <c r="ED129" s="52"/>
      <c r="EE129" s="52"/>
      <c r="EF129" s="53">
        <f t="shared" si="91"/>
        <v>0</v>
      </c>
      <c r="EH129" s="151">
        <v>46123</v>
      </c>
      <c r="EI129" s="152">
        <v>3265.32</v>
      </c>
      <c r="EJ129" s="162"/>
      <c r="EK129" s="27"/>
      <c r="EL129" s="51"/>
      <c r="EM129" s="52"/>
      <c r="EN129" s="52"/>
      <c r="EO129" s="53">
        <f t="shared" si="92"/>
        <v>0</v>
      </c>
      <c r="EQ129" s="151">
        <v>46123</v>
      </c>
      <c r="ER129" s="152">
        <v>2332.25</v>
      </c>
      <c r="ES129" s="396"/>
      <c r="ET129" s="27"/>
      <c r="EU129" s="32">
        <v>81.112640000000013</v>
      </c>
      <c r="EV129" s="52"/>
      <c r="EW129" s="52"/>
      <c r="EX129" s="53">
        <f t="shared" si="93"/>
        <v>81.112640000000013</v>
      </c>
    </row>
    <row r="130" spans="2:154" ht="15.75" thickBot="1" x14ac:dyDescent="0.3">
      <c r="B130" s="151">
        <v>46124</v>
      </c>
      <c r="C130" s="152">
        <v>6085.74</v>
      </c>
      <c r="D130" s="152">
        <v>1991.09</v>
      </c>
      <c r="E130" s="158">
        <v>23.61</v>
      </c>
      <c r="F130" s="27"/>
      <c r="G130" s="32">
        <v>92.642289999999946</v>
      </c>
      <c r="H130" s="33"/>
      <c r="I130" s="52"/>
      <c r="J130" s="53">
        <f t="shared" si="94"/>
        <v>116.25228999999995</v>
      </c>
      <c r="L130" s="151">
        <v>46124</v>
      </c>
      <c r="M130" s="364">
        <v>24504.46</v>
      </c>
      <c r="N130" s="365">
        <v>2838.25</v>
      </c>
      <c r="O130" s="372">
        <v>62.92</v>
      </c>
      <c r="P130" s="27"/>
      <c r="Q130" s="32"/>
      <c r="R130" s="53"/>
      <c r="S130" s="53"/>
      <c r="T130" s="52"/>
      <c r="U130" s="53">
        <f t="shared" si="82"/>
        <v>62.92</v>
      </c>
      <c r="W130" s="151">
        <v>46124</v>
      </c>
      <c r="X130" s="376">
        <v>19895.29</v>
      </c>
      <c r="Y130" s="377">
        <v>1879.26</v>
      </c>
      <c r="Z130" s="383">
        <v>0.96</v>
      </c>
      <c r="AA130" s="27"/>
      <c r="AB130" s="51">
        <v>146.36556999999999</v>
      </c>
      <c r="AC130" s="33"/>
      <c r="AD130" s="33"/>
      <c r="AE130" s="53"/>
      <c r="AF130" s="53">
        <f t="shared" si="83"/>
        <v>147.32557</v>
      </c>
      <c r="AH130" s="151">
        <v>46124</v>
      </c>
      <c r="AI130" s="364">
        <v>6536.54</v>
      </c>
      <c r="AJ130" s="365">
        <v>1365.71</v>
      </c>
      <c r="AK130" s="369"/>
      <c r="AL130" s="27"/>
      <c r="AM130" s="32">
        <v>36.814720000000023</v>
      </c>
      <c r="AN130" s="32">
        <v>134.84800000000001</v>
      </c>
      <c r="AO130" s="42"/>
      <c r="AP130" s="44"/>
      <c r="AQ130" s="53">
        <f t="shared" si="84"/>
        <v>171.66272000000004</v>
      </c>
      <c r="AS130" s="151">
        <v>46124</v>
      </c>
      <c r="AT130" s="364">
        <v>19952</v>
      </c>
      <c r="AU130" s="365">
        <v>1610.9</v>
      </c>
      <c r="AV130" s="365">
        <v>3184.73</v>
      </c>
      <c r="AW130" s="171"/>
      <c r="AX130" s="27"/>
      <c r="AY130" s="32"/>
      <c r="AZ130" s="53">
        <v>31.267963125714317</v>
      </c>
      <c r="BA130" s="53"/>
      <c r="BB130" s="53">
        <f t="shared" si="85"/>
        <v>31.267963125714317</v>
      </c>
      <c r="BD130" s="151">
        <v>46124</v>
      </c>
      <c r="BE130" s="152">
        <v>2304.61</v>
      </c>
      <c r="BF130" s="152">
        <v>1246.57</v>
      </c>
      <c r="BG130" s="158"/>
      <c r="BH130" s="162"/>
      <c r="BI130" s="27"/>
      <c r="BJ130" s="51"/>
      <c r="BK130" s="42"/>
      <c r="BL130" s="52"/>
      <c r="BM130" s="53">
        <f t="shared" si="86"/>
        <v>0</v>
      </c>
      <c r="BO130" s="151">
        <v>46124</v>
      </c>
      <c r="BP130" s="152">
        <v>9302.01</v>
      </c>
      <c r="BQ130" s="159">
        <v>790.75</v>
      </c>
      <c r="BR130" s="162"/>
      <c r="BS130" s="183">
        <v>1408.2</v>
      </c>
      <c r="BT130" s="27"/>
      <c r="BU130" s="240"/>
      <c r="BV130" s="42"/>
      <c r="BW130" s="42"/>
      <c r="BX130" s="52"/>
      <c r="BY130" s="53">
        <f t="shared" si="87"/>
        <v>1408.2</v>
      </c>
      <c r="CA130" s="151">
        <v>46124</v>
      </c>
      <c r="CB130" s="364">
        <v>7628.13</v>
      </c>
      <c r="CC130" s="365">
        <v>1150.43</v>
      </c>
      <c r="CD130" s="331"/>
      <c r="CE130" s="27"/>
      <c r="CF130" s="32">
        <v>31.655700000000024</v>
      </c>
      <c r="CG130" s="42"/>
      <c r="CH130" s="44"/>
      <c r="CI130" s="53">
        <f t="shared" si="88"/>
        <v>31.655700000000024</v>
      </c>
      <c r="CK130" s="151">
        <v>46124</v>
      </c>
      <c r="CL130" s="364">
        <v>6372.32</v>
      </c>
      <c r="CM130" s="385">
        <v>0</v>
      </c>
      <c r="CN130" s="158"/>
      <c r="CO130" s="27"/>
      <c r="CP130" s="51"/>
      <c r="CQ130" s="33">
        <v>9.2735043728573032</v>
      </c>
      <c r="CR130" s="52"/>
      <c r="CS130" s="53">
        <f t="shared" si="95"/>
        <v>9.2735043728573032</v>
      </c>
      <c r="CU130" s="151">
        <v>46124</v>
      </c>
      <c r="CV130" s="364">
        <v>1497.94</v>
      </c>
      <c r="CW130" s="385">
        <v>370.9</v>
      </c>
      <c r="CX130" s="162"/>
      <c r="CY130" s="370">
        <v>51.3</v>
      </c>
      <c r="CZ130" s="27"/>
      <c r="DA130" s="32"/>
      <c r="DB130" s="33"/>
      <c r="DC130" s="44"/>
      <c r="DD130" s="53">
        <f t="shared" si="97"/>
        <v>51.3</v>
      </c>
      <c r="DE130" s="211"/>
      <c r="DF130" s="151">
        <v>46124</v>
      </c>
      <c r="DG130" s="364">
        <v>9845.27</v>
      </c>
      <c r="DH130" s="385">
        <v>704.91</v>
      </c>
      <c r="DI130" s="162"/>
      <c r="DJ130" s="27"/>
      <c r="DK130" s="32">
        <v>53.418000000000006</v>
      </c>
      <c r="DL130" s="42"/>
      <c r="DM130" s="44"/>
      <c r="DN130" s="53">
        <f t="shared" si="89"/>
        <v>53.418000000000006</v>
      </c>
      <c r="DP130" s="151">
        <v>46124</v>
      </c>
      <c r="DQ130" s="389">
        <v>474</v>
      </c>
      <c r="DR130" s="173"/>
      <c r="DS130" s="27"/>
      <c r="DT130" s="51"/>
      <c r="DU130" s="52"/>
      <c r="DV130" s="52"/>
      <c r="DW130" s="53">
        <f t="shared" si="90"/>
        <v>0</v>
      </c>
      <c r="DY130" s="151">
        <v>46124</v>
      </c>
      <c r="DZ130" s="389">
        <v>540</v>
      </c>
      <c r="EA130" s="174"/>
      <c r="EB130" s="27"/>
      <c r="EC130" s="51"/>
      <c r="ED130" s="52"/>
      <c r="EE130" s="52"/>
      <c r="EF130" s="53">
        <f t="shared" si="91"/>
        <v>0</v>
      </c>
      <c r="EH130" s="151">
        <v>46124</v>
      </c>
      <c r="EI130" s="152">
        <v>3609.47</v>
      </c>
      <c r="EJ130" s="162"/>
      <c r="EK130" s="27"/>
      <c r="EL130" s="51"/>
      <c r="EM130" s="52"/>
      <c r="EN130" s="52"/>
      <c r="EO130" s="53">
        <f t="shared" si="92"/>
        <v>0</v>
      </c>
      <c r="EQ130" s="151">
        <v>46124</v>
      </c>
      <c r="ER130" s="152">
        <v>1507.04</v>
      </c>
      <c r="ES130" s="396"/>
      <c r="ET130" s="27"/>
      <c r="EU130" s="32"/>
      <c r="EV130" s="52"/>
      <c r="EW130" s="52"/>
      <c r="EX130" s="53">
        <f t="shared" si="93"/>
        <v>0</v>
      </c>
    </row>
    <row r="131" spans="2:154" ht="15.75" thickBot="1" x14ac:dyDescent="0.3">
      <c r="B131" s="151">
        <v>46125</v>
      </c>
      <c r="C131" s="152">
        <v>7750.38</v>
      </c>
      <c r="D131" s="152">
        <v>2053.61</v>
      </c>
      <c r="E131" s="162"/>
      <c r="F131" s="27"/>
      <c r="G131" s="32">
        <v>229.62753999999978</v>
      </c>
      <c r="H131" s="33">
        <v>12.41342943314288</v>
      </c>
      <c r="I131" s="52"/>
      <c r="J131" s="53">
        <f t="shared" si="94"/>
        <v>242.04096943314266</v>
      </c>
      <c r="L131" s="151">
        <v>46125</v>
      </c>
      <c r="M131" s="364">
        <v>34706.57</v>
      </c>
      <c r="N131" s="365">
        <v>2986.61</v>
      </c>
      <c r="O131" s="372">
        <v>120.92</v>
      </c>
      <c r="P131" s="27"/>
      <c r="Q131" s="32">
        <v>88.860150000000004</v>
      </c>
      <c r="R131" s="53"/>
      <c r="S131" s="53"/>
      <c r="T131" s="52">
        <v>38.679857999999967</v>
      </c>
      <c r="U131" s="53">
        <f t="shared" si="82"/>
        <v>248.46000799999996</v>
      </c>
      <c r="W131" s="151">
        <v>46125</v>
      </c>
      <c r="X131" s="376">
        <v>22300.71</v>
      </c>
      <c r="Y131" s="377">
        <v>1815.38</v>
      </c>
      <c r="Z131" s="382"/>
      <c r="AA131" s="27"/>
      <c r="AB131" s="51">
        <v>1572.2056800000005</v>
      </c>
      <c r="AC131" s="33">
        <v>30.629440812857126</v>
      </c>
      <c r="AD131" s="33"/>
      <c r="AE131" s="53">
        <v>17.163940199999985</v>
      </c>
      <c r="AF131" s="53">
        <f t="shared" si="83"/>
        <v>1619.9990610128577</v>
      </c>
      <c r="AH131" s="151">
        <v>46125</v>
      </c>
      <c r="AI131" s="364">
        <v>9030.99</v>
      </c>
      <c r="AJ131" s="385">
        <v>670.01</v>
      </c>
      <c r="AK131" s="370">
        <v>125.8</v>
      </c>
      <c r="AL131" s="27"/>
      <c r="AM131" s="32">
        <v>453.09826999999984</v>
      </c>
      <c r="AN131" s="32">
        <v>134.84800000000001</v>
      </c>
      <c r="AO131" s="42"/>
      <c r="AP131" s="44"/>
      <c r="AQ131" s="53">
        <f t="shared" si="84"/>
        <v>713.74626999999987</v>
      </c>
      <c r="AS131" s="151">
        <v>46125</v>
      </c>
      <c r="AT131" s="364">
        <v>16244.32</v>
      </c>
      <c r="AU131" s="385">
        <v>919.62</v>
      </c>
      <c r="AV131" s="365">
        <v>3623.68</v>
      </c>
      <c r="AW131" s="171"/>
      <c r="AX131" s="27"/>
      <c r="AY131" s="32">
        <v>3.0300000000000011</v>
      </c>
      <c r="AZ131" s="53">
        <v>87.004720861428595</v>
      </c>
      <c r="BA131" s="53"/>
      <c r="BB131" s="53">
        <f t="shared" si="85"/>
        <v>90.034720861428596</v>
      </c>
      <c r="BD131" s="151">
        <v>46125</v>
      </c>
      <c r="BE131" s="152">
        <v>1145.75</v>
      </c>
      <c r="BF131" s="152">
        <v>1233.53</v>
      </c>
      <c r="BG131" s="158"/>
      <c r="BH131" s="162"/>
      <c r="BI131" s="27"/>
      <c r="BJ131" s="51"/>
      <c r="BK131" s="42"/>
      <c r="BL131" s="52"/>
      <c r="BM131" s="53">
        <f t="shared" si="86"/>
        <v>0</v>
      </c>
      <c r="BO131" s="151">
        <v>46125</v>
      </c>
      <c r="BP131" s="152">
        <v>8986.8700000000008</v>
      </c>
      <c r="BQ131" s="152">
        <v>1244.3800000000001</v>
      </c>
      <c r="BR131" s="162"/>
      <c r="BS131" s="183">
        <v>1670.76</v>
      </c>
      <c r="BT131" s="27"/>
      <c r="BU131" s="240"/>
      <c r="BV131" s="42"/>
      <c r="BW131" s="42"/>
      <c r="BX131" s="52"/>
      <c r="BY131" s="53">
        <f t="shared" si="87"/>
        <v>1670.76</v>
      </c>
      <c r="CA131" s="151">
        <v>46125</v>
      </c>
      <c r="CB131" s="364">
        <v>6937.59</v>
      </c>
      <c r="CC131" s="385">
        <v>625.12</v>
      </c>
      <c r="CD131" s="163"/>
      <c r="CE131" s="27"/>
      <c r="CF131" s="32">
        <v>126.09444000000008</v>
      </c>
      <c r="CG131" s="42"/>
      <c r="CH131" s="44"/>
      <c r="CI131" s="53">
        <f t="shared" si="88"/>
        <v>126.09444000000008</v>
      </c>
      <c r="CK131" s="151">
        <v>46125</v>
      </c>
      <c r="CL131" s="364">
        <v>14951.51</v>
      </c>
      <c r="CM131" s="385">
        <v>387</v>
      </c>
      <c r="CN131" s="158"/>
      <c r="CO131" s="27"/>
      <c r="CP131" s="51"/>
      <c r="CQ131" s="33">
        <v>72.387575683429759</v>
      </c>
      <c r="CR131" s="52"/>
      <c r="CS131" s="53">
        <f t="shared" si="95"/>
        <v>72.387575683429759</v>
      </c>
      <c r="CU131" s="151">
        <v>46125</v>
      </c>
      <c r="CV131" s="389">
        <v>740.22</v>
      </c>
      <c r="CW131" s="385">
        <v>399.8</v>
      </c>
      <c r="CX131" s="162"/>
      <c r="CY131" s="370">
        <v>6</v>
      </c>
      <c r="CZ131" s="27"/>
      <c r="DA131" s="32">
        <v>30.071149999999932</v>
      </c>
      <c r="DB131" s="33"/>
      <c r="DC131" s="44"/>
      <c r="DD131" s="53">
        <f t="shared" si="97"/>
        <v>36.071149999999932</v>
      </c>
      <c r="DE131" s="211"/>
      <c r="DF131" s="151">
        <v>46125</v>
      </c>
      <c r="DG131" s="364">
        <v>2758.22</v>
      </c>
      <c r="DH131" s="385">
        <v>258.85000000000002</v>
      </c>
      <c r="DI131" s="158"/>
      <c r="DJ131" s="27"/>
      <c r="DK131" s="32">
        <v>86.392239999999731</v>
      </c>
      <c r="DL131" s="42">
        <v>14.269868575714327</v>
      </c>
      <c r="DM131" s="44"/>
      <c r="DN131" s="53">
        <f t="shared" si="89"/>
        <v>100.66210857571406</v>
      </c>
      <c r="DP131" s="151">
        <v>46125</v>
      </c>
      <c r="DQ131" s="364">
        <v>1671.64</v>
      </c>
      <c r="DR131" s="173"/>
      <c r="DS131" s="27"/>
      <c r="DT131" s="51"/>
      <c r="DU131" s="52"/>
      <c r="DV131" s="52"/>
      <c r="DW131" s="53">
        <f t="shared" si="90"/>
        <v>0</v>
      </c>
      <c r="DY131" s="151">
        <v>46125</v>
      </c>
      <c r="DZ131" s="364">
        <v>3316</v>
      </c>
      <c r="EA131" s="174">
        <v>24</v>
      </c>
      <c r="EB131" s="27"/>
      <c r="EC131" s="51"/>
      <c r="ED131" s="52"/>
      <c r="EE131" s="52"/>
      <c r="EF131" s="53">
        <f t="shared" si="91"/>
        <v>24</v>
      </c>
      <c r="EH131" s="151">
        <v>46125</v>
      </c>
      <c r="EI131" s="152">
        <v>2103.3000000000002</v>
      </c>
      <c r="EJ131" s="158">
        <v>45</v>
      </c>
      <c r="EK131" s="27"/>
      <c r="EL131" s="51"/>
      <c r="EM131" s="52"/>
      <c r="EN131" s="52"/>
      <c r="EO131" s="53">
        <f t="shared" si="92"/>
        <v>45</v>
      </c>
      <c r="EQ131" s="151">
        <v>46125</v>
      </c>
      <c r="ER131" s="152">
        <v>2906.23</v>
      </c>
      <c r="ES131" s="396"/>
      <c r="ET131" s="27"/>
      <c r="EU131" s="32">
        <v>191.88447599999998</v>
      </c>
      <c r="EV131" s="52"/>
      <c r="EW131" s="52"/>
      <c r="EX131" s="53">
        <f t="shared" si="93"/>
        <v>191.88447599999998</v>
      </c>
    </row>
    <row r="132" spans="2:154" ht="15.75" thickBot="1" x14ac:dyDescent="0.3">
      <c r="B132" s="151">
        <v>46126</v>
      </c>
      <c r="C132" s="152">
        <v>7562.07</v>
      </c>
      <c r="D132" s="152">
        <v>1648.71</v>
      </c>
      <c r="E132" s="162"/>
      <c r="F132" s="27"/>
      <c r="G132" s="32">
        <v>280.7638199999999</v>
      </c>
      <c r="H132" s="33">
        <v>14.816814779047618</v>
      </c>
      <c r="I132" s="52"/>
      <c r="J132" s="53">
        <f t="shared" si="94"/>
        <v>295.5806347790475</v>
      </c>
      <c r="L132" s="151">
        <v>46126</v>
      </c>
      <c r="M132" s="364">
        <v>30179.65</v>
      </c>
      <c r="N132" s="365">
        <v>2575.9899999999998</v>
      </c>
      <c r="O132" s="372">
        <v>68.73</v>
      </c>
      <c r="P132" s="27"/>
      <c r="Q132" s="32"/>
      <c r="R132" s="53"/>
      <c r="S132" s="53"/>
      <c r="T132" s="52"/>
      <c r="U132" s="53">
        <f t="shared" si="82"/>
        <v>68.73</v>
      </c>
      <c r="W132" s="151">
        <v>46126</v>
      </c>
      <c r="X132" s="376">
        <v>20905.490000000002</v>
      </c>
      <c r="Y132" s="378">
        <v>849.15</v>
      </c>
      <c r="Z132" s="382"/>
      <c r="AA132" s="27"/>
      <c r="AB132" s="51">
        <v>3588.3170800000021</v>
      </c>
      <c r="AC132" s="33"/>
      <c r="AD132" s="33"/>
      <c r="AE132" s="53"/>
      <c r="AF132" s="53">
        <f t="shared" si="83"/>
        <v>3588.3170800000021</v>
      </c>
      <c r="AH132" s="151">
        <v>46126</v>
      </c>
      <c r="AI132" s="364">
        <v>8820.93</v>
      </c>
      <c r="AJ132" s="385">
        <v>703.15</v>
      </c>
      <c r="AK132" s="370">
        <v>302.27999999999997</v>
      </c>
      <c r="AL132" s="27"/>
      <c r="AM132" s="32">
        <v>640.42970999999989</v>
      </c>
      <c r="AN132" s="32">
        <v>134.84800000000001</v>
      </c>
      <c r="AO132" s="42"/>
      <c r="AP132" s="44"/>
      <c r="AQ132" s="53">
        <f t="shared" si="84"/>
        <v>1077.5577099999998</v>
      </c>
      <c r="AS132" s="151">
        <v>46126</v>
      </c>
      <c r="AT132" s="364">
        <v>21429.48</v>
      </c>
      <c r="AU132" s="365">
        <v>1094.73</v>
      </c>
      <c r="AV132" s="365">
        <v>2537.3200000000002</v>
      </c>
      <c r="AW132" s="178"/>
      <c r="AX132" s="27"/>
      <c r="AY132" s="32">
        <v>4.2541200000000003</v>
      </c>
      <c r="AZ132" s="53">
        <v>22.221618169047616</v>
      </c>
      <c r="BA132" s="53"/>
      <c r="BB132" s="53">
        <f t="shared" si="85"/>
        <v>26.475738169047617</v>
      </c>
      <c r="BD132" s="151">
        <v>46126</v>
      </c>
      <c r="BE132" s="159">
        <v>935.97</v>
      </c>
      <c r="BF132" s="152">
        <v>1387.94</v>
      </c>
      <c r="BG132" s="158"/>
      <c r="BH132" s="162"/>
      <c r="BI132" s="27"/>
      <c r="BJ132" s="51"/>
      <c r="BK132" s="42"/>
      <c r="BL132" s="52"/>
      <c r="BM132" s="53">
        <f t="shared" si="86"/>
        <v>0</v>
      </c>
      <c r="BO132" s="151">
        <v>46126</v>
      </c>
      <c r="BP132" s="152">
        <v>5234.59</v>
      </c>
      <c r="BQ132" s="152">
        <v>1036.52</v>
      </c>
      <c r="BR132" s="162"/>
      <c r="BS132" s="183">
        <v>1138.3800000000001</v>
      </c>
      <c r="BT132" s="27"/>
      <c r="BU132" s="240"/>
      <c r="BV132" s="42"/>
      <c r="BW132" s="42"/>
      <c r="BX132" s="52"/>
      <c r="BY132" s="53">
        <f t="shared" si="87"/>
        <v>1138.3800000000001</v>
      </c>
      <c r="CA132" s="151">
        <v>46126</v>
      </c>
      <c r="CB132" s="364">
        <v>10316.030000000001</v>
      </c>
      <c r="CC132" s="385">
        <v>694.22</v>
      </c>
      <c r="CD132" s="331"/>
      <c r="CE132" s="27"/>
      <c r="CF132" s="32">
        <v>58.890059999999934</v>
      </c>
      <c r="CG132" s="42"/>
      <c r="CH132" s="44"/>
      <c r="CI132" s="53">
        <f t="shared" si="88"/>
        <v>58.890059999999934</v>
      </c>
      <c r="CK132" s="151">
        <v>46126</v>
      </c>
      <c r="CL132" s="364">
        <v>11320.66</v>
      </c>
      <c r="CM132" s="385">
        <v>395.49</v>
      </c>
      <c r="CN132" s="158"/>
      <c r="CO132" s="27"/>
      <c r="CP132" s="51"/>
      <c r="CQ132" s="33">
        <v>5.9039431736195453</v>
      </c>
      <c r="CR132" s="52"/>
      <c r="CS132" s="53">
        <f t="shared" si="95"/>
        <v>5.9039431736195453</v>
      </c>
      <c r="CU132" s="151">
        <v>46126</v>
      </c>
      <c r="CV132" s="364">
        <v>1993.2</v>
      </c>
      <c r="CW132" s="385">
        <v>153</v>
      </c>
      <c r="CX132" s="162"/>
      <c r="CY132" s="370">
        <v>14</v>
      </c>
      <c r="CZ132" s="27"/>
      <c r="DA132" s="32">
        <v>43.557879999999969</v>
      </c>
      <c r="DB132" s="33">
        <v>111.6134285385715</v>
      </c>
      <c r="DC132" s="44"/>
      <c r="DD132" s="53">
        <f t="shared" si="97"/>
        <v>169.17130853857145</v>
      </c>
      <c r="DE132" s="211"/>
      <c r="DF132" s="151">
        <v>46126</v>
      </c>
      <c r="DG132" s="364">
        <v>3305.22</v>
      </c>
      <c r="DH132" s="385">
        <v>419.11</v>
      </c>
      <c r="DI132" s="162"/>
      <c r="DJ132" s="27"/>
      <c r="DK132" s="32">
        <v>34.718319999999892</v>
      </c>
      <c r="DL132" s="42"/>
      <c r="DM132" s="44"/>
      <c r="DN132" s="53">
        <f t="shared" si="89"/>
        <v>34.718319999999892</v>
      </c>
      <c r="DP132" s="151">
        <v>46126</v>
      </c>
      <c r="DQ132" s="364">
        <v>1273.8399999999999</v>
      </c>
      <c r="DR132" s="173"/>
      <c r="DS132" s="27"/>
      <c r="DT132" s="51"/>
      <c r="DU132" s="52"/>
      <c r="DV132" s="52"/>
      <c r="DW132" s="53">
        <f t="shared" si="90"/>
        <v>0</v>
      </c>
      <c r="DY132" s="151">
        <v>46126</v>
      </c>
      <c r="DZ132" s="389">
        <v>694</v>
      </c>
      <c r="EA132" s="174"/>
      <c r="EB132" s="27"/>
      <c r="EC132" s="51"/>
      <c r="ED132" s="52"/>
      <c r="EE132" s="52"/>
      <c r="EF132" s="53">
        <f t="shared" si="91"/>
        <v>0</v>
      </c>
      <c r="EH132" s="151">
        <v>46126</v>
      </c>
      <c r="EI132" s="152">
        <v>3371.89</v>
      </c>
      <c r="EJ132" s="158">
        <v>46.83</v>
      </c>
      <c r="EK132" s="27"/>
      <c r="EL132" s="51"/>
      <c r="EM132" s="52"/>
      <c r="EN132" s="52"/>
      <c r="EO132" s="53">
        <f t="shared" si="92"/>
        <v>46.83</v>
      </c>
      <c r="EQ132" s="151">
        <v>46126</v>
      </c>
      <c r="ER132" s="152">
        <v>3062.57</v>
      </c>
      <c r="ES132" s="396"/>
      <c r="ET132" s="27"/>
      <c r="EU132" s="32">
        <v>562.81091600000013</v>
      </c>
      <c r="EV132" s="52"/>
      <c r="EW132" s="52"/>
      <c r="EX132" s="53">
        <f t="shared" si="93"/>
        <v>562.81091600000013</v>
      </c>
    </row>
    <row r="133" spans="2:154" ht="15.75" thickBot="1" x14ac:dyDescent="0.3">
      <c r="B133" s="151">
        <v>46127</v>
      </c>
      <c r="C133" s="152">
        <v>6731.82</v>
      </c>
      <c r="D133" s="152">
        <v>2331.84</v>
      </c>
      <c r="E133" s="162"/>
      <c r="F133" s="27"/>
      <c r="G133" s="32">
        <v>460.48029999999966</v>
      </c>
      <c r="H133" s="33">
        <v>119.73864092000008</v>
      </c>
      <c r="I133" s="52"/>
      <c r="J133" s="53">
        <f t="shared" si="94"/>
        <v>580.2189409199998</v>
      </c>
      <c r="L133" s="151">
        <v>46127</v>
      </c>
      <c r="M133" s="364">
        <v>23343.200000000001</v>
      </c>
      <c r="N133" s="365">
        <v>2733.18</v>
      </c>
      <c r="O133" s="372">
        <v>28.85</v>
      </c>
      <c r="P133" s="27"/>
      <c r="Q133" s="32">
        <v>43.707159999999874</v>
      </c>
      <c r="R133" s="53">
        <v>88.932643383333698</v>
      </c>
      <c r="S133" s="53"/>
      <c r="T133" s="52"/>
      <c r="U133" s="53">
        <f t="shared" si="82"/>
        <v>161.48980338333357</v>
      </c>
      <c r="W133" s="151">
        <v>46127</v>
      </c>
      <c r="X133" s="376">
        <v>20085.43</v>
      </c>
      <c r="Y133" s="377">
        <v>1458.71</v>
      </c>
      <c r="Z133" s="383">
        <v>8.86</v>
      </c>
      <c r="AA133" s="27"/>
      <c r="AB133" s="51">
        <v>532.68661999999949</v>
      </c>
      <c r="AC133" s="33">
        <v>96.560697194286377</v>
      </c>
      <c r="AD133" s="33"/>
      <c r="AE133" s="53"/>
      <c r="AF133" s="53">
        <f t="shared" si="83"/>
        <v>638.10731719428588</v>
      </c>
      <c r="AH133" s="151">
        <v>46127</v>
      </c>
      <c r="AI133" s="364">
        <v>8061.49</v>
      </c>
      <c r="AJ133" s="385">
        <v>769.17</v>
      </c>
      <c r="AK133" s="370">
        <v>79.099999999999994</v>
      </c>
      <c r="AL133" s="27"/>
      <c r="AM133" s="32">
        <v>185.20651999999984</v>
      </c>
      <c r="AN133" s="32">
        <v>134.84800000000001</v>
      </c>
      <c r="AO133" s="42"/>
      <c r="AP133" s="44"/>
      <c r="AQ133" s="53">
        <f t="shared" si="84"/>
        <v>399.15451999999988</v>
      </c>
      <c r="AS133" s="151">
        <v>46127</v>
      </c>
      <c r="AT133" s="364">
        <v>21628.01</v>
      </c>
      <c r="AU133" s="365">
        <v>1588.51</v>
      </c>
      <c r="AV133" s="365">
        <v>3662.35</v>
      </c>
      <c r="AW133" s="171"/>
      <c r="AX133" s="27"/>
      <c r="AY133" s="32"/>
      <c r="AZ133" s="53">
        <v>55.266579211428621</v>
      </c>
      <c r="BA133" s="53">
        <v>10.918010399999986</v>
      </c>
      <c r="BB133" s="53">
        <f t="shared" si="85"/>
        <v>66.184589611428606</v>
      </c>
      <c r="BD133" s="151">
        <v>46127</v>
      </c>
      <c r="BE133" s="152">
        <v>1961.53</v>
      </c>
      <c r="BF133" s="152">
        <v>1428.33</v>
      </c>
      <c r="BG133" s="158"/>
      <c r="BH133" s="162"/>
      <c r="BI133" s="27"/>
      <c r="BJ133" s="51"/>
      <c r="BK133" s="42"/>
      <c r="BL133" s="52"/>
      <c r="BM133" s="53">
        <f t="shared" si="86"/>
        <v>0</v>
      </c>
      <c r="BO133" s="151">
        <v>46127</v>
      </c>
      <c r="BP133" s="152">
        <v>2961.93</v>
      </c>
      <c r="BQ133" s="152">
        <v>1012.11</v>
      </c>
      <c r="BR133" s="158">
        <v>0.61</v>
      </c>
      <c r="BS133" s="158">
        <v>619.64</v>
      </c>
      <c r="BT133" s="27"/>
      <c r="BU133" s="240"/>
      <c r="BV133" s="42"/>
      <c r="BW133" s="42"/>
      <c r="BX133" s="52"/>
      <c r="BY133" s="53">
        <f t="shared" si="87"/>
        <v>619.64</v>
      </c>
      <c r="CA133" s="151">
        <v>46127</v>
      </c>
      <c r="CB133" s="364">
        <v>9711.57</v>
      </c>
      <c r="CC133" s="385">
        <v>551.03</v>
      </c>
      <c r="CD133" s="334"/>
      <c r="CE133" s="27"/>
      <c r="CF133" s="32">
        <v>28.92953</v>
      </c>
      <c r="CG133" s="42">
        <v>57.955364084762039</v>
      </c>
      <c r="CH133" s="44">
        <v>7.6300223999999872</v>
      </c>
      <c r="CI133" s="53">
        <f t="shared" si="88"/>
        <v>94.514916484762026</v>
      </c>
      <c r="CK133" s="151">
        <v>46127</v>
      </c>
      <c r="CL133" s="364">
        <v>22457.23</v>
      </c>
      <c r="CM133" s="385">
        <v>711.89</v>
      </c>
      <c r="CN133" s="158"/>
      <c r="CO133" s="27"/>
      <c r="CP133" s="51"/>
      <c r="CQ133" s="33">
        <v>-63.839326846666552</v>
      </c>
      <c r="CR133" s="52"/>
      <c r="CS133" s="53">
        <f t="shared" si="95"/>
        <v>-63.839326846666552</v>
      </c>
      <c r="CU133" s="151">
        <v>46127</v>
      </c>
      <c r="CV133" s="389">
        <v>730.36</v>
      </c>
      <c r="CW133" s="385">
        <v>266</v>
      </c>
      <c r="CX133" s="162"/>
      <c r="CY133" s="370">
        <v>434.88</v>
      </c>
      <c r="CZ133" s="27"/>
      <c r="DA133" s="32">
        <v>8.3369200000000205</v>
      </c>
      <c r="DB133" s="33"/>
      <c r="DC133" s="44"/>
      <c r="DD133" s="53">
        <f>SUM(CY133:DC133)</f>
        <v>443.21692000000002</v>
      </c>
      <c r="DE133" s="211"/>
      <c r="DF133" s="151">
        <v>46127</v>
      </c>
      <c r="DG133" s="364">
        <v>3214.59</v>
      </c>
      <c r="DH133" s="385">
        <v>337.65</v>
      </c>
      <c r="DI133" s="157"/>
      <c r="DJ133" s="27"/>
      <c r="DK133" s="32">
        <v>35.127119999999934</v>
      </c>
      <c r="DL133" s="42"/>
      <c r="DM133" s="44"/>
      <c r="DN133" s="53">
        <f t="shared" si="89"/>
        <v>35.127119999999934</v>
      </c>
      <c r="DP133" s="151">
        <v>46127</v>
      </c>
      <c r="DQ133" s="364">
        <v>1535.72</v>
      </c>
      <c r="DR133" s="173"/>
      <c r="DS133" s="27"/>
      <c r="DT133" s="51"/>
      <c r="DU133" s="52"/>
      <c r="DV133" s="52"/>
      <c r="DW133" s="53">
        <f t="shared" si="90"/>
        <v>0</v>
      </c>
      <c r="DY133" s="151">
        <v>46127</v>
      </c>
      <c r="DZ133" s="389">
        <v>445</v>
      </c>
      <c r="EA133" s="174"/>
      <c r="EB133" s="27"/>
      <c r="EC133" s="51"/>
      <c r="ED133" s="52"/>
      <c r="EE133" s="52"/>
      <c r="EF133" s="53">
        <f t="shared" si="91"/>
        <v>0</v>
      </c>
      <c r="EH133" s="151">
        <v>46127</v>
      </c>
      <c r="EI133" s="152">
        <v>2257.3000000000002</v>
      </c>
      <c r="EJ133" s="162"/>
      <c r="EK133" s="27"/>
      <c r="EL133" s="51"/>
      <c r="EM133" s="52"/>
      <c r="EN133" s="52"/>
      <c r="EO133" s="53">
        <f t="shared" si="92"/>
        <v>0</v>
      </c>
      <c r="EQ133" s="151">
        <v>46127</v>
      </c>
      <c r="ER133" s="152">
        <v>3632.33</v>
      </c>
      <c r="ES133" s="396"/>
      <c r="ET133" s="27"/>
      <c r="EU133" s="32">
        <v>34.719840000000012</v>
      </c>
      <c r="EV133" s="52"/>
      <c r="EW133" s="52"/>
      <c r="EX133" s="53">
        <f t="shared" si="93"/>
        <v>34.719840000000012</v>
      </c>
    </row>
    <row r="134" spans="2:154" ht="15.75" thickBot="1" x14ac:dyDescent="0.3">
      <c r="B134" s="151">
        <v>46128</v>
      </c>
      <c r="C134" s="152">
        <v>6096.82</v>
      </c>
      <c r="D134" s="152">
        <v>2205.54</v>
      </c>
      <c r="E134" s="162"/>
      <c r="F134" s="27"/>
      <c r="G134" s="32">
        <v>647.29675999999949</v>
      </c>
      <c r="H134" s="33">
        <v>50.548525380761987</v>
      </c>
      <c r="I134" s="52"/>
      <c r="J134" s="53">
        <f t="shared" si="94"/>
        <v>697.84528538076142</v>
      </c>
      <c r="L134" s="151">
        <v>46128</v>
      </c>
      <c r="M134" s="364">
        <v>28810.77</v>
      </c>
      <c r="N134" s="365">
        <v>3784.05</v>
      </c>
      <c r="O134" s="372">
        <v>54.16</v>
      </c>
      <c r="P134" s="27"/>
      <c r="Q134" s="32">
        <v>21.631179999999972</v>
      </c>
      <c r="R134" s="53"/>
      <c r="S134" s="53"/>
      <c r="T134" s="52">
        <v>386.27301809999972</v>
      </c>
      <c r="U134" s="53">
        <f t="shared" si="82"/>
        <v>462.06419809999966</v>
      </c>
      <c r="W134" s="151">
        <v>46128</v>
      </c>
      <c r="X134" s="376">
        <v>21291.96</v>
      </c>
      <c r="Y134" s="377">
        <v>1218.67</v>
      </c>
      <c r="Z134" s="383">
        <v>4.4000000000000004</v>
      </c>
      <c r="AA134" s="27"/>
      <c r="AB134" s="51"/>
      <c r="AC134" s="33"/>
      <c r="AD134" s="33"/>
      <c r="AE134" s="53"/>
      <c r="AF134" s="53">
        <f t="shared" si="83"/>
        <v>4.4000000000000004</v>
      </c>
      <c r="AH134" s="151">
        <v>46128</v>
      </c>
      <c r="AI134" s="364">
        <v>5499.92</v>
      </c>
      <c r="AJ134" s="385">
        <v>796.16</v>
      </c>
      <c r="AK134" s="370">
        <v>56</v>
      </c>
      <c r="AL134" s="27"/>
      <c r="AM134" s="32">
        <v>163.77188999999976</v>
      </c>
      <c r="AN134" s="32">
        <v>134.84800000000001</v>
      </c>
      <c r="AO134" s="42"/>
      <c r="AP134" s="44"/>
      <c r="AQ134" s="53">
        <f t="shared" si="84"/>
        <v>354.61988999999977</v>
      </c>
      <c r="AS134" s="151">
        <v>46128</v>
      </c>
      <c r="AT134" s="364">
        <v>22754.799999999999</v>
      </c>
      <c r="AU134" s="365">
        <v>1375.43</v>
      </c>
      <c r="AV134" s="365">
        <v>3319.81</v>
      </c>
      <c r="AW134" s="171"/>
      <c r="AX134" s="27"/>
      <c r="AY134" s="32">
        <v>34.526949999999957</v>
      </c>
      <c r="AZ134" s="53">
        <v>39.130494330476324</v>
      </c>
      <c r="BA134" s="53"/>
      <c r="BB134" s="53">
        <f t="shared" si="85"/>
        <v>73.657444330476281</v>
      </c>
      <c r="BD134" s="151">
        <v>46128</v>
      </c>
      <c r="BE134" s="152">
        <v>1303.55</v>
      </c>
      <c r="BF134" s="152">
        <v>1134.58</v>
      </c>
      <c r="BG134" s="158"/>
      <c r="BH134" s="162"/>
      <c r="BI134" s="27"/>
      <c r="BJ134" s="51"/>
      <c r="BK134" s="42"/>
      <c r="BL134" s="52"/>
      <c r="BM134" s="53">
        <f t="shared" si="86"/>
        <v>0</v>
      </c>
      <c r="BO134" s="151">
        <v>46128</v>
      </c>
      <c r="BP134" s="152">
        <v>4137.2</v>
      </c>
      <c r="BQ134" s="159">
        <v>689.74</v>
      </c>
      <c r="BR134" s="162"/>
      <c r="BS134" s="158">
        <v>872.01</v>
      </c>
      <c r="BT134" s="27"/>
      <c r="BU134" s="240"/>
      <c r="BV134" s="42"/>
      <c r="BW134" s="42"/>
      <c r="BX134" s="52"/>
      <c r="BY134" s="53">
        <f t="shared" si="87"/>
        <v>872.01</v>
      </c>
      <c r="CA134" s="151">
        <v>46128</v>
      </c>
      <c r="CB134" s="364">
        <v>8499.84</v>
      </c>
      <c r="CC134" s="385">
        <v>801.62</v>
      </c>
      <c r="CD134" s="331"/>
      <c r="CE134" s="27"/>
      <c r="CF134" s="32">
        <v>57.033439999999985</v>
      </c>
      <c r="CG134" s="42"/>
      <c r="CH134" s="44"/>
      <c r="CI134" s="53">
        <f t="shared" si="88"/>
        <v>57.033439999999985</v>
      </c>
      <c r="CK134" s="151">
        <v>46128</v>
      </c>
      <c r="CL134" s="364">
        <v>4639.16</v>
      </c>
      <c r="CM134" s="385">
        <v>150.02000000000001</v>
      </c>
      <c r="CN134" s="158"/>
      <c r="CO134" s="27"/>
      <c r="CP134" s="51"/>
      <c r="CQ134" s="33">
        <v>-101.21702419223789</v>
      </c>
      <c r="CR134" s="52"/>
      <c r="CS134" s="53">
        <f t="shared" si="95"/>
        <v>-101.21702419223789</v>
      </c>
      <c r="CU134" s="151">
        <v>46128</v>
      </c>
      <c r="CV134" s="389">
        <v>726.46</v>
      </c>
      <c r="CW134" s="385">
        <v>652.4</v>
      </c>
      <c r="CX134" s="162"/>
      <c r="CY134" s="370">
        <v>136.62</v>
      </c>
      <c r="CZ134" s="27"/>
      <c r="DA134" s="32">
        <v>25.274769999999847</v>
      </c>
      <c r="DB134" s="33">
        <v>53.815453384285775</v>
      </c>
      <c r="DC134" s="44"/>
      <c r="DD134" s="53">
        <f>SUM(CY134:DC134)</f>
        <v>215.71022338428563</v>
      </c>
      <c r="DE134" s="211"/>
      <c r="DF134" s="151">
        <v>46128</v>
      </c>
      <c r="DG134" s="364">
        <v>6881.44</v>
      </c>
      <c r="DH134" s="385">
        <v>270.08</v>
      </c>
      <c r="DI134" s="162"/>
      <c r="DJ134" s="27"/>
      <c r="DK134" s="32">
        <v>7.4216799999999807</v>
      </c>
      <c r="DL134" s="42">
        <v>-6.707687739999983</v>
      </c>
      <c r="DM134" s="44"/>
      <c r="DN134" s="53">
        <f t="shared" si="89"/>
        <v>0.71399225999999771</v>
      </c>
      <c r="DP134" s="151">
        <v>46128</v>
      </c>
      <c r="DQ134" s="364">
        <v>1380.8</v>
      </c>
      <c r="DR134" s="173"/>
      <c r="DS134" s="27"/>
      <c r="DT134" s="51"/>
      <c r="DU134" s="52"/>
      <c r="DV134" s="52"/>
      <c r="DW134" s="53">
        <f t="shared" si="90"/>
        <v>0</v>
      </c>
      <c r="DY134" s="151">
        <v>46128</v>
      </c>
      <c r="DZ134" s="389">
        <v>390</v>
      </c>
      <c r="EA134" s="174"/>
      <c r="EB134" s="27"/>
      <c r="EC134" s="51"/>
      <c r="ED134" s="52"/>
      <c r="EE134" s="52"/>
      <c r="EF134" s="53">
        <f t="shared" si="91"/>
        <v>0</v>
      </c>
      <c r="EH134" s="151">
        <v>46128</v>
      </c>
      <c r="EI134" s="152">
        <v>2455.58</v>
      </c>
      <c r="EJ134" s="158">
        <v>400</v>
      </c>
      <c r="EK134" s="27"/>
      <c r="EL134" s="51"/>
      <c r="EM134" s="52"/>
      <c r="EN134" s="52"/>
      <c r="EO134" s="53">
        <f t="shared" si="92"/>
        <v>400</v>
      </c>
      <c r="EQ134" s="151">
        <v>46128</v>
      </c>
      <c r="ER134" s="152">
        <v>2406.3000000000002</v>
      </c>
      <c r="ES134" s="396"/>
      <c r="ET134" s="27"/>
      <c r="EU134" s="32">
        <v>90.71468000000003</v>
      </c>
      <c r="EV134" s="52"/>
      <c r="EW134" s="52"/>
      <c r="EX134" s="53">
        <f t="shared" si="93"/>
        <v>90.71468000000003</v>
      </c>
    </row>
    <row r="135" spans="2:154" ht="15.75" thickBot="1" x14ac:dyDescent="0.3">
      <c r="B135" s="151">
        <v>46129</v>
      </c>
      <c r="C135" s="152">
        <v>6734</v>
      </c>
      <c r="D135" s="152">
        <v>1733.15</v>
      </c>
      <c r="E135" s="162"/>
      <c r="F135" s="27"/>
      <c r="G135" s="32">
        <v>9.4829000000000008</v>
      </c>
      <c r="H135" s="33">
        <v>139.82829201142874</v>
      </c>
      <c r="I135" s="52"/>
      <c r="J135" s="53">
        <f t="shared" si="94"/>
        <v>149.31119201142874</v>
      </c>
      <c r="L135" s="151">
        <v>46129</v>
      </c>
      <c r="M135" s="364">
        <v>26946.46</v>
      </c>
      <c r="N135" s="365">
        <v>3413.45</v>
      </c>
      <c r="O135" s="372">
        <v>17.47</v>
      </c>
      <c r="P135" s="27"/>
      <c r="Q135" s="32">
        <v>50.315019999999947</v>
      </c>
      <c r="R135" s="53"/>
      <c r="S135" s="53"/>
      <c r="T135" s="52"/>
      <c r="U135" s="53">
        <f t="shared" si="82"/>
        <v>67.785019999999946</v>
      </c>
      <c r="W135" s="151">
        <v>46129</v>
      </c>
      <c r="X135" s="376">
        <v>21668.79</v>
      </c>
      <c r="Y135" s="377">
        <v>2234.56</v>
      </c>
      <c r="Z135" s="383">
        <v>0.68</v>
      </c>
      <c r="AA135" s="27"/>
      <c r="AB135" s="51">
        <v>635.81428999999923</v>
      </c>
      <c r="AC135" s="33">
        <v>19.951868392857136</v>
      </c>
      <c r="AD135" s="33"/>
      <c r="AE135" s="53"/>
      <c r="AF135" s="53">
        <f t="shared" si="83"/>
        <v>656.44615839285632</v>
      </c>
      <c r="AH135" s="151">
        <v>46129</v>
      </c>
      <c r="AI135" s="364">
        <v>7898.58</v>
      </c>
      <c r="AJ135" s="385">
        <v>700.66</v>
      </c>
      <c r="AK135" s="370">
        <v>93.12</v>
      </c>
      <c r="AL135" s="27"/>
      <c r="AM135" s="32">
        <v>244.52973999999978</v>
      </c>
      <c r="AN135" s="32">
        <v>134.84800000000001</v>
      </c>
      <c r="AO135" s="42"/>
      <c r="AP135" s="44"/>
      <c r="AQ135" s="53">
        <f t="shared" si="84"/>
        <v>472.49773999999979</v>
      </c>
      <c r="AS135" s="151">
        <v>46129</v>
      </c>
      <c r="AT135" s="364">
        <v>26067.88</v>
      </c>
      <c r="AU135" s="365">
        <v>1824.87</v>
      </c>
      <c r="AV135" s="365">
        <v>3225.34</v>
      </c>
      <c r="AW135" s="171"/>
      <c r="AX135" s="27"/>
      <c r="AY135" s="32">
        <v>14.380199999999974</v>
      </c>
      <c r="AZ135" s="53">
        <v>46.625857729095259</v>
      </c>
      <c r="BA135" s="53"/>
      <c r="BB135" s="53">
        <f t="shared" si="85"/>
        <v>61.006057729095232</v>
      </c>
      <c r="BD135" s="151">
        <v>46129</v>
      </c>
      <c r="BE135" s="152">
        <v>2235.09</v>
      </c>
      <c r="BF135" s="152">
        <v>1266.23</v>
      </c>
      <c r="BG135" s="158"/>
      <c r="BH135" s="158">
        <v>23.21</v>
      </c>
      <c r="BI135" s="27"/>
      <c r="BJ135" s="51"/>
      <c r="BK135" s="42"/>
      <c r="BL135" s="52"/>
      <c r="BM135" s="53">
        <f t="shared" si="86"/>
        <v>23.21</v>
      </c>
      <c r="BO135" s="151">
        <v>46129</v>
      </c>
      <c r="BP135" s="152">
        <v>5169.6899999999996</v>
      </c>
      <c r="BQ135" s="159">
        <v>750.69</v>
      </c>
      <c r="BR135" s="162"/>
      <c r="BS135" s="183">
        <v>1310.99</v>
      </c>
      <c r="BT135" s="27"/>
      <c r="BU135" s="240"/>
      <c r="BV135" s="42"/>
      <c r="BW135" s="42"/>
      <c r="BX135" s="52"/>
      <c r="BY135" s="53">
        <f t="shared" si="87"/>
        <v>1310.99</v>
      </c>
      <c r="CA135" s="151">
        <v>46129</v>
      </c>
      <c r="CB135" s="364">
        <v>9444.48</v>
      </c>
      <c r="CC135" s="385">
        <v>867.55</v>
      </c>
      <c r="CD135" s="331"/>
      <c r="CE135" s="27"/>
      <c r="CF135" s="32">
        <v>118.43867</v>
      </c>
      <c r="CG135" s="42"/>
      <c r="CH135" s="44"/>
      <c r="CI135" s="53">
        <f t="shared" si="88"/>
        <v>118.43867</v>
      </c>
      <c r="CK135" s="151">
        <v>46129</v>
      </c>
      <c r="CL135" s="364">
        <v>7032.73</v>
      </c>
      <c r="CM135" s="385">
        <v>509.76</v>
      </c>
      <c r="CN135" s="158"/>
      <c r="CO135" s="27"/>
      <c r="CP135" s="51"/>
      <c r="CQ135" s="33">
        <v>-55.126357614761844</v>
      </c>
      <c r="CR135" s="52"/>
      <c r="CS135" s="53">
        <f t="shared" si="95"/>
        <v>-55.126357614761844</v>
      </c>
      <c r="CU135" s="151">
        <v>46129</v>
      </c>
      <c r="CV135" s="364">
        <v>1321.53</v>
      </c>
      <c r="CW135" s="385">
        <v>599.70000000000005</v>
      </c>
      <c r="CX135" s="162"/>
      <c r="CY135" s="370">
        <v>162.41</v>
      </c>
      <c r="CZ135" s="27"/>
      <c r="DA135" s="32">
        <v>28.078379999999925</v>
      </c>
      <c r="DB135" s="33">
        <v>50.89767925904772</v>
      </c>
      <c r="DC135" s="44"/>
      <c r="DD135" s="53">
        <f t="shared" ref="DD135:DD148" si="98">SUM(CY135:DC135)</f>
        <v>241.38605925904764</v>
      </c>
      <c r="DE135" s="211"/>
      <c r="DF135" s="151">
        <v>46129</v>
      </c>
      <c r="DG135" s="364">
        <v>4104.21</v>
      </c>
      <c r="DH135" s="385">
        <v>450.82</v>
      </c>
      <c r="DI135" s="162"/>
      <c r="DJ135" s="27"/>
      <c r="DK135" s="32">
        <v>83.622939999999744</v>
      </c>
      <c r="DL135" s="42"/>
      <c r="DM135" s="44"/>
      <c r="DN135" s="53">
        <f t="shared" si="89"/>
        <v>83.622939999999744</v>
      </c>
      <c r="DP135" s="151">
        <v>46129</v>
      </c>
      <c r="DQ135" s="389">
        <v>979.81</v>
      </c>
      <c r="DR135" s="173"/>
      <c r="DS135" s="27"/>
      <c r="DT135" s="51"/>
      <c r="DU135" s="52"/>
      <c r="DV135" s="52"/>
      <c r="DW135" s="53">
        <f t="shared" si="90"/>
        <v>0</v>
      </c>
      <c r="DY135" s="151">
        <v>46129</v>
      </c>
      <c r="DZ135" s="389">
        <v>369</v>
      </c>
      <c r="EA135" s="174"/>
      <c r="EB135" s="27"/>
      <c r="EC135" s="51"/>
      <c r="ED135" s="52"/>
      <c r="EE135" s="52"/>
      <c r="EF135" s="53">
        <f t="shared" si="91"/>
        <v>0</v>
      </c>
      <c r="EH135" s="151">
        <v>46129</v>
      </c>
      <c r="EI135" s="152">
        <v>2377.4699999999998</v>
      </c>
      <c r="EJ135" s="162"/>
      <c r="EK135" s="27"/>
      <c r="EL135" s="51"/>
      <c r="EM135" s="52"/>
      <c r="EN135" s="52"/>
      <c r="EO135" s="53">
        <f t="shared" si="92"/>
        <v>0</v>
      </c>
      <c r="EQ135" s="151">
        <v>46129</v>
      </c>
      <c r="ER135" s="152">
        <v>3157.29</v>
      </c>
      <c r="ES135" s="396"/>
      <c r="ET135" s="27"/>
      <c r="EU135" s="32">
        <v>60.921720000000036</v>
      </c>
      <c r="EV135" s="52"/>
      <c r="EW135" s="52"/>
      <c r="EX135" s="53">
        <f t="shared" si="93"/>
        <v>60.921720000000036</v>
      </c>
    </row>
    <row r="136" spans="2:154" ht="15.75" thickBot="1" x14ac:dyDescent="0.3">
      <c r="B136" s="151">
        <v>46130</v>
      </c>
      <c r="C136" s="152">
        <v>7073.08</v>
      </c>
      <c r="D136" s="152">
        <v>1808.77</v>
      </c>
      <c r="E136" s="162"/>
      <c r="F136" s="27"/>
      <c r="G136" s="32">
        <v>293.13732999999979</v>
      </c>
      <c r="H136" s="33"/>
      <c r="I136" s="52"/>
      <c r="J136" s="53">
        <f t="shared" si="94"/>
        <v>293.13732999999979</v>
      </c>
      <c r="L136" s="151">
        <v>46130</v>
      </c>
      <c r="M136" s="364">
        <v>26633.73</v>
      </c>
      <c r="N136" s="365">
        <v>3008.84</v>
      </c>
      <c r="O136" s="372">
        <v>66.19</v>
      </c>
      <c r="P136" s="27"/>
      <c r="Q136" s="32">
        <v>102.19658999999984</v>
      </c>
      <c r="R136" s="53">
        <v>94.275757943333701</v>
      </c>
      <c r="S136" s="53"/>
      <c r="T136" s="52">
        <v>13.166399999999996</v>
      </c>
      <c r="U136" s="53">
        <f t="shared" si="82"/>
        <v>275.82874794333355</v>
      </c>
      <c r="W136" s="151">
        <v>46130</v>
      </c>
      <c r="X136" s="376">
        <v>22570.39</v>
      </c>
      <c r="Y136" s="377">
        <v>2226.98</v>
      </c>
      <c r="Z136" s="383">
        <v>6.53</v>
      </c>
      <c r="AA136" s="27"/>
      <c r="AB136" s="51">
        <v>294.13642999999979</v>
      </c>
      <c r="AC136" s="33">
        <v>34.511563369047821</v>
      </c>
      <c r="AD136" s="33"/>
      <c r="AE136" s="53"/>
      <c r="AF136" s="53">
        <f t="shared" si="83"/>
        <v>335.17799336904761</v>
      </c>
      <c r="AH136" s="151">
        <v>46130</v>
      </c>
      <c r="AI136" s="364">
        <v>7239.84</v>
      </c>
      <c r="AJ136" s="385">
        <v>914.98</v>
      </c>
      <c r="AK136" s="370">
        <v>74.55</v>
      </c>
      <c r="AL136" s="27"/>
      <c r="AM136" s="32">
        <v>300.53276999999957</v>
      </c>
      <c r="AN136" s="32">
        <v>134.84800000000001</v>
      </c>
      <c r="AO136" s="42"/>
      <c r="AP136" s="44"/>
      <c r="AQ136" s="53">
        <f t="shared" si="84"/>
        <v>509.9307699999996</v>
      </c>
      <c r="AS136" s="151">
        <v>46130</v>
      </c>
      <c r="AT136" s="364">
        <v>30933.4</v>
      </c>
      <c r="AU136" s="365">
        <v>2191.7800000000002</v>
      </c>
      <c r="AV136" s="365">
        <v>3444.19</v>
      </c>
      <c r="AW136" s="171"/>
      <c r="AX136" s="27"/>
      <c r="AY136" s="32"/>
      <c r="AZ136" s="53">
        <v>23.852054133809673</v>
      </c>
      <c r="BA136" s="53"/>
      <c r="BB136" s="53">
        <f t="shared" si="85"/>
        <v>23.852054133809673</v>
      </c>
      <c r="BD136" s="151">
        <v>46130</v>
      </c>
      <c r="BE136" s="152">
        <v>1017.02</v>
      </c>
      <c r="BF136" s="152">
        <v>1100.01</v>
      </c>
      <c r="BG136" s="158"/>
      <c r="BH136" s="158">
        <v>6.12</v>
      </c>
      <c r="BI136" s="27"/>
      <c r="BJ136" s="51"/>
      <c r="BK136" s="42"/>
      <c r="BL136" s="52"/>
      <c r="BM136" s="53">
        <f t="shared" si="86"/>
        <v>6.12</v>
      </c>
      <c r="BO136" s="151">
        <v>46130</v>
      </c>
      <c r="BP136" s="152">
        <v>8554.36</v>
      </c>
      <c r="BQ136" s="159">
        <v>836.86</v>
      </c>
      <c r="BR136" s="162"/>
      <c r="BS136" s="183">
        <v>1928.02</v>
      </c>
      <c r="BT136" s="27"/>
      <c r="BU136" s="240"/>
      <c r="BV136" s="42">
        <v>12.130173669952455</v>
      </c>
      <c r="BW136" s="42"/>
      <c r="BX136" s="52"/>
      <c r="BY136" s="53">
        <f t="shared" si="87"/>
        <v>1940.1501736699524</v>
      </c>
      <c r="CA136" s="151">
        <v>46130</v>
      </c>
      <c r="CB136" s="364">
        <v>7393.47</v>
      </c>
      <c r="CC136" s="385">
        <v>643.04999999999995</v>
      </c>
      <c r="CD136" s="331"/>
      <c r="CE136" s="27"/>
      <c r="CF136" s="32">
        <v>85.140810000000045</v>
      </c>
      <c r="CG136" s="42">
        <v>59.150100883809671</v>
      </c>
      <c r="CH136" s="44"/>
      <c r="CI136" s="53">
        <f t="shared" si="88"/>
        <v>144.29091088380972</v>
      </c>
      <c r="CK136" s="151">
        <v>46130</v>
      </c>
      <c r="CL136" s="364">
        <v>14756.25</v>
      </c>
      <c r="CM136" s="385">
        <v>549.58000000000004</v>
      </c>
      <c r="CN136" s="158"/>
      <c r="CO136" s="27"/>
      <c r="CP136" s="51"/>
      <c r="CQ136" s="33">
        <v>-6.7218219519047011</v>
      </c>
      <c r="CR136" s="52"/>
      <c r="CS136" s="53">
        <f t="shared" si="95"/>
        <v>-6.7218219519047011</v>
      </c>
      <c r="CU136" s="151">
        <v>46130</v>
      </c>
      <c r="CV136" s="364">
        <v>1383.39</v>
      </c>
      <c r="CW136" s="385">
        <v>498.1</v>
      </c>
      <c r="CX136" s="162"/>
      <c r="CY136" s="370">
        <v>28</v>
      </c>
      <c r="CZ136" s="27"/>
      <c r="DA136" s="32">
        <v>-1.5658500000000117</v>
      </c>
      <c r="DB136" s="33"/>
      <c r="DC136" s="44"/>
      <c r="DD136" s="53">
        <f t="shared" si="98"/>
        <v>26.434149999999988</v>
      </c>
      <c r="DE136" s="211"/>
      <c r="DF136" s="151">
        <v>46130</v>
      </c>
      <c r="DG136" s="364">
        <v>10420.969999999999</v>
      </c>
      <c r="DH136" s="385">
        <v>689.14</v>
      </c>
      <c r="DI136" s="162"/>
      <c r="DJ136" s="27"/>
      <c r="DK136" s="32">
        <v>44.169439999999796</v>
      </c>
      <c r="DL136" s="42">
        <v>69.254294233333439</v>
      </c>
      <c r="DM136" s="44"/>
      <c r="DN136" s="53">
        <f t="shared" si="89"/>
        <v>113.42373423333324</v>
      </c>
      <c r="DP136" s="151">
        <v>46130</v>
      </c>
      <c r="DQ136" s="364">
        <v>1073.43</v>
      </c>
      <c r="DR136" s="173"/>
      <c r="DS136" s="27"/>
      <c r="DT136" s="51"/>
      <c r="DU136" s="52"/>
      <c r="DV136" s="52"/>
      <c r="DW136" s="53">
        <f t="shared" si="90"/>
        <v>0</v>
      </c>
      <c r="DY136" s="151">
        <v>46130</v>
      </c>
      <c r="DZ136" s="389">
        <v>456</v>
      </c>
      <c r="EA136" s="174"/>
      <c r="EB136" s="27"/>
      <c r="EC136" s="51"/>
      <c r="ED136" s="52"/>
      <c r="EE136" s="52"/>
      <c r="EF136" s="53">
        <f t="shared" si="91"/>
        <v>0</v>
      </c>
      <c r="EH136" s="151">
        <v>46130</v>
      </c>
      <c r="EI136" s="152">
        <v>2497.1999999999998</v>
      </c>
      <c r="EJ136" s="162"/>
      <c r="EK136" s="27"/>
      <c r="EL136" s="51"/>
      <c r="EM136" s="52"/>
      <c r="EN136" s="52"/>
      <c r="EO136" s="53">
        <f t="shared" si="92"/>
        <v>0</v>
      </c>
      <c r="EQ136" s="151">
        <v>46130</v>
      </c>
      <c r="ER136" s="397">
        <v>2817.57</v>
      </c>
      <c r="ES136" s="396"/>
      <c r="ET136" s="27"/>
      <c r="EU136" s="32">
        <v>103.83890700000001</v>
      </c>
      <c r="EV136" s="52"/>
      <c r="EW136" s="52"/>
      <c r="EX136" s="53">
        <f t="shared" si="93"/>
        <v>103.83890700000001</v>
      </c>
    </row>
    <row r="137" spans="2:154" ht="15.75" thickBot="1" x14ac:dyDescent="0.3">
      <c r="B137" s="151">
        <v>46131</v>
      </c>
      <c r="C137" s="152">
        <v>4152.38</v>
      </c>
      <c r="D137" s="152">
        <v>1835.73</v>
      </c>
      <c r="E137" s="162"/>
      <c r="F137" s="27"/>
      <c r="G137" s="32">
        <v>193.43595999999985</v>
      </c>
      <c r="H137" s="33"/>
      <c r="I137" s="52"/>
      <c r="J137" s="53">
        <f t="shared" si="94"/>
        <v>193.43595999999985</v>
      </c>
      <c r="L137" s="151">
        <v>46131</v>
      </c>
      <c r="M137" s="364">
        <v>21794.43</v>
      </c>
      <c r="N137" s="365">
        <v>2882.25</v>
      </c>
      <c r="O137" s="372">
        <v>5.92</v>
      </c>
      <c r="P137" s="27"/>
      <c r="Q137" s="32"/>
      <c r="R137" s="53"/>
      <c r="S137" s="53"/>
      <c r="T137" s="52"/>
      <c r="U137" s="53">
        <f t="shared" si="82"/>
        <v>5.92</v>
      </c>
      <c r="W137" s="151">
        <v>46131</v>
      </c>
      <c r="X137" s="376">
        <v>4789.8999999999996</v>
      </c>
      <c r="Y137" s="377">
        <v>1458.11</v>
      </c>
      <c r="Z137" s="383">
        <v>0.43</v>
      </c>
      <c r="AA137" s="27"/>
      <c r="AB137" s="51"/>
      <c r="AC137" s="33"/>
      <c r="AD137" s="33"/>
      <c r="AE137" s="53"/>
      <c r="AF137" s="53">
        <f t="shared" si="83"/>
        <v>0.43</v>
      </c>
      <c r="AH137" s="151">
        <v>46131</v>
      </c>
      <c r="AI137" s="364">
        <v>1285.5</v>
      </c>
      <c r="AJ137" s="385">
        <v>277.43</v>
      </c>
      <c r="AK137" s="369"/>
      <c r="AL137" s="27"/>
      <c r="AM137" s="32">
        <v>321.13226999999972</v>
      </c>
      <c r="AN137" s="32">
        <v>134.84800000000001</v>
      </c>
      <c r="AO137" s="42"/>
      <c r="AP137" s="44"/>
      <c r="AQ137" s="53">
        <f t="shared" si="84"/>
        <v>455.98026999999973</v>
      </c>
      <c r="AS137" s="151">
        <v>46131</v>
      </c>
      <c r="AT137" s="364">
        <v>25886.94</v>
      </c>
      <c r="AU137" s="365">
        <v>1814.24</v>
      </c>
      <c r="AV137" s="365">
        <v>2208.29</v>
      </c>
      <c r="AW137" s="171"/>
      <c r="AX137" s="27"/>
      <c r="AY137" s="32"/>
      <c r="AZ137" s="53"/>
      <c r="BA137" s="53"/>
      <c r="BB137" s="53">
        <f t="shared" si="85"/>
        <v>0</v>
      </c>
      <c r="BD137" s="151">
        <v>46131</v>
      </c>
      <c r="BE137" s="152">
        <v>1281.26</v>
      </c>
      <c r="BF137" s="159">
        <v>960.55</v>
      </c>
      <c r="BG137" s="158"/>
      <c r="BH137" s="158">
        <v>7.2</v>
      </c>
      <c r="BI137" s="27"/>
      <c r="BJ137" s="51"/>
      <c r="BK137" s="42"/>
      <c r="BL137" s="52"/>
      <c r="BM137" s="53">
        <f t="shared" si="86"/>
        <v>7.2</v>
      </c>
      <c r="BO137" s="151">
        <v>46131</v>
      </c>
      <c r="BP137" s="152">
        <v>4461.93</v>
      </c>
      <c r="BQ137" s="159">
        <v>722.31</v>
      </c>
      <c r="BR137" s="162"/>
      <c r="BS137" s="183">
        <v>1562.01</v>
      </c>
      <c r="BT137" s="27"/>
      <c r="BU137" s="240"/>
      <c r="BV137" s="42"/>
      <c r="BW137" s="42"/>
      <c r="BX137" s="52"/>
      <c r="BY137" s="53">
        <f t="shared" si="87"/>
        <v>1562.01</v>
      </c>
      <c r="CA137" s="151">
        <v>46131</v>
      </c>
      <c r="CB137" s="364">
        <v>7818.81</v>
      </c>
      <c r="CC137" s="385">
        <v>567.12</v>
      </c>
      <c r="CD137" s="331"/>
      <c r="CE137" s="27"/>
      <c r="CF137" s="32">
        <v>113.14814000000013</v>
      </c>
      <c r="CG137" s="42"/>
      <c r="CH137" s="44"/>
      <c r="CI137" s="53">
        <f t="shared" si="88"/>
        <v>113.14814000000013</v>
      </c>
      <c r="CK137" s="151">
        <v>46131</v>
      </c>
      <c r="CL137" s="364">
        <v>6260.56</v>
      </c>
      <c r="CM137" s="385">
        <v>664.11</v>
      </c>
      <c r="CN137" s="155"/>
      <c r="CO137" s="27"/>
      <c r="CP137" s="51"/>
      <c r="CQ137" s="33">
        <v>-28.132480840952439</v>
      </c>
      <c r="CR137" s="52"/>
      <c r="CS137" s="53">
        <f t="shared" si="95"/>
        <v>-28.132480840952439</v>
      </c>
      <c r="CU137" s="151">
        <v>46131</v>
      </c>
      <c r="CV137" s="364">
        <v>1087.3800000000001</v>
      </c>
      <c r="CW137" s="385">
        <v>441.3</v>
      </c>
      <c r="CX137" s="162"/>
      <c r="CY137" s="369"/>
      <c r="CZ137" s="27"/>
      <c r="DA137" s="32"/>
      <c r="DB137" s="33"/>
      <c r="DC137" s="44"/>
      <c r="DD137" s="53">
        <f t="shared" si="98"/>
        <v>0</v>
      </c>
      <c r="DE137" s="211"/>
      <c r="DF137" s="151">
        <v>46131</v>
      </c>
      <c r="DG137" s="364">
        <v>2697.89</v>
      </c>
      <c r="DH137" s="385">
        <v>503.54</v>
      </c>
      <c r="DI137" s="162"/>
      <c r="DJ137" s="27"/>
      <c r="DK137" s="32">
        <v>33.324679999999887</v>
      </c>
      <c r="DL137" s="42">
        <v>14.579852272380975</v>
      </c>
      <c r="DM137" s="44"/>
      <c r="DN137" s="53">
        <f t="shared" si="89"/>
        <v>47.904532272380862</v>
      </c>
      <c r="DP137" s="151">
        <v>46131</v>
      </c>
      <c r="DQ137" s="364">
        <v>1143.6500000000001</v>
      </c>
      <c r="DR137" s="173"/>
      <c r="DS137" s="27"/>
      <c r="DT137" s="51"/>
      <c r="DU137" s="52"/>
      <c r="DV137" s="52"/>
      <c r="DW137" s="53">
        <f t="shared" si="90"/>
        <v>0</v>
      </c>
      <c r="DY137" s="151">
        <v>46131</v>
      </c>
      <c r="DZ137" s="389">
        <v>966</v>
      </c>
      <c r="EA137" s="174"/>
      <c r="EB137" s="27"/>
      <c r="EC137" s="51"/>
      <c r="ED137" s="52"/>
      <c r="EE137" s="52"/>
      <c r="EF137" s="53">
        <f t="shared" si="91"/>
        <v>0</v>
      </c>
      <c r="EH137" s="151">
        <v>46131</v>
      </c>
      <c r="EI137" s="152">
        <v>2651.58</v>
      </c>
      <c r="EJ137" s="162"/>
      <c r="EK137" s="27"/>
      <c r="EL137" s="51"/>
      <c r="EM137" s="52"/>
      <c r="EN137" s="52"/>
      <c r="EO137" s="53">
        <f t="shared" si="92"/>
        <v>0</v>
      </c>
      <c r="EQ137" s="151">
        <v>46131</v>
      </c>
      <c r="ER137" s="398">
        <v>502</v>
      </c>
      <c r="ES137" s="396"/>
      <c r="ET137" s="27"/>
      <c r="EU137" s="32">
        <v>28.286639999999977</v>
      </c>
      <c r="EV137" s="52"/>
      <c r="EW137" s="52"/>
      <c r="EX137" s="53">
        <f t="shared" si="93"/>
        <v>28.286639999999977</v>
      </c>
    </row>
    <row r="138" spans="2:154" ht="15.75" thickBot="1" x14ac:dyDescent="0.3">
      <c r="B138" s="151">
        <v>46132</v>
      </c>
      <c r="C138" s="152">
        <v>6132.11</v>
      </c>
      <c r="D138" s="152">
        <v>2011.32</v>
      </c>
      <c r="E138" s="162"/>
      <c r="F138" s="27"/>
      <c r="G138" s="32">
        <v>406.08042999999975</v>
      </c>
      <c r="H138" s="33">
        <v>200.31601493809535</v>
      </c>
      <c r="I138" s="52"/>
      <c r="J138" s="53">
        <f t="shared" si="94"/>
        <v>606.3964449380951</v>
      </c>
      <c r="L138" s="151">
        <v>46132</v>
      </c>
      <c r="M138" s="364">
        <v>28824.83</v>
      </c>
      <c r="N138" s="365">
        <v>2376.64</v>
      </c>
      <c r="O138" s="372">
        <v>107.55</v>
      </c>
      <c r="P138" s="27"/>
      <c r="Q138" s="32">
        <v>51.948999999999899</v>
      </c>
      <c r="R138" s="53">
        <v>19.369924786666644</v>
      </c>
      <c r="S138" s="53"/>
      <c r="T138" s="52"/>
      <c r="U138" s="53">
        <f t="shared" si="82"/>
        <v>178.86892478666655</v>
      </c>
      <c r="W138" s="151">
        <v>46132</v>
      </c>
      <c r="X138" s="376">
        <v>20079.45</v>
      </c>
      <c r="Y138" s="377">
        <v>1734.14</v>
      </c>
      <c r="Z138" s="382"/>
      <c r="AA138" s="27"/>
      <c r="AB138" s="51">
        <v>1087.5445299999988</v>
      </c>
      <c r="AC138" s="33">
        <v>26.093987832380918</v>
      </c>
      <c r="AD138" s="33"/>
      <c r="AE138" s="53"/>
      <c r="AF138" s="53">
        <f t="shared" si="83"/>
        <v>1113.6385178323796</v>
      </c>
      <c r="AH138" s="151">
        <v>46132</v>
      </c>
      <c r="AI138" s="364">
        <v>9215.77</v>
      </c>
      <c r="AJ138" s="365">
        <v>1340.47</v>
      </c>
      <c r="AK138" s="370">
        <v>79.11</v>
      </c>
      <c r="AL138" s="27"/>
      <c r="AM138" s="32">
        <v>266.72466999999949</v>
      </c>
      <c r="AN138" s="32">
        <v>134.84800000000001</v>
      </c>
      <c r="AO138" s="42">
        <v>19.344366181904718</v>
      </c>
      <c r="AP138" s="44"/>
      <c r="AQ138" s="53">
        <f t="shared" si="84"/>
        <v>500.02703618190424</v>
      </c>
      <c r="AS138" s="151">
        <v>46132</v>
      </c>
      <c r="AT138" s="364">
        <v>19451.060000000001</v>
      </c>
      <c r="AU138" s="365">
        <v>1131.78</v>
      </c>
      <c r="AV138" s="365">
        <v>3227.12</v>
      </c>
      <c r="AW138" s="171"/>
      <c r="AX138" s="27"/>
      <c r="AY138" s="32">
        <v>2.5440299999999922</v>
      </c>
      <c r="AZ138" s="53">
        <v>6.3794050104761766</v>
      </c>
      <c r="BA138" s="53"/>
      <c r="BB138" s="53">
        <f t="shared" si="85"/>
        <v>8.9234350104761688</v>
      </c>
      <c r="BD138" s="151">
        <v>46132</v>
      </c>
      <c r="BE138" s="152">
        <v>1295.1400000000001</v>
      </c>
      <c r="BF138" s="152">
        <v>1219.04</v>
      </c>
      <c r="BG138" s="158"/>
      <c r="BH138" s="158">
        <v>15.18</v>
      </c>
      <c r="BI138" s="27"/>
      <c r="BJ138" s="51"/>
      <c r="BK138" s="42"/>
      <c r="BL138" s="52"/>
      <c r="BM138" s="53">
        <f t="shared" si="86"/>
        <v>15.18</v>
      </c>
      <c r="BO138" s="151">
        <v>46132</v>
      </c>
      <c r="BP138" s="152">
        <v>5593.97</v>
      </c>
      <c r="BQ138" s="159">
        <v>762.35</v>
      </c>
      <c r="BR138" s="162"/>
      <c r="BS138" s="183">
        <v>1617.93</v>
      </c>
      <c r="BT138" s="27"/>
      <c r="BU138" s="240"/>
      <c r="BV138" s="42"/>
      <c r="BW138" s="42"/>
      <c r="BX138" s="52"/>
      <c r="BY138" s="53">
        <f t="shared" si="87"/>
        <v>1617.93</v>
      </c>
      <c r="CA138" s="151">
        <v>46132</v>
      </c>
      <c r="CB138" s="364">
        <v>7983.09</v>
      </c>
      <c r="CC138" s="385">
        <v>700.69</v>
      </c>
      <c r="CD138" s="331"/>
      <c r="CE138" s="27"/>
      <c r="CF138" s="32">
        <v>87.801339999999954</v>
      </c>
      <c r="CG138" s="42"/>
      <c r="CH138" s="44"/>
      <c r="CI138" s="53">
        <f t="shared" si="88"/>
        <v>87.801339999999954</v>
      </c>
      <c r="CK138" s="151">
        <v>46132</v>
      </c>
      <c r="CL138" s="364">
        <v>14073.86</v>
      </c>
      <c r="CM138" s="385">
        <v>677.19</v>
      </c>
      <c r="CN138" s="158"/>
      <c r="CO138" s="27"/>
      <c r="CP138" s="51"/>
      <c r="CQ138" s="33"/>
      <c r="CR138" s="52"/>
      <c r="CS138" s="53">
        <f t="shared" si="95"/>
        <v>0</v>
      </c>
      <c r="CU138" s="151">
        <v>46132</v>
      </c>
      <c r="CV138" s="364">
        <v>1641.83</v>
      </c>
      <c r="CW138" s="385">
        <v>618.20000000000005</v>
      </c>
      <c r="CX138" s="162"/>
      <c r="CY138" s="370">
        <v>63.67</v>
      </c>
      <c r="CZ138" s="27"/>
      <c r="DA138" s="32">
        <v>8.4894599999999514</v>
      </c>
      <c r="DB138" s="33">
        <v>32.572933349523851</v>
      </c>
      <c r="DC138" s="44"/>
      <c r="DD138" s="53">
        <f t="shared" si="98"/>
        <v>104.7323933495238</v>
      </c>
      <c r="DE138" s="211"/>
      <c r="DF138" s="151">
        <v>46132</v>
      </c>
      <c r="DG138" s="364">
        <v>3697.63</v>
      </c>
      <c r="DH138" s="385">
        <v>272.12</v>
      </c>
      <c r="DI138" s="162"/>
      <c r="DJ138" s="27"/>
      <c r="DK138" s="32">
        <v>74.243479999999948</v>
      </c>
      <c r="DL138" s="42">
        <v>21.515898499047665</v>
      </c>
      <c r="DM138" s="44"/>
      <c r="DN138" s="53">
        <f t="shared" si="89"/>
        <v>95.759378499047614</v>
      </c>
      <c r="DP138" s="151">
        <v>46132</v>
      </c>
      <c r="DQ138" s="364">
        <v>1078.06</v>
      </c>
      <c r="DR138" s="173"/>
      <c r="DS138" s="27"/>
      <c r="DT138" s="51"/>
      <c r="DU138" s="52"/>
      <c r="DV138" s="52"/>
      <c r="DW138" s="53">
        <f t="shared" si="90"/>
        <v>0</v>
      </c>
      <c r="DY138" s="151">
        <v>46132</v>
      </c>
      <c r="DZ138" s="389">
        <v>178</v>
      </c>
      <c r="EA138" s="174"/>
      <c r="EB138" s="27"/>
      <c r="EC138" s="51"/>
      <c r="ED138" s="52"/>
      <c r="EE138" s="52"/>
      <c r="EF138" s="53">
        <f t="shared" si="91"/>
        <v>0</v>
      </c>
      <c r="EH138" s="151">
        <v>46132</v>
      </c>
      <c r="EI138" s="152">
        <v>2371.91</v>
      </c>
      <c r="EJ138" s="162"/>
      <c r="EK138" s="27"/>
      <c r="EL138" s="51"/>
      <c r="EM138" s="52"/>
      <c r="EN138" s="52"/>
      <c r="EO138" s="53">
        <f t="shared" si="92"/>
        <v>0</v>
      </c>
      <c r="EQ138" s="151">
        <v>46132</v>
      </c>
      <c r="ER138" s="152">
        <v>2893.41</v>
      </c>
      <c r="ES138" s="396"/>
      <c r="ET138" s="27"/>
      <c r="EU138" s="32">
        <v>48.385799999999989</v>
      </c>
      <c r="EV138" s="52"/>
      <c r="EW138" s="52"/>
      <c r="EX138" s="53">
        <f t="shared" si="93"/>
        <v>48.385799999999989</v>
      </c>
    </row>
    <row r="139" spans="2:154" ht="15.75" thickBot="1" x14ac:dyDescent="0.3">
      <c r="B139" s="151">
        <v>46133</v>
      </c>
      <c r="C139" s="152">
        <v>4807.6099999999997</v>
      </c>
      <c r="D139" s="152">
        <v>1794.21</v>
      </c>
      <c r="E139" s="162"/>
      <c r="F139" s="27"/>
      <c r="G139" s="32">
        <v>280.91832999999974</v>
      </c>
      <c r="H139" s="33">
        <v>134.03557247999993</v>
      </c>
      <c r="I139" s="52"/>
      <c r="J139" s="53">
        <f t="shared" si="94"/>
        <v>414.95390247999967</v>
      </c>
      <c r="L139" s="151">
        <v>46133</v>
      </c>
      <c r="M139" s="364">
        <v>21087.13</v>
      </c>
      <c r="N139" s="365">
        <v>3071.43</v>
      </c>
      <c r="O139" s="372">
        <v>58.2</v>
      </c>
      <c r="P139" s="27"/>
      <c r="Q139" s="32">
        <v>21.043949999999967</v>
      </c>
      <c r="R139" s="53">
        <v>20.39472691200001</v>
      </c>
      <c r="S139" s="53"/>
      <c r="T139" s="52">
        <v>100.79544409999971</v>
      </c>
      <c r="U139" s="53">
        <f t="shared" si="82"/>
        <v>200.43412101199971</v>
      </c>
      <c r="W139" s="151">
        <v>46133</v>
      </c>
      <c r="X139" s="376">
        <v>21071.86</v>
      </c>
      <c r="Y139" s="377">
        <v>2258.87</v>
      </c>
      <c r="Z139" s="383">
        <v>7.94</v>
      </c>
      <c r="AA139" s="27"/>
      <c r="AB139" s="51">
        <v>512.88779999999929</v>
      </c>
      <c r="AC139" s="33">
        <v>78.248991048000022</v>
      </c>
      <c r="AD139" s="33"/>
      <c r="AE139" s="53"/>
      <c r="AF139" s="53">
        <f t="shared" si="83"/>
        <v>599.07679104799934</v>
      </c>
      <c r="AH139" s="151">
        <v>46133</v>
      </c>
      <c r="AI139" s="364">
        <v>7809.8</v>
      </c>
      <c r="AJ139" s="385">
        <v>746.94</v>
      </c>
      <c r="AK139" s="370">
        <v>204.09</v>
      </c>
      <c r="AL139" s="27"/>
      <c r="AM139" s="32">
        <v>149.15938999999992</v>
      </c>
      <c r="AN139" s="32">
        <v>134.84800000000001</v>
      </c>
      <c r="AO139" s="42"/>
      <c r="AP139" s="44"/>
      <c r="AQ139" s="53">
        <f t="shared" si="84"/>
        <v>488.09738999999996</v>
      </c>
      <c r="AS139" s="151">
        <v>46133</v>
      </c>
      <c r="AT139" s="364">
        <v>21545.8</v>
      </c>
      <c r="AU139" s="365">
        <v>1591.95</v>
      </c>
      <c r="AV139" s="365">
        <v>3980.37</v>
      </c>
      <c r="AW139" s="180"/>
      <c r="AX139" s="27"/>
      <c r="AY139" s="32">
        <v>8.3602999999999952</v>
      </c>
      <c r="AZ139" s="53">
        <v>78.370315864000105</v>
      </c>
      <c r="BA139" s="53"/>
      <c r="BB139" s="53">
        <f t="shared" si="85"/>
        <v>86.7306158640001</v>
      </c>
      <c r="BD139" s="151">
        <v>46133</v>
      </c>
      <c r="BE139" s="152">
        <v>1063.71</v>
      </c>
      <c r="BF139" s="152">
        <v>1199.6600000000001</v>
      </c>
      <c r="BG139" s="158"/>
      <c r="BH139" s="158">
        <v>20.55</v>
      </c>
      <c r="BI139" s="27"/>
      <c r="BJ139" s="51"/>
      <c r="BK139" s="42"/>
      <c r="BL139" s="52"/>
      <c r="BM139" s="53">
        <f t="shared" si="86"/>
        <v>20.55</v>
      </c>
      <c r="BO139" s="151">
        <v>46133</v>
      </c>
      <c r="BP139" s="152">
        <v>5423.95</v>
      </c>
      <c r="BQ139" s="159">
        <v>989.62</v>
      </c>
      <c r="BR139" s="162"/>
      <c r="BS139" s="183">
        <v>1075.5999999999999</v>
      </c>
      <c r="BT139" s="27"/>
      <c r="BU139" s="240"/>
      <c r="BV139" s="42">
        <v>47.18059231999996</v>
      </c>
      <c r="BW139" s="42"/>
      <c r="BX139" s="52"/>
      <c r="BY139" s="53">
        <f t="shared" si="87"/>
        <v>1122.7805923199999</v>
      </c>
      <c r="CA139" s="151">
        <v>46133</v>
      </c>
      <c r="CB139" s="364">
        <v>5614.5</v>
      </c>
      <c r="CC139" s="385">
        <v>624.05999999999995</v>
      </c>
      <c r="CD139" s="331"/>
      <c r="CE139" s="27"/>
      <c r="CF139" s="32">
        <v>95.871459999999985</v>
      </c>
      <c r="CG139" s="42"/>
      <c r="CH139" s="44"/>
      <c r="CI139" s="53">
        <f t="shared" si="88"/>
        <v>95.871459999999985</v>
      </c>
      <c r="CK139" s="151">
        <v>46133</v>
      </c>
      <c r="CL139" s="389">
        <v>622.49</v>
      </c>
      <c r="CM139" s="385">
        <v>718.3</v>
      </c>
      <c r="CN139" s="158"/>
      <c r="CO139" s="27"/>
      <c r="CP139" s="51"/>
      <c r="CQ139" s="33"/>
      <c r="CR139" s="52"/>
      <c r="CS139" s="53">
        <f t="shared" si="95"/>
        <v>0</v>
      </c>
      <c r="CU139" s="151">
        <v>46133</v>
      </c>
      <c r="CV139" s="389">
        <v>848.34</v>
      </c>
      <c r="CW139" s="385">
        <v>311.5</v>
      </c>
      <c r="CX139" s="162"/>
      <c r="CY139" s="370">
        <v>96.64</v>
      </c>
      <c r="CZ139" s="27"/>
      <c r="DA139" s="32">
        <v>20.858539999999891</v>
      </c>
      <c r="DB139" s="33">
        <v>76.96864579999999</v>
      </c>
      <c r="DC139" s="44"/>
      <c r="DD139" s="53">
        <f t="shared" si="98"/>
        <v>194.46718579999987</v>
      </c>
      <c r="DE139" s="211"/>
      <c r="DF139" s="151">
        <v>46133</v>
      </c>
      <c r="DG139" s="364">
        <v>4184.6000000000004</v>
      </c>
      <c r="DH139" s="385">
        <v>521.11</v>
      </c>
      <c r="DI139" s="162"/>
      <c r="DJ139" s="27"/>
      <c r="DK139" s="32">
        <v>62.309399999999926</v>
      </c>
      <c r="DL139" s="42">
        <v>44.168245359999958</v>
      </c>
      <c r="DM139" s="44">
        <v>6.8167999999999864</v>
      </c>
      <c r="DN139" s="53">
        <f t="shared" si="89"/>
        <v>113.29444535999987</v>
      </c>
      <c r="DP139" s="151">
        <v>46133</v>
      </c>
      <c r="DQ139" s="364">
        <v>1931.71</v>
      </c>
      <c r="DR139" s="173"/>
      <c r="DS139" s="27"/>
      <c r="DT139" s="51"/>
      <c r="DU139" s="52"/>
      <c r="DV139" s="52"/>
      <c r="DW139" s="53">
        <f t="shared" si="90"/>
        <v>0</v>
      </c>
      <c r="DY139" s="151">
        <v>46133</v>
      </c>
      <c r="DZ139" s="364">
        <v>1103</v>
      </c>
      <c r="EA139" s="174"/>
      <c r="EB139" s="27"/>
      <c r="EC139" s="51"/>
      <c r="ED139" s="52"/>
      <c r="EE139" s="52"/>
      <c r="EF139" s="53">
        <f t="shared" si="91"/>
        <v>0</v>
      </c>
      <c r="EH139" s="151">
        <v>46133</v>
      </c>
      <c r="EI139" s="152">
        <v>2166.8000000000002</v>
      </c>
      <c r="EJ139" s="162"/>
      <c r="EK139" s="27"/>
      <c r="EL139" s="51"/>
      <c r="EM139" s="52"/>
      <c r="EN139" s="52"/>
      <c r="EO139" s="53">
        <f t="shared" si="92"/>
        <v>0</v>
      </c>
      <c r="EQ139" s="151">
        <v>46133</v>
      </c>
      <c r="ER139" s="152">
        <v>2898.13</v>
      </c>
      <c r="ES139" s="396"/>
      <c r="ET139" s="27"/>
      <c r="EU139" s="32">
        <v>149.68064799999985</v>
      </c>
      <c r="EV139" s="52"/>
      <c r="EW139" s="52"/>
      <c r="EX139" s="53">
        <f t="shared" si="93"/>
        <v>149.68064799999985</v>
      </c>
    </row>
    <row r="140" spans="2:154" ht="15.75" thickBot="1" x14ac:dyDescent="0.3">
      <c r="B140" s="151">
        <v>46134</v>
      </c>
      <c r="C140" s="152">
        <v>7764.97</v>
      </c>
      <c r="D140" s="152">
        <v>1819.83</v>
      </c>
      <c r="E140" s="162"/>
      <c r="F140" s="27"/>
      <c r="G140" s="32">
        <v>336.95233999999971</v>
      </c>
      <c r="H140" s="33">
        <v>76.806751439999914</v>
      </c>
      <c r="I140" s="52"/>
      <c r="J140" s="53">
        <f t="shared" si="94"/>
        <v>413.75909143999962</v>
      </c>
      <c r="L140" s="151">
        <v>46134</v>
      </c>
      <c r="M140" s="364">
        <v>22827.56</v>
      </c>
      <c r="N140" s="365">
        <v>2614.4</v>
      </c>
      <c r="O140" s="372">
        <v>73.02</v>
      </c>
      <c r="P140" s="27"/>
      <c r="Q140" s="32">
        <v>72.730779999999953</v>
      </c>
      <c r="R140" s="53"/>
      <c r="S140" s="53"/>
      <c r="T140" s="52">
        <v>177.98261040000011</v>
      </c>
      <c r="U140" s="53">
        <f t="shared" si="82"/>
        <v>323.73339040000008</v>
      </c>
      <c r="W140" s="151">
        <v>46134</v>
      </c>
      <c r="X140" s="376">
        <v>21811.29</v>
      </c>
      <c r="Y140" s="377">
        <v>1418.62</v>
      </c>
      <c r="Z140" s="383">
        <v>6.12</v>
      </c>
      <c r="AA140" s="27"/>
      <c r="AB140" s="51">
        <v>3994.1208199999992</v>
      </c>
      <c r="AC140" s="33">
        <v>2934.8915337280018</v>
      </c>
      <c r="AD140" s="33"/>
      <c r="AE140" s="53"/>
      <c r="AF140" s="53">
        <f t="shared" si="83"/>
        <v>6935.1323537280005</v>
      </c>
      <c r="AH140" s="151">
        <v>46134</v>
      </c>
      <c r="AI140" s="364">
        <v>5977.74</v>
      </c>
      <c r="AJ140" s="385">
        <v>736.07</v>
      </c>
      <c r="AK140" s="370">
        <v>201.91</v>
      </c>
      <c r="AL140" s="27"/>
      <c r="AM140" s="32">
        <v>437.72657999999956</v>
      </c>
      <c r="AN140" s="32">
        <v>134.84800000000001</v>
      </c>
      <c r="AO140" s="42"/>
      <c r="AP140" s="44"/>
      <c r="AQ140" s="53">
        <f t="shared" si="84"/>
        <v>774.4845799999996</v>
      </c>
      <c r="AS140" s="151">
        <v>46134</v>
      </c>
      <c r="AT140" s="364">
        <v>20773.8</v>
      </c>
      <c r="AU140" s="365">
        <v>1273.01</v>
      </c>
      <c r="AV140" s="365">
        <v>3752.82</v>
      </c>
      <c r="AW140" s="171"/>
      <c r="AX140" s="27"/>
      <c r="AY140" s="32">
        <v>19.010599999999993</v>
      </c>
      <c r="AZ140" s="53">
        <v>47.651232040000025</v>
      </c>
      <c r="BA140" s="53"/>
      <c r="BB140" s="53">
        <f t="shared" si="85"/>
        <v>66.661832040000021</v>
      </c>
      <c r="BD140" s="151">
        <v>46134</v>
      </c>
      <c r="BE140" s="152">
        <v>1266.8900000000001</v>
      </c>
      <c r="BF140" s="152">
        <v>1269.6500000000001</v>
      </c>
      <c r="BG140" s="158"/>
      <c r="BH140" s="158">
        <v>23.42</v>
      </c>
      <c r="BI140" s="27"/>
      <c r="BJ140" s="51"/>
      <c r="BK140" s="42"/>
      <c r="BL140" s="52"/>
      <c r="BM140" s="53">
        <f t="shared" si="86"/>
        <v>23.42</v>
      </c>
      <c r="BO140" s="151">
        <v>46134</v>
      </c>
      <c r="BP140" s="152">
        <v>2632.06</v>
      </c>
      <c r="BQ140" s="159">
        <v>906.09</v>
      </c>
      <c r="BR140" s="162"/>
      <c r="BS140" s="158">
        <v>905.8</v>
      </c>
      <c r="BT140" s="27"/>
      <c r="BU140" s="240"/>
      <c r="BV140" s="42"/>
      <c r="BW140" s="42"/>
      <c r="BX140" s="52"/>
      <c r="BY140" s="53">
        <f t="shared" ref="BY140:BY148" si="99">SUM(BS140:BX140)</f>
        <v>905.8</v>
      </c>
      <c r="CA140" s="151">
        <v>46134</v>
      </c>
      <c r="CB140" s="364">
        <v>4037.18</v>
      </c>
      <c r="CC140" s="385">
        <v>722.46</v>
      </c>
      <c r="CD140" s="331"/>
      <c r="CE140" s="27"/>
      <c r="CF140" s="32">
        <v>44.519539999999949</v>
      </c>
      <c r="CG140" s="42"/>
      <c r="CH140" s="44"/>
      <c r="CI140" s="53">
        <f t="shared" si="88"/>
        <v>44.519539999999949</v>
      </c>
      <c r="CK140" s="151">
        <v>46134</v>
      </c>
      <c r="CL140" s="364">
        <v>1791.15</v>
      </c>
      <c r="CM140" s="385">
        <v>577.77</v>
      </c>
      <c r="CN140" s="158"/>
      <c r="CO140" s="27"/>
      <c r="CP140" s="51"/>
      <c r="CQ140" s="33"/>
      <c r="CR140" s="52"/>
      <c r="CS140" s="53">
        <f t="shared" si="95"/>
        <v>0</v>
      </c>
      <c r="CU140" s="151">
        <v>46134</v>
      </c>
      <c r="CV140" s="364">
        <v>1150.43</v>
      </c>
      <c r="CW140" s="385">
        <v>345.6</v>
      </c>
      <c r="CX140" s="162"/>
      <c r="CY140" s="370">
        <v>65.040000000000006</v>
      </c>
      <c r="CZ140" s="27"/>
      <c r="DA140" s="32">
        <v>98.837069999999898</v>
      </c>
      <c r="DB140" s="33"/>
      <c r="DC140" s="44"/>
      <c r="DD140" s="53">
        <f t="shared" si="98"/>
        <v>163.87706999999989</v>
      </c>
      <c r="DE140" s="211"/>
      <c r="DF140" s="151">
        <v>46134</v>
      </c>
      <c r="DG140" s="364">
        <v>4905.67</v>
      </c>
      <c r="DH140" s="385">
        <v>313.72000000000003</v>
      </c>
      <c r="DI140" s="162"/>
      <c r="DJ140" s="27"/>
      <c r="DK140" s="32">
        <v>41.601599999999934</v>
      </c>
      <c r="DL140" s="42">
        <v>44.099084599999998</v>
      </c>
      <c r="DM140" s="44"/>
      <c r="DN140" s="53">
        <f t="shared" si="89"/>
        <v>85.700684599999931</v>
      </c>
      <c r="DP140" s="151">
        <v>46134</v>
      </c>
      <c r="DQ140" s="364">
        <v>1285.17</v>
      </c>
      <c r="DR140" s="173"/>
      <c r="DS140" s="27"/>
      <c r="DT140" s="51"/>
      <c r="DU140" s="52"/>
      <c r="DV140" s="52"/>
      <c r="DW140" s="53">
        <f t="shared" si="90"/>
        <v>0</v>
      </c>
      <c r="DY140" s="151">
        <v>46134</v>
      </c>
      <c r="DZ140" s="389">
        <v>0</v>
      </c>
      <c r="EA140" s="174"/>
      <c r="EB140" s="27"/>
      <c r="EC140" s="51"/>
      <c r="ED140" s="52"/>
      <c r="EE140" s="52"/>
      <c r="EF140" s="53">
        <f t="shared" si="91"/>
        <v>0</v>
      </c>
      <c r="EH140" s="151">
        <v>46134</v>
      </c>
      <c r="EI140" s="152">
        <v>3050</v>
      </c>
      <c r="EJ140" s="162"/>
      <c r="EK140" s="27"/>
      <c r="EL140" s="51"/>
      <c r="EM140" s="52"/>
      <c r="EN140" s="52"/>
      <c r="EO140" s="53">
        <f t="shared" si="92"/>
        <v>0</v>
      </c>
      <c r="EQ140" s="151">
        <v>46134</v>
      </c>
      <c r="ER140" s="152">
        <v>2707.16</v>
      </c>
      <c r="ES140" s="396"/>
      <c r="ET140" s="27"/>
      <c r="EU140" s="32">
        <v>203.19848899999994</v>
      </c>
      <c r="EV140" s="52"/>
      <c r="EW140" s="52"/>
      <c r="EX140" s="53">
        <f t="shared" si="93"/>
        <v>203.19848899999994</v>
      </c>
    </row>
    <row r="141" spans="2:154" ht="15.75" thickBot="1" x14ac:dyDescent="0.3">
      <c r="B141" s="151">
        <v>46135</v>
      </c>
      <c r="C141" s="152">
        <v>5484.4</v>
      </c>
      <c r="D141" s="152">
        <v>1956.41</v>
      </c>
      <c r="E141" s="162"/>
      <c r="F141" s="27"/>
      <c r="G141" s="32">
        <v>681.71198999999967</v>
      </c>
      <c r="H141" s="33"/>
      <c r="I141" s="52"/>
      <c r="J141" s="53">
        <f t="shared" si="94"/>
        <v>681.71198999999967</v>
      </c>
      <c r="L141" s="151">
        <v>46135</v>
      </c>
      <c r="M141" s="364">
        <v>25817.09</v>
      </c>
      <c r="N141" s="365">
        <v>3502.14</v>
      </c>
      <c r="O141" s="372">
        <v>78.989999999999995</v>
      </c>
      <c r="P141" s="27"/>
      <c r="Q141" s="32">
        <v>46.646479999999997</v>
      </c>
      <c r="R141" s="53">
        <v>52.802505640000078</v>
      </c>
      <c r="S141" s="53"/>
      <c r="T141" s="52">
        <v>553.95543600000019</v>
      </c>
      <c r="U141" s="53">
        <f t="shared" si="82"/>
        <v>732.39442164000025</v>
      </c>
      <c r="W141" s="151">
        <v>46135</v>
      </c>
      <c r="X141" s="376">
        <v>31574.560000000001</v>
      </c>
      <c r="Y141" s="377">
        <v>1649.05</v>
      </c>
      <c r="Z141" s="383">
        <v>4.67</v>
      </c>
      <c r="AA141" s="27"/>
      <c r="AB141" s="51">
        <v>937.94705999999996</v>
      </c>
      <c r="AC141" s="33">
        <v>191.68483274400003</v>
      </c>
      <c r="AD141" s="33"/>
      <c r="AE141" s="53"/>
      <c r="AF141" s="53">
        <f t="shared" si="83"/>
        <v>1134.301892744</v>
      </c>
      <c r="AH141" s="151">
        <v>46135</v>
      </c>
      <c r="AI141" s="364">
        <v>6828.78</v>
      </c>
      <c r="AJ141" s="365">
        <v>1158.04</v>
      </c>
      <c r="AK141" s="370">
        <v>266.88</v>
      </c>
      <c r="AL141" s="27"/>
      <c r="AM141" s="32">
        <v>485.9809699999995</v>
      </c>
      <c r="AN141" s="32">
        <v>134.84800000000001</v>
      </c>
      <c r="AO141" s="42"/>
      <c r="AP141" s="44"/>
      <c r="AQ141" s="53">
        <f t="shared" si="84"/>
        <v>887.70896999999945</v>
      </c>
      <c r="AS141" s="151">
        <v>46135</v>
      </c>
      <c r="AT141" s="364">
        <v>18898.89</v>
      </c>
      <c r="AU141" s="365">
        <v>1094.73</v>
      </c>
      <c r="AV141" s="365">
        <v>3379.49</v>
      </c>
      <c r="AW141" s="171"/>
      <c r="AX141" s="27"/>
      <c r="AY141" s="32">
        <v>8.9408000000000101</v>
      </c>
      <c r="AZ141" s="53">
        <v>73.828859728000026</v>
      </c>
      <c r="BA141" s="53"/>
      <c r="BB141" s="53">
        <f t="shared" si="85"/>
        <v>82.769659728000036</v>
      </c>
      <c r="BD141" s="151">
        <v>46135</v>
      </c>
      <c r="BE141" s="152">
        <v>1150.8399999999999</v>
      </c>
      <c r="BF141" s="152">
        <v>1071.8900000000001</v>
      </c>
      <c r="BG141" s="158"/>
      <c r="BH141" s="158">
        <v>14.88</v>
      </c>
      <c r="BI141" s="27"/>
      <c r="BJ141" s="51"/>
      <c r="BK141" s="42"/>
      <c r="BL141" s="52"/>
      <c r="BM141" s="53">
        <f t="shared" si="86"/>
        <v>14.88</v>
      </c>
      <c r="BO141" s="151">
        <v>46135</v>
      </c>
      <c r="BP141" s="152">
        <v>2730.77</v>
      </c>
      <c r="BQ141" s="159">
        <v>536.75</v>
      </c>
      <c r="BR141" s="162"/>
      <c r="BS141" s="158">
        <v>735.85</v>
      </c>
      <c r="BT141" s="27"/>
      <c r="BU141" s="240"/>
      <c r="BV141" s="42"/>
      <c r="BW141" s="42"/>
      <c r="BX141" s="52"/>
      <c r="BY141" s="53">
        <f t="shared" si="99"/>
        <v>735.85</v>
      </c>
      <c r="CA141" s="151">
        <v>46135</v>
      </c>
      <c r="CB141" s="364">
        <v>0</v>
      </c>
      <c r="CC141" s="385">
        <v>1059</v>
      </c>
      <c r="CD141" s="331"/>
      <c r="CE141" s="27"/>
      <c r="CF141" s="32">
        <v>136.85782000000009</v>
      </c>
      <c r="CG141" s="42"/>
      <c r="CH141" s="44"/>
      <c r="CI141" s="53">
        <f t="shared" si="88"/>
        <v>136.85782000000009</v>
      </c>
      <c r="CK141" s="151">
        <v>46135</v>
      </c>
      <c r="CL141" s="364">
        <v>4470.08</v>
      </c>
      <c r="CM141" s="365">
        <v>1249.6099999999999</v>
      </c>
      <c r="CN141" s="158"/>
      <c r="CO141" s="27"/>
      <c r="CP141" s="51"/>
      <c r="CQ141" s="33"/>
      <c r="CR141" s="52"/>
      <c r="CS141" s="53">
        <f t="shared" si="95"/>
        <v>0</v>
      </c>
      <c r="CU141" s="151">
        <v>46135</v>
      </c>
      <c r="CV141" s="389">
        <v>816.33</v>
      </c>
      <c r="CW141" s="385">
        <v>390.3</v>
      </c>
      <c r="CX141" s="162"/>
      <c r="CY141" s="369"/>
      <c r="CZ141" s="27"/>
      <c r="DA141" s="32">
        <v>21.245899999999949</v>
      </c>
      <c r="DB141" s="33">
        <v>51.964521960000013</v>
      </c>
      <c r="DC141" s="44"/>
      <c r="DD141" s="53">
        <f t="shared" si="98"/>
        <v>73.210421959999962</v>
      </c>
      <c r="DE141" s="211"/>
      <c r="DF141" s="151">
        <v>46135</v>
      </c>
      <c r="DG141" s="364">
        <v>5807.95</v>
      </c>
      <c r="DH141" s="385">
        <v>646.58000000000004</v>
      </c>
      <c r="DI141" s="162"/>
      <c r="DJ141" s="27"/>
      <c r="DK141" s="32">
        <v>193.99679999999969</v>
      </c>
      <c r="DL141" s="42">
        <v>44.939933840000009</v>
      </c>
      <c r="DM141" s="44"/>
      <c r="DN141" s="53">
        <f t="shared" si="89"/>
        <v>238.9367338399997</v>
      </c>
      <c r="DP141" s="151">
        <v>46135</v>
      </c>
      <c r="DQ141" s="389">
        <v>947.46</v>
      </c>
      <c r="DR141" s="173"/>
      <c r="DS141" s="27"/>
      <c r="DT141" s="51"/>
      <c r="DU141" s="52"/>
      <c r="DV141" s="52"/>
      <c r="DW141" s="53">
        <f t="shared" si="90"/>
        <v>0</v>
      </c>
      <c r="DY141" s="151">
        <v>46135</v>
      </c>
      <c r="DZ141" s="389">
        <v>487</v>
      </c>
      <c r="EA141" s="174"/>
      <c r="EB141" s="27"/>
      <c r="EC141" s="51"/>
      <c r="ED141" s="52"/>
      <c r="EE141" s="52"/>
      <c r="EF141" s="53">
        <f t="shared" si="91"/>
        <v>0</v>
      </c>
      <c r="EH141" s="151">
        <v>46135</v>
      </c>
      <c r="EI141" s="152">
        <v>4091.8</v>
      </c>
      <c r="EJ141" s="158">
        <v>72</v>
      </c>
      <c r="EK141" s="27"/>
      <c r="EL141" s="51"/>
      <c r="EM141" s="52"/>
      <c r="EN141" s="52"/>
      <c r="EO141" s="53">
        <f t="shared" si="92"/>
        <v>72</v>
      </c>
      <c r="EQ141" s="151">
        <v>46135</v>
      </c>
      <c r="ER141" s="152">
        <v>2719.8</v>
      </c>
      <c r="ES141" s="396"/>
      <c r="ET141" s="27"/>
      <c r="EU141" s="32">
        <v>118.83905000000001</v>
      </c>
      <c r="EV141" s="52"/>
      <c r="EW141" s="52"/>
      <c r="EX141" s="53">
        <f t="shared" si="93"/>
        <v>118.83905000000001</v>
      </c>
    </row>
    <row r="142" spans="2:154" ht="15.75" thickBot="1" x14ac:dyDescent="0.3">
      <c r="B142" s="151">
        <v>46136</v>
      </c>
      <c r="C142" s="152">
        <v>6798.53</v>
      </c>
      <c r="D142" s="152">
        <v>1959.45</v>
      </c>
      <c r="E142" s="158"/>
      <c r="F142" s="27"/>
      <c r="G142" s="32">
        <v>447.76354999999978</v>
      </c>
      <c r="H142" s="33"/>
      <c r="I142" s="52"/>
      <c r="J142" s="53">
        <f t="shared" si="94"/>
        <v>447.76354999999978</v>
      </c>
      <c r="L142" s="151">
        <v>46136</v>
      </c>
      <c r="M142" s="364">
        <v>24792.79</v>
      </c>
      <c r="N142" s="365">
        <v>3431.7</v>
      </c>
      <c r="O142" s="372">
        <v>56.51</v>
      </c>
      <c r="P142" s="27"/>
      <c r="Q142" s="32"/>
      <c r="R142" s="53">
        <v>136.25052900000037</v>
      </c>
      <c r="S142" s="53"/>
      <c r="T142" s="52"/>
      <c r="U142" s="53">
        <f t="shared" si="82"/>
        <v>192.76052900000036</v>
      </c>
      <c r="W142" s="151">
        <v>46136</v>
      </c>
      <c r="X142" s="376">
        <v>19510.18</v>
      </c>
      <c r="Y142" s="377">
        <v>2320.87</v>
      </c>
      <c r="Z142" s="383">
        <v>0.89</v>
      </c>
      <c r="AA142" s="27"/>
      <c r="AB142" s="51">
        <v>1026.44847</v>
      </c>
      <c r="AC142" s="33">
        <v>37.869206759999997</v>
      </c>
      <c r="AD142" s="33"/>
      <c r="AE142" s="53"/>
      <c r="AF142" s="53">
        <f t="shared" si="83"/>
        <v>1065.2076767600001</v>
      </c>
      <c r="AH142" s="151">
        <v>46136</v>
      </c>
      <c r="AI142" s="364">
        <v>6396.49</v>
      </c>
      <c r="AJ142" s="365">
        <v>1065.9000000000001</v>
      </c>
      <c r="AK142" s="369"/>
      <c r="AL142" s="27"/>
      <c r="AM142" s="32">
        <v>516.10176999999942</v>
      </c>
      <c r="AN142" s="32">
        <v>134.84800000000001</v>
      </c>
      <c r="AO142" s="42"/>
      <c r="AP142" s="44"/>
      <c r="AQ142" s="53">
        <f t="shared" si="84"/>
        <v>650.94976999999949</v>
      </c>
      <c r="AS142" s="151">
        <v>46136</v>
      </c>
      <c r="AT142" s="364">
        <v>17803.990000000002</v>
      </c>
      <c r="AU142" s="365">
        <v>1129.95</v>
      </c>
      <c r="AV142" s="365">
        <v>4131.2</v>
      </c>
      <c r="AW142" s="171"/>
      <c r="AX142" s="27"/>
      <c r="AY142" s="32"/>
      <c r="AZ142" s="53">
        <v>21.065442048000051</v>
      </c>
      <c r="BA142" s="53">
        <v>7.6063338999999957</v>
      </c>
      <c r="BB142" s="53">
        <f t="shared" si="85"/>
        <v>28.671775948000047</v>
      </c>
      <c r="BD142" s="151">
        <v>46136</v>
      </c>
      <c r="BE142" s="159">
        <v>858.9</v>
      </c>
      <c r="BF142" s="152">
        <v>1213.18</v>
      </c>
      <c r="BG142" s="158"/>
      <c r="BH142" s="158">
        <v>30.35</v>
      </c>
      <c r="BI142" s="27"/>
      <c r="BJ142" s="51"/>
      <c r="BK142" s="42"/>
      <c r="BL142" s="52"/>
      <c r="BM142" s="53">
        <f t="shared" si="86"/>
        <v>30.35</v>
      </c>
      <c r="BO142" s="151">
        <v>46136</v>
      </c>
      <c r="BP142" s="152">
        <v>3053.24</v>
      </c>
      <c r="BQ142" s="159">
        <v>770.62</v>
      </c>
      <c r="BR142" s="162"/>
      <c r="BS142" s="158">
        <v>718.09</v>
      </c>
      <c r="BT142" s="27"/>
      <c r="BU142" s="240"/>
      <c r="BV142" s="42"/>
      <c r="BW142" s="42"/>
      <c r="BX142" s="52"/>
      <c r="BY142" s="53">
        <f t="shared" si="99"/>
        <v>718.09</v>
      </c>
      <c r="CA142" s="151">
        <v>46136</v>
      </c>
      <c r="CB142" s="364">
        <v>3958.09</v>
      </c>
      <c r="CC142" s="385">
        <v>1354.8</v>
      </c>
      <c r="CD142" s="331"/>
      <c r="CE142" s="27"/>
      <c r="CF142" s="32">
        <v>18.411040000000071</v>
      </c>
      <c r="CG142" s="42"/>
      <c r="CH142" s="44"/>
      <c r="CI142" s="53">
        <f t="shared" si="88"/>
        <v>18.411040000000071</v>
      </c>
      <c r="CK142" s="151">
        <v>46136</v>
      </c>
      <c r="CL142" s="364">
        <v>5169.42</v>
      </c>
      <c r="CM142" s="365">
        <v>1065.1600000000001</v>
      </c>
      <c r="CN142" s="158"/>
      <c r="CO142" s="27"/>
      <c r="CP142" s="51"/>
      <c r="CQ142" s="33"/>
      <c r="CR142" s="52"/>
      <c r="CS142" s="53">
        <f t="shared" si="95"/>
        <v>0</v>
      </c>
      <c r="CU142" s="151">
        <v>46136</v>
      </c>
      <c r="CV142" s="389">
        <v>659.98</v>
      </c>
      <c r="CW142" s="385">
        <v>549</v>
      </c>
      <c r="CX142" s="162"/>
      <c r="CY142" s="370">
        <v>74.87</v>
      </c>
      <c r="CZ142" s="27"/>
      <c r="DA142" s="32">
        <v>44.148529999999909</v>
      </c>
      <c r="DB142" s="33">
        <v>67.956745679999983</v>
      </c>
      <c r="DC142" s="44"/>
      <c r="DD142" s="53">
        <f t="shared" si="98"/>
        <v>186.9752756799999</v>
      </c>
      <c r="DE142" s="211"/>
      <c r="DF142" s="151">
        <v>46136</v>
      </c>
      <c r="DG142" s="364">
        <v>3321.84</v>
      </c>
      <c r="DH142" s="385">
        <v>409.32</v>
      </c>
      <c r="DI142" s="158"/>
      <c r="DJ142" s="27"/>
      <c r="DK142" s="32"/>
      <c r="DL142" s="42">
        <v>57.345190159999959</v>
      </c>
      <c r="DM142" s="44"/>
      <c r="DN142" s="53">
        <f t="shared" si="89"/>
        <v>57.345190159999959</v>
      </c>
      <c r="DP142" s="151">
        <v>46136</v>
      </c>
      <c r="DQ142" s="364">
        <v>1766.09</v>
      </c>
      <c r="DR142" s="173"/>
      <c r="DS142" s="27"/>
      <c r="DT142" s="51"/>
      <c r="DU142" s="52"/>
      <c r="DV142" s="52"/>
      <c r="DW142" s="53">
        <f t="shared" si="90"/>
        <v>0</v>
      </c>
      <c r="DY142" s="151">
        <v>46136</v>
      </c>
      <c r="DZ142" s="389">
        <v>124.2</v>
      </c>
      <c r="EA142" s="174"/>
      <c r="EB142" s="27"/>
      <c r="EC142" s="51"/>
      <c r="ED142" s="52"/>
      <c r="EE142" s="52"/>
      <c r="EF142" s="53">
        <f t="shared" si="91"/>
        <v>0</v>
      </c>
      <c r="EH142" s="151">
        <v>46136</v>
      </c>
      <c r="EI142" s="152">
        <v>2290.34</v>
      </c>
      <c r="EJ142" s="158">
        <v>650</v>
      </c>
      <c r="EK142" s="27"/>
      <c r="EL142" s="51"/>
      <c r="EM142" s="52"/>
      <c r="EN142" s="52"/>
      <c r="EO142" s="53">
        <f t="shared" si="92"/>
        <v>650</v>
      </c>
      <c r="EQ142" s="151">
        <v>46136</v>
      </c>
      <c r="ER142" s="152">
        <v>5449.83</v>
      </c>
      <c r="ES142" s="396"/>
      <c r="ET142" s="27"/>
      <c r="EU142" s="32">
        <v>312.4811000000002</v>
      </c>
      <c r="EV142" s="52"/>
      <c r="EW142" s="52"/>
      <c r="EX142" s="53">
        <f t="shared" si="93"/>
        <v>312.4811000000002</v>
      </c>
    </row>
    <row r="143" spans="2:154" ht="15.75" thickBot="1" x14ac:dyDescent="0.3">
      <c r="B143" s="151">
        <v>46137</v>
      </c>
      <c r="C143" s="152">
        <v>6994.28</v>
      </c>
      <c r="D143" s="152">
        <v>2028.86</v>
      </c>
      <c r="E143" s="158"/>
      <c r="F143" s="27"/>
      <c r="G143" s="32">
        <v>394.72547999999978</v>
      </c>
      <c r="H143" s="33"/>
      <c r="I143" s="52"/>
      <c r="J143" s="53">
        <f t="shared" si="94"/>
        <v>394.72547999999978</v>
      </c>
      <c r="L143" s="151">
        <v>46137</v>
      </c>
      <c r="M143" s="364">
        <v>23237.49</v>
      </c>
      <c r="N143" s="365">
        <v>3655.93</v>
      </c>
      <c r="O143" s="372">
        <v>12.62</v>
      </c>
      <c r="P143" s="27"/>
      <c r="Q143" s="32">
        <v>13.57999999999997</v>
      </c>
      <c r="R143" s="53">
        <v>90.210110255238362</v>
      </c>
      <c r="S143" s="53"/>
      <c r="T143" s="52">
        <v>469.0555200000008</v>
      </c>
      <c r="U143" s="53">
        <f t="shared" si="82"/>
        <v>585.46563025523915</v>
      </c>
      <c r="W143" s="151">
        <v>46137</v>
      </c>
      <c r="X143" s="376">
        <v>21326.87</v>
      </c>
      <c r="Y143" s="377">
        <v>2823.14</v>
      </c>
      <c r="Z143" s="383">
        <v>2.25</v>
      </c>
      <c r="AA143" s="27"/>
      <c r="AB143" s="51">
        <v>1121.5927800000006</v>
      </c>
      <c r="AC143" s="33">
        <v>74.455412466476218</v>
      </c>
      <c r="AD143" s="33"/>
      <c r="AE143" s="53"/>
      <c r="AF143" s="53">
        <f t="shared" si="83"/>
        <v>1198.2981924664768</v>
      </c>
      <c r="AH143" s="151">
        <v>46137</v>
      </c>
      <c r="AI143" s="364">
        <v>9282.75</v>
      </c>
      <c r="AJ143" s="365">
        <v>1351.88</v>
      </c>
      <c r="AK143" s="370">
        <v>117.41</v>
      </c>
      <c r="AL143" s="27"/>
      <c r="AM143" s="32">
        <v>277.31382999999977</v>
      </c>
      <c r="AN143" s="32">
        <v>134.84800000000001</v>
      </c>
      <c r="AO143" s="42"/>
      <c r="AP143" s="44"/>
      <c r="AQ143" s="53">
        <f t="shared" si="84"/>
        <v>529.57182999999986</v>
      </c>
      <c r="AS143" s="151">
        <v>46137</v>
      </c>
      <c r="AT143" s="364">
        <v>21568.61</v>
      </c>
      <c r="AU143" s="365">
        <v>1897.47</v>
      </c>
      <c r="AV143" s="365">
        <v>4981.28</v>
      </c>
      <c r="AW143" s="180"/>
      <c r="AX143" s="27"/>
      <c r="AY143" s="32">
        <v>2.2567999999999948</v>
      </c>
      <c r="AZ143" s="53">
        <v>22.660358648571474</v>
      </c>
      <c r="BA143" s="53"/>
      <c r="BB143" s="53">
        <f t="shared" si="85"/>
        <v>24.917158648571469</v>
      </c>
      <c r="BD143" s="151">
        <v>46137</v>
      </c>
      <c r="BE143" s="159">
        <v>879.17</v>
      </c>
      <c r="BF143" s="159">
        <v>689.53</v>
      </c>
      <c r="BG143" s="158"/>
      <c r="BH143" s="158">
        <v>4.41</v>
      </c>
      <c r="BI143" s="27"/>
      <c r="BJ143" s="51"/>
      <c r="BK143" s="42"/>
      <c r="BL143" s="52"/>
      <c r="BM143" s="53">
        <f t="shared" si="86"/>
        <v>4.41</v>
      </c>
      <c r="BO143" s="151">
        <v>46137</v>
      </c>
      <c r="BP143" s="152">
        <v>6386.71</v>
      </c>
      <c r="BQ143" s="159">
        <v>669.84</v>
      </c>
      <c r="BR143" s="162"/>
      <c r="BS143" s="183">
        <v>1296.26</v>
      </c>
      <c r="BT143" s="27"/>
      <c r="BU143" s="240"/>
      <c r="BV143" s="42"/>
      <c r="BW143" s="42"/>
      <c r="BX143" s="52"/>
      <c r="BY143" s="53">
        <f t="shared" si="99"/>
        <v>1296.26</v>
      </c>
      <c r="CA143" s="151">
        <v>46137</v>
      </c>
      <c r="CB143" s="364">
        <v>6229.94</v>
      </c>
      <c r="CC143" s="385">
        <v>1274.74</v>
      </c>
      <c r="CD143" s="331"/>
      <c r="CE143" s="27"/>
      <c r="CF143" s="32">
        <v>64.200320000000005</v>
      </c>
      <c r="CG143" s="42"/>
      <c r="CH143" s="44"/>
      <c r="CI143" s="53">
        <f t="shared" si="88"/>
        <v>64.200320000000005</v>
      </c>
      <c r="CK143" s="151">
        <v>46137</v>
      </c>
      <c r="CL143" s="364">
        <v>3993.2</v>
      </c>
      <c r="CM143" s="365">
        <v>1770.31</v>
      </c>
      <c r="CN143" s="158"/>
      <c r="CO143" s="27"/>
      <c r="CP143" s="51"/>
      <c r="CQ143" s="33">
        <v>18.772359673333398</v>
      </c>
      <c r="CR143" s="52"/>
      <c r="CS143" s="53">
        <f t="shared" si="95"/>
        <v>18.772359673333398</v>
      </c>
      <c r="CU143" s="151">
        <v>46137</v>
      </c>
      <c r="CV143" s="364">
        <v>1285.6400000000001</v>
      </c>
      <c r="CW143" s="385">
        <v>565.5</v>
      </c>
      <c r="CX143" s="162"/>
      <c r="CY143" s="370">
        <v>258.32</v>
      </c>
      <c r="CZ143" s="27"/>
      <c r="DA143" s="32">
        <v>27.805529999999919</v>
      </c>
      <c r="DB143" s="33"/>
      <c r="DC143" s="44"/>
      <c r="DD143" s="53">
        <f t="shared" si="98"/>
        <v>286.12552999999991</v>
      </c>
      <c r="DE143" s="211"/>
      <c r="DF143" s="151">
        <v>46137</v>
      </c>
      <c r="DG143" s="364">
        <v>4198.1899999999996</v>
      </c>
      <c r="DH143" s="385">
        <v>600.72</v>
      </c>
      <c r="DI143" s="162"/>
      <c r="DJ143" s="27"/>
      <c r="DK143" s="32">
        <v>240.54839999999967</v>
      </c>
      <c r="DL143" s="42">
        <v>26.077348792000066</v>
      </c>
      <c r="DM143" s="44"/>
      <c r="DN143" s="53">
        <f t="shared" si="89"/>
        <v>266.62574879199974</v>
      </c>
      <c r="DP143" s="151">
        <v>46137</v>
      </c>
      <c r="DQ143" s="364">
        <v>1244.03</v>
      </c>
      <c r="DR143" s="173"/>
      <c r="DS143" s="27"/>
      <c r="DT143" s="51"/>
      <c r="DU143" s="52"/>
      <c r="DV143" s="52"/>
      <c r="DW143" s="53">
        <f t="shared" si="90"/>
        <v>0</v>
      </c>
      <c r="DY143" s="151">
        <v>46137</v>
      </c>
      <c r="DZ143" s="389">
        <v>324</v>
      </c>
      <c r="EA143" s="174"/>
      <c r="EB143" s="27"/>
      <c r="EC143" s="51"/>
      <c r="ED143" s="52"/>
      <c r="EE143" s="52"/>
      <c r="EF143" s="53">
        <f t="shared" si="91"/>
        <v>0</v>
      </c>
      <c r="EH143" s="151">
        <v>46137</v>
      </c>
      <c r="EI143" s="152">
        <v>3180.27</v>
      </c>
      <c r="EJ143" s="162"/>
      <c r="EK143" s="27"/>
      <c r="EL143" s="51"/>
      <c r="EM143" s="52"/>
      <c r="EN143" s="52"/>
      <c r="EO143" s="53">
        <f t="shared" si="92"/>
        <v>0</v>
      </c>
      <c r="EQ143" s="151">
        <v>46137</v>
      </c>
      <c r="ER143" s="152">
        <v>3722.59</v>
      </c>
      <c r="ES143" s="396"/>
      <c r="ET143" s="27"/>
      <c r="EU143" s="32">
        <v>54.869935000000048</v>
      </c>
      <c r="EV143" s="52"/>
      <c r="EW143" s="52"/>
      <c r="EX143" s="53">
        <f t="shared" si="93"/>
        <v>54.869935000000048</v>
      </c>
    </row>
    <row r="144" spans="2:154" ht="15.75" thickBot="1" x14ac:dyDescent="0.3">
      <c r="B144" s="151">
        <v>46138</v>
      </c>
      <c r="C144" s="152">
        <v>4285.1400000000003</v>
      </c>
      <c r="D144" s="152">
        <v>1872.36</v>
      </c>
      <c r="E144" s="158"/>
      <c r="F144" s="27"/>
      <c r="G144" s="32">
        <v>39.22151999999997</v>
      </c>
      <c r="H144" s="33"/>
      <c r="I144" s="52"/>
      <c r="J144" s="53">
        <f t="shared" si="94"/>
        <v>39.22151999999997</v>
      </c>
      <c r="L144" s="151">
        <v>46138</v>
      </c>
      <c r="M144" s="364">
        <v>33998.03</v>
      </c>
      <c r="N144" s="365">
        <v>3058.26</v>
      </c>
      <c r="O144" s="372">
        <v>84.7</v>
      </c>
      <c r="P144" s="27"/>
      <c r="Q144" s="32">
        <v>23.261759999999981</v>
      </c>
      <c r="R144" s="53"/>
      <c r="S144" s="53"/>
      <c r="T144" s="52"/>
      <c r="U144" s="53">
        <f t="shared" si="82"/>
        <v>107.96175999999998</v>
      </c>
      <c r="W144" s="151">
        <v>46138</v>
      </c>
      <c r="X144" s="376">
        <v>21586.97</v>
      </c>
      <c r="Y144" s="377">
        <v>2832.75</v>
      </c>
      <c r="Z144" s="382"/>
      <c r="AA144" s="27"/>
      <c r="AB144" s="51">
        <v>653.85197999999991</v>
      </c>
      <c r="AC144" s="33"/>
      <c r="AD144" s="33"/>
      <c r="AE144" s="53"/>
      <c r="AF144" s="53">
        <f t="shared" si="83"/>
        <v>653.85197999999991</v>
      </c>
      <c r="AH144" s="151">
        <v>46138</v>
      </c>
      <c r="AI144" s="364">
        <v>5445.38</v>
      </c>
      <c r="AJ144" s="365">
        <v>1434.55</v>
      </c>
      <c r="AK144" s="369"/>
      <c r="AL144" s="27"/>
      <c r="AM144" s="32">
        <v>91.616419999999948</v>
      </c>
      <c r="AN144" s="32">
        <v>134.84800000000001</v>
      </c>
      <c r="AO144" s="42"/>
      <c r="AP144" s="44"/>
      <c r="AQ144" s="53">
        <f t="shared" si="84"/>
        <v>226.46441999999996</v>
      </c>
      <c r="AS144" s="151">
        <v>46138</v>
      </c>
      <c r="AT144" s="364">
        <v>20250.189999999999</v>
      </c>
      <c r="AU144" s="365">
        <v>1194.42</v>
      </c>
      <c r="AV144" s="365">
        <v>2619.02</v>
      </c>
      <c r="AW144" s="180"/>
      <c r="AX144" s="27"/>
      <c r="AY144" s="32"/>
      <c r="AZ144" s="53">
        <v>76.038989490285815</v>
      </c>
      <c r="BA144" s="53"/>
      <c r="BB144" s="53">
        <f t="shared" si="85"/>
        <v>76.038989490285815</v>
      </c>
      <c r="BD144" s="151">
        <v>46138</v>
      </c>
      <c r="BE144" s="159">
        <v>911.65</v>
      </c>
      <c r="BF144" s="159">
        <v>421.19</v>
      </c>
      <c r="BG144" s="158"/>
      <c r="BH144" s="158">
        <v>6.82</v>
      </c>
      <c r="BI144" s="27"/>
      <c r="BJ144" s="51"/>
      <c r="BK144" s="42"/>
      <c r="BL144" s="52"/>
      <c r="BM144" s="53">
        <f t="shared" si="86"/>
        <v>6.82</v>
      </c>
      <c r="BO144" s="151">
        <v>46138</v>
      </c>
      <c r="BP144" s="152">
        <v>4978.54</v>
      </c>
      <c r="BQ144" s="159">
        <v>498.7</v>
      </c>
      <c r="BR144" s="162"/>
      <c r="BS144" s="183">
        <v>1208.78</v>
      </c>
      <c r="BT144" s="27"/>
      <c r="BU144" s="240"/>
      <c r="BV144" s="42"/>
      <c r="BW144" s="42"/>
      <c r="BX144" s="52"/>
      <c r="BY144" s="53">
        <f t="shared" si="99"/>
        <v>1208.78</v>
      </c>
      <c r="CA144" s="151">
        <v>46138</v>
      </c>
      <c r="CB144" s="364">
        <v>3439.02</v>
      </c>
      <c r="CC144" s="385">
        <v>645.48</v>
      </c>
      <c r="CD144" s="331"/>
      <c r="CE144" s="27"/>
      <c r="CF144" s="32">
        <v>28.961139999999943</v>
      </c>
      <c r="CG144" s="42"/>
      <c r="CH144" s="44"/>
      <c r="CI144" s="53">
        <f t="shared" si="88"/>
        <v>28.961139999999943</v>
      </c>
      <c r="CK144" s="151">
        <v>46138</v>
      </c>
      <c r="CL144" s="364">
        <v>8383.6</v>
      </c>
      <c r="CM144" s="365">
        <v>2476.23</v>
      </c>
      <c r="CN144" s="158"/>
      <c r="CO144" s="27"/>
      <c r="CP144" s="51"/>
      <c r="CQ144" s="33"/>
      <c r="CR144" s="52"/>
      <c r="CS144" s="53">
        <f t="shared" si="95"/>
        <v>0</v>
      </c>
      <c r="CU144" s="151">
        <v>46138</v>
      </c>
      <c r="CV144" s="389">
        <v>510.64</v>
      </c>
      <c r="CW144" s="385">
        <v>654.1</v>
      </c>
      <c r="CX144" s="162"/>
      <c r="CY144" s="370">
        <v>51.23</v>
      </c>
      <c r="CZ144" s="27"/>
      <c r="DA144" s="32">
        <v>21.381099999999947</v>
      </c>
      <c r="DB144" s="33"/>
      <c r="DC144" s="44"/>
      <c r="DD144" s="53">
        <f t="shared" si="98"/>
        <v>72.611099999999936</v>
      </c>
      <c r="DE144" s="211"/>
      <c r="DF144" s="151">
        <v>46138</v>
      </c>
      <c r="DG144" s="364">
        <v>2102.15</v>
      </c>
      <c r="DH144" s="385">
        <v>500.28</v>
      </c>
      <c r="DI144" s="162"/>
      <c r="DJ144" s="27"/>
      <c r="DK144" s="32">
        <v>164.06879999999975</v>
      </c>
      <c r="DL144" s="42">
        <v>17.886757520190429</v>
      </c>
      <c r="DM144" s="44"/>
      <c r="DN144" s="53">
        <f t="shared" si="89"/>
        <v>181.95555752019018</v>
      </c>
      <c r="DP144" s="151">
        <v>46138</v>
      </c>
      <c r="DQ144" s="389">
        <v>100</v>
      </c>
      <c r="DR144" s="173"/>
      <c r="DS144" s="27"/>
      <c r="DT144" s="51"/>
      <c r="DU144" s="52"/>
      <c r="DV144" s="52"/>
      <c r="DW144" s="53">
        <f t="shared" si="90"/>
        <v>0</v>
      </c>
      <c r="DY144" s="151">
        <v>46138</v>
      </c>
      <c r="DZ144" s="389">
        <v>397.9</v>
      </c>
      <c r="EA144" s="174"/>
      <c r="EB144" s="27"/>
      <c r="EC144" s="51"/>
      <c r="ED144" s="52"/>
      <c r="EE144" s="52"/>
      <c r="EF144" s="53">
        <f t="shared" si="91"/>
        <v>0</v>
      </c>
      <c r="EH144" s="151">
        <v>46138</v>
      </c>
      <c r="EI144" s="152">
        <v>3636.48</v>
      </c>
      <c r="EJ144" s="162"/>
      <c r="EK144" s="27"/>
      <c r="EL144" s="51"/>
      <c r="EM144" s="52"/>
      <c r="EN144" s="52"/>
      <c r="EO144" s="53">
        <f t="shared" si="92"/>
        <v>0</v>
      </c>
      <c r="EQ144" s="151">
        <v>46138</v>
      </c>
      <c r="ER144" s="152">
        <v>1492.57</v>
      </c>
      <c r="ES144" s="396"/>
      <c r="ET144" s="27"/>
      <c r="EU144" s="32">
        <v>46.293585000000064</v>
      </c>
      <c r="EV144" s="52"/>
      <c r="EW144" s="52"/>
      <c r="EX144" s="53">
        <f t="shared" si="93"/>
        <v>46.293585000000064</v>
      </c>
    </row>
    <row r="145" spans="2:154" ht="15.75" thickBot="1" x14ac:dyDescent="0.3">
      <c r="B145" s="151">
        <v>46139</v>
      </c>
      <c r="C145" s="152">
        <v>6848.69</v>
      </c>
      <c r="D145" s="152">
        <v>1320.34</v>
      </c>
      <c r="E145" s="158"/>
      <c r="F145" s="27"/>
      <c r="G145" s="32">
        <v>661.42557699999952</v>
      </c>
      <c r="H145" s="33">
        <v>435.67271428571439</v>
      </c>
      <c r="I145" s="52"/>
      <c r="J145" s="53">
        <f t="shared" si="94"/>
        <v>1097.0982912857139</v>
      </c>
      <c r="L145" s="151">
        <v>46139</v>
      </c>
      <c r="M145" s="364">
        <v>33193.699999999997</v>
      </c>
      <c r="N145" s="365">
        <v>2969.95</v>
      </c>
      <c r="O145" s="372">
        <v>60.57</v>
      </c>
      <c r="P145" s="27"/>
      <c r="Q145" s="32">
        <v>22.428280000000001</v>
      </c>
      <c r="R145" s="53"/>
      <c r="S145" s="53"/>
      <c r="T145" s="52">
        <v>366.39661500000011</v>
      </c>
      <c r="U145" s="53">
        <f t="shared" si="82"/>
        <v>449.39489500000013</v>
      </c>
      <c r="W145" s="151">
        <v>46139</v>
      </c>
      <c r="X145" s="376">
        <v>18177.759999999998</v>
      </c>
      <c r="Y145" s="377">
        <v>1790.69</v>
      </c>
      <c r="Z145" s="383">
        <v>0.66</v>
      </c>
      <c r="AA145" s="27"/>
      <c r="AB145" s="51">
        <v>1302.0871999999993</v>
      </c>
      <c r="AC145" s="33">
        <v>176.29553833428594</v>
      </c>
      <c r="AD145" s="33"/>
      <c r="AE145" s="53"/>
      <c r="AF145" s="53">
        <f t="shared" si="83"/>
        <v>1479.0427383342853</v>
      </c>
      <c r="AH145" s="151">
        <v>46139</v>
      </c>
      <c r="AI145" s="364">
        <v>7122.8</v>
      </c>
      <c r="AJ145" s="385">
        <v>840.82</v>
      </c>
      <c r="AK145" s="370">
        <v>279.22000000000003</v>
      </c>
      <c r="AL145" s="27"/>
      <c r="AM145" s="32">
        <v>563.7553299999995</v>
      </c>
      <c r="AN145" s="32">
        <v>134.84800000000001</v>
      </c>
      <c r="AO145" s="42"/>
      <c r="AP145" s="44"/>
      <c r="AQ145" s="53">
        <f t="shared" si="84"/>
        <v>977.82332999999949</v>
      </c>
      <c r="AS145" s="151">
        <v>46139</v>
      </c>
      <c r="AT145" s="364">
        <v>17954.919999999998</v>
      </c>
      <c r="AU145" s="365">
        <v>1319.27</v>
      </c>
      <c r="AV145" s="365">
        <v>3561</v>
      </c>
      <c r="AW145" s="171"/>
      <c r="AX145" s="27"/>
      <c r="AY145" s="32">
        <v>5.7535999999999881</v>
      </c>
      <c r="AZ145" s="53">
        <v>34.151436465714369</v>
      </c>
      <c r="BA145" s="53"/>
      <c r="BB145" s="53">
        <f t="shared" si="85"/>
        <v>39.90503646571436</v>
      </c>
      <c r="BD145" s="151">
        <v>46139</v>
      </c>
      <c r="BE145" s="159">
        <v>711.81</v>
      </c>
      <c r="BF145" s="152">
        <v>1107.6500000000001</v>
      </c>
      <c r="BG145" s="158"/>
      <c r="BH145" s="158">
        <v>13.13</v>
      </c>
      <c r="BI145" s="27"/>
      <c r="BJ145" s="51"/>
      <c r="BK145" s="42"/>
      <c r="BL145" s="52"/>
      <c r="BM145" s="53">
        <f t="shared" si="86"/>
        <v>13.13</v>
      </c>
      <c r="BO145" s="151">
        <v>46139</v>
      </c>
      <c r="BP145" s="152">
        <v>5116.1000000000004</v>
      </c>
      <c r="BQ145" s="159">
        <v>411.27</v>
      </c>
      <c r="BR145" s="162"/>
      <c r="BS145" s="183">
        <v>1260.1199999999999</v>
      </c>
      <c r="BT145" s="27"/>
      <c r="BU145" s="240"/>
      <c r="BV145" s="42"/>
      <c r="BW145" s="42"/>
      <c r="BX145" s="52"/>
      <c r="BY145" s="53">
        <f t="shared" si="99"/>
        <v>1260.1199999999999</v>
      </c>
      <c r="CA145" s="151">
        <v>46139</v>
      </c>
      <c r="CB145" s="364">
        <v>4440.66</v>
      </c>
      <c r="CC145" s="385">
        <v>924.88</v>
      </c>
      <c r="CD145" s="331"/>
      <c r="CE145" s="27"/>
      <c r="CF145" s="32">
        <v>50.540890000000132</v>
      </c>
      <c r="CG145" s="42"/>
      <c r="CH145" s="44"/>
      <c r="CI145" s="53">
        <f t="shared" si="88"/>
        <v>50.540890000000132</v>
      </c>
      <c r="CK145" s="151">
        <v>46139</v>
      </c>
      <c r="CL145" s="364">
        <v>2881.86</v>
      </c>
      <c r="CM145" s="365">
        <v>1363.99</v>
      </c>
      <c r="CN145" s="158"/>
      <c r="CO145" s="27"/>
      <c r="CP145" s="51"/>
      <c r="CQ145" s="33">
        <v>19.154681303809582</v>
      </c>
      <c r="CR145" s="52"/>
      <c r="CS145" s="53">
        <f t="shared" si="95"/>
        <v>19.154681303809582</v>
      </c>
      <c r="CU145" s="151">
        <v>46139</v>
      </c>
      <c r="CV145" s="389">
        <v>470.03</v>
      </c>
      <c r="CW145" s="385">
        <v>302.89999999999998</v>
      </c>
      <c r="CX145" s="162"/>
      <c r="CY145" s="370">
        <v>28</v>
      </c>
      <c r="CZ145" s="27"/>
      <c r="DA145" s="32">
        <v>67.001999999999896</v>
      </c>
      <c r="DB145" s="33">
        <v>20.874127328571433</v>
      </c>
      <c r="DC145" s="44"/>
      <c r="DD145" s="53">
        <f t="shared" si="98"/>
        <v>115.87612732857133</v>
      </c>
      <c r="DE145" s="211"/>
      <c r="DF145" s="151">
        <v>46139</v>
      </c>
      <c r="DG145" s="364">
        <v>3348.66</v>
      </c>
      <c r="DH145" s="385">
        <v>873.84</v>
      </c>
      <c r="DI145" s="162"/>
      <c r="DJ145" s="27"/>
      <c r="DK145" s="32">
        <v>-111.29500000000021</v>
      </c>
      <c r="DL145" s="42"/>
      <c r="DM145" s="44"/>
      <c r="DN145" s="53">
        <f t="shared" si="89"/>
        <v>-111.29500000000021</v>
      </c>
      <c r="DP145" s="151">
        <v>46139</v>
      </c>
      <c r="DQ145" s="389">
        <v>599</v>
      </c>
      <c r="DR145" s="173"/>
      <c r="DS145" s="27"/>
      <c r="DT145" s="51"/>
      <c r="DU145" s="52"/>
      <c r="DV145" s="52"/>
      <c r="DW145" s="53">
        <f t="shared" si="90"/>
        <v>0</v>
      </c>
      <c r="DY145" s="151">
        <v>46139</v>
      </c>
      <c r="DZ145" s="389">
        <v>347.6</v>
      </c>
      <c r="EA145" s="174"/>
      <c r="EB145" s="27"/>
      <c r="EC145" s="51"/>
      <c r="ED145" s="52"/>
      <c r="EE145" s="52"/>
      <c r="EF145" s="53">
        <f t="shared" si="91"/>
        <v>0</v>
      </c>
      <c r="EH145" s="151">
        <v>46139</v>
      </c>
      <c r="EI145" s="152">
        <v>2285.9</v>
      </c>
      <c r="EJ145" s="162"/>
      <c r="EK145" s="27"/>
      <c r="EL145" s="51"/>
      <c r="EM145" s="52"/>
      <c r="EN145" s="52"/>
      <c r="EO145" s="53">
        <f t="shared" si="92"/>
        <v>0</v>
      </c>
      <c r="EQ145" s="151">
        <v>46139</v>
      </c>
      <c r="ER145" s="152">
        <v>3515.6</v>
      </c>
      <c r="ES145" s="396"/>
      <c r="ET145" s="27"/>
      <c r="EU145" s="32">
        <v>52.756168000000116</v>
      </c>
      <c r="EV145" s="52"/>
      <c r="EW145" s="52"/>
      <c r="EX145" s="53">
        <f t="shared" si="93"/>
        <v>52.756168000000116</v>
      </c>
    </row>
    <row r="146" spans="2:154" ht="15.75" thickBot="1" x14ac:dyDescent="0.3">
      <c r="B146" s="151">
        <v>46140</v>
      </c>
      <c r="C146" s="152">
        <v>4819.22</v>
      </c>
      <c r="D146" s="152">
        <v>1347.16</v>
      </c>
      <c r="E146" s="158"/>
      <c r="F146" s="27"/>
      <c r="G146" s="32">
        <v>382.2086699999997</v>
      </c>
      <c r="H146" s="33"/>
      <c r="I146" s="52"/>
      <c r="J146" s="53">
        <f t="shared" si="94"/>
        <v>382.2086699999997</v>
      </c>
      <c r="L146" s="151">
        <v>46140</v>
      </c>
      <c r="M146" s="364">
        <v>28653.31</v>
      </c>
      <c r="N146" s="365">
        <v>2809.47</v>
      </c>
      <c r="O146" s="372">
        <v>68.27</v>
      </c>
      <c r="P146" s="27"/>
      <c r="Q146" s="32">
        <v>211.1879399999998</v>
      </c>
      <c r="R146" s="53"/>
      <c r="S146" s="53"/>
      <c r="T146" s="52"/>
      <c r="U146" s="53">
        <f t="shared" si="82"/>
        <v>279.45793999999978</v>
      </c>
      <c r="W146" s="151">
        <v>46140</v>
      </c>
      <c r="X146" s="376">
        <v>26177.83</v>
      </c>
      <c r="Y146" s="377">
        <v>2565.9299999999998</v>
      </c>
      <c r="Z146" s="383">
        <v>3.36</v>
      </c>
      <c r="AA146" s="27"/>
      <c r="AB146" s="51">
        <v>2057.3066699999981</v>
      </c>
      <c r="AC146" s="33">
        <v>55.722539274285737</v>
      </c>
      <c r="AD146" s="33"/>
      <c r="AE146" s="53"/>
      <c r="AF146" s="53">
        <f t="shared" si="83"/>
        <v>2116.389209274284</v>
      </c>
      <c r="AH146" s="151">
        <v>46140</v>
      </c>
      <c r="AI146" s="364">
        <v>7809.48</v>
      </c>
      <c r="AJ146" s="385">
        <v>818.33</v>
      </c>
      <c r="AK146" s="370">
        <v>277.74</v>
      </c>
      <c r="AL146" s="27"/>
      <c r="AM146" s="32">
        <v>338.69338999999968</v>
      </c>
      <c r="AN146" s="32">
        <v>134.84800000000001</v>
      </c>
      <c r="AO146" s="42"/>
      <c r="AP146" s="44"/>
      <c r="AQ146" s="53">
        <f t="shared" si="84"/>
        <v>751.28138999999965</v>
      </c>
      <c r="AS146" s="151">
        <v>46140</v>
      </c>
      <c r="AT146" s="364">
        <v>17933.8</v>
      </c>
      <c r="AU146" s="365">
        <v>1087.1600000000001</v>
      </c>
      <c r="AV146" s="365">
        <v>3678</v>
      </c>
      <c r="AW146" s="171"/>
      <c r="AX146" s="27"/>
      <c r="AY146" s="32">
        <v>38.619239999999948</v>
      </c>
      <c r="AZ146" s="53">
        <v>1.7478273685714498</v>
      </c>
      <c r="BA146" s="53">
        <v>0.69424810000000292</v>
      </c>
      <c r="BB146" s="53">
        <f t="shared" si="85"/>
        <v>41.061315468571401</v>
      </c>
      <c r="BD146" s="151">
        <v>46140</v>
      </c>
      <c r="BE146" s="152">
        <v>1544.21</v>
      </c>
      <c r="BF146" s="152">
        <v>1123.28</v>
      </c>
      <c r="BG146" s="158">
        <v>3.74</v>
      </c>
      <c r="BH146" s="158">
        <v>23.18</v>
      </c>
      <c r="BI146" s="27"/>
      <c r="BJ146" s="51"/>
      <c r="BK146" s="42"/>
      <c r="BL146" s="52"/>
      <c r="BM146" s="53">
        <f t="shared" si="86"/>
        <v>23.18</v>
      </c>
      <c r="BO146" s="151">
        <v>46140</v>
      </c>
      <c r="BP146" s="152">
        <v>2272.4899999999998</v>
      </c>
      <c r="BQ146" s="159">
        <v>417.77</v>
      </c>
      <c r="BR146" s="158">
        <v>0.57999999999999996</v>
      </c>
      <c r="BS146" s="183">
        <v>1242.22</v>
      </c>
      <c r="BT146" s="27"/>
      <c r="BU146" s="240"/>
      <c r="BV146" s="42"/>
      <c r="BW146" s="42"/>
      <c r="BX146" s="52"/>
      <c r="BY146" s="53">
        <f t="shared" si="99"/>
        <v>1242.22</v>
      </c>
      <c r="CA146" s="151">
        <v>46140</v>
      </c>
      <c r="CB146" s="364">
        <v>5482.79</v>
      </c>
      <c r="CC146" s="385">
        <v>760.04</v>
      </c>
      <c r="CD146" s="331"/>
      <c r="CE146" s="27"/>
      <c r="CF146" s="32">
        <v>39.65940999999998</v>
      </c>
      <c r="CG146" s="42"/>
      <c r="CH146" s="44"/>
      <c r="CI146" s="53">
        <f t="shared" si="88"/>
        <v>39.65940999999998</v>
      </c>
      <c r="CK146" s="151">
        <v>46140</v>
      </c>
      <c r="CL146" s="364">
        <v>7032.08</v>
      </c>
      <c r="CM146" s="365">
        <v>0</v>
      </c>
      <c r="CN146" s="399"/>
      <c r="CO146" s="27"/>
      <c r="CP146" s="51"/>
      <c r="CQ146" s="33"/>
      <c r="CR146" s="52"/>
      <c r="CS146" s="53">
        <f t="shared" si="95"/>
        <v>0</v>
      </c>
      <c r="CU146" s="151">
        <v>46140</v>
      </c>
      <c r="CV146" s="364">
        <v>1525.1</v>
      </c>
      <c r="CW146" s="385">
        <v>110</v>
      </c>
      <c r="CX146" s="162"/>
      <c r="CY146" s="370">
        <v>54.13</v>
      </c>
      <c r="CZ146" s="27"/>
      <c r="DA146" s="32">
        <v>95.622179999999815</v>
      </c>
      <c r="DB146" s="33">
        <v>51.354132557142862</v>
      </c>
      <c r="DC146" s="44"/>
      <c r="DD146" s="53">
        <f t="shared" si="98"/>
        <v>201.10631255714267</v>
      </c>
      <c r="DE146" s="211"/>
      <c r="DF146" s="151">
        <v>46140</v>
      </c>
      <c r="DG146" s="364">
        <v>4024.15</v>
      </c>
      <c r="DH146" s="385">
        <v>584.29999999999995</v>
      </c>
      <c r="DI146" s="162"/>
      <c r="DJ146" s="27"/>
      <c r="DK146" s="32">
        <v>55.481399999999894</v>
      </c>
      <c r="DL146" s="42">
        <v>23.075383985714296</v>
      </c>
      <c r="DM146" s="44"/>
      <c r="DN146" s="53">
        <f t="shared" si="89"/>
        <v>78.556783985714191</v>
      </c>
      <c r="DP146" s="151">
        <v>46140</v>
      </c>
      <c r="DQ146" s="364">
        <v>1742.89</v>
      </c>
      <c r="DR146" s="173"/>
      <c r="DS146" s="27"/>
      <c r="DT146" s="51"/>
      <c r="DU146" s="52"/>
      <c r="DV146" s="52"/>
      <c r="DW146" s="53">
        <f t="shared" si="90"/>
        <v>0</v>
      </c>
      <c r="DY146" s="151">
        <v>46140</v>
      </c>
      <c r="DZ146" s="389">
        <v>760.97</v>
      </c>
      <c r="EA146" s="174"/>
      <c r="EB146" s="27"/>
      <c r="EC146" s="51"/>
      <c r="ED146" s="52"/>
      <c r="EE146" s="52"/>
      <c r="EF146" s="53">
        <f t="shared" si="91"/>
        <v>0</v>
      </c>
      <c r="EH146" s="151">
        <v>46140</v>
      </c>
      <c r="EI146" s="152">
        <v>2462.79</v>
      </c>
      <c r="EJ146" s="162"/>
      <c r="EK146" s="27"/>
      <c r="EL146" s="51"/>
      <c r="EM146" s="52"/>
      <c r="EN146" s="52"/>
      <c r="EO146" s="53">
        <f t="shared" si="92"/>
        <v>0</v>
      </c>
      <c r="EQ146" s="151">
        <v>46140</v>
      </c>
      <c r="ER146" s="152">
        <v>2944.93</v>
      </c>
      <c r="ES146" s="396"/>
      <c r="ET146" s="27"/>
      <c r="EU146" s="32">
        <v>26.147692000000056</v>
      </c>
      <c r="EV146" s="52"/>
      <c r="EW146" s="52"/>
      <c r="EX146" s="53">
        <f t="shared" si="93"/>
        <v>26.147692000000056</v>
      </c>
    </row>
    <row r="147" spans="2:154" ht="15.75" thickBot="1" x14ac:dyDescent="0.3">
      <c r="B147" s="151">
        <v>46141</v>
      </c>
      <c r="C147" s="152">
        <v>6371.6</v>
      </c>
      <c r="D147" s="152">
        <v>2169.15</v>
      </c>
      <c r="E147" s="158"/>
      <c r="F147" s="27"/>
      <c r="G147" s="32">
        <v>377.91060999999985</v>
      </c>
      <c r="H147" s="33">
        <v>27.125283500000009</v>
      </c>
      <c r="I147" s="52"/>
      <c r="J147" s="53">
        <f t="shared" si="94"/>
        <v>405.03589349999987</v>
      </c>
      <c r="L147" s="151">
        <v>46141</v>
      </c>
      <c r="M147" s="364">
        <v>23982.58</v>
      </c>
      <c r="N147" s="365">
        <v>3223.72</v>
      </c>
      <c r="O147" s="372">
        <v>15.67</v>
      </c>
      <c r="P147" s="27"/>
      <c r="Q147" s="32"/>
      <c r="R147" s="53">
        <v>11.954143214285722</v>
      </c>
      <c r="S147" s="53"/>
      <c r="T147" s="52"/>
      <c r="U147" s="53">
        <f t="shared" si="82"/>
        <v>27.624143214285724</v>
      </c>
      <c r="W147" s="151">
        <v>46141</v>
      </c>
      <c r="X147" s="376">
        <v>18916.400000000001</v>
      </c>
      <c r="Y147" s="377">
        <v>2134.94</v>
      </c>
      <c r="Z147" s="383">
        <v>0.45</v>
      </c>
      <c r="AA147" s="27"/>
      <c r="AB147" s="51">
        <v>701.37088999999992</v>
      </c>
      <c r="AC147" s="33"/>
      <c r="AD147" s="33"/>
      <c r="AE147" s="53"/>
      <c r="AF147" s="53">
        <f t="shared" si="83"/>
        <v>701.82088999999996</v>
      </c>
      <c r="AH147" s="151">
        <v>46141</v>
      </c>
      <c r="AI147" s="364">
        <v>6864.54</v>
      </c>
      <c r="AJ147" s="385">
        <v>943.07</v>
      </c>
      <c r="AK147" s="370">
        <v>188.12</v>
      </c>
      <c r="AL147" s="27"/>
      <c r="AM147" s="32">
        <v>206.80966999999978</v>
      </c>
      <c r="AN147" s="32">
        <v>134.84800000000001</v>
      </c>
      <c r="AO147" s="42"/>
      <c r="AP147" s="44"/>
      <c r="AQ147" s="53">
        <f t="shared" si="84"/>
        <v>529.77766999999972</v>
      </c>
      <c r="AS147" s="151">
        <v>46141</v>
      </c>
      <c r="AT147" s="364">
        <v>25288.41</v>
      </c>
      <c r="AU147" s="365">
        <v>1469.05</v>
      </c>
      <c r="AV147" s="365">
        <v>3904.81</v>
      </c>
      <c r="AW147" s="171"/>
      <c r="AX147" s="27"/>
      <c r="AY147" s="32">
        <v>4.32000000000005</v>
      </c>
      <c r="AZ147" s="53">
        <v>62.635242428571416</v>
      </c>
      <c r="BA147" s="53"/>
      <c r="BB147" s="53">
        <f t="shared" si="85"/>
        <v>66.955242428571466</v>
      </c>
      <c r="BD147" s="151">
        <v>46141</v>
      </c>
      <c r="BE147" s="159">
        <v>839.56</v>
      </c>
      <c r="BF147" s="152">
        <v>1320.65</v>
      </c>
      <c r="BG147" s="158">
        <v>2.02</v>
      </c>
      <c r="BH147" s="158">
        <v>8.66</v>
      </c>
      <c r="BI147" s="27"/>
      <c r="BJ147" s="51"/>
      <c r="BK147" s="42"/>
      <c r="BL147" s="52"/>
      <c r="BM147" s="53">
        <f t="shared" si="86"/>
        <v>8.66</v>
      </c>
      <c r="BO147" s="151">
        <v>46141</v>
      </c>
      <c r="BP147" s="152">
        <v>2556.9499999999998</v>
      </c>
      <c r="BQ147" s="159">
        <v>554.13</v>
      </c>
      <c r="BR147" s="162"/>
      <c r="BS147" s="158">
        <v>769.67</v>
      </c>
      <c r="BT147" s="27"/>
      <c r="BU147" s="240">
        <v>61.717930999999965</v>
      </c>
      <c r="BV147" s="42">
        <v>21.485898071428579</v>
      </c>
      <c r="BW147" s="42"/>
      <c r="BX147" s="52"/>
      <c r="BY147" s="53">
        <f t="shared" si="99"/>
        <v>852.87382907142853</v>
      </c>
      <c r="CA147" s="151">
        <v>46141</v>
      </c>
      <c r="CB147" s="364">
        <v>6016.38</v>
      </c>
      <c r="CC147" s="385">
        <v>826.02</v>
      </c>
      <c r="CD147" s="331"/>
      <c r="CE147" s="27"/>
      <c r="CF147" s="32">
        <v>116.58666000000011</v>
      </c>
      <c r="CG147" s="42"/>
      <c r="CH147" s="44">
        <v>3.6398445000000024</v>
      </c>
      <c r="CI147" s="53">
        <f t="shared" si="88"/>
        <v>120.22650450000012</v>
      </c>
      <c r="CK147" s="151">
        <v>46141</v>
      </c>
      <c r="CL147" s="364">
        <v>14271.26</v>
      </c>
      <c r="CM147" s="365">
        <v>0</v>
      </c>
      <c r="CN147" s="158"/>
      <c r="CO147" s="27"/>
      <c r="CP147" s="51"/>
      <c r="CQ147" s="33"/>
      <c r="CR147" s="52"/>
      <c r="CS147" s="53">
        <f t="shared" si="95"/>
        <v>0</v>
      </c>
      <c r="CU147" s="151">
        <v>46141</v>
      </c>
      <c r="CV147" s="364">
        <v>1260.1300000000001</v>
      </c>
      <c r="CW147" s="385">
        <v>567.5</v>
      </c>
      <c r="CX147" s="162"/>
      <c r="CY147" s="370">
        <v>84.38</v>
      </c>
      <c r="CZ147" s="27"/>
      <c r="DA147" s="32"/>
      <c r="DB147" s="33"/>
      <c r="DC147" s="44"/>
      <c r="DD147" s="53">
        <f t="shared" si="98"/>
        <v>84.38</v>
      </c>
      <c r="DE147" s="211"/>
      <c r="DF147" s="151">
        <v>46141</v>
      </c>
      <c r="DG147" s="364">
        <v>6712.08</v>
      </c>
      <c r="DH147" s="385">
        <v>579.66999999999996</v>
      </c>
      <c r="DI147" s="162"/>
      <c r="DJ147" s="27"/>
      <c r="DK147" s="32">
        <v>370.49502999999919</v>
      </c>
      <c r="DL147" s="42">
        <v>22.652631043428585</v>
      </c>
      <c r="DM147" s="44"/>
      <c r="DN147" s="53">
        <f t="shared" si="89"/>
        <v>393.14766104342777</v>
      </c>
      <c r="DP147" s="151">
        <v>46141</v>
      </c>
      <c r="DQ147" s="389">
        <v>941.43</v>
      </c>
      <c r="DR147" s="173"/>
      <c r="DS147" s="27"/>
      <c r="DT147" s="51"/>
      <c r="DU147" s="52"/>
      <c r="DV147" s="52"/>
      <c r="DW147" s="53">
        <f t="shared" si="90"/>
        <v>0</v>
      </c>
      <c r="DY147" s="151">
        <v>46141</v>
      </c>
      <c r="DZ147" s="389">
        <v>584.4</v>
      </c>
      <c r="EA147" s="174"/>
      <c r="EB147" s="27"/>
      <c r="EC147" s="51"/>
      <c r="ED147" s="52"/>
      <c r="EE147" s="52"/>
      <c r="EF147" s="53">
        <f t="shared" si="91"/>
        <v>0</v>
      </c>
      <c r="EH147" s="151">
        <v>46141</v>
      </c>
      <c r="EI147" s="152">
        <v>2704.7</v>
      </c>
      <c r="EJ147" s="158">
        <v>65</v>
      </c>
      <c r="EK147" s="27"/>
      <c r="EL147" s="51"/>
      <c r="EM147" s="52"/>
      <c r="EN147" s="52"/>
      <c r="EO147" s="53">
        <f t="shared" si="92"/>
        <v>65</v>
      </c>
      <c r="EQ147" s="151">
        <v>46141</v>
      </c>
      <c r="ER147" s="152">
        <v>2730.98</v>
      </c>
      <c r="ES147" s="396"/>
      <c r="ET147" s="27"/>
      <c r="EU147" s="32">
        <v>17.975980000000021</v>
      </c>
      <c r="EV147" s="52"/>
      <c r="EW147" s="52"/>
      <c r="EX147" s="53">
        <f t="shared" si="93"/>
        <v>17.975980000000021</v>
      </c>
    </row>
    <row r="148" spans="2:154" ht="15.75" thickBot="1" x14ac:dyDescent="0.3">
      <c r="B148" s="151">
        <v>46142</v>
      </c>
      <c r="C148" s="152">
        <v>5454.33</v>
      </c>
      <c r="D148" s="152">
        <v>1622.62</v>
      </c>
      <c r="E148" s="158"/>
      <c r="F148" s="27"/>
      <c r="G148" s="32">
        <v>576.63266999999973</v>
      </c>
      <c r="H148" s="33"/>
      <c r="I148" s="52"/>
      <c r="J148" s="53">
        <f t="shared" si="94"/>
        <v>576.63266999999973</v>
      </c>
      <c r="L148" s="151">
        <v>46142</v>
      </c>
      <c r="M148" s="366">
        <v>35994.93</v>
      </c>
      <c r="N148" s="367">
        <v>3403.28</v>
      </c>
      <c r="O148" s="373">
        <v>94.83</v>
      </c>
      <c r="P148" s="27"/>
      <c r="Q148" s="32">
        <v>12.458300000000008</v>
      </c>
      <c r="R148" s="53">
        <v>13.058928571428567</v>
      </c>
      <c r="S148" s="53"/>
      <c r="T148" s="52">
        <v>117.54667080000013</v>
      </c>
      <c r="U148" s="53">
        <f t="shared" si="82"/>
        <v>237.89389937142869</v>
      </c>
      <c r="W148" s="151">
        <v>46142</v>
      </c>
      <c r="X148" s="379">
        <v>30072.83</v>
      </c>
      <c r="Y148" s="380">
        <v>2197.5700000000002</v>
      </c>
      <c r="Z148" s="384">
        <v>0.66</v>
      </c>
      <c r="AA148" s="27"/>
      <c r="AB148" s="51">
        <v>1894.8735100000008</v>
      </c>
      <c r="AC148" s="33"/>
      <c r="AD148" s="33"/>
      <c r="AE148" s="53"/>
      <c r="AF148" s="53">
        <f t="shared" si="83"/>
        <v>1895.5335100000009</v>
      </c>
      <c r="AH148" s="151">
        <v>46142</v>
      </c>
      <c r="AI148" s="386">
        <v>7973.24</v>
      </c>
      <c r="AJ148" s="387">
        <v>606.42999999999995</v>
      </c>
      <c r="AK148" s="388"/>
      <c r="AL148" s="27"/>
      <c r="AM148" s="32">
        <v>1052.7611299999992</v>
      </c>
      <c r="AN148" s="32">
        <v>134.84800000000001</v>
      </c>
      <c r="AO148" s="42"/>
      <c r="AP148" s="44"/>
      <c r="AQ148" s="53">
        <f t="shared" si="84"/>
        <v>1187.6091299999991</v>
      </c>
      <c r="AS148" s="151">
        <v>46142</v>
      </c>
      <c r="AT148" s="366">
        <v>35630.199999999997</v>
      </c>
      <c r="AU148" s="367">
        <v>1664.83</v>
      </c>
      <c r="AV148" s="367">
        <v>4910.3599999999997</v>
      </c>
      <c r="AW148" s="171"/>
      <c r="AX148" s="27"/>
      <c r="AY148" s="32">
        <v>2.2417200000000292</v>
      </c>
      <c r="AZ148" s="53">
        <v>83.775720714285711</v>
      </c>
      <c r="BA148" s="53">
        <v>1.667911700000019</v>
      </c>
      <c r="BB148" s="53">
        <f t="shared" si="85"/>
        <v>87.685352414285759</v>
      </c>
      <c r="BD148" s="151">
        <v>46142</v>
      </c>
      <c r="BE148" s="152">
        <v>1579.55</v>
      </c>
      <c r="BF148" s="152">
        <v>1013.44</v>
      </c>
      <c r="BG148" s="390">
        <v>0.39</v>
      </c>
      <c r="BH148" s="158">
        <v>19.010000000000002</v>
      </c>
      <c r="BI148" s="27"/>
      <c r="BJ148" s="51"/>
      <c r="BK148" s="42"/>
      <c r="BL148" s="52"/>
      <c r="BM148" s="53">
        <f t="shared" si="86"/>
        <v>19.010000000000002</v>
      </c>
      <c r="BO148" s="151">
        <v>46142</v>
      </c>
      <c r="BP148" s="152">
        <v>6168.67</v>
      </c>
      <c r="BQ148" s="159">
        <v>985.13</v>
      </c>
      <c r="BR148" s="158">
        <v>1.03</v>
      </c>
      <c r="BS148" s="183">
        <v>1671.18</v>
      </c>
      <c r="BT148" s="27"/>
      <c r="BU148" s="240"/>
      <c r="BV148" s="42"/>
      <c r="BW148" s="42"/>
      <c r="BX148" s="52"/>
      <c r="BY148" s="53">
        <f t="shared" si="99"/>
        <v>1671.18</v>
      </c>
      <c r="CA148" s="151">
        <v>46142</v>
      </c>
      <c r="CB148" s="366">
        <v>9463.02</v>
      </c>
      <c r="CC148" s="367">
        <v>1387.11</v>
      </c>
      <c r="CD148" s="331"/>
      <c r="CE148" s="27"/>
      <c r="CF148" s="32">
        <v>17.239560000000004</v>
      </c>
      <c r="CG148" s="42"/>
      <c r="CH148" s="44"/>
      <c r="CI148" s="53">
        <f t="shared" si="88"/>
        <v>17.239560000000004</v>
      </c>
      <c r="CK148" s="151">
        <v>46142</v>
      </c>
      <c r="CL148" s="364">
        <v>12151.47</v>
      </c>
      <c r="CM148" s="365">
        <v>0</v>
      </c>
      <c r="CN148" s="158"/>
      <c r="CO148" s="27"/>
      <c r="CP148" s="51"/>
      <c r="CQ148" s="33"/>
      <c r="CR148" s="52"/>
      <c r="CS148" s="53">
        <f t="shared" si="95"/>
        <v>0</v>
      </c>
      <c r="CU148" s="151">
        <v>46142</v>
      </c>
      <c r="CV148" s="366">
        <v>1425.52</v>
      </c>
      <c r="CW148" s="393">
        <v>382.5</v>
      </c>
      <c r="CX148" s="162"/>
      <c r="CY148" s="394"/>
      <c r="CZ148" s="27"/>
      <c r="DA148" s="32"/>
      <c r="DB148" s="33"/>
      <c r="DC148" s="44"/>
      <c r="DD148" s="53">
        <f t="shared" si="98"/>
        <v>0</v>
      </c>
      <c r="DE148" s="211"/>
      <c r="DF148" s="151">
        <v>46142</v>
      </c>
      <c r="DG148" s="366">
        <v>4560.87</v>
      </c>
      <c r="DH148" s="393">
        <v>676.34</v>
      </c>
      <c r="DI148" s="162"/>
      <c r="DJ148" s="27"/>
      <c r="DK148" s="32">
        <v>177.77199999999982</v>
      </c>
      <c r="DL148" s="42">
        <v>50.923381714285711</v>
      </c>
      <c r="DM148" s="44"/>
      <c r="DN148" s="53">
        <f t="shared" si="89"/>
        <v>228.69538171428553</v>
      </c>
      <c r="DP148" s="151">
        <v>46142</v>
      </c>
      <c r="DQ148" s="366">
        <v>1294.1500000000001</v>
      </c>
      <c r="DR148" s="173"/>
      <c r="DS148" s="27"/>
      <c r="DT148" s="51"/>
      <c r="DU148" s="52"/>
      <c r="DV148" s="52"/>
      <c r="DW148" s="53">
        <f t="shared" si="90"/>
        <v>0</v>
      </c>
      <c r="DY148" s="151">
        <v>46142</v>
      </c>
      <c r="DZ148" s="395">
        <v>519.70000000000005</v>
      </c>
      <c r="EA148" s="174"/>
      <c r="EB148" s="27"/>
      <c r="EC148" s="51"/>
      <c r="ED148" s="52"/>
      <c r="EE148" s="52"/>
      <c r="EF148" s="53">
        <f t="shared" si="91"/>
        <v>0</v>
      </c>
      <c r="EH148" s="151">
        <v>46142</v>
      </c>
      <c r="EI148" s="152">
        <v>3219.25</v>
      </c>
      <c r="EJ148" s="158">
        <v>263</v>
      </c>
      <c r="EK148" s="27"/>
      <c r="EL148" s="51"/>
      <c r="EM148" s="52"/>
      <c r="EN148" s="52"/>
      <c r="EO148" s="53">
        <f t="shared" si="92"/>
        <v>263</v>
      </c>
      <c r="EQ148" s="151">
        <v>46142</v>
      </c>
      <c r="ER148" s="152">
        <v>2646.39</v>
      </c>
      <c r="ES148" s="396"/>
      <c r="ET148" s="27"/>
      <c r="EU148" s="32">
        <v>125.9898020000002</v>
      </c>
      <c r="EV148" s="52"/>
      <c r="EW148" s="52"/>
      <c r="EX148" s="53">
        <f t="shared" si="93"/>
        <v>125.9898020000002</v>
      </c>
    </row>
    <row r="149" spans="2:154" s="86" customFormat="1" ht="16.5" thickBot="1" x14ac:dyDescent="0.3">
      <c r="B149" s="190" t="s">
        <v>17</v>
      </c>
      <c r="C149" s="195">
        <f>SUM(C119:C148)</f>
        <v>200001.96999999997</v>
      </c>
      <c r="D149" s="195">
        <f>SUM(D119:D148)</f>
        <v>60254.25</v>
      </c>
      <c r="E149" s="192">
        <f>SUM(E119:E148)</f>
        <v>217.04000000000002</v>
      </c>
      <c r="F149" s="83"/>
      <c r="G149" s="84">
        <f>SUM(G119:G148)</f>
        <v>8893.6995569999945</v>
      </c>
      <c r="H149" s="85">
        <f>SUM(H119:H148)</f>
        <v>4925.5221199665702</v>
      </c>
      <c r="I149" s="85">
        <f>SUM(I119:I148)</f>
        <v>0</v>
      </c>
      <c r="J149" s="85">
        <f>SUM(J119:J148)</f>
        <v>14036.261676966564</v>
      </c>
      <c r="L149" s="193" t="s">
        <v>17</v>
      </c>
      <c r="M149" s="195">
        <f>SUM(M119:M148)</f>
        <v>1000842.22</v>
      </c>
      <c r="N149" s="195">
        <f>SUM(N119:N148)</f>
        <v>88492.939999999973</v>
      </c>
      <c r="O149" s="85">
        <f>SUM(O119:O148)</f>
        <v>2559.9500000000003</v>
      </c>
      <c r="P149" s="83"/>
      <c r="Q149" s="84">
        <f>SUM(Q119:Q148)</f>
        <v>999.65593999999737</v>
      </c>
      <c r="R149" s="85">
        <f>SUM(R119:R148)</f>
        <v>983.62418097876525</v>
      </c>
      <c r="S149" s="85"/>
      <c r="T149" s="85">
        <f>SUM(T119:T148)</f>
        <v>2259.6367670000009</v>
      </c>
      <c r="U149" s="85">
        <f>SUM(U119:U148)</f>
        <v>6802.8668879787638</v>
      </c>
      <c r="W149" s="193" t="s">
        <v>17</v>
      </c>
      <c r="X149" s="195">
        <f>SUM(X119:X148)</f>
        <v>732816.11</v>
      </c>
      <c r="Y149" s="195">
        <f>SUM(Y119:Y148)</f>
        <v>70584.36000000003</v>
      </c>
      <c r="Z149" s="85">
        <f>SUM(Z119:Z148)</f>
        <v>78.91</v>
      </c>
      <c r="AA149" s="83"/>
      <c r="AB149" s="84">
        <f>SUM(AB119:AB148)</f>
        <v>38776.978179999984</v>
      </c>
      <c r="AC149" s="85">
        <f>SUM(AC119:AC148)</f>
        <v>3741.0331086667666</v>
      </c>
      <c r="AD149" s="85"/>
      <c r="AE149" s="85">
        <f>SUM(AE119:AE148)</f>
        <v>17.163940199999985</v>
      </c>
      <c r="AF149" s="85">
        <f>SUM(AF119:AF148)</f>
        <v>42614.085228866759</v>
      </c>
      <c r="AH149" s="193"/>
      <c r="AI149" s="195">
        <f>SUM(AI119:AI148)</f>
        <v>229529.84999999995</v>
      </c>
      <c r="AJ149" s="195">
        <f>SUM(AJ119:AJ148)</f>
        <v>27997.250000000004</v>
      </c>
      <c r="AK149" s="85">
        <f>SUM(AK119:AK148)</f>
        <v>3081.7899999999991</v>
      </c>
      <c r="AL149" s="83"/>
      <c r="AM149" s="84">
        <f>SUM(AM119:AM148)</f>
        <v>9175.7646599999935</v>
      </c>
      <c r="AN149" s="84">
        <f t="shared" ref="AN149:AO149" si="100">SUM(AN119:AN148)</f>
        <v>4045.4399999999991</v>
      </c>
      <c r="AO149" s="84">
        <f t="shared" si="100"/>
        <v>322.1021235628582</v>
      </c>
      <c r="AP149" s="85">
        <f>SUM(AP119:AP148)</f>
        <v>0</v>
      </c>
      <c r="AQ149" s="85">
        <f>SUM(AQ119:AQ148)</f>
        <v>16625.096783562854</v>
      </c>
      <c r="AS149" s="193" t="s">
        <v>17</v>
      </c>
      <c r="AT149" s="195">
        <f>SUM(AT119:AT148)</f>
        <v>611795.34000000008</v>
      </c>
      <c r="AU149" s="195">
        <f>SUM(AU119:AU148)</f>
        <v>45206.54</v>
      </c>
      <c r="AV149" s="195">
        <f>SUM(AV119:AV148)</f>
        <v>106578.67000000001</v>
      </c>
      <c r="AW149" s="85">
        <f>SUM(AW119:AW148)</f>
        <v>0</v>
      </c>
      <c r="AX149" s="83"/>
      <c r="AY149" s="84">
        <f>SUM(AY119:AY148)</f>
        <v>239.39172999999994</v>
      </c>
      <c r="AZ149" s="85">
        <f>SUM(AZ119:AZ148)</f>
        <v>1386.0753828450961</v>
      </c>
      <c r="BA149" s="85">
        <f>SUM(BA119:BA148)</f>
        <v>35.789172099999981</v>
      </c>
      <c r="BB149" s="85">
        <f>SUM(BB119:BB148)</f>
        <v>1661.256284945096</v>
      </c>
      <c r="BD149" s="193" t="s">
        <v>17</v>
      </c>
      <c r="BE149" s="191">
        <f>SUM(BE119:BE148)</f>
        <v>45478.679999999993</v>
      </c>
      <c r="BF149" s="191">
        <f>SUM(BF119:BF148)</f>
        <v>33102.89</v>
      </c>
      <c r="BG149" s="191">
        <f>SUM(BG119:BG148)</f>
        <v>6.1499999999999995</v>
      </c>
      <c r="BH149" s="191">
        <f>SUM(BH119:BH148)</f>
        <v>294.16000000000003</v>
      </c>
      <c r="BI149" s="83"/>
      <c r="BJ149" s="84">
        <f>SUM(BJ119:BJ148)</f>
        <v>0</v>
      </c>
      <c r="BK149" s="85">
        <f>SUM(BK119:BK148)</f>
        <v>0</v>
      </c>
      <c r="BL149" s="85">
        <f>SUM(BL119:BL148)</f>
        <v>0</v>
      </c>
      <c r="BM149" s="85">
        <f>SUM(BM119:BM148)</f>
        <v>294.16000000000003</v>
      </c>
      <c r="BO149" s="193" t="s">
        <v>17</v>
      </c>
      <c r="BP149" s="191">
        <f>SUM(BP119:BP148)</f>
        <v>166247.01999999999</v>
      </c>
      <c r="BQ149" s="191">
        <f>SUM(BQ119:BQ148)</f>
        <v>20038.990000000005</v>
      </c>
      <c r="BR149" s="194">
        <f>SUM(BR119:BR148)</f>
        <v>2.2199999999999998</v>
      </c>
      <c r="BS149" s="191">
        <f>SUM(BS119:BS148)</f>
        <v>31022.549999999992</v>
      </c>
      <c r="BT149" s="83"/>
      <c r="BU149" s="84">
        <f>SUM(BU119:BU148)</f>
        <v>69.703666999999953</v>
      </c>
      <c r="BV149" s="85">
        <f>SUM(BV119:BV148)</f>
        <v>99.593503347095435</v>
      </c>
      <c r="BW149" s="85"/>
      <c r="BX149" s="85">
        <f>SUM(BX119:BX148)</f>
        <v>0</v>
      </c>
      <c r="BY149" s="85">
        <f>SUM(BY119:BY148)</f>
        <v>31191.84717034709</v>
      </c>
      <c r="CA149" s="193" t="s">
        <v>17</v>
      </c>
      <c r="CB149" s="195">
        <f>SUM(CB119:CB148)</f>
        <v>240460.31</v>
      </c>
      <c r="CC149" s="195">
        <f>SUM(CC119:CC148)</f>
        <v>25596.940000000006</v>
      </c>
      <c r="CD149" s="85">
        <f>SUM(CD119:CD148)</f>
        <v>0</v>
      </c>
      <c r="CE149" s="83"/>
      <c r="CF149" s="84">
        <f>SUM(CF119:CF148)</f>
        <v>2126.0861299999997</v>
      </c>
      <c r="CG149" s="85">
        <f>SUM(CG119:CG148)</f>
        <v>117.10546496857171</v>
      </c>
      <c r="CH149" s="85">
        <f>SUM(CH119:CH148)</f>
        <v>26.575439999999972</v>
      </c>
      <c r="CI149" s="85">
        <f>SUM(CI119:CI148)</f>
        <v>2269.7670349685709</v>
      </c>
      <c r="CK149" s="190" t="s">
        <v>17</v>
      </c>
      <c r="CL149" s="191">
        <f>SUM(CL119:CL148)</f>
        <v>326714.21000000002</v>
      </c>
      <c r="CM149" s="191">
        <f>SUM(CM119:CM148)</f>
        <v>17279.400000000001</v>
      </c>
      <c r="CN149" s="194">
        <f>SUM(CN119:CN148)</f>
        <v>0</v>
      </c>
      <c r="CO149" s="83"/>
      <c r="CP149" s="84">
        <f>SUM(CP119:CP148)</f>
        <v>0</v>
      </c>
      <c r="CQ149" s="85">
        <f>SUM(CQ119:CQ148)</f>
        <v>534.46441041043954</v>
      </c>
      <c r="CR149" s="85">
        <f>SUM(CR119:CR148)</f>
        <v>0</v>
      </c>
      <c r="CS149" s="85">
        <f>SUM(CS119:CS148)</f>
        <v>534.46441041043954</v>
      </c>
      <c r="CU149" s="190" t="s">
        <v>17</v>
      </c>
      <c r="CV149" s="191">
        <f>SUM(CV119:CV148)</f>
        <v>39626.049999999988</v>
      </c>
      <c r="CW149" s="191">
        <f>SUM(CW119:CW148)</f>
        <v>10993.400000000001</v>
      </c>
      <c r="CX149" s="194">
        <f>SUM(CX119:CX148)</f>
        <v>0</v>
      </c>
      <c r="CY149" s="191">
        <f>SUM(CY119:CY148)</f>
        <v>2143.56</v>
      </c>
      <c r="CZ149" s="83"/>
      <c r="DA149" s="84">
        <f>SUM(DA119:DA148)</f>
        <v>680.38141999999903</v>
      </c>
      <c r="DB149" s="85">
        <f>SUM(DB119:DB148)</f>
        <v>643.88695275904809</v>
      </c>
      <c r="DC149" s="85">
        <f>SUM(DC119:DC148)</f>
        <v>1.0573009999999954</v>
      </c>
      <c r="DD149" s="85">
        <f>SUM(DD119:DD148)</f>
        <v>3468.8856737590472</v>
      </c>
      <c r="DE149" s="212"/>
      <c r="DF149" s="190" t="s">
        <v>17</v>
      </c>
      <c r="DG149" s="191">
        <f>SUM(DG119:DG148)</f>
        <v>131580.21</v>
      </c>
      <c r="DH149" s="191">
        <f>SUM(DH119:DH148)</f>
        <v>14152.579999999998</v>
      </c>
      <c r="DI149" s="194">
        <f>SUM(DI119:DI148)</f>
        <v>0</v>
      </c>
      <c r="DJ149" s="83"/>
      <c r="DK149" s="84">
        <f>SUM(DK119:DK148)</f>
        <v>1928.5931499999961</v>
      </c>
      <c r="DL149" s="85">
        <f>SUM(DL119:DL148)</f>
        <v>611.1871913799049</v>
      </c>
      <c r="DM149" s="85">
        <f>SUM(DM119:DM148)</f>
        <v>6.8167999999999864</v>
      </c>
      <c r="DN149" s="85">
        <f>SUM(DN119:DN148)</f>
        <v>2546.5971413799007</v>
      </c>
      <c r="DP149" s="193" t="s">
        <v>17</v>
      </c>
      <c r="DQ149" s="195">
        <f>SUM(DQ119:DQ148)</f>
        <v>33530.68</v>
      </c>
      <c r="DR149" s="85">
        <f>SUM(DR119:DR148)</f>
        <v>0</v>
      </c>
      <c r="DS149" s="83"/>
      <c r="DT149" s="84">
        <f>SUM(DT119:DT148)</f>
        <v>0</v>
      </c>
      <c r="DU149" s="85">
        <f>SUM(DU119:DU148)</f>
        <v>0</v>
      </c>
      <c r="DV149" s="85">
        <f>SUM(DV119:DV148)</f>
        <v>0</v>
      </c>
      <c r="DW149" s="85">
        <f>SUM(DW119:DW148)</f>
        <v>0</v>
      </c>
      <c r="DY149" s="190" t="s">
        <v>17</v>
      </c>
      <c r="DZ149" s="191">
        <f>SUM(DZ119:DZ148)</f>
        <v>19093.080000000005</v>
      </c>
      <c r="EA149" s="194">
        <f>SUM(EA119:EA148)</f>
        <v>24</v>
      </c>
      <c r="EB149" s="83"/>
      <c r="EC149" s="84">
        <f>SUM(EC119:EC148)</f>
        <v>0</v>
      </c>
      <c r="ED149" s="85">
        <f>SUM(ED119:ED148)</f>
        <v>0</v>
      </c>
      <c r="EE149" s="85">
        <f>SUM(EE119:EE148)</f>
        <v>0</v>
      </c>
      <c r="EF149" s="85">
        <f>SUM(EF119:EF148)</f>
        <v>24</v>
      </c>
      <c r="EH149" s="190" t="s">
        <v>17</v>
      </c>
      <c r="EI149" s="191">
        <f>SUM(EI119:EI148)</f>
        <v>86608.62</v>
      </c>
      <c r="EJ149" s="194">
        <f>SUM(EJ119:EJ148)</f>
        <v>2083.83</v>
      </c>
      <c r="EK149" s="83"/>
      <c r="EL149" s="84">
        <f>SUM(EL119:EL148)</f>
        <v>0</v>
      </c>
      <c r="EM149" s="85">
        <f>SUM(EM119:EM148)</f>
        <v>0</v>
      </c>
      <c r="EN149" s="85">
        <f>SUM(EN119:EN148)</f>
        <v>0</v>
      </c>
      <c r="EO149" s="85">
        <f>SUM(EO119:EO148)</f>
        <v>2083.83</v>
      </c>
      <c r="EQ149" s="190" t="s">
        <v>17</v>
      </c>
      <c r="ER149" s="191">
        <f>SUM(ER119:ER148)</f>
        <v>79342.69</v>
      </c>
      <c r="ES149" s="194">
        <f>SUM(ES119:ES148)</f>
        <v>0</v>
      </c>
      <c r="ET149" s="83"/>
      <c r="EU149" s="84">
        <f>SUM(EU119:EU148)</f>
        <v>3100.6038359000008</v>
      </c>
      <c r="EV149" s="85">
        <f>SUM(EV119:EV148)</f>
        <v>0</v>
      </c>
      <c r="EW149" s="85">
        <f>SUM(EW119:EW148)</f>
        <v>0</v>
      </c>
      <c r="EX149" s="85">
        <f>SUM(EX119:EX148)</f>
        <v>3100.6038359000008</v>
      </c>
    </row>
    <row r="150" spans="2:154" x14ac:dyDescent="0.25">
      <c r="DZ150" s="201"/>
      <c r="EA150" s="202"/>
      <c r="EG150" s="203"/>
    </row>
  </sheetData>
  <mergeCells count="89">
    <mergeCell ref="BD117:BD118"/>
    <mergeCell ref="BO117:BO118"/>
    <mergeCell ref="CA117:CA118"/>
    <mergeCell ref="CK117:CK118"/>
    <mergeCell ref="CU117:CU118"/>
    <mergeCell ref="B117:B118"/>
    <mergeCell ref="L117:L118"/>
    <mergeCell ref="W117:W118"/>
    <mergeCell ref="AH117:AH118"/>
    <mergeCell ref="AS117:AS118"/>
    <mergeCell ref="BD115:BE115"/>
    <mergeCell ref="BO115:BP115"/>
    <mergeCell ref="CA115:CB115"/>
    <mergeCell ref="CK115:CL115"/>
    <mergeCell ref="CU115:CV115"/>
    <mergeCell ref="B115:C115"/>
    <mergeCell ref="L115:N115"/>
    <mergeCell ref="W115:X115"/>
    <mergeCell ref="AH115:AI115"/>
    <mergeCell ref="AS115:AT115"/>
    <mergeCell ref="BD78:BD79"/>
    <mergeCell ref="BO78:BO79"/>
    <mergeCell ref="CA78:CA79"/>
    <mergeCell ref="CK78:CK79"/>
    <mergeCell ref="CU78:CU79"/>
    <mergeCell ref="B78:B79"/>
    <mergeCell ref="L78:L79"/>
    <mergeCell ref="W78:W79"/>
    <mergeCell ref="AH78:AH79"/>
    <mergeCell ref="AS78:AS79"/>
    <mergeCell ref="BD76:BE76"/>
    <mergeCell ref="BO76:BP76"/>
    <mergeCell ref="CA76:CB76"/>
    <mergeCell ref="CK76:CL76"/>
    <mergeCell ref="CU76:CV76"/>
    <mergeCell ref="B76:C76"/>
    <mergeCell ref="L76:N76"/>
    <mergeCell ref="W76:X76"/>
    <mergeCell ref="AH76:AI76"/>
    <mergeCell ref="AS76:AT76"/>
    <mergeCell ref="BD2:BE2"/>
    <mergeCell ref="B2:C2"/>
    <mergeCell ref="L2:N2"/>
    <mergeCell ref="W2:X2"/>
    <mergeCell ref="AH2:AI2"/>
    <mergeCell ref="AS2:AT2"/>
    <mergeCell ref="EH2:EI2"/>
    <mergeCell ref="EQ2:ER2"/>
    <mergeCell ref="B4:B5"/>
    <mergeCell ref="L4:L5"/>
    <mergeCell ref="W4:W5"/>
    <mergeCell ref="AH4:AH5"/>
    <mergeCell ref="AS4:AS5"/>
    <mergeCell ref="BD4:BD5"/>
    <mergeCell ref="BO4:BO5"/>
    <mergeCell ref="CA4:CA5"/>
    <mergeCell ref="BO2:BP2"/>
    <mergeCell ref="CA2:CB2"/>
    <mergeCell ref="CK2:CL2"/>
    <mergeCell ref="CU2:CV2"/>
    <mergeCell ref="DF2:DG2"/>
    <mergeCell ref="DP2:DQ2"/>
    <mergeCell ref="EQ4:EQ5"/>
    <mergeCell ref="B40:C40"/>
    <mergeCell ref="L40:N40"/>
    <mergeCell ref="W40:X40"/>
    <mergeCell ref="AH40:AI40"/>
    <mergeCell ref="AS40:AT40"/>
    <mergeCell ref="BD40:BE40"/>
    <mergeCell ref="BO40:BP40"/>
    <mergeCell ref="CA40:CB40"/>
    <mergeCell ref="CK40:CL40"/>
    <mergeCell ref="CK4:CK5"/>
    <mergeCell ref="CU4:CU5"/>
    <mergeCell ref="DF4:DF5"/>
    <mergeCell ref="DP4:DP5"/>
    <mergeCell ref="DY4:DY5"/>
    <mergeCell ref="EH4:EH5"/>
    <mergeCell ref="CU42:CU43"/>
    <mergeCell ref="CU40:CV40"/>
    <mergeCell ref="B42:B43"/>
    <mergeCell ref="L42:L43"/>
    <mergeCell ref="W42:W43"/>
    <mergeCell ref="AH42:AH43"/>
    <mergeCell ref="AS42:AS43"/>
    <mergeCell ref="BD42:BD43"/>
    <mergeCell ref="BO42:BO43"/>
    <mergeCell ref="CA42:CA43"/>
    <mergeCell ref="CK42:CK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CL148"/>
  <sheetViews>
    <sheetView tabSelected="1" zoomScale="90" zoomScaleNormal="90" workbookViewId="0">
      <selection activeCell="D84" sqref="D84"/>
    </sheetView>
  </sheetViews>
  <sheetFormatPr baseColWidth="10" defaultRowHeight="15.75" x14ac:dyDescent="0.25"/>
  <cols>
    <col min="1" max="1" width="11.42578125" style="275"/>
    <col min="2" max="2" width="11.5703125" style="275" bestFit="1" customWidth="1"/>
    <col min="3" max="3" width="14.85546875" style="275" customWidth="1"/>
    <col min="4" max="4" width="12.28515625" style="275" bestFit="1" customWidth="1"/>
    <col min="5" max="5" width="13.5703125" style="275" bestFit="1" customWidth="1"/>
    <col min="6" max="6" width="11.5703125" style="275" bestFit="1" customWidth="1"/>
    <col min="7" max="7" width="2.28515625" style="275" customWidth="1"/>
    <col min="8" max="8" width="14" style="275" customWidth="1"/>
    <col min="9" max="9" width="11.7109375" style="275" customWidth="1"/>
    <col min="10" max="10" width="15.7109375" style="275" customWidth="1"/>
    <col min="11" max="11" width="11.42578125" style="275" customWidth="1"/>
    <col min="12" max="12" width="11.42578125" style="275"/>
    <col min="13" max="13" width="11.5703125" style="275" bestFit="1" customWidth="1"/>
    <col min="14" max="14" width="16.5703125" style="275" customWidth="1"/>
    <col min="15" max="15" width="15.42578125" style="275" customWidth="1"/>
    <col min="16" max="16" width="17.5703125" style="275" customWidth="1"/>
    <col min="17" max="17" width="15.85546875" style="275" customWidth="1"/>
    <col min="18" max="18" width="15.7109375" style="275" customWidth="1"/>
    <col min="19" max="19" width="2.28515625" style="275" customWidth="1"/>
    <col min="20" max="21" width="10.85546875" style="275" customWidth="1"/>
    <col min="22" max="22" width="11" style="275" customWidth="1"/>
    <col min="23" max="23" width="12.85546875" style="275" customWidth="1"/>
    <col min="24" max="24" width="11.42578125" style="275"/>
    <col min="25" max="25" width="11.5703125" style="275" bestFit="1" customWidth="1"/>
    <col min="26" max="26" width="17.140625" style="275" customWidth="1"/>
    <col min="27" max="27" width="20.28515625" style="275" customWidth="1"/>
    <col min="28" max="28" width="2.28515625" style="275" customWidth="1"/>
    <col min="29" max="30" width="10.85546875" style="275" customWidth="1"/>
    <col min="31" max="31" width="11" style="275" customWidth="1"/>
    <col min="32" max="32" width="11.42578125" style="275" customWidth="1"/>
    <col min="33" max="33" width="11.42578125" style="275"/>
    <col min="34" max="34" width="11.5703125" style="275" bestFit="1" customWidth="1"/>
    <col min="35" max="35" width="14.5703125" style="275" customWidth="1"/>
    <col min="36" max="36" width="14.28515625" style="275" customWidth="1"/>
    <col min="37" max="37" width="2.28515625" style="275" customWidth="1"/>
    <col min="38" max="39" width="10.85546875" style="275" customWidth="1"/>
    <col min="40" max="40" width="11" style="275" customWidth="1"/>
    <col min="41" max="41" width="11.42578125" style="275" customWidth="1"/>
    <col min="42" max="42" width="11.42578125" style="275"/>
    <col min="43" max="43" width="11.5703125" style="275" bestFit="1" customWidth="1"/>
    <col min="44" max="44" width="15.42578125" style="275" customWidth="1"/>
    <col min="45" max="45" width="17" style="275" customWidth="1"/>
    <col min="46" max="47" width="15.28515625" style="275" customWidth="1"/>
    <col min="48" max="49" width="11.5703125" style="275" bestFit="1" customWidth="1"/>
    <col min="50" max="50" width="2.28515625" style="275" customWidth="1"/>
    <col min="51" max="52" width="10.85546875" style="275" customWidth="1"/>
    <col min="53" max="53" width="11" style="275" customWidth="1"/>
    <col min="54" max="54" width="11.42578125" style="275" customWidth="1"/>
    <col min="55" max="55" width="11.42578125" style="275"/>
    <col min="56" max="56" width="11.5703125" style="275" bestFit="1" customWidth="1"/>
    <col min="57" max="57" width="15" style="275" customWidth="1"/>
    <col min="58" max="58" width="16.42578125" style="275" customWidth="1"/>
    <col min="59" max="59" width="2.28515625" style="275" customWidth="1"/>
    <col min="60" max="61" width="10.85546875" style="275" customWidth="1"/>
    <col min="62" max="62" width="11" style="275" customWidth="1"/>
    <col min="63" max="63" width="11.42578125" style="275" customWidth="1"/>
    <col min="64" max="64" width="11.42578125" style="275"/>
    <col min="65" max="65" width="11.5703125" style="275" bestFit="1" customWidth="1"/>
    <col min="66" max="66" width="15.140625" style="275" customWidth="1"/>
    <col min="67" max="67" width="15" style="275" customWidth="1"/>
    <col min="68" max="68" width="2.28515625" style="275" customWidth="1"/>
    <col min="69" max="70" width="10.85546875" style="275" customWidth="1"/>
    <col min="71" max="71" width="11" style="275" customWidth="1"/>
    <col min="72" max="72" width="11.42578125" style="275" customWidth="1"/>
    <col min="73" max="73" width="11.42578125" style="275"/>
    <col min="74" max="74" width="11.5703125" style="275" bestFit="1" customWidth="1"/>
    <col min="75" max="75" width="15.140625" style="275" customWidth="1"/>
    <col min="76" max="76" width="11.5703125" style="275" bestFit="1" customWidth="1"/>
    <col min="77" max="77" width="2.28515625" style="275" customWidth="1"/>
    <col min="78" max="79" width="10.85546875" style="275" customWidth="1"/>
    <col min="80" max="80" width="11" style="275" customWidth="1"/>
    <col min="81" max="81" width="11.42578125" style="275" customWidth="1"/>
    <col min="82" max="82" width="11.42578125" style="275"/>
    <col min="83" max="83" width="15.7109375" style="275" customWidth="1"/>
    <col min="84" max="84" width="15.140625" style="275" customWidth="1"/>
    <col min="85" max="85" width="11.42578125" style="275"/>
    <col min="86" max="86" width="2.28515625" style="275" customWidth="1"/>
    <col min="87" max="88" width="10.85546875" style="275" customWidth="1"/>
    <col min="89" max="89" width="11" style="275" customWidth="1"/>
    <col min="90" max="16384" width="11.42578125" style="275"/>
  </cols>
  <sheetData>
    <row r="2" spans="2:90" ht="26.25" hidden="1" x14ac:dyDescent="0.4">
      <c r="B2" s="275" t="s">
        <v>71</v>
      </c>
      <c r="N2" s="275" t="s">
        <v>72</v>
      </c>
      <c r="Y2" s="275" t="s">
        <v>73</v>
      </c>
      <c r="AH2" s="275" t="s">
        <v>74</v>
      </c>
      <c r="AQ2" s="275" t="s">
        <v>75</v>
      </c>
      <c r="BD2" s="275" t="s">
        <v>76</v>
      </c>
      <c r="BM2" s="275" t="s">
        <v>77</v>
      </c>
      <c r="BV2" s="275" t="s">
        <v>78</v>
      </c>
      <c r="CE2" s="275" t="s">
        <v>79</v>
      </c>
      <c r="CF2" s="276"/>
      <c r="CG2" s="276"/>
    </row>
    <row r="3" spans="2:90" ht="16.5" hidden="1" thickBot="1" x14ac:dyDescent="0.3"/>
    <row r="4" spans="2:90" ht="16.5" hidden="1" thickBot="1" x14ac:dyDescent="0.3">
      <c r="C4" s="277" t="s">
        <v>80</v>
      </c>
      <c r="D4" s="277" t="s">
        <v>80</v>
      </c>
      <c r="E4" s="277" t="s">
        <v>80</v>
      </c>
      <c r="F4" s="277" t="s">
        <v>81</v>
      </c>
      <c r="G4" s="278"/>
      <c r="H4" s="311" t="s">
        <v>16</v>
      </c>
      <c r="I4" s="312" t="s">
        <v>16</v>
      </c>
      <c r="J4" s="313" t="s">
        <v>16</v>
      </c>
      <c r="K4" s="282" t="s">
        <v>82</v>
      </c>
      <c r="N4" s="283" t="s">
        <v>15</v>
      </c>
      <c r="O4" s="283" t="s">
        <v>15</v>
      </c>
      <c r="P4" s="283" t="s">
        <v>15</v>
      </c>
      <c r="Q4" s="284" t="s">
        <v>81</v>
      </c>
      <c r="R4" s="284" t="s">
        <v>81</v>
      </c>
      <c r="S4" s="278"/>
      <c r="T4" s="279" t="s">
        <v>16</v>
      </c>
      <c r="U4" s="280" t="s">
        <v>16</v>
      </c>
      <c r="V4" s="281" t="s">
        <v>16</v>
      </c>
      <c r="W4" s="282" t="s">
        <v>82</v>
      </c>
      <c r="Z4" s="285" t="s">
        <v>15</v>
      </c>
      <c r="AA4" s="286" t="s">
        <v>24</v>
      </c>
      <c r="AB4" s="278"/>
      <c r="AC4" s="279" t="s">
        <v>16</v>
      </c>
      <c r="AD4" s="280" t="s">
        <v>16</v>
      </c>
      <c r="AE4" s="281" t="s">
        <v>16</v>
      </c>
      <c r="AF4" s="282" t="s">
        <v>82</v>
      </c>
      <c r="AI4" s="277" t="s">
        <v>80</v>
      </c>
      <c r="AJ4" s="277" t="s">
        <v>81</v>
      </c>
      <c r="AK4" s="278"/>
      <c r="AL4" s="279" t="s">
        <v>16</v>
      </c>
      <c r="AM4" s="280" t="s">
        <v>16</v>
      </c>
      <c r="AN4" s="281" t="s">
        <v>16</v>
      </c>
      <c r="AO4" s="282" t="s">
        <v>82</v>
      </c>
      <c r="AR4" s="277" t="s">
        <v>80</v>
      </c>
      <c r="AS4" s="277" t="s">
        <v>80</v>
      </c>
      <c r="AT4" s="277" t="s">
        <v>80</v>
      </c>
      <c r="AU4" s="277" t="s">
        <v>81</v>
      </c>
      <c r="AV4" s="277" t="s">
        <v>81</v>
      </c>
      <c r="AW4" s="277" t="s">
        <v>81</v>
      </c>
      <c r="AX4" s="278"/>
      <c r="AY4" s="279" t="s">
        <v>16</v>
      </c>
      <c r="AZ4" s="280" t="s">
        <v>16</v>
      </c>
      <c r="BA4" s="281" t="s">
        <v>16</v>
      </c>
      <c r="BB4" s="282" t="s">
        <v>82</v>
      </c>
      <c r="BE4" s="277" t="s">
        <v>80</v>
      </c>
      <c r="BF4" s="277" t="s">
        <v>81</v>
      </c>
      <c r="BG4" s="278"/>
      <c r="BH4" s="279" t="s">
        <v>16</v>
      </c>
      <c r="BI4" s="280" t="s">
        <v>16</v>
      </c>
      <c r="BJ4" s="281" t="s">
        <v>16</v>
      </c>
      <c r="BK4" s="282" t="s">
        <v>82</v>
      </c>
      <c r="BN4" s="277" t="s">
        <v>80</v>
      </c>
      <c r="BO4" s="277" t="s">
        <v>81</v>
      </c>
      <c r="BP4" s="278"/>
      <c r="BQ4" s="279" t="s">
        <v>16</v>
      </c>
      <c r="BR4" s="280" t="s">
        <v>16</v>
      </c>
      <c r="BS4" s="281" t="s">
        <v>16</v>
      </c>
      <c r="BT4" s="282" t="s">
        <v>82</v>
      </c>
      <c r="BW4" s="277" t="s">
        <v>80</v>
      </c>
      <c r="BX4" s="277" t="s">
        <v>81</v>
      </c>
      <c r="BY4" s="278"/>
      <c r="BZ4" s="279" t="s">
        <v>16</v>
      </c>
      <c r="CA4" s="280" t="s">
        <v>16</v>
      </c>
      <c r="CB4" s="281" t="s">
        <v>16</v>
      </c>
      <c r="CC4" s="282" t="s">
        <v>17</v>
      </c>
      <c r="CF4" s="277" t="s">
        <v>80</v>
      </c>
      <c r="CG4" s="277" t="s">
        <v>81</v>
      </c>
      <c r="CH4" s="278"/>
      <c r="CI4" s="279" t="s">
        <v>16</v>
      </c>
      <c r="CJ4" s="280" t="s">
        <v>16</v>
      </c>
      <c r="CK4" s="281" t="s">
        <v>16</v>
      </c>
      <c r="CL4" s="282" t="s">
        <v>17</v>
      </c>
    </row>
    <row r="5" spans="2:90" ht="16.5" hidden="1" thickBot="1" x14ac:dyDescent="0.3">
      <c r="C5" s="287" t="s">
        <v>18</v>
      </c>
      <c r="D5" s="287" t="s">
        <v>19</v>
      </c>
      <c r="E5" s="287" t="s">
        <v>20</v>
      </c>
      <c r="F5" s="287" t="s">
        <v>18</v>
      </c>
      <c r="G5" s="278"/>
      <c r="H5" s="314" t="s">
        <v>21</v>
      </c>
      <c r="I5" s="315" t="s">
        <v>22</v>
      </c>
      <c r="J5" s="316" t="s">
        <v>23</v>
      </c>
      <c r="K5" s="291" t="s">
        <v>55</v>
      </c>
      <c r="N5" s="292" t="s">
        <v>18</v>
      </c>
      <c r="O5" s="292" t="s">
        <v>19</v>
      </c>
      <c r="P5" s="292" t="s">
        <v>20</v>
      </c>
      <c r="Q5" s="292" t="s">
        <v>20</v>
      </c>
      <c r="R5" s="292" t="s">
        <v>18</v>
      </c>
      <c r="S5" s="278"/>
      <c r="T5" s="288" t="s">
        <v>21</v>
      </c>
      <c r="U5" s="289" t="s">
        <v>22</v>
      </c>
      <c r="V5" s="290" t="s">
        <v>23</v>
      </c>
      <c r="W5" s="291" t="s">
        <v>55</v>
      </c>
      <c r="Z5" s="293" t="s">
        <v>18</v>
      </c>
      <c r="AA5" s="294" t="s">
        <v>18</v>
      </c>
      <c r="AB5" s="278"/>
      <c r="AC5" s="288" t="s">
        <v>21</v>
      </c>
      <c r="AD5" s="289" t="s">
        <v>22</v>
      </c>
      <c r="AE5" s="290" t="s">
        <v>23</v>
      </c>
      <c r="AF5" s="291" t="s">
        <v>55</v>
      </c>
      <c r="AI5" s="287" t="s">
        <v>18</v>
      </c>
      <c r="AJ5" s="287" t="s">
        <v>18</v>
      </c>
      <c r="AK5" s="278"/>
      <c r="AL5" s="288" t="s">
        <v>21</v>
      </c>
      <c r="AM5" s="289" t="s">
        <v>22</v>
      </c>
      <c r="AN5" s="290" t="s">
        <v>23</v>
      </c>
      <c r="AO5" s="291" t="s">
        <v>55</v>
      </c>
      <c r="AR5" s="287" t="s">
        <v>18</v>
      </c>
      <c r="AS5" s="287" t="s">
        <v>19</v>
      </c>
      <c r="AT5" s="287" t="s">
        <v>20</v>
      </c>
      <c r="AU5" s="287" t="s">
        <v>19</v>
      </c>
      <c r="AV5" s="277" t="s">
        <v>20</v>
      </c>
      <c r="AW5" s="287" t="s">
        <v>18</v>
      </c>
      <c r="AX5" s="278"/>
      <c r="AY5" s="288" t="s">
        <v>21</v>
      </c>
      <c r="AZ5" s="289" t="s">
        <v>22</v>
      </c>
      <c r="BA5" s="290" t="s">
        <v>23</v>
      </c>
      <c r="BB5" s="291" t="s">
        <v>55</v>
      </c>
      <c r="BE5" s="287" t="s">
        <v>18</v>
      </c>
      <c r="BF5" s="287" t="s">
        <v>18</v>
      </c>
      <c r="BG5" s="278"/>
      <c r="BH5" s="288" t="s">
        <v>21</v>
      </c>
      <c r="BI5" s="289" t="s">
        <v>22</v>
      </c>
      <c r="BJ5" s="290" t="s">
        <v>23</v>
      </c>
      <c r="BK5" s="291" t="s">
        <v>55</v>
      </c>
      <c r="BN5" s="287" t="s">
        <v>18</v>
      </c>
      <c r="BO5" s="287" t="s">
        <v>18</v>
      </c>
      <c r="BP5" s="278"/>
      <c r="BQ5" s="288" t="s">
        <v>21</v>
      </c>
      <c r="BR5" s="289" t="s">
        <v>22</v>
      </c>
      <c r="BS5" s="290" t="s">
        <v>23</v>
      </c>
      <c r="BT5" s="291" t="s">
        <v>55</v>
      </c>
      <c r="BW5" s="287" t="s">
        <v>18</v>
      </c>
      <c r="BX5" s="287" t="s">
        <v>18</v>
      </c>
      <c r="BY5" s="278"/>
      <c r="BZ5" s="288" t="s">
        <v>21</v>
      </c>
      <c r="CA5" s="289" t="s">
        <v>22</v>
      </c>
      <c r="CB5" s="290" t="s">
        <v>23</v>
      </c>
      <c r="CC5" s="291" t="s">
        <v>24</v>
      </c>
      <c r="CF5" s="287" t="s">
        <v>18</v>
      </c>
      <c r="CG5" s="287" t="s">
        <v>18</v>
      </c>
      <c r="CH5" s="278"/>
      <c r="CI5" s="288" t="s">
        <v>21</v>
      </c>
      <c r="CJ5" s="289" t="s">
        <v>22</v>
      </c>
      <c r="CK5" s="290" t="s">
        <v>23</v>
      </c>
      <c r="CL5" s="291" t="s">
        <v>24</v>
      </c>
    </row>
    <row r="6" spans="2:90" hidden="1" x14ac:dyDescent="0.25">
      <c r="B6" s="295">
        <v>46023</v>
      </c>
      <c r="C6" s="296">
        <v>364.79</v>
      </c>
      <c r="D6" s="296">
        <v>46.29</v>
      </c>
      <c r="E6" s="296">
        <v>1590.33</v>
      </c>
      <c r="F6" s="297"/>
      <c r="G6" s="298"/>
      <c r="H6" s="299"/>
      <c r="I6" s="300"/>
      <c r="J6" s="300"/>
      <c r="K6" s="300">
        <f>SUM(F6:J6)</f>
        <v>0</v>
      </c>
      <c r="M6" s="295">
        <v>46023</v>
      </c>
      <c r="N6" s="296">
        <v>1163.7</v>
      </c>
      <c r="O6" s="296">
        <v>245.94</v>
      </c>
      <c r="P6" s="296">
        <v>2791.02</v>
      </c>
      <c r="Q6" s="297">
        <v>48.71</v>
      </c>
      <c r="R6" s="301"/>
      <c r="S6" s="298"/>
      <c r="T6" s="299"/>
      <c r="U6" s="300"/>
      <c r="V6" s="300"/>
      <c r="W6" s="300">
        <f>SUM(R6:V6)</f>
        <v>0</v>
      </c>
      <c r="Y6" s="295">
        <v>46023</v>
      </c>
      <c r="Z6" s="296">
        <v>524.70000000000005</v>
      </c>
      <c r="AA6" s="301">
        <v>134.58000000000001</v>
      </c>
      <c r="AB6" s="298"/>
      <c r="AC6" s="299"/>
      <c r="AD6" s="300"/>
      <c r="AE6" s="300"/>
      <c r="AF6" s="300">
        <f>SUM(AA6:AE6)</f>
        <v>134.58000000000001</v>
      </c>
      <c r="AH6" s="295">
        <v>46023</v>
      </c>
      <c r="AI6" s="296">
        <v>878.1</v>
      </c>
      <c r="AJ6" s="301">
        <v>0</v>
      </c>
      <c r="AK6" s="298"/>
      <c r="AL6" s="299"/>
      <c r="AM6" s="300"/>
      <c r="AN6" s="300"/>
      <c r="AO6" s="300">
        <f>SUM(AJ6:AN6)</f>
        <v>0</v>
      </c>
      <c r="AQ6" s="295">
        <v>46023</v>
      </c>
      <c r="AR6" s="296">
        <v>561.32000000000005</v>
      </c>
      <c r="AS6" s="296">
        <v>35.06</v>
      </c>
      <c r="AT6" s="335">
        <v>1834.87</v>
      </c>
      <c r="AV6" s="297">
        <v>103.24</v>
      </c>
      <c r="AW6" s="297">
        <v>0</v>
      </c>
      <c r="AX6" s="298"/>
      <c r="AY6" s="299"/>
      <c r="AZ6" s="300"/>
      <c r="BA6" s="300"/>
      <c r="BB6" s="300">
        <f>SUM(AW6:BA6)</f>
        <v>0</v>
      </c>
      <c r="BD6" s="295">
        <v>46023</v>
      </c>
      <c r="BE6" s="301">
        <v>3206.09</v>
      </c>
      <c r="BF6" s="301">
        <v>30</v>
      </c>
      <c r="BG6" s="298"/>
      <c r="BH6" s="299"/>
      <c r="BI6" s="300"/>
      <c r="BJ6" s="300"/>
      <c r="BK6" s="300">
        <f>SUM(BF6:BJ6)</f>
        <v>30</v>
      </c>
      <c r="BM6" s="295">
        <v>46023</v>
      </c>
      <c r="BN6" s="301">
        <v>1102.5</v>
      </c>
      <c r="BO6" s="297">
        <v>504.45</v>
      </c>
      <c r="BP6" s="298"/>
      <c r="BQ6" s="299"/>
      <c r="BR6" s="300"/>
      <c r="BS6" s="300"/>
      <c r="BT6" s="300">
        <f>SUM(BO6:BS6)</f>
        <v>504.45</v>
      </c>
      <c r="BV6" s="295">
        <v>46023</v>
      </c>
      <c r="BW6" s="296">
        <v>323</v>
      </c>
      <c r="BX6" s="301">
        <v>0</v>
      </c>
      <c r="BY6" s="298"/>
      <c r="BZ6" s="299"/>
      <c r="CA6" s="300"/>
      <c r="CB6" s="300"/>
      <c r="CC6" s="300">
        <f t="shared" ref="CC6:CC36" si="0">SUM(BX6:CB6)</f>
        <v>0</v>
      </c>
      <c r="CE6" s="295">
        <v>46023</v>
      </c>
      <c r="CF6" s="296">
        <v>949.93</v>
      </c>
      <c r="CG6" s="301"/>
      <c r="CH6" s="298"/>
      <c r="CI6" s="299"/>
      <c r="CJ6" s="300"/>
      <c r="CK6" s="300"/>
      <c r="CL6" s="300">
        <f t="shared" ref="CL6:CL36" si="1">SUM(CG6:CK6)</f>
        <v>0</v>
      </c>
    </row>
    <row r="7" spans="2:90" hidden="1" x14ac:dyDescent="0.25">
      <c r="B7" s="295">
        <v>46024</v>
      </c>
      <c r="C7" s="296">
        <v>1737.39</v>
      </c>
      <c r="D7" s="296">
        <v>450.16</v>
      </c>
      <c r="E7" s="296">
        <v>3547.79</v>
      </c>
      <c r="F7" s="297"/>
      <c r="G7" s="298"/>
      <c r="H7" s="302"/>
      <c r="I7" s="303"/>
      <c r="J7" s="303"/>
      <c r="K7" s="303">
        <f t="shared" ref="K7:K36" si="2">SUM(F7:J7)</f>
        <v>0</v>
      </c>
      <c r="M7" s="295">
        <v>46024</v>
      </c>
      <c r="N7" s="296">
        <v>1193.45</v>
      </c>
      <c r="O7" s="296">
        <v>206.57</v>
      </c>
      <c r="P7" s="296">
        <v>2839.15</v>
      </c>
      <c r="Q7" s="297">
        <v>48.42</v>
      </c>
      <c r="R7" s="301"/>
      <c r="S7" s="298"/>
      <c r="T7" s="302"/>
      <c r="U7" s="303"/>
      <c r="V7" s="303"/>
      <c r="W7" s="303">
        <f t="shared" ref="W7:W36" si="3">SUM(R7:V7)</f>
        <v>0</v>
      </c>
      <c r="Y7" s="295">
        <v>46024</v>
      </c>
      <c r="Z7" s="296">
        <v>1056.51</v>
      </c>
      <c r="AA7" s="301">
        <v>446.5</v>
      </c>
      <c r="AB7" s="298"/>
      <c r="AC7" s="302"/>
      <c r="AD7" s="303"/>
      <c r="AE7" s="303"/>
      <c r="AF7" s="303">
        <f t="shared" ref="AF7:AF36" si="4">SUM(AA7:AE7)</f>
        <v>446.5</v>
      </c>
      <c r="AH7" s="295">
        <v>46024</v>
      </c>
      <c r="AI7" s="296">
        <v>1528.55</v>
      </c>
      <c r="AJ7" s="301">
        <v>0</v>
      </c>
      <c r="AK7" s="298"/>
      <c r="AL7" s="302"/>
      <c r="AM7" s="303"/>
      <c r="AN7" s="303"/>
      <c r="AO7" s="303">
        <f t="shared" ref="AO7:AO36" si="5">SUM(AJ7:AN7)</f>
        <v>0</v>
      </c>
      <c r="AQ7" s="295">
        <v>46024</v>
      </c>
      <c r="AR7" s="296">
        <v>515.33000000000004</v>
      </c>
      <c r="AS7" s="296">
        <v>337.65</v>
      </c>
      <c r="AT7" s="335">
        <v>3127.02</v>
      </c>
      <c r="AV7" s="297">
        <v>107.41</v>
      </c>
      <c r="AW7" s="297">
        <v>0</v>
      </c>
      <c r="AX7" s="298"/>
      <c r="AY7" s="302"/>
      <c r="AZ7" s="303"/>
      <c r="BA7" s="303"/>
      <c r="BB7" s="303">
        <f t="shared" ref="BB7:BB36" si="6">SUM(AW7:BA7)</f>
        <v>0</v>
      </c>
      <c r="BD7" s="295">
        <v>46024</v>
      </c>
      <c r="BE7" s="301">
        <v>7327.4</v>
      </c>
      <c r="BF7" s="301">
        <v>71.239999999999995</v>
      </c>
      <c r="BG7" s="298"/>
      <c r="BH7" s="302">
        <v>190.14999999999998</v>
      </c>
      <c r="BI7" s="303"/>
      <c r="BJ7" s="303"/>
      <c r="BK7" s="303">
        <f t="shared" ref="BK7:BK36" si="7">SUM(BF7:BJ7)</f>
        <v>261.39</v>
      </c>
      <c r="BM7" s="295">
        <v>46024</v>
      </c>
      <c r="BN7" s="301">
        <v>12397</v>
      </c>
      <c r="BO7" s="297">
        <v>2313.0300000000002</v>
      </c>
      <c r="BP7" s="298"/>
      <c r="BQ7" s="302"/>
      <c r="BR7" s="303"/>
      <c r="BS7" s="303"/>
      <c r="BT7" s="303">
        <f t="shared" ref="BT7:BT36" si="8">SUM(BO7:BS7)</f>
        <v>2313.0300000000002</v>
      </c>
      <c r="BV7" s="295">
        <v>46024</v>
      </c>
      <c r="BW7" s="296">
        <v>670</v>
      </c>
      <c r="BX7" s="301">
        <v>0</v>
      </c>
      <c r="BY7" s="298"/>
      <c r="BZ7" s="302"/>
      <c r="CA7" s="303"/>
      <c r="CB7" s="303"/>
      <c r="CC7" s="303">
        <f t="shared" si="0"/>
        <v>0</v>
      </c>
      <c r="CE7" s="295">
        <v>46024</v>
      </c>
      <c r="CF7" s="296">
        <v>2185.39</v>
      </c>
      <c r="CG7" s="301"/>
      <c r="CH7" s="298"/>
      <c r="CI7" s="302">
        <v>10.382760000000005</v>
      </c>
      <c r="CJ7" s="303"/>
      <c r="CK7" s="303"/>
      <c r="CL7" s="303">
        <f t="shared" si="1"/>
        <v>10.382760000000005</v>
      </c>
    </row>
    <row r="8" spans="2:90" hidden="1" x14ac:dyDescent="0.25">
      <c r="B8" s="295">
        <v>46025</v>
      </c>
      <c r="C8" s="296">
        <v>1366.48</v>
      </c>
      <c r="D8" s="296">
        <v>234.42</v>
      </c>
      <c r="E8" s="296">
        <v>4090.99</v>
      </c>
      <c r="F8" s="297">
        <v>36.619999999999997</v>
      </c>
      <c r="G8" s="298"/>
      <c r="H8" s="302"/>
      <c r="I8" s="303"/>
      <c r="J8" s="303"/>
      <c r="K8" s="303">
        <f t="shared" si="2"/>
        <v>36.619999999999997</v>
      </c>
      <c r="M8" s="295">
        <v>46025</v>
      </c>
      <c r="N8" s="296">
        <v>1112.1500000000001</v>
      </c>
      <c r="O8" s="296">
        <v>208.5</v>
      </c>
      <c r="P8" s="296">
        <v>3129.27</v>
      </c>
      <c r="Q8" s="297">
        <v>97.49</v>
      </c>
      <c r="R8" s="301"/>
      <c r="S8" s="298"/>
      <c r="T8" s="302"/>
      <c r="U8" s="303"/>
      <c r="V8" s="303"/>
      <c r="W8" s="303">
        <f t="shared" si="3"/>
        <v>0</v>
      </c>
      <c r="Y8" s="295">
        <v>46025</v>
      </c>
      <c r="Z8" s="296">
        <v>1168.25</v>
      </c>
      <c r="AA8" s="301">
        <v>275.18</v>
      </c>
      <c r="AB8" s="298"/>
      <c r="AC8" s="302"/>
      <c r="AD8" s="303"/>
      <c r="AE8" s="303"/>
      <c r="AF8" s="303">
        <f t="shared" si="4"/>
        <v>275.18</v>
      </c>
      <c r="AH8" s="295">
        <v>46025</v>
      </c>
      <c r="AI8" s="296">
        <v>856.73</v>
      </c>
      <c r="AJ8" s="301">
        <v>0</v>
      </c>
      <c r="AK8" s="298"/>
      <c r="AL8" s="302"/>
      <c r="AM8" s="303"/>
      <c r="AN8" s="303"/>
      <c r="AO8" s="303">
        <f t="shared" si="5"/>
        <v>0</v>
      </c>
      <c r="AQ8" s="295">
        <v>46025</v>
      </c>
      <c r="AR8" s="296">
        <v>915.12</v>
      </c>
      <c r="AS8" s="296">
        <v>425.49</v>
      </c>
      <c r="AT8" s="335">
        <v>3496.43</v>
      </c>
      <c r="AV8" s="297">
        <v>87.49</v>
      </c>
      <c r="AW8" s="297">
        <v>0</v>
      </c>
      <c r="AX8" s="298"/>
      <c r="AY8" s="302"/>
      <c r="AZ8" s="303"/>
      <c r="BA8" s="303"/>
      <c r="BB8" s="303">
        <f t="shared" si="6"/>
        <v>0</v>
      </c>
      <c r="BD8" s="295">
        <v>46025</v>
      </c>
      <c r="BE8" s="301">
        <v>6135.18</v>
      </c>
      <c r="BF8" s="301">
        <v>56.44</v>
      </c>
      <c r="BG8" s="298"/>
      <c r="BH8" s="302"/>
      <c r="BI8" s="303"/>
      <c r="BJ8" s="303"/>
      <c r="BK8" s="303">
        <f t="shared" si="7"/>
        <v>56.44</v>
      </c>
      <c r="BM8" s="295">
        <v>46025</v>
      </c>
      <c r="BN8" s="301">
        <v>4629.5</v>
      </c>
      <c r="BO8" s="297">
        <v>715.3</v>
      </c>
      <c r="BP8" s="298"/>
      <c r="BQ8" s="302"/>
      <c r="BR8" s="303"/>
      <c r="BS8" s="303"/>
      <c r="BT8" s="303">
        <f t="shared" si="8"/>
        <v>715.3</v>
      </c>
      <c r="BV8" s="295">
        <v>46025</v>
      </c>
      <c r="BW8" s="296">
        <v>538.70000000000005</v>
      </c>
      <c r="BX8" s="301">
        <v>0</v>
      </c>
      <c r="BY8" s="298"/>
      <c r="BZ8" s="302"/>
      <c r="CA8" s="303"/>
      <c r="CB8" s="303"/>
      <c r="CC8" s="303">
        <f t="shared" si="0"/>
        <v>0</v>
      </c>
      <c r="CE8" s="295">
        <v>46025</v>
      </c>
      <c r="CF8" s="296">
        <v>1858.39</v>
      </c>
      <c r="CG8" s="301"/>
      <c r="CH8" s="298"/>
      <c r="CI8" s="302">
        <v>27.563149999999979</v>
      </c>
      <c r="CJ8" s="303"/>
      <c r="CK8" s="303"/>
      <c r="CL8" s="303">
        <f t="shared" si="1"/>
        <v>27.563149999999979</v>
      </c>
    </row>
    <row r="9" spans="2:90" hidden="1" x14ac:dyDescent="0.25">
      <c r="B9" s="295">
        <v>46026</v>
      </c>
      <c r="C9" s="296">
        <v>822.02</v>
      </c>
      <c r="D9" s="296">
        <v>283.06</v>
      </c>
      <c r="E9" s="296">
        <v>2988.32</v>
      </c>
      <c r="F9" s="297"/>
      <c r="G9" s="298"/>
      <c r="H9" s="302"/>
      <c r="I9" s="303"/>
      <c r="J9" s="303"/>
      <c r="K9" s="303">
        <f t="shared" si="2"/>
        <v>0</v>
      </c>
      <c r="M9" s="295">
        <v>46026</v>
      </c>
      <c r="N9" s="296">
        <v>2016.15</v>
      </c>
      <c r="O9" s="296">
        <v>476.66</v>
      </c>
      <c r="P9" s="296">
        <v>5847.14</v>
      </c>
      <c r="Q9" s="297">
        <v>40.98</v>
      </c>
      <c r="R9" s="301"/>
      <c r="S9" s="298"/>
      <c r="T9" s="302"/>
      <c r="U9" s="303"/>
      <c r="V9" s="303"/>
      <c r="W9" s="303">
        <f t="shared" si="3"/>
        <v>0</v>
      </c>
      <c r="Y9" s="295">
        <v>46026</v>
      </c>
      <c r="Z9" s="296">
        <v>848.62</v>
      </c>
      <c r="AA9" s="301">
        <v>303.54000000000002</v>
      </c>
      <c r="AB9" s="298"/>
      <c r="AC9" s="302"/>
      <c r="AD9" s="303"/>
      <c r="AE9" s="303"/>
      <c r="AF9" s="303">
        <f t="shared" si="4"/>
        <v>303.54000000000002</v>
      </c>
      <c r="AH9" s="295">
        <v>46026</v>
      </c>
      <c r="AI9" s="296">
        <v>796.53</v>
      </c>
      <c r="AJ9" s="301">
        <v>0</v>
      </c>
      <c r="AK9" s="298"/>
      <c r="AL9" s="302"/>
      <c r="AM9" s="303"/>
      <c r="AN9" s="303"/>
      <c r="AO9" s="303">
        <f t="shared" si="5"/>
        <v>0</v>
      </c>
      <c r="AQ9" s="295">
        <v>46026</v>
      </c>
      <c r="AR9" s="296">
        <v>673.9</v>
      </c>
      <c r="AS9" s="296">
        <v>217.21</v>
      </c>
      <c r="AT9" s="335">
        <v>2687.89</v>
      </c>
      <c r="AV9" s="297">
        <v>121.1</v>
      </c>
      <c r="AW9" s="297">
        <v>0</v>
      </c>
      <c r="AX9" s="298"/>
      <c r="AY9" s="302"/>
      <c r="AZ9" s="303"/>
      <c r="BA9" s="303"/>
      <c r="BB9" s="303">
        <f t="shared" si="6"/>
        <v>0</v>
      </c>
      <c r="BD9" s="295">
        <v>46026</v>
      </c>
      <c r="BE9" s="301">
        <v>4099.01</v>
      </c>
      <c r="BF9" s="301">
        <v>31.74</v>
      </c>
      <c r="BG9" s="298"/>
      <c r="BH9" s="302"/>
      <c r="BI9" s="303"/>
      <c r="BJ9" s="303"/>
      <c r="BK9" s="303">
        <f t="shared" si="7"/>
        <v>31.74</v>
      </c>
      <c r="BM9" s="295">
        <v>46026</v>
      </c>
      <c r="BN9" s="301">
        <v>2054.85</v>
      </c>
      <c r="BO9" s="297">
        <v>217</v>
      </c>
      <c r="BP9" s="298"/>
      <c r="BQ9" s="302"/>
      <c r="BR9" s="303"/>
      <c r="BS9" s="303"/>
      <c r="BT9" s="303">
        <f t="shared" si="8"/>
        <v>217</v>
      </c>
      <c r="BV9" s="295">
        <v>46026</v>
      </c>
      <c r="BW9" s="296">
        <v>458</v>
      </c>
      <c r="BX9" s="301">
        <v>0</v>
      </c>
      <c r="BY9" s="298"/>
      <c r="BZ9" s="302"/>
      <c r="CA9" s="303"/>
      <c r="CB9" s="303"/>
      <c r="CC9" s="303">
        <f t="shared" si="0"/>
        <v>0</v>
      </c>
      <c r="CE9" s="295">
        <v>46026</v>
      </c>
      <c r="CF9" s="296">
        <v>1003.12</v>
      </c>
      <c r="CG9" s="301"/>
      <c r="CH9" s="298"/>
      <c r="CI9" s="302">
        <v>30.314099999999968</v>
      </c>
      <c r="CJ9" s="303"/>
      <c r="CK9" s="303"/>
      <c r="CL9" s="303">
        <f t="shared" si="1"/>
        <v>30.314099999999968</v>
      </c>
    </row>
    <row r="10" spans="2:90" hidden="1" x14ac:dyDescent="0.25">
      <c r="B10" s="295">
        <v>46027</v>
      </c>
      <c r="C10" s="296">
        <v>1291</v>
      </c>
      <c r="D10" s="296">
        <v>544.6</v>
      </c>
      <c r="E10" s="296">
        <v>3995.7</v>
      </c>
      <c r="F10" s="297">
        <v>141.72999999999999</v>
      </c>
      <c r="G10" s="298"/>
      <c r="H10" s="302"/>
      <c r="I10" s="303">
        <v>360.24629142857145</v>
      </c>
      <c r="J10" s="303"/>
      <c r="K10" s="303">
        <f t="shared" si="2"/>
        <v>501.97629142857147</v>
      </c>
      <c r="M10" s="295">
        <v>46027</v>
      </c>
      <c r="N10" s="296">
        <v>252.4</v>
      </c>
      <c r="O10" s="296">
        <v>41.25</v>
      </c>
      <c r="P10" s="296">
        <v>3345.52</v>
      </c>
      <c r="Q10" s="297">
        <v>101.19</v>
      </c>
      <c r="R10" s="301"/>
      <c r="S10" s="298"/>
      <c r="T10" s="302"/>
      <c r="U10" s="303"/>
      <c r="V10" s="303"/>
      <c r="W10" s="303">
        <f t="shared" si="3"/>
        <v>0</v>
      </c>
      <c r="Y10" s="295">
        <v>46027</v>
      </c>
      <c r="Z10" s="296">
        <v>998.14</v>
      </c>
      <c r="AA10" s="301">
        <v>110.81</v>
      </c>
      <c r="AB10" s="298"/>
      <c r="AC10" s="302"/>
      <c r="AD10" s="303"/>
      <c r="AE10" s="303"/>
      <c r="AF10" s="303">
        <f t="shared" si="4"/>
        <v>110.81</v>
      </c>
      <c r="AH10" s="295">
        <v>46027</v>
      </c>
      <c r="AI10" s="296">
        <v>738</v>
      </c>
      <c r="AJ10" s="301">
        <v>0</v>
      </c>
      <c r="AK10" s="298"/>
      <c r="AL10" s="302"/>
      <c r="AM10" s="303"/>
      <c r="AN10" s="303"/>
      <c r="AO10" s="303">
        <f t="shared" si="5"/>
        <v>0</v>
      </c>
      <c r="AQ10" s="295">
        <v>46027</v>
      </c>
      <c r="AR10" s="296">
        <v>756.07</v>
      </c>
      <c r="AS10" s="296">
        <v>126.51</v>
      </c>
      <c r="AT10" s="335">
        <v>2753.54</v>
      </c>
      <c r="AV10" s="297">
        <v>77.37</v>
      </c>
      <c r="AW10" s="297">
        <v>0</v>
      </c>
      <c r="AX10" s="298"/>
      <c r="AY10" s="302"/>
      <c r="AZ10" s="303"/>
      <c r="BA10" s="303"/>
      <c r="BB10" s="303">
        <f t="shared" si="6"/>
        <v>0</v>
      </c>
      <c r="BD10" s="295">
        <v>46027</v>
      </c>
      <c r="BE10" s="301">
        <v>7672.66</v>
      </c>
      <c r="BF10" s="301">
        <v>53.99</v>
      </c>
      <c r="BG10" s="298"/>
      <c r="BH10" s="302">
        <v>7.6499999999999986</v>
      </c>
      <c r="BI10" s="303"/>
      <c r="BJ10" s="303"/>
      <c r="BK10" s="303">
        <f t="shared" si="7"/>
        <v>61.64</v>
      </c>
      <c r="BM10" s="295">
        <v>46027</v>
      </c>
      <c r="BN10" s="301">
        <v>6534.25</v>
      </c>
      <c r="BO10" s="297">
        <v>2162.46</v>
      </c>
      <c r="BP10" s="298"/>
      <c r="BQ10" s="302"/>
      <c r="BR10" s="303"/>
      <c r="BS10" s="303"/>
      <c r="BT10" s="303">
        <f t="shared" si="8"/>
        <v>2162.46</v>
      </c>
      <c r="BV10" s="295">
        <v>46027</v>
      </c>
      <c r="BW10" s="296">
        <v>856.8</v>
      </c>
      <c r="BX10" s="301">
        <v>0</v>
      </c>
      <c r="BY10" s="298"/>
      <c r="BZ10" s="302"/>
      <c r="CA10" s="303"/>
      <c r="CB10" s="303"/>
      <c r="CC10" s="303">
        <f t="shared" si="0"/>
        <v>0</v>
      </c>
      <c r="CE10" s="295">
        <v>46027</v>
      </c>
      <c r="CF10" s="296">
        <v>2206.87</v>
      </c>
      <c r="CG10" s="301"/>
      <c r="CH10" s="298"/>
      <c r="CI10" s="302">
        <v>89.386449999999996</v>
      </c>
      <c r="CJ10" s="303"/>
      <c r="CK10" s="303"/>
      <c r="CL10" s="303">
        <f t="shared" si="1"/>
        <v>89.386449999999996</v>
      </c>
    </row>
    <row r="11" spans="2:90" hidden="1" x14ac:dyDescent="0.25">
      <c r="B11" s="295">
        <v>46028</v>
      </c>
      <c r="C11" s="296">
        <v>1626.08</v>
      </c>
      <c r="D11" s="296">
        <v>399.85</v>
      </c>
      <c r="E11" s="296">
        <v>3932.12</v>
      </c>
      <c r="F11" s="297">
        <v>74.08</v>
      </c>
      <c r="G11" s="298"/>
      <c r="H11" s="302"/>
      <c r="I11" s="303"/>
      <c r="J11" s="303"/>
      <c r="K11" s="303">
        <f t="shared" si="2"/>
        <v>74.08</v>
      </c>
      <c r="M11" s="295">
        <v>46028</v>
      </c>
      <c r="N11" s="296">
        <v>525.70000000000005</v>
      </c>
      <c r="O11" s="296">
        <v>376.43</v>
      </c>
      <c r="P11" s="296">
        <v>2532.75</v>
      </c>
      <c r="Q11" s="297">
        <v>109.43</v>
      </c>
      <c r="R11" s="301"/>
      <c r="S11" s="298"/>
      <c r="T11" s="302"/>
      <c r="U11" s="303"/>
      <c r="V11" s="303"/>
      <c r="W11" s="303">
        <f t="shared" si="3"/>
        <v>0</v>
      </c>
      <c r="Y11" s="295">
        <v>46028</v>
      </c>
      <c r="Z11" s="296">
        <v>459.01</v>
      </c>
      <c r="AA11" s="301">
        <v>546.61</v>
      </c>
      <c r="AB11" s="298"/>
      <c r="AC11" s="302"/>
      <c r="AD11" s="303"/>
      <c r="AE11" s="303"/>
      <c r="AF11" s="303">
        <f t="shared" si="4"/>
        <v>546.61</v>
      </c>
      <c r="AH11" s="295">
        <v>46028</v>
      </c>
      <c r="AI11" s="296">
        <v>818.2</v>
      </c>
      <c r="AJ11" s="301">
        <v>0</v>
      </c>
      <c r="AK11" s="298"/>
      <c r="AL11" s="302"/>
      <c r="AM11" s="303"/>
      <c r="AN11" s="303"/>
      <c r="AO11" s="303">
        <f t="shared" si="5"/>
        <v>0</v>
      </c>
      <c r="AQ11" s="295">
        <v>46028</v>
      </c>
      <c r="AR11" s="296">
        <v>1049.49</v>
      </c>
      <c r="AS11" s="296">
        <v>98.93</v>
      </c>
      <c r="AT11" s="335">
        <v>2828.33</v>
      </c>
      <c r="AV11" s="297">
        <v>74.06</v>
      </c>
      <c r="AW11" s="297">
        <v>0</v>
      </c>
      <c r="AX11" s="298"/>
      <c r="AY11" s="302"/>
      <c r="AZ11" s="303"/>
      <c r="BA11" s="303"/>
      <c r="BB11" s="303">
        <f t="shared" si="6"/>
        <v>0</v>
      </c>
      <c r="BD11" s="295">
        <v>46028</v>
      </c>
      <c r="BE11" s="301">
        <v>6141.54</v>
      </c>
      <c r="BF11" s="301">
        <v>71.319999999999993</v>
      </c>
      <c r="BG11" s="298"/>
      <c r="BH11" s="302"/>
      <c r="BI11" s="303"/>
      <c r="BJ11" s="303"/>
      <c r="BK11" s="303">
        <f t="shared" si="7"/>
        <v>71.319999999999993</v>
      </c>
      <c r="BM11" s="295">
        <v>46028</v>
      </c>
      <c r="BN11" s="301">
        <v>14569.4</v>
      </c>
      <c r="BO11" s="297">
        <v>1262.94</v>
      </c>
      <c r="BP11" s="298"/>
      <c r="BQ11" s="302"/>
      <c r="BR11" s="303"/>
      <c r="BS11" s="303"/>
      <c r="BT11" s="303">
        <f t="shared" si="8"/>
        <v>1262.94</v>
      </c>
      <c r="BV11" s="295">
        <v>46028</v>
      </c>
      <c r="BW11" s="296">
        <v>621.1</v>
      </c>
      <c r="BX11" s="301">
        <v>0</v>
      </c>
      <c r="BY11" s="298"/>
      <c r="BZ11" s="302"/>
      <c r="CA11" s="303"/>
      <c r="CB11" s="303"/>
      <c r="CC11" s="303">
        <f t="shared" si="0"/>
        <v>0</v>
      </c>
      <c r="CE11" s="295">
        <v>46028</v>
      </c>
      <c r="CF11" s="296">
        <v>1628.12</v>
      </c>
      <c r="CG11" s="301"/>
      <c r="CH11" s="298"/>
      <c r="CI11" s="302"/>
      <c r="CJ11" s="303"/>
      <c r="CK11" s="303"/>
      <c r="CL11" s="303">
        <f t="shared" si="1"/>
        <v>0</v>
      </c>
    </row>
    <row r="12" spans="2:90" hidden="1" x14ac:dyDescent="0.25">
      <c r="B12" s="295">
        <v>46029</v>
      </c>
      <c r="C12" s="296">
        <v>1708.72</v>
      </c>
      <c r="D12" s="296">
        <v>950.44</v>
      </c>
      <c r="E12" s="296">
        <v>3811.21</v>
      </c>
      <c r="F12" s="297">
        <v>138.08000000000001</v>
      </c>
      <c r="G12" s="298"/>
      <c r="H12" s="302"/>
      <c r="I12" s="303"/>
      <c r="J12" s="303">
        <v>50.568416500000041</v>
      </c>
      <c r="K12" s="303">
        <f t="shared" si="2"/>
        <v>188.64841650000005</v>
      </c>
      <c r="M12" s="295">
        <v>46029</v>
      </c>
      <c r="N12" s="296">
        <v>235</v>
      </c>
      <c r="O12" s="296">
        <v>62.32</v>
      </c>
      <c r="P12" s="296">
        <v>3153.65</v>
      </c>
      <c r="Q12" s="297">
        <v>139.91</v>
      </c>
      <c r="R12" s="301"/>
      <c r="S12" s="298"/>
      <c r="T12" s="302"/>
      <c r="U12" s="303"/>
      <c r="V12" s="303"/>
      <c r="W12" s="303">
        <f t="shared" si="3"/>
        <v>0</v>
      </c>
      <c r="Y12" s="295">
        <v>46029</v>
      </c>
      <c r="Z12" s="296">
        <v>841.32</v>
      </c>
      <c r="AA12" s="301">
        <v>348.03</v>
      </c>
      <c r="AB12" s="298"/>
      <c r="AC12" s="302"/>
      <c r="AD12" s="303"/>
      <c r="AE12" s="303"/>
      <c r="AF12" s="303">
        <f t="shared" si="4"/>
        <v>348.03</v>
      </c>
      <c r="AH12" s="295">
        <v>46029</v>
      </c>
      <c r="AI12" s="296">
        <v>676.84</v>
      </c>
      <c r="AJ12" s="301">
        <v>0</v>
      </c>
      <c r="AK12" s="298"/>
      <c r="AL12" s="302"/>
      <c r="AM12" s="303"/>
      <c r="AN12" s="303"/>
      <c r="AO12" s="303">
        <f t="shared" si="5"/>
        <v>0</v>
      </c>
      <c r="AQ12" s="295">
        <v>46029</v>
      </c>
      <c r="AR12" s="296">
        <v>1612.77</v>
      </c>
      <c r="AS12" s="296">
        <v>434.48</v>
      </c>
      <c r="AT12" s="335">
        <v>3217.25</v>
      </c>
      <c r="AV12" s="297">
        <v>42.97</v>
      </c>
      <c r="AW12" s="297">
        <v>0</v>
      </c>
      <c r="AX12" s="298"/>
      <c r="AY12" s="302"/>
      <c r="AZ12" s="303"/>
      <c r="BA12" s="303"/>
      <c r="BB12" s="303">
        <f t="shared" si="6"/>
        <v>0</v>
      </c>
      <c r="BD12" s="295">
        <v>46029</v>
      </c>
      <c r="BE12" s="301">
        <v>7318.64</v>
      </c>
      <c r="BF12" s="301">
        <v>67.58</v>
      </c>
      <c r="BG12" s="298"/>
      <c r="BH12" s="302">
        <v>25.271960000000007</v>
      </c>
      <c r="BI12" s="303"/>
      <c r="BJ12" s="303"/>
      <c r="BK12" s="303">
        <f t="shared" si="7"/>
        <v>92.851960000000005</v>
      </c>
      <c r="BM12" s="295">
        <v>46029</v>
      </c>
      <c r="BN12" s="301">
        <v>2791.71</v>
      </c>
      <c r="BO12" s="297">
        <v>730.81</v>
      </c>
      <c r="BP12" s="298"/>
      <c r="BQ12" s="302"/>
      <c r="BR12" s="303"/>
      <c r="BS12" s="303"/>
      <c r="BT12" s="303">
        <f t="shared" si="8"/>
        <v>730.81</v>
      </c>
      <c r="BV12" s="295">
        <v>46029</v>
      </c>
      <c r="BW12" s="296">
        <v>681.91</v>
      </c>
      <c r="BX12" s="301">
        <v>0</v>
      </c>
      <c r="BY12" s="298"/>
      <c r="BZ12" s="302"/>
      <c r="CA12" s="303"/>
      <c r="CB12" s="303"/>
      <c r="CC12" s="303">
        <f t="shared" si="0"/>
        <v>0</v>
      </c>
      <c r="CE12" s="295">
        <v>46029</v>
      </c>
      <c r="CF12" s="296">
        <v>1939.44</v>
      </c>
      <c r="CG12" s="301"/>
      <c r="CH12" s="298"/>
      <c r="CI12" s="302">
        <v>41.141250000000014</v>
      </c>
      <c r="CJ12" s="303"/>
      <c r="CK12" s="303"/>
      <c r="CL12" s="303">
        <f t="shared" si="1"/>
        <v>41.141250000000014</v>
      </c>
    </row>
    <row r="13" spans="2:90" hidden="1" x14ac:dyDescent="0.25">
      <c r="B13" s="295">
        <v>46030</v>
      </c>
      <c r="C13" s="296">
        <v>2346.6799999999998</v>
      </c>
      <c r="D13" s="296">
        <v>737.48</v>
      </c>
      <c r="E13" s="296">
        <v>4040.64</v>
      </c>
      <c r="F13" s="297">
        <v>4</v>
      </c>
      <c r="G13" s="298"/>
      <c r="H13" s="302"/>
      <c r="I13" s="303">
        <v>87.842194285714299</v>
      </c>
      <c r="J13" s="303">
        <v>9.4936618000000124</v>
      </c>
      <c r="K13" s="303">
        <f t="shared" si="2"/>
        <v>101.33585608571431</v>
      </c>
      <c r="M13" s="295">
        <v>46030</v>
      </c>
      <c r="N13" s="296">
        <v>406.85</v>
      </c>
      <c r="O13" s="296">
        <v>50.47</v>
      </c>
      <c r="P13" s="296">
        <v>5349.07</v>
      </c>
      <c r="Q13" s="297">
        <v>171.4</v>
      </c>
      <c r="R13" s="301"/>
      <c r="S13" s="298"/>
      <c r="T13" s="302"/>
      <c r="U13" s="303"/>
      <c r="V13" s="303"/>
      <c r="W13" s="303">
        <f t="shared" si="3"/>
        <v>0</v>
      </c>
      <c r="Y13" s="295">
        <v>46030</v>
      </c>
      <c r="Z13" s="296">
        <v>259</v>
      </c>
      <c r="AA13" s="301">
        <v>250.65</v>
      </c>
      <c r="AB13" s="298"/>
      <c r="AC13" s="302"/>
      <c r="AD13" s="303"/>
      <c r="AE13" s="303"/>
      <c r="AF13" s="303">
        <f t="shared" si="4"/>
        <v>250.65</v>
      </c>
      <c r="AH13" s="295">
        <v>46030</v>
      </c>
      <c r="AI13" s="296">
        <v>922.5</v>
      </c>
      <c r="AJ13" s="301">
        <v>0</v>
      </c>
      <c r="AK13" s="298"/>
      <c r="AL13" s="302"/>
      <c r="AM13" s="303"/>
      <c r="AN13" s="303"/>
      <c r="AO13" s="303">
        <f t="shared" si="5"/>
        <v>0</v>
      </c>
      <c r="AQ13" s="295">
        <v>46030</v>
      </c>
      <c r="AR13" s="296">
        <v>894.74</v>
      </c>
      <c r="AS13" s="296">
        <v>299.25</v>
      </c>
      <c r="AT13" s="335">
        <v>3827.4</v>
      </c>
      <c r="AV13" s="297">
        <v>79.92</v>
      </c>
      <c r="AW13" s="297">
        <v>0</v>
      </c>
      <c r="AX13" s="298"/>
      <c r="AY13" s="302"/>
      <c r="AZ13" s="303"/>
      <c r="BA13" s="303"/>
      <c r="BB13" s="303">
        <f t="shared" si="6"/>
        <v>0</v>
      </c>
      <c r="BD13" s="295">
        <v>46030</v>
      </c>
      <c r="BE13" s="301">
        <v>7222.94</v>
      </c>
      <c r="BF13" s="301">
        <v>46.58</v>
      </c>
      <c r="BG13" s="298"/>
      <c r="BH13" s="302"/>
      <c r="BI13" s="303"/>
      <c r="BJ13" s="303"/>
      <c r="BK13" s="303">
        <f t="shared" si="7"/>
        <v>46.58</v>
      </c>
      <c r="BM13" s="295">
        <v>46030</v>
      </c>
      <c r="BN13" s="301">
        <v>2138.1999999999998</v>
      </c>
      <c r="BO13" s="297">
        <v>614.41999999999996</v>
      </c>
      <c r="BP13" s="298"/>
      <c r="BQ13" s="302"/>
      <c r="BR13" s="303"/>
      <c r="BS13" s="303"/>
      <c r="BT13" s="303">
        <f t="shared" si="8"/>
        <v>614.41999999999996</v>
      </c>
      <c r="BV13" s="295">
        <v>46030</v>
      </c>
      <c r="BW13" s="296">
        <v>496.34</v>
      </c>
      <c r="BX13" s="301">
        <v>0</v>
      </c>
      <c r="BY13" s="298"/>
      <c r="BZ13" s="302"/>
      <c r="CA13" s="303"/>
      <c r="CB13" s="303"/>
      <c r="CC13" s="303">
        <f t="shared" si="0"/>
        <v>0</v>
      </c>
      <c r="CE13" s="295">
        <v>46030</v>
      </c>
      <c r="CF13" s="296">
        <v>1611.29</v>
      </c>
      <c r="CG13" s="301"/>
      <c r="CH13" s="298"/>
      <c r="CI13" s="302"/>
      <c r="CJ13" s="303"/>
      <c r="CK13" s="303"/>
      <c r="CL13" s="303">
        <f t="shared" si="1"/>
        <v>0</v>
      </c>
    </row>
    <row r="14" spans="2:90" hidden="1" x14ac:dyDescent="0.25">
      <c r="B14" s="295">
        <v>46031</v>
      </c>
      <c r="C14" s="296">
        <v>1160.1500000000001</v>
      </c>
      <c r="D14" s="296">
        <v>741.73</v>
      </c>
      <c r="E14" s="296">
        <v>4773.3</v>
      </c>
      <c r="F14" s="297">
        <v>82.08</v>
      </c>
      <c r="G14" s="298"/>
      <c r="H14" s="302"/>
      <c r="I14" s="303">
        <v>175.6843885714286</v>
      </c>
      <c r="J14" s="303"/>
      <c r="K14" s="303">
        <f t="shared" si="2"/>
        <v>257.76438857142858</v>
      </c>
      <c r="M14" s="295">
        <v>46031</v>
      </c>
      <c r="N14" s="296">
        <v>722.55</v>
      </c>
      <c r="O14" s="296">
        <v>125.69</v>
      </c>
      <c r="P14" s="296">
        <v>5595.27</v>
      </c>
      <c r="Q14" s="297">
        <v>193.31</v>
      </c>
      <c r="R14" s="301"/>
      <c r="S14" s="298"/>
      <c r="T14" s="302"/>
      <c r="U14" s="303"/>
      <c r="V14" s="303"/>
      <c r="W14" s="303">
        <f t="shared" si="3"/>
        <v>0</v>
      </c>
      <c r="Y14" s="295">
        <v>46031</v>
      </c>
      <c r="Z14" s="296">
        <v>1345.35</v>
      </c>
      <c r="AA14" s="301">
        <v>385.24</v>
      </c>
      <c r="AB14" s="298"/>
      <c r="AC14" s="302"/>
      <c r="AD14" s="303"/>
      <c r="AE14" s="303"/>
      <c r="AF14" s="303">
        <f t="shared" si="4"/>
        <v>385.24</v>
      </c>
      <c r="AH14" s="295">
        <v>46031</v>
      </c>
      <c r="AI14" s="296">
        <v>881.5</v>
      </c>
      <c r="AJ14" s="301">
        <v>0</v>
      </c>
      <c r="AK14" s="298"/>
      <c r="AL14" s="302"/>
      <c r="AM14" s="303"/>
      <c r="AN14" s="303"/>
      <c r="AO14" s="303">
        <f t="shared" si="5"/>
        <v>0</v>
      </c>
      <c r="AQ14" s="295">
        <v>46031</v>
      </c>
      <c r="AR14" s="296">
        <v>1009.25</v>
      </c>
      <c r="AS14" s="296">
        <v>278.27999999999997</v>
      </c>
      <c r="AT14" s="335">
        <v>4006.15</v>
      </c>
      <c r="AV14" s="297">
        <v>53.86</v>
      </c>
      <c r="AW14" s="297">
        <v>0</v>
      </c>
      <c r="AX14" s="298"/>
      <c r="AY14" s="302"/>
      <c r="AZ14" s="303"/>
      <c r="BA14" s="303"/>
      <c r="BB14" s="303">
        <f t="shared" si="6"/>
        <v>0</v>
      </c>
      <c r="BD14" s="295">
        <v>46031</v>
      </c>
      <c r="BE14" s="301">
        <v>7964.78</v>
      </c>
      <c r="BF14" s="301">
        <v>83.06</v>
      </c>
      <c r="BG14" s="298"/>
      <c r="BH14" s="302">
        <v>94.950000000000045</v>
      </c>
      <c r="BI14" s="303"/>
      <c r="BJ14" s="303"/>
      <c r="BK14" s="303">
        <f t="shared" si="7"/>
        <v>178.01000000000005</v>
      </c>
      <c r="BM14" s="295">
        <v>46031</v>
      </c>
      <c r="BN14" s="301">
        <v>2117.5</v>
      </c>
      <c r="BO14" s="297">
        <v>370.2</v>
      </c>
      <c r="BP14" s="298"/>
      <c r="BQ14" s="302"/>
      <c r="BR14" s="303"/>
      <c r="BS14" s="303"/>
      <c r="BT14" s="303">
        <f t="shared" si="8"/>
        <v>370.2</v>
      </c>
      <c r="BV14" s="295">
        <v>46031</v>
      </c>
      <c r="BW14" s="296">
        <v>408.2</v>
      </c>
      <c r="BX14" s="301">
        <v>0</v>
      </c>
      <c r="BY14" s="298"/>
      <c r="BZ14" s="302"/>
      <c r="CA14" s="303"/>
      <c r="CB14" s="303"/>
      <c r="CC14" s="303">
        <f t="shared" si="0"/>
        <v>0</v>
      </c>
      <c r="CE14" s="295">
        <v>46031</v>
      </c>
      <c r="CF14" s="296">
        <v>1838.7</v>
      </c>
      <c r="CG14" s="301"/>
      <c r="CH14" s="298"/>
      <c r="CI14" s="302">
        <v>15.305179999999979</v>
      </c>
      <c r="CJ14" s="303"/>
      <c r="CK14" s="303"/>
      <c r="CL14" s="303">
        <f t="shared" si="1"/>
        <v>15.305179999999979</v>
      </c>
    </row>
    <row r="15" spans="2:90" hidden="1" x14ac:dyDescent="0.25">
      <c r="B15" s="295">
        <v>46032</v>
      </c>
      <c r="C15" s="296">
        <v>1168.48</v>
      </c>
      <c r="D15" s="296">
        <v>564.35</v>
      </c>
      <c r="E15" s="296">
        <v>4782.21</v>
      </c>
      <c r="F15" s="297">
        <v>155.85</v>
      </c>
      <c r="G15" s="298"/>
      <c r="H15" s="302"/>
      <c r="I15" s="303"/>
      <c r="J15" s="303">
        <v>11.621715800000018</v>
      </c>
      <c r="K15" s="303">
        <f t="shared" si="2"/>
        <v>167.47171580000003</v>
      </c>
      <c r="M15" s="295">
        <v>46032</v>
      </c>
      <c r="N15" s="296">
        <v>0</v>
      </c>
      <c r="O15" s="296">
        <v>243.55</v>
      </c>
      <c r="P15" s="296">
        <v>3767.83</v>
      </c>
      <c r="Q15" s="297">
        <v>91.96</v>
      </c>
      <c r="R15" s="301"/>
      <c r="S15" s="298"/>
      <c r="T15" s="302"/>
      <c r="U15" s="303"/>
      <c r="V15" s="303"/>
      <c r="W15" s="303">
        <f t="shared" si="3"/>
        <v>0</v>
      </c>
      <c r="Y15" s="295">
        <v>46032</v>
      </c>
      <c r="Z15" s="296">
        <v>1099.23</v>
      </c>
      <c r="AA15" s="301">
        <v>244.28</v>
      </c>
      <c r="AB15" s="298"/>
      <c r="AC15" s="302"/>
      <c r="AD15" s="303"/>
      <c r="AE15" s="303"/>
      <c r="AF15" s="303">
        <f t="shared" si="4"/>
        <v>244.28</v>
      </c>
      <c r="AH15" s="295">
        <v>46032</v>
      </c>
      <c r="AI15" s="296">
        <v>1349</v>
      </c>
      <c r="AJ15" s="301">
        <v>0</v>
      </c>
      <c r="AK15" s="298"/>
      <c r="AL15" s="302"/>
      <c r="AM15" s="303"/>
      <c r="AN15" s="303"/>
      <c r="AO15" s="303">
        <f t="shared" si="5"/>
        <v>0</v>
      </c>
      <c r="AQ15" s="295">
        <v>46032</v>
      </c>
      <c r="AR15" s="296">
        <v>995.64</v>
      </c>
      <c r="AS15" s="296">
        <v>272.77999999999997</v>
      </c>
      <c r="AT15" s="335">
        <v>3728.47</v>
      </c>
      <c r="AV15" s="297">
        <v>110.66</v>
      </c>
      <c r="AW15" s="297">
        <v>0</v>
      </c>
      <c r="AX15" s="298"/>
      <c r="AY15" s="302"/>
      <c r="AZ15" s="303"/>
      <c r="BA15" s="303"/>
      <c r="BB15" s="303">
        <f t="shared" si="6"/>
        <v>0</v>
      </c>
      <c r="BD15" s="295">
        <v>46032</v>
      </c>
      <c r="BE15" s="301">
        <v>9363.01</v>
      </c>
      <c r="BF15" s="301">
        <v>57.29</v>
      </c>
      <c r="BG15" s="298"/>
      <c r="BH15" s="302"/>
      <c r="BI15" s="303"/>
      <c r="BJ15" s="303"/>
      <c r="BK15" s="303">
        <f t="shared" si="7"/>
        <v>57.29</v>
      </c>
      <c r="BM15" s="295">
        <v>46032</v>
      </c>
      <c r="BN15" s="301">
        <v>9772</v>
      </c>
      <c r="BO15" s="297">
        <v>628.15</v>
      </c>
      <c r="BP15" s="298"/>
      <c r="BQ15" s="302"/>
      <c r="BR15" s="303"/>
      <c r="BS15" s="303"/>
      <c r="BT15" s="303">
        <f t="shared" si="8"/>
        <v>628.15</v>
      </c>
      <c r="BV15" s="295">
        <v>46032</v>
      </c>
      <c r="BW15" s="296">
        <v>426</v>
      </c>
      <c r="BX15" s="301">
        <v>0</v>
      </c>
      <c r="BY15" s="298"/>
      <c r="BZ15" s="302"/>
      <c r="CA15" s="303"/>
      <c r="CB15" s="303"/>
      <c r="CC15" s="303">
        <f t="shared" si="0"/>
        <v>0</v>
      </c>
      <c r="CE15" s="295">
        <v>46032</v>
      </c>
      <c r="CF15" s="296">
        <v>1330.45</v>
      </c>
      <c r="CG15" s="301"/>
      <c r="CH15" s="298"/>
      <c r="CI15" s="302">
        <v>69.585750000000019</v>
      </c>
      <c r="CJ15" s="303"/>
      <c r="CK15" s="303"/>
      <c r="CL15" s="303">
        <f t="shared" si="1"/>
        <v>69.585750000000019</v>
      </c>
    </row>
    <row r="16" spans="2:90" hidden="1" x14ac:dyDescent="0.25">
      <c r="B16" s="295">
        <v>46033</v>
      </c>
      <c r="C16" s="296">
        <v>691.49</v>
      </c>
      <c r="D16" s="296">
        <v>338.85</v>
      </c>
      <c r="E16" s="296">
        <v>2958.64</v>
      </c>
      <c r="F16" s="297"/>
      <c r="G16" s="298"/>
      <c r="H16" s="302"/>
      <c r="I16" s="303">
        <v>21.960548571428575</v>
      </c>
      <c r="J16" s="303"/>
      <c r="K16" s="303">
        <f t="shared" si="2"/>
        <v>21.960548571428575</v>
      </c>
      <c r="M16" s="295">
        <v>46033</v>
      </c>
      <c r="N16" s="296">
        <v>488.85</v>
      </c>
      <c r="O16" s="296">
        <v>237.04</v>
      </c>
      <c r="P16" s="296">
        <v>6370.55</v>
      </c>
      <c r="Q16" s="297">
        <v>97.94</v>
      </c>
      <c r="R16" s="301"/>
      <c r="S16" s="298"/>
      <c r="T16" s="302"/>
      <c r="U16" s="303"/>
      <c r="V16" s="303"/>
      <c r="W16" s="303">
        <f t="shared" si="3"/>
        <v>0</v>
      </c>
      <c r="Y16" s="295">
        <v>46033</v>
      </c>
      <c r="Z16" s="296">
        <v>302</v>
      </c>
      <c r="AA16" s="301">
        <v>119.66</v>
      </c>
      <c r="AB16" s="298"/>
      <c r="AC16" s="302"/>
      <c r="AD16" s="303"/>
      <c r="AE16" s="303"/>
      <c r="AF16" s="303">
        <f t="shared" si="4"/>
        <v>119.66</v>
      </c>
      <c r="AH16" s="295">
        <v>46033</v>
      </c>
      <c r="AI16" s="296">
        <v>1006.8</v>
      </c>
      <c r="AJ16" s="301">
        <v>0</v>
      </c>
      <c r="AK16" s="298"/>
      <c r="AL16" s="302"/>
      <c r="AM16" s="303"/>
      <c r="AN16" s="303"/>
      <c r="AO16" s="303">
        <f t="shared" si="5"/>
        <v>0</v>
      </c>
      <c r="AQ16" s="295">
        <v>46033</v>
      </c>
      <c r="AR16" s="296">
        <v>642.52</v>
      </c>
      <c r="AS16" s="296">
        <v>134</v>
      </c>
      <c r="AT16" s="335">
        <v>2973.68</v>
      </c>
      <c r="AV16" s="297">
        <v>113.12</v>
      </c>
      <c r="AW16" s="297">
        <v>0</v>
      </c>
      <c r="AX16" s="298"/>
      <c r="AY16" s="302"/>
      <c r="AZ16" s="303"/>
      <c r="BA16" s="303"/>
      <c r="BB16" s="303">
        <f t="shared" si="6"/>
        <v>0</v>
      </c>
      <c r="BD16" s="295">
        <v>46033</v>
      </c>
      <c r="BE16" s="301">
        <v>5117.13</v>
      </c>
      <c r="BF16" s="301">
        <v>33.340000000000003</v>
      </c>
      <c r="BG16" s="298"/>
      <c r="BH16" s="302"/>
      <c r="BI16" s="303"/>
      <c r="BJ16" s="303"/>
      <c r="BK16" s="303">
        <f t="shared" si="7"/>
        <v>33.340000000000003</v>
      </c>
      <c r="BM16" s="295">
        <v>46033</v>
      </c>
      <c r="BN16" s="301">
        <v>7457.1</v>
      </c>
      <c r="BO16" s="297">
        <v>845.46</v>
      </c>
      <c r="BP16" s="298"/>
      <c r="BQ16" s="302"/>
      <c r="BR16" s="303"/>
      <c r="BS16" s="303"/>
      <c r="BT16" s="303">
        <f t="shared" si="8"/>
        <v>845.46</v>
      </c>
      <c r="BV16" s="295">
        <v>46033</v>
      </c>
      <c r="BW16" s="296">
        <v>614.5</v>
      </c>
      <c r="BX16" s="301">
        <v>0</v>
      </c>
      <c r="BY16" s="298"/>
      <c r="BZ16" s="302"/>
      <c r="CA16" s="303"/>
      <c r="CB16" s="303"/>
      <c r="CC16" s="303">
        <f t="shared" si="0"/>
        <v>0</v>
      </c>
      <c r="CE16" s="295">
        <v>46033</v>
      </c>
      <c r="CF16" s="296">
        <v>780.09</v>
      </c>
      <c r="CG16" s="301"/>
      <c r="CH16" s="298"/>
      <c r="CI16" s="302"/>
      <c r="CJ16" s="303"/>
      <c r="CK16" s="303"/>
      <c r="CL16" s="303">
        <f t="shared" si="1"/>
        <v>0</v>
      </c>
    </row>
    <row r="17" spans="2:90" hidden="1" x14ac:dyDescent="0.25">
      <c r="B17" s="295">
        <v>46034</v>
      </c>
      <c r="C17" s="296">
        <v>1692.82</v>
      </c>
      <c r="D17" s="296">
        <v>636.97</v>
      </c>
      <c r="E17" s="296">
        <v>3981.37</v>
      </c>
      <c r="F17" s="297">
        <v>19.14</v>
      </c>
      <c r="G17" s="298"/>
      <c r="H17" s="302"/>
      <c r="I17" s="303">
        <v>15.372383999999997</v>
      </c>
      <c r="J17" s="303"/>
      <c r="K17" s="303">
        <f t="shared" si="2"/>
        <v>34.512383999999997</v>
      </c>
      <c r="M17" s="295">
        <v>46034</v>
      </c>
      <c r="N17" s="296">
        <v>816.3</v>
      </c>
      <c r="O17" s="296">
        <v>73.48</v>
      </c>
      <c r="P17" s="296">
        <v>1992.05</v>
      </c>
      <c r="Q17" s="297">
        <v>122.02</v>
      </c>
      <c r="R17" s="301"/>
      <c r="S17" s="298"/>
      <c r="T17" s="302"/>
      <c r="U17" s="303"/>
      <c r="V17" s="303"/>
      <c r="W17" s="303">
        <f t="shared" si="3"/>
        <v>0</v>
      </c>
      <c r="Y17" s="295">
        <v>46034</v>
      </c>
      <c r="Z17" s="296">
        <v>280.5</v>
      </c>
      <c r="AA17" s="301">
        <v>273.52999999999997</v>
      </c>
      <c r="AB17" s="298"/>
      <c r="AC17" s="302"/>
      <c r="AD17" s="303"/>
      <c r="AE17" s="303"/>
      <c r="AF17" s="303">
        <f t="shared" si="4"/>
        <v>273.52999999999997</v>
      </c>
      <c r="AH17" s="295">
        <v>46034</v>
      </c>
      <c r="AI17" s="296">
        <v>1231.8</v>
      </c>
      <c r="AJ17" s="301">
        <v>0</v>
      </c>
      <c r="AK17" s="298"/>
      <c r="AL17" s="302"/>
      <c r="AM17" s="303"/>
      <c r="AN17" s="303"/>
      <c r="AO17" s="303">
        <f t="shared" si="5"/>
        <v>0</v>
      </c>
      <c r="AQ17" s="295">
        <v>46034</v>
      </c>
      <c r="AR17" s="296">
        <v>1703.71</v>
      </c>
      <c r="AS17" s="296">
        <v>421.76</v>
      </c>
      <c r="AT17" s="335">
        <v>3810.34</v>
      </c>
      <c r="AV17" s="297">
        <v>46.56</v>
      </c>
      <c r="AW17" s="297">
        <v>0</v>
      </c>
      <c r="AX17" s="298"/>
      <c r="AY17" s="302"/>
      <c r="AZ17" s="303"/>
      <c r="BA17" s="303"/>
      <c r="BB17" s="303">
        <f t="shared" si="6"/>
        <v>0</v>
      </c>
      <c r="BD17" s="295">
        <v>46034</v>
      </c>
      <c r="BE17" s="301">
        <v>6114.85</v>
      </c>
      <c r="BF17" s="301">
        <v>78.739999999999995</v>
      </c>
      <c r="BG17" s="298"/>
      <c r="BH17" s="302"/>
      <c r="BI17" s="303"/>
      <c r="BJ17" s="303"/>
      <c r="BK17" s="303">
        <f t="shared" si="7"/>
        <v>78.739999999999995</v>
      </c>
      <c r="BM17" s="295">
        <v>46034</v>
      </c>
      <c r="BN17" s="301">
        <v>2626.5</v>
      </c>
      <c r="BO17" s="297">
        <v>1089.5899999999999</v>
      </c>
      <c r="BP17" s="298"/>
      <c r="BQ17" s="302"/>
      <c r="BR17" s="303"/>
      <c r="BS17" s="303"/>
      <c r="BT17" s="303">
        <f t="shared" si="8"/>
        <v>1089.5899999999999</v>
      </c>
      <c r="BV17" s="295">
        <v>46034</v>
      </c>
      <c r="BW17" s="296">
        <v>504.3</v>
      </c>
      <c r="BX17" s="301">
        <v>0</v>
      </c>
      <c r="BY17" s="298"/>
      <c r="BZ17" s="302"/>
      <c r="CA17" s="303"/>
      <c r="CB17" s="303"/>
      <c r="CC17" s="303">
        <f t="shared" si="0"/>
        <v>0</v>
      </c>
      <c r="CE17" s="295">
        <v>46034</v>
      </c>
      <c r="CF17" s="296">
        <v>1558.84</v>
      </c>
      <c r="CG17" s="301"/>
      <c r="CH17" s="298"/>
      <c r="CI17" s="302">
        <v>30.195000000000022</v>
      </c>
      <c r="CJ17" s="303"/>
      <c r="CK17" s="303"/>
      <c r="CL17" s="303">
        <f t="shared" si="1"/>
        <v>30.195000000000022</v>
      </c>
    </row>
    <row r="18" spans="2:90" hidden="1" x14ac:dyDescent="0.25">
      <c r="B18" s="295">
        <v>46035</v>
      </c>
      <c r="C18" s="296">
        <v>1139.99</v>
      </c>
      <c r="D18" s="296">
        <v>547.09</v>
      </c>
      <c r="E18" s="296">
        <v>5048.05</v>
      </c>
      <c r="F18" s="297"/>
      <c r="G18" s="298"/>
      <c r="H18" s="302"/>
      <c r="I18" s="303"/>
      <c r="J18" s="303">
        <v>144.74622300000004</v>
      </c>
      <c r="K18" s="303">
        <f t="shared" si="2"/>
        <v>144.74622300000004</v>
      </c>
      <c r="M18" s="295">
        <v>46035</v>
      </c>
      <c r="N18" s="296">
        <v>99.9</v>
      </c>
      <c r="O18" s="296">
        <v>81.569999999999993</v>
      </c>
      <c r="P18" s="296">
        <v>4596.88</v>
      </c>
      <c r="Q18" s="297">
        <v>166.01</v>
      </c>
      <c r="R18" s="301"/>
      <c r="S18" s="298"/>
      <c r="T18" s="302"/>
      <c r="U18" s="303"/>
      <c r="V18" s="303"/>
      <c r="W18" s="303">
        <f t="shared" si="3"/>
        <v>0</v>
      </c>
      <c r="Y18" s="295">
        <v>46035</v>
      </c>
      <c r="Z18" s="296">
        <v>371.5</v>
      </c>
      <c r="AA18" s="301">
        <v>155.83000000000001</v>
      </c>
      <c r="AB18" s="298"/>
      <c r="AC18" s="302"/>
      <c r="AD18" s="303"/>
      <c r="AE18" s="303"/>
      <c r="AF18" s="303">
        <f t="shared" si="4"/>
        <v>155.83000000000001</v>
      </c>
      <c r="AH18" s="295">
        <v>46035</v>
      </c>
      <c r="AI18" s="296">
        <v>865.5</v>
      </c>
      <c r="AJ18" s="301">
        <v>0</v>
      </c>
      <c r="AK18" s="298"/>
      <c r="AL18" s="302"/>
      <c r="AM18" s="303"/>
      <c r="AN18" s="303"/>
      <c r="AO18" s="303">
        <f t="shared" si="5"/>
        <v>0</v>
      </c>
      <c r="AQ18" s="295">
        <v>46035</v>
      </c>
      <c r="AR18" s="296">
        <v>1103.1400000000001</v>
      </c>
      <c r="AS18" s="296">
        <v>437.74</v>
      </c>
      <c r="AT18" s="335">
        <v>3255.15</v>
      </c>
      <c r="AV18" s="297">
        <v>58.3</v>
      </c>
      <c r="AW18" s="297">
        <v>0</v>
      </c>
      <c r="AX18" s="298"/>
      <c r="AY18" s="302"/>
      <c r="AZ18" s="303"/>
      <c r="BA18" s="303"/>
      <c r="BB18" s="303">
        <f t="shared" si="6"/>
        <v>0</v>
      </c>
      <c r="BD18" s="295">
        <v>46035</v>
      </c>
      <c r="BE18" s="301">
        <v>6558.91</v>
      </c>
      <c r="BF18" s="301">
        <v>76.290000000000006</v>
      </c>
      <c r="BG18" s="298"/>
      <c r="BH18" s="302">
        <v>66.62154000000001</v>
      </c>
      <c r="BI18" s="303"/>
      <c r="BJ18" s="303"/>
      <c r="BK18" s="303">
        <f t="shared" si="7"/>
        <v>142.91154</v>
      </c>
      <c r="BM18" s="295">
        <v>46035</v>
      </c>
      <c r="BN18" s="301">
        <v>2062.31</v>
      </c>
      <c r="BO18" s="297">
        <v>562.22</v>
      </c>
      <c r="BP18" s="298"/>
      <c r="BQ18" s="302"/>
      <c r="BR18" s="303"/>
      <c r="BS18" s="303"/>
      <c r="BT18" s="303">
        <f t="shared" si="8"/>
        <v>562.22</v>
      </c>
      <c r="BV18" s="295">
        <v>46035</v>
      </c>
      <c r="BW18" s="296">
        <v>626.39</v>
      </c>
      <c r="BX18" s="301">
        <v>0</v>
      </c>
      <c r="BY18" s="298"/>
      <c r="BZ18" s="302"/>
      <c r="CA18" s="303"/>
      <c r="CB18" s="303"/>
      <c r="CC18" s="303">
        <f t="shared" si="0"/>
        <v>0</v>
      </c>
      <c r="CE18" s="295">
        <v>46035</v>
      </c>
      <c r="CF18" s="296">
        <v>1691.09</v>
      </c>
      <c r="CG18" s="301"/>
      <c r="CH18" s="298"/>
      <c r="CI18" s="302"/>
      <c r="CJ18" s="303"/>
      <c r="CK18" s="303"/>
      <c r="CL18" s="303">
        <f t="shared" si="1"/>
        <v>0</v>
      </c>
    </row>
    <row r="19" spans="2:90" hidden="1" x14ac:dyDescent="0.25">
      <c r="B19" s="295">
        <v>46036</v>
      </c>
      <c r="C19" s="296">
        <v>1809.97</v>
      </c>
      <c r="D19" s="296">
        <v>468.49</v>
      </c>
      <c r="E19" s="296">
        <v>4609.5</v>
      </c>
      <c r="F19" s="297">
        <v>731.2</v>
      </c>
      <c r="G19" s="298"/>
      <c r="H19" s="302"/>
      <c r="I19" s="303">
        <v>314.60005333333334</v>
      </c>
      <c r="J19" s="303">
        <v>13.175085800000019</v>
      </c>
      <c r="K19" s="303">
        <f t="shared" si="2"/>
        <v>1058.9751391333334</v>
      </c>
      <c r="M19" s="295">
        <v>46036</v>
      </c>
      <c r="N19" s="296">
        <v>537.6</v>
      </c>
      <c r="O19" s="296">
        <v>212.05</v>
      </c>
      <c r="P19" s="296">
        <v>3523.53</v>
      </c>
      <c r="Q19" s="297">
        <v>134.87</v>
      </c>
      <c r="R19" s="301"/>
      <c r="S19" s="298"/>
      <c r="T19" s="302"/>
      <c r="U19" s="303"/>
      <c r="V19" s="303"/>
      <c r="W19" s="303">
        <f t="shared" si="3"/>
        <v>0</v>
      </c>
      <c r="Y19" s="295">
        <v>46036</v>
      </c>
      <c r="Z19" s="296">
        <v>1176.3699999999999</v>
      </c>
      <c r="AA19" s="301">
        <v>376.94</v>
      </c>
      <c r="AB19" s="298"/>
      <c r="AC19" s="302"/>
      <c r="AD19" s="303"/>
      <c r="AE19" s="303"/>
      <c r="AF19" s="303">
        <f t="shared" si="4"/>
        <v>376.94</v>
      </c>
      <c r="AH19" s="295">
        <v>46036</v>
      </c>
      <c r="AI19" s="296">
        <v>1558.2</v>
      </c>
      <c r="AJ19" s="301">
        <v>0</v>
      </c>
      <c r="AK19" s="298"/>
      <c r="AL19" s="302"/>
      <c r="AM19" s="303"/>
      <c r="AN19" s="303"/>
      <c r="AO19" s="303">
        <f t="shared" si="5"/>
        <v>0</v>
      </c>
      <c r="AQ19" s="295">
        <v>46036</v>
      </c>
      <c r="AR19" s="296">
        <v>815.01</v>
      </c>
      <c r="AS19" s="296">
        <v>206.16</v>
      </c>
      <c r="AT19" s="335">
        <v>4303.34</v>
      </c>
      <c r="AV19" s="297">
        <v>31.87</v>
      </c>
      <c r="AW19" s="297">
        <v>0</v>
      </c>
      <c r="AX19" s="298"/>
      <c r="AY19" s="302"/>
      <c r="AZ19" s="303"/>
      <c r="BA19" s="303"/>
      <c r="BB19" s="303">
        <f t="shared" si="6"/>
        <v>0</v>
      </c>
      <c r="BD19" s="295">
        <v>46036</v>
      </c>
      <c r="BE19" s="301">
        <v>6687.64</v>
      </c>
      <c r="BF19" s="301">
        <v>70.760000000000005</v>
      </c>
      <c r="BG19" s="298"/>
      <c r="BH19" s="302">
        <v>11.519200000000012</v>
      </c>
      <c r="BI19" s="303"/>
      <c r="BJ19" s="303"/>
      <c r="BK19" s="303">
        <f t="shared" si="7"/>
        <v>82.279200000000017</v>
      </c>
      <c r="BM19" s="295">
        <v>46036</v>
      </c>
      <c r="BN19" s="301">
        <v>5308.3</v>
      </c>
      <c r="BO19" s="297">
        <v>731.65</v>
      </c>
      <c r="BP19" s="298"/>
      <c r="BQ19" s="302"/>
      <c r="BR19" s="303"/>
      <c r="BS19" s="303"/>
      <c r="BT19" s="303">
        <f t="shared" si="8"/>
        <v>731.65</v>
      </c>
      <c r="BV19" s="295">
        <v>46036</v>
      </c>
      <c r="BW19" s="296">
        <v>693</v>
      </c>
      <c r="BX19" s="301">
        <v>0</v>
      </c>
      <c r="BY19" s="298"/>
      <c r="BZ19" s="302"/>
      <c r="CA19" s="303"/>
      <c r="CB19" s="303"/>
      <c r="CC19" s="303">
        <f t="shared" si="0"/>
        <v>0</v>
      </c>
      <c r="CE19" s="295">
        <v>46036</v>
      </c>
      <c r="CF19" s="296">
        <v>1869.82</v>
      </c>
      <c r="CG19" s="301"/>
      <c r="CH19" s="298"/>
      <c r="CI19" s="302">
        <v>78.900750000000002</v>
      </c>
      <c r="CJ19" s="303"/>
      <c r="CK19" s="303"/>
      <c r="CL19" s="303">
        <f t="shared" si="1"/>
        <v>78.900750000000002</v>
      </c>
    </row>
    <row r="20" spans="2:90" hidden="1" x14ac:dyDescent="0.25">
      <c r="B20" s="295">
        <v>46037</v>
      </c>
      <c r="C20" s="296">
        <v>1915.87</v>
      </c>
      <c r="D20" s="296">
        <v>357.03</v>
      </c>
      <c r="E20" s="296">
        <v>5077.38</v>
      </c>
      <c r="F20" s="297"/>
      <c r="G20" s="298"/>
      <c r="H20" s="302"/>
      <c r="I20" s="303">
        <v>4.3097544167619048</v>
      </c>
      <c r="J20" s="303"/>
      <c r="K20" s="303">
        <f t="shared" si="2"/>
        <v>4.3097544167619048</v>
      </c>
      <c r="M20" s="295">
        <v>46037</v>
      </c>
      <c r="N20" s="296">
        <v>110.1</v>
      </c>
      <c r="O20" s="296">
        <v>202.68</v>
      </c>
      <c r="P20" s="296">
        <v>5031.53</v>
      </c>
      <c r="Q20" s="297">
        <v>153.77000000000001</v>
      </c>
      <c r="R20" s="301"/>
      <c r="S20" s="298"/>
      <c r="T20" s="302"/>
      <c r="U20" s="303"/>
      <c r="V20" s="303"/>
      <c r="W20" s="303">
        <f t="shared" si="3"/>
        <v>0</v>
      </c>
      <c r="Y20" s="295">
        <v>46037</v>
      </c>
      <c r="Z20" s="296">
        <v>2025.87</v>
      </c>
      <c r="AA20" s="301">
        <v>366.64</v>
      </c>
      <c r="AB20" s="298"/>
      <c r="AC20" s="302"/>
      <c r="AD20" s="303"/>
      <c r="AE20" s="303"/>
      <c r="AF20" s="303">
        <f t="shared" si="4"/>
        <v>366.64</v>
      </c>
      <c r="AH20" s="295">
        <v>46037</v>
      </c>
      <c r="AI20" s="296">
        <v>1423.88</v>
      </c>
      <c r="AJ20" s="301">
        <v>0</v>
      </c>
      <c r="AK20" s="298"/>
      <c r="AL20" s="302"/>
      <c r="AM20" s="303"/>
      <c r="AN20" s="303"/>
      <c r="AO20" s="303">
        <f t="shared" si="5"/>
        <v>0</v>
      </c>
      <c r="AQ20" s="295">
        <v>46037</v>
      </c>
      <c r="AR20" s="296">
        <v>1467.18</v>
      </c>
      <c r="AS20" s="296">
        <v>202.66</v>
      </c>
      <c r="AT20" s="335">
        <v>3328.13</v>
      </c>
      <c r="AV20" s="297">
        <v>122.99</v>
      </c>
      <c r="AW20" s="297">
        <v>0</v>
      </c>
      <c r="AX20" s="298"/>
      <c r="AY20" s="302"/>
      <c r="AZ20" s="303"/>
      <c r="BA20" s="303"/>
      <c r="BB20" s="303">
        <f t="shared" si="6"/>
        <v>0</v>
      </c>
      <c r="BD20" s="295">
        <v>46037</v>
      </c>
      <c r="BE20" s="301">
        <v>8187.63</v>
      </c>
      <c r="BF20" s="301">
        <v>62.48</v>
      </c>
      <c r="BG20" s="298"/>
      <c r="BH20" s="302"/>
      <c r="BI20" s="303"/>
      <c r="BJ20" s="303"/>
      <c r="BK20" s="303">
        <f t="shared" si="7"/>
        <v>62.48</v>
      </c>
      <c r="BM20" s="295">
        <v>46037</v>
      </c>
      <c r="BN20" s="301">
        <v>2563.85</v>
      </c>
      <c r="BO20" s="297">
        <v>394.95</v>
      </c>
      <c r="BP20" s="298"/>
      <c r="BQ20" s="302"/>
      <c r="BR20" s="303"/>
      <c r="BS20" s="303"/>
      <c r="BT20" s="303">
        <f t="shared" si="8"/>
        <v>394.95</v>
      </c>
      <c r="BV20" s="295">
        <v>46037</v>
      </c>
      <c r="BW20" s="296">
        <v>553</v>
      </c>
      <c r="BX20" s="301">
        <v>0</v>
      </c>
      <c r="BY20" s="298"/>
      <c r="BZ20" s="302"/>
      <c r="CA20" s="303"/>
      <c r="CB20" s="303"/>
      <c r="CC20" s="303">
        <f t="shared" si="0"/>
        <v>0</v>
      </c>
      <c r="CE20" s="295">
        <v>46037</v>
      </c>
      <c r="CF20" s="296">
        <v>1025.8800000000001</v>
      </c>
      <c r="CG20" s="301"/>
      <c r="CH20" s="298"/>
      <c r="CI20" s="302">
        <v>63.855959999999982</v>
      </c>
      <c r="CJ20" s="303"/>
      <c r="CK20" s="303"/>
      <c r="CL20" s="303">
        <f t="shared" si="1"/>
        <v>63.855959999999982</v>
      </c>
    </row>
    <row r="21" spans="2:90" hidden="1" x14ac:dyDescent="0.25">
      <c r="B21" s="295">
        <v>46038</v>
      </c>
      <c r="C21" s="296">
        <v>1508.3</v>
      </c>
      <c r="D21" s="296">
        <v>523.80999999999995</v>
      </c>
      <c r="E21" s="296">
        <v>6086.85</v>
      </c>
      <c r="F21" s="297"/>
      <c r="G21" s="298"/>
      <c r="H21" s="302"/>
      <c r="I21" s="303"/>
      <c r="J21" s="303"/>
      <c r="K21" s="303">
        <f t="shared" si="2"/>
        <v>0</v>
      </c>
      <c r="M21" s="295">
        <v>46038</v>
      </c>
      <c r="N21" s="296">
        <v>307.64999999999998</v>
      </c>
      <c r="O21" s="296">
        <v>102.05</v>
      </c>
      <c r="P21" s="296">
        <v>2441.11</v>
      </c>
      <c r="Q21" s="297">
        <v>148.54</v>
      </c>
      <c r="R21" s="301"/>
      <c r="S21" s="298"/>
      <c r="T21" s="302"/>
      <c r="U21" s="303"/>
      <c r="V21" s="303"/>
      <c r="W21" s="303">
        <f t="shared" si="3"/>
        <v>0</v>
      </c>
      <c r="Y21" s="295">
        <v>46038</v>
      </c>
      <c r="Z21" s="296">
        <v>681.23</v>
      </c>
      <c r="AA21" s="301">
        <v>178.78</v>
      </c>
      <c r="AB21" s="298"/>
      <c r="AC21" s="302"/>
      <c r="AD21" s="303"/>
      <c r="AE21" s="303"/>
      <c r="AF21" s="303">
        <f t="shared" si="4"/>
        <v>178.78</v>
      </c>
      <c r="AH21" s="295">
        <v>46038</v>
      </c>
      <c r="AI21" s="296">
        <v>735.92</v>
      </c>
      <c r="AJ21" s="301">
        <v>0</v>
      </c>
      <c r="AK21" s="298"/>
      <c r="AL21" s="302"/>
      <c r="AM21" s="303"/>
      <c r="AN21" s="303"/>
      <c r="AO21" s="303">
        <f t="shared" si="5"/>
        <v>0</v>
      </c>
      <c r="AQ21" s="295">
        <v>46038</v>
      </c>
      <c r="AR21" s="296">
        <v>1085.8599999999999</v>
      </c>
      <c r="AS21" s="296">
        <v>250.65</v>
      </c>
      <c r="AT21" s="335">
        <v>4617.66</v>
      </c>
      <c r="AV21" s="297">
        <v>43.86</v>
      </c>
      <c r="AW21" s="297">
        <v>0</v>
      </c>
      <c r="AX21" s="298"/>
      <c r="AY21" s="302"/>
      <c r="AZ21" s="303"/>
      <c r="BA21" s="303"/>
      <c r="BB21" s="303">
        <f t="shared" si="6"/>
        <v>0</v>
      </c>
      <c r="BD21" s="295">
        <v>46038</v>
      </c>
      <c r="BE21" s="301">
        <v>7557.51</v>
      </c>
      <c r="BF21" s="301">
        <v>66.81</v>
      </c>
      <c r="BG21" s="298"/>
      <c r="BH21" s="302">
        <v>1.5899999999999999</v>
      </c>
      <c r="BI21" s="303"/>
      <c r="BJ21" s="303"/>
      <c r="BK21" s="303">
        <f t="shared" si="7"/>
        <v>68.400000000000006</v>
      </c>
      <c r="BM21" s="295">
        <v>46038</v>
      </c>
      <c r="BN21" s="301">
        <v>994.2</v>
      </c>
      <c r="BO21" s="297">
        <v>93.6</v>
      </c>
      <c r="BP21" s="298"/>
      <c r="BQ21" s="302"/>
      <c r="BR21" s="303"/>
      <c r="BS21" s="303"/>
      <c r="BT21" s="303">
        <f t="shared" si="8"/>
        <v>93.6</v>
      </c>
      <c r="BV21" s="295">
        <v>46038</v>
      </c>
      <c r="BW21" s="296">
        <v>644.5</v>
      </c>
      <c r="BX21" s="301">
        <v>0</v>
      </c>
      <c r="BY21" s="298"/>
      <c r="BZ21" s="302"/>
      <c r="CA21" s="303"/>
      <c r="CB21" s="303"/>
      <c r="CC21" s="303">
        <f t="shared" si="0"/>
        <v>0</v>
      </c>
      <c r="CE21" s="295">
        <v>46038</v>
      </c>
      <c r="CF21" s="296">
        <v>1825.9</v>
      </c>
      <c r="CG21" s="301"/>
      <c r="CH21" s="298"/>
      <c r="CI21" s="302"/>
      <c r="CJ21" s="303"/>
      <c r="CK21" s="303"/>
      <c r="CL21" s="303">
        <f t="shared" si="1"/>
        <v>0</v>
      </c>
    </row>
    <row r="22" spans="2:90" hidden="1" x14ac:dyDescent="0.25">
      <c r="B22" s="295">
        <v>46039</v>
      </c>
      <c r="C22" s="296">
        <v>2212.5300000000002</v>
      </c>
      <c r="D22" s="296">
        <v>1259.48</v>
      </c>
      <c r="E22" s="296">
        <v>5394.2</v>
      </c>
      <c r="F22" s="297">
        <v>4</v>
      </c>
      <c r="G22" s="298"/>
      <c r="H22" s="302"/>
      <c r="I22" s="303">
        <v>89.885729523809573</v>
      </c>
      <c r="J22" s="303"/>
      <c r="K22" s="303">
        <f t="shared" si="2"/>
        <v>93.885729523809573</v>
      </c>
      <c r="M22" s="295">
        <v>46039</v>
      </c>
      <c r="N22" s="296">
        <v>0</v>
      </c>
      <c r="O22" s="296">
        <v>0</v>
      </c>
      <c r="P22" s="296">
        <v>1819.56</v>
      </c>
      <c r="Q22" s="297">
        <v>128.19999999999999</v>
      </c>
      <c r="R22" s="301"/>
      <c r="S22" s="298"/>
      <c r="T22" s="302"/>
      <c r="U22" s="303"/>
      <c r="V22" s="303"/>
      <c r="W22" s="303">
        <f t="shared" si="3"/>
        <v>0</v>
      </c>
      <c r="Y22" s="295">
        <v>46039</v>
      </c>
      <c r="Z22" s="296">
        <v>2053.08</v>
      </c>
      <c r="AA22" s="301">
        <v>566.69000000000005</v>
      </c>
      <c r="AB22" s="298"/>
      <c r="AC22" s="302"/>
      <c r="AD22" s="303"/>
      <c r="AE22" s="303"/>
      <c r="AF22" s="303">
        <f t="shared" si="4"/>
        <v>566.69000000000005</v>
      </c>
      <c r="AH22" s="295">
        <v>46039</v>
      </c>
      <c r="AI22" s="296">
        <v>834.8</v>
      </c>
      <c r="AJ22" s="301">
        <v>0</v>
      </c>
      <c r="AK22" s="298"/>
      <c r="AL22" s="302"/>
      <c r="AM22" s="303"/>
      <c r="AN22" s="303"/>
      <c r="AO22" s="303">
        <f t="shared" si="5"/>
        <v>0</v>
      </c>
      <c r="AQ22" s="295">
        <v>46039</v>
      </c>
      <c r="AR22" s="296">
        <v>900.51</v>
      </c>
      <c r="AS22" s="296">
        <v>311.08</v>
      </c>
      <c r="AT22" s="335">
        <v>3994.43</v>
      </c>
      <c r="AV22" s="297">
        <v>77.62</v>
      </c>
      <c r="AW22" s="297">
        <v>0</v>
      </c>
      <c r="AX22" s="298"/>
      <c r="AY22" s="302"/>
      <c r="AZ22" s="303"/>
      <c r="BA22" s="303"/>
      <c r="BB22" s="303">
        <f t="shared" si="6"/>
        <v>0</v>
      </c>
      <c r="BD22" s="295">
        <v>46039</v>
      </c>
      <c r="BE22" s="301">
        <v>8694.84</v>
      </c>
      <c r="BF22" s="301">
        <v>95.21</v>
      </c>
      <c r="BG22" s="298"/>
      <c r="BH22" s="302">
        <v>29.436319999999995</v>
      </c>
      <c r="BI22" s="303"/>
      <c r="BJ22" s="303"/>
      <c r="BK22" s="303">
        <f t="shared" si="7"/>
        <v>124.64631999999999</v>
      </c>
      <c r="BM22" s="295">
        <v>46039</v>
      </c>
      <c r="BN22" s="301">
        <v>442.5</v>
      </c>
      <c r="BO22" s="297">
        <v>162</v>
      </c>
      <c r="BP22" s="298"/>
      <c r="BQ22" s="302"/>
      <c r="BR22" s="303"/>
      <c r="BS22" s="303"/>
      <c r="BT22" s="303">
        <f t="shared" si="8"/>
        <v>162</v>
      </c>
      <c r="BV22" s="295">
        <v>46039</v>
      </c>
      <c r="BW22" s="296">
        <v>638.52</v>
      </c>
      <c r="BX22" s="301">
        <v>0</v>
      </c>
      <c r="BY22" s="298"/>
      <c r="BZ22" s="302"/>
      <c r="CA22" s="303"/>
      <c r="CB22" s="303"/>
      <c r="CC22" s="303">
        <f t="shared" si="0"/>
        <v>0</v>
      </c>
      <c r="CE22" s="295">
        <v>46039</v>
      </c>
      <c r="CF22" s="296">
        <v>1692.47</v>
      </c>
      <c r="CG22" s="301"/>
      <c r="CH22" s="298"/>
      <c r="CI22" s="302"/>
      <c r="CJ22" s="303"/>
      <c r="CK22" s="303"/>
      <c r="CL22" s="303">
        <f t="shared" si="1"/>
        <v>0</v>
      </c>
    </row>
    <row r="23" spans="2:90" hidden="1" x14ac:dyDescent="0.25">
      <c r="B23" s="295">
        <v>46040</v>
      </c>
      <c r="C23" s="296">
        <v>1442.55</v>
      </c>
      <c r="D23" s="296">
        <v>176.07</v>
      </c>
      <c r="E23" s="296">
        <v>2928.42</v>
      </c>
      <c r="F23" s="297"/>
      <c r="G23" s="298"/>
      <c r="H23" s="302"/>
      <c r="I23" s="303"/>
      <c r="J23" s="303"/>
      <c r="K23" s="303">
        <f t="shared" si="2"/>
        <v>0</v>
      </c>
      <c r="M23" s="295">
        <v>46040</v>
      </c>
      <c r="N23" s="296">
        <v>0</v>
      </c>
      <c r="O23" s="296">
        <v>491.21</v>
      </c>
      <c r="P23" s="296">
        <v>1790.17</v>
      </c>
      <c r="Q23" s="297">
        <v>69</v>
      </c>
      <c r="R23" s="301"/>
      <c r="S23" s="298"/>
      <c r="T23" s="302"/>
      <c r="U23" s="303"/>
      <c r="V23" s="303"/>
      <c r="W23" s="303">
        <f t="shared" si="3"/>
        <v>0</v>
      </c>
      <c r="Y23" s="295">
        <v>46040</v>
      </c>
      <c r="Z23" s="296">
        <v>1066.58</v>
      </c>
      <c r="AA23" s="301">
        <v>214.89</v>
      </c>
      <c r="AB23" s="298"/>
      <c r="AC23" s="302"/>
      <c r="AD23" s="303"/>
      <c r="AE23" s="303"/>
      <c r="AF23" s="303">
        <f t="shared" si="4"/>
        <v>214.89</v>
      </c>
      <c r="AH23" s="295">
        <v>46040</v>
      </c>
      <c r="AI23" s="296">
        <v>970.54</v>
      </c>
      <c r="AJ23" s="301">
        <v>0</v>
      </c>
      <c r="AK23" s="298"/>
      <c r="AL23" s="302"/>
      <c r="AM23" s="303"/>
      <c r="AN23" s="303"/>
      <c r="AO23" s="303">
        <f t="shared" si="5"/>
        <v>0</v>
      </c>
      <c r="AQ23" s="295">
        <v>46040</v>
      </c>
      <c r="AR23" s="296">
        <v>537.54999999999995</v>
      </c>
      <c r="AS23" s="296">
        <v>282.77800000000002</v>
      </c>
      <c r="AT23" s="335">
        <v>2541.71</v>
      </c>
      <c r="AV23" s="297">
        <v>59.66</v>
      </c>
      <c r="AW23" s="297">
        <v>0</v>
      </c>
      <c r="AX23" s="298"/>
      <c r="AY23" s="302"/>
      <c r="AZ23" s="303"/>
      <c r="BA23" s="303"/>
      <c r="BB23" s="303">
        <f t="shared" si="6"/>
        <v>0</v>
      </c>
      <c r="BD23" s="295">
        <v>46040</v>
      </c>
      <c r="BE23" s="301">
        <v>4088.51</v>
      </c>
      <c r="BF23" s="301">
        <v>48.66</v>
      </c>
      <c r="BG23" s="298"/>
      <c r="BH23" s="302"/>
      <c r="BI23" s="303"/>
      <c r="BJ23" s="303"/>
      <c r="BK23" s="303">
        <f t="shared" si="7"/>
        <v>48.66</v>
      </c>
      <c r="BM23" s="295">
        <v>46040</v>
      </c>
      <c r="BN23" s="301">
        <v>7263.24</v>
      </c>
      <c r="BO23" s="297">
        <v>1454.42</v>
      </c>
      <c r="BP23" s="298"/>
      <c r="BQ23" s="302"/>
      <c r="BR23" s="303"/>
      <c r="BS23" s="303"/>
      <c r="BT23" s="303">
        <f t="shared" si="8"/>
        <v>1454.42</v>
      </c>
      <c r="BV23" s="295">
        <v>46040</v>
      </c>
      <c r="BW23" s="296">
        <v>607.04999999999995</v>
      </c>
      <c r="BX23" s="301">
        <v>0</v>
      </c>
      <c r="BY23" s="298"/>
      <c r="BZ23" s="302"/>
      <c r="CA23" s="303"/>
      <c r="CB23" s="303"/>
      <c r="CC23" s="303">
        <f t="shared" si="0"/>
        <v>0</v>
      </c>
      <c r="CE23" s="295">
        <v>46040</v>
      </c>
      <c r="CF23" s="296">
        <v>1320.44</v>
      </c>
      <c r="CG23" s="301"/>
      <c r="CH23" s="298"/>
      <c r="CI23" s="302"/>
      <c r="CJ23" s="303"/>
      <c r="CK23" s="303"/>
      <c r="CL23" s="303">
        <f t="shared" si="1"/>
        <v>0</v>
      </c>
    </row>
    <row r="24" spans="2:90" hidden="1" x14ac:dyDescent="0.25">
      <c r="B24" s="295">
        <v>46041</v>
      </c>
      <c r="C24" s="296">
        <v>2356.1799999999998</v>
      </c>
      <c r="D24" s="296">
        <v>594.1</v>
      </c>
      <c r="E24" s="296">
        <v>4107.37</v>
      </c>
      <c r="F24" s="297"/>
      <c r="G24" s="298"/>
      <c r="H24" s="302"/>
      <c r="I24" s="303"/>
      <c r="J24" s="303">
        <v>52.867600699999983</v>
      </c>
      <c r="K24" s="303">
        <f t="shared" si="2"/>
        <v>52.867600699999983</v>
      </c>
      <c r="M24" s="295">
        <v>46041</v>
      </c>
      <c r="N24" s="296">
        <v>0</v>
      </c>
      <c r="O24" s="296">
        <v>26.84</v>
      </c>
      <c r="P24" s="296">
        <v>2614.5100000000002</v>
      </c>
      <c r="Q24" s="297">
        <v>110.78</v>
      </c>
      <c r="R24" s="301"/>
      <c r="S24" s="298"/>
      <c r="T24" s="302"/>
      <c r="U24" s="303"/>
      <c r="V24" s="303"/>
      <c r="W24" s="303">
        <f t="shared" si="3"/>
        <v>0</v>
      </c>
      <c r="Y24" s="295">
        <v>46041</v>
      </c>
      <c r="Z24" s="296">
        <v>706</v>
      </c>
      <c r="AA24" s="301">
        <v>257.02</v>
      </c>
      <c r="AB24" s="298"/>
      <c r="AC24" s="302"/>
      <c r="AD24" s="303"/>
      <c r="AE24" s="303"/>
      <c r="AF24" s="303">
        <f t="shared" si="4"/>
        <v>257.02</v>
      </c>
      <c r="AH24" s="295">
        <v>46041</v>
      </c>
      <c r="AI24" s="296">
        <v>1250.04</v>
      </c>
      <c r="AJ24" s="301">
        <v>0</v>
      </c>
      <c r="AK24" s="298"/>
      <c r="AL24" s="302"/>
      <c r="AM24" s="303"/>
      <c r="AN24" s="303"/>
      <c r="AO24" s="303">
        <f t="shared" si="5"/>
        <v>0</v>
      </c>
      <c r="AQ24" s="295">
        <v>46041</v>
      </c>
      <c r="AR24" s="296">
        <v>640.04999999999995</v>
      </c>
      <c r="AS24" s="296">
        <v>459.54</v>
      </c>
      <c r="AT24" s="335">
        <v>3081.07</v>
      </c>
      <c r="AV24" s="297">
        <v>54.08</v>
      </c>
      <c r="AW24" s="297">
        <v>0</v>
      </c>
      <c r="AX24" s="298"/>
      <c r="AY24" s="302"/>
      <c r="AZ24" s="303"/>
      <c r="BA24" s="303"/>
      <c r="BB24" s="303">
        <f t="shared" si="6"/>
        <v>0</v>
      </c>
      <c r="BD24" s="295">
        <v>46041</v>
      </c>
      <c r="BE24" s="301">
        <v>7052.66</v>
      </c>
      <c r="BF24" s="301">
        <v>71.59</v>
      </c>
      <c r="BG24" s="298"/>
      <c r="BH24" s="302"/>
      <c r="BI24" s="303"/>
      <c r="BJ24" s="303"/>
      <c r="BK24" s="303">
        <f t="shared" si="7"/>
        <v>71.59</v>
      </c>
      <c r="BM24" s="295">
        <v>46041</v>
      </c>
      <c r="BN24" s="301">
        <v>6888.65</v>
      </c>
      <c r="BO24" s="297">
        <v>1759.51</v>
      </c>
      <c r="BP24" s="298"/>
      <c r="BQ24" s="302"/>
      <c r="BR24" s="303"/>
      <c r="BS24" s="303"/>
      <c r="BT24" s="303">
        <f t="shared" si="8"/>
        <v>1759.51</v>
      </c>
      <c r="BV24" s="295">
        <v>46041</v>
      </c>
      <c r="BW24" s="296">
        <v>829</v>
      </c>
      <c r="BX24" s="301">
        <v>0</v>
      </c>
      <c r="BY24" s="298"/>
      <c r="BZ24" s="302"/>
      <c r="CA24" s="303"/>
      <c r="CB24" s="303"/>
      <c r="CC24" s="303">
        <f t="shared" si="0"/>
        <v>0</v>
      </c>
      <c r="CE24" s="295">
        <v>46041</v>
      </c>
      <c r="CF24" s="296">
        <v>1693.68</v>
      </c>
      <c r="CG24" s="301"/>
      <c r="CH24" s="298"/>
      <c r="CI24" s="302">
        <v>29.667359999999974</v>
      </c>
      <c r="CJ24" s="303"/>
      <c r="CK24" s="303"/>
      <c r="CL24" s="303">
        <f t="shared" si="1"/>
        <v>29.667359999999974</v>
      </c>
    </row>
    <row r="25" spans="2:90" hidden="1" x14ac:dyDescent="0.25">
      <c r="B25" s="295">
        <v>46042</v>
      </c>
      <c r="C25" s="296">
        <v>1854.96</v>
      </c>
      <c r="D25" s="296">
        <v>501.42</v>
      </c>
      <c r="E25" s="296">
        <v>4682.96</v>
      </c>
      <c r="F25" s="297"/>
      <c r="G25" s="298"/>
      <c r="H25" s="302"/>
      <c r="I25" s="303"/>
      <c r="J25" s="303"/>
      <c r="K25" s="303">
        <f t="shared" si="2"/>
        <v>0</v>
      </c>
      <c r="M25" s="295">
        <v>46042</v>
      </c>
      <c r="N25" s="296">
        <v>0</v>
      </c>
      <c r="O25" s="296">
        <v>193.83</v>
      </c>
      <c r="P25" s="296">
        <v>3710.7</v>
      </c>
      <c r="Q25" s="297">
        <v>163.37</v>
      </c>
      <c r="R25" s="301"/>
      <c r="S25" s="298"/>
      <c r="T25" s="302"/>
      <c r="U25" s="303"/>
      <c r="V25" s="303"/>
      <c r="W25" s="303">
        <f t="shared" si="3"/>
        <v>0</v>
      </c>
      <c r="Y25" s="295">
        <v>46042</v>
      </c>
      <c r="Z25" s="296">
        <v>939.12</v>
      </c>
      <c r="AA25" s="301">
        <v>212.23</v>
      </c>
      <c r="AB25" s="298"/>
      <c r="AC25" s="302"/>
      <c r="AD25" s="303"/>
      <c r="AE25" s="303"/>
      <c r="AF25" s="303">
        <f t="shared" si="4"/>
        <v>212.23</v>
      </c>
      <c r="AH25" s="295">
        <v>46042</v>
      </c>
      <c r="AI25" s="296">
        <v>886.9</v>
      </c>
      <c r="AJ25" s="301">
        <v>0</v>
      </c>
      <c r="AK25" s="298"/>
      <c r="AL25" s="302"/>
      <c r="AM25" s="303"/>
      <c r="AN25" s="303"/>
      <c r="AO25" s="303">
        <f t="shared" si="5"/>
        <v>0</v>
      </c>
      <c r="AQ25" s="295">
        <v>46042</v>
      </c>
      <c r="AR25" s="296">
        <v>645.69000000000005</v>
      </c>
      <c r="AS25" s="296">
        <v>285.51</v>
      </c>
      <c r="AT25" s="335">
        <v>2714.14</v>
      </c>
      <c r="AV25" s="297">
        <v>44.3</v>
      </c>
      <c r="AW25" s="297">
        <v>0</v>
      </c>
      <c r="AX25" s="298"/>
      <c r="AY25" s="302"/>
      <c r="AZ25" s="303"/>
      <c r="BA25" s="303"/>
      <c r="BB25" s="303">
        <f t="shared" si="6"/>
        <v>0</v>
      </c>
      <c r="BD25" s="295">
        <v>46042</v>
      </c>
      <c r="BE25" s="301">
        <v>8552.7900000000009</v>
      </c>
      <c r="BF25" s="301">
        <v>66.06</v>
      </c>
      <c r="BG25" s="298"/>
      <c r="BH25" s="302">
        <v>22.854929999999996</v>
      </c>
      <c r="BI25" s="303"/>
      <c r="BJ25" s="303"/>
      <c r="BK25" s="303">
        <f t="shared" si="7"/>
        <v>88.914929999999998</v>
      </c>
      <c r="BM25" s="295">
        <v>46042</v>
      </c>
      <c r="BN25" s="301">
        <v>4781.6000000000004</v>
      </c>
      <c r="BO25" s="297">
        <v>664.78</v>
      </c>
      <c r="BP25" s="298"/>
      <c r="BQ25" s="302"/>
      <c r="BR25" s="303"/>
      <c r="BS25" s="303"/>
      <c r="BT25" s="303">
        <f t="shared" si="8"/>
        <v>664.78</v>
      </c>
      <c r="BV25" s="295">
        <v>46042</v>
      </c>
      <c r="BW25" s="296">
        <v>581.54999999999995</v>
      </c>
      <c r="BX25" s="301">
        <v>0</v>
      </c>
      <c r="BY25" s="298"/>
      <c r="BZ25" s="302"/>
      <c r="CA25" s="303"/>
      <c r="CB25" s="303"/>
      <c r="CC25" s="303">
        <f t="shared" si="0"/>
        <v>0</v>
      </c>
      <c r="CE25" s="295">
        <v>46042</v>
      </c>
      <c r="CF25" s="296">
        <v>2135.8000000000002</v>
      </c>
      <c r="CG25" s="301"/>
      <c r="CH25" s="298"/>
      <c r="CI25" s="302">
        <v>13.088400000000007</v>
      </c>
      <c r="CJ25" s="303"/>
      <c r="CK25" s="303"/>
      <c r="CL25" s="303">
        <f t="shared" si="1"/>
        <v>13.088400000000007</v>
      </c>
    </row>
    <row r="26" spans="2:90" hidden="1" x14ac:dyDescent="0.25">
      <c r="B26" s="295">
        <v>46043</v>
      </c>
      <c r="C26" s="296">
        <v>1591.02</v>
      </c>
      <c r="D26" s="296">
        <v>828.61</v>
      </c>
      <c r="E26" s="296">
        <v>4316.5600000000004</v>
      </c>
      <c r="F26" s="297"/>
      <c r="G26" s="298"/>
      <c r="H26" s="302"/>
      <c r="I26" s="303"/>
      <c r="J26" s="303">
        <v>10.000600000000006</v>
      </c>
      <c r="K26" s="303">
        <f t="shared" si="2"/>
        <v>10.000600000000006</v>
      </c>
      <c r="M26" s="295">
        <v>46043</v>
      </c>
      <c r="N26" s="296">
        <v>0</v>
      </c>
      <c r="O26" s="296">
        <v>43.42</v>
      </c>
      <c r="P26" s="296">
        <v>3031.7</v>
      </c>
      <c r="Q26" s="297">
        <v>170.47</v>
      </c>
      <c r="R26" s="301"/>
      <c r="S26" s="298"/>
      <c r="T26" s="302"/>
      <c r="U26" s="303"/>
      <c r="V26" s="303"/>
      <c r="W26" s="303">
        <f t="shared" si="3"/>
        <v>0</v>
      </c>
      <c r="Y26" s="295">
        <v>46043</v>
      </c>
      <c r="Z26" s="296">
        <v>1022.82</v>
      </c>
      <c r="AA26" s="301">
        <v>327.64</v>
      </c>
      <c r="AB26" s="298"/>
      <c r="AC26" s="302"/>
      <c r="AD26" s="303"/>
      <c r="AE26" s="303"/>
      <c r="AF26" s="303">
        <f t="shared" si="4"/>
        <v>327.64</v>
      </c>
      <c r="AH26" s="295">
        <v>46043</v>
      </c>
      <c r="AI26" s="296">
        <v>1142.33</v>
      </c>
      <c r="AJ26" s="301">
        <v>0</v>
      </c>
      <c r="AK26" s="298"/>
      <c r="AL26" s="302"/>
      <c r="AM26" s="303"/>
      <c r="AN26" s="303"/>
      <c r="AO26" s="303">
        <f t="shared" si="5"/>
        <v>0</v>
      </c>
      <c r="AQ26" s="295">
        <v>46043</v>
      </c>
      <c r="AR26" s="296">
        <v>948.76</v>
      </c>
      <c r="AS26" s="296">
        <v>360.86</v>
      </c>
      <c r="AT26" s="335">
        <v>2732.1</v>
      </c>
      <c r="AV26" s="297">
        <v>74.59</v>
      </c>
      <c r="AW26" s="297">
        <v>0</v>
      </c>
      <c r="AX26" s="298"/>
      <c r="AY26" s="302"/>
      <c r="AZ26" s="303"/>
      <c r="BA26" s="303"/>
      <c r="BB26" s="303">
        <f t="shared" si="6"/>
        <v>0</v>
      </c>
      <c r="BD26" s="295">
        <v>46043</v>
      </c>
      <c r="BE26" s="301">
        <v>6282.21</v>
      </c>
      <c r="BF26" s="301">
        <v>76.45</v>
      </c>
      <c r="BG26" s="298"/>
      <c r="BH26" s="302"/>
      <c r="BI26" s="303"/>
      <c r="BJ26" s="303"/>
      <c r="BK26" s="303">
        <f t="shared" si="7"/>
        <v>76.45</v>
      </c>
      <c r="BM26" s="295">
        <v>46043</v>
      </c>
      <c r="BN26" s="301">
        <v>4468.7700000000004</v>
      </c>
      <c r="BO26" s="297">
        <v>712.95</v>
      </c>
      <c r="BP26" s="298"/>
      <c r="BQ26" s="302"/>
      <c r="BR26" s="303"/>
      <c r="BS26" s="303"/>
      <c r="BT26" s="303">
        <f t="shared" si="8"/>
        <v>712.95</v>
      </c>
      <c r="BV26" s="295">
        <v>46043</v>
      </c>
      <c r="BW26" s="296">
        <v>1032.75</v>
      </c>
      <c r="BX26" s="301">
        <v>0</v>
      </c>
      <c r="BY26" s="298"/>
      <c r="BZ26" s="302"/>
      <c r="CA26" s="303"/>
      <c r="CB26" s="303"/>
      <c r="CC26" s="303">
        <f t="shared" si="0"/>
        <v>0</v>
      </c>
      <c r="CE26" s="295">
        <v>46043</v>
      </c>
      <c r="CF26" s="296">
        <v>1994.29</v>
      </c>
      <c r="CG26" s="301"/>
      <c r="CH26" s="298"/>
      <c r="CI26" s="302">
        <v>32.093879999999984</v>
      </c>
      <c r="CJ26" s="303"/>
      <c r="CK26" s="303"/>
      <c r="CL26" s="303">
        <f t="shared" si="1"/>
        <v>32.093879999999984</v>
      </c>
    </row>
    <row r="27" spans="2:90" hidden="1" x14ac:dyDescent="0.25">
      <c r="B27" s="295">
        <v>46044</v>
      </c>
      <c r="C27" s="296">
        <v>2246.4699999999998</v>
      </c>
      <c r="D27" s="296">
        <v>393.12</v>
      </c>
      <c r="E27" s="296">
        <v>4754.26</v>
      </c>
      <c r="F27" s="297"/>
      <c r="G27" s="298"/>
      <c r="H27" s="302"/>
      <c r="I27" s="303"/>
      <c r="J27" s="303"/>
      <c r="K27" s="303">
        <f t="shared" si="2"/>
        <v>0</v>
      </c>
      <c r="M27" s="295">
        <v>46044</v>
      </c>
      <c r="N27" s="296">
        <v>160.05000000000001</v>
      </c>
      <c r="O27" s="296">
        <v>43.41</v>
      </c>
      <c r="P27" s="296">
        <v>4631.13</v>
      </c>
      <c r="Q27" s="297">
        <v>129.25</v>
      </c>
      <c r="R27" s="301"/>
      <c r="S27" s="298"/>
      <c r="T27" s="302"/>
      <c r="U27" s="303"/>
      <c r="V27" s="303"/>
      <c r="W27" s="303">
        <f t="shared" si="3"/>
        <v>0</v>
      </c>
      <c r="Y27" s="295">
        <v>46044</v>
      </c>
      <c r="Z27" s="296">
        <v>1303.24</v>
      </c>
      <c r="AA27" s="301">
        <v>611.1</v>
      </c>
      <c r="AB27" s="298"/>
      <c r="AC27" s="302"/>
      <c r="AD27" s="303"/>
      <c r="AE27" s="303"/>
      <c r="AF27" s="303">
        <f t="shared" si="4"/>
        <v>611.1</v>
      </c>
      <c r="AH27" s="295">
        <v>46044</v>
      </c>
      <c r="AI27" s="296">
        <v>844.19</v>
      </c>
      <c r="AJ27" s="301">
        <v>0</v>
      </c>
      <c r="AK27" s="298"/>
      <c r="AL27" s="302"/>
      <c r="AM27" s="303"/>
      <c r="AN27" s="303"/>
      <c r="AO27" s="303">
        <f t="shared" si="5"/>
        <v>0</v>
      </c>
      <c r="AQ27" s="295">
        <v>46044</v>
      </c>
      <c r="AR27" s="296">
        <v>879.07</v>
      </c>
      <c r="AS27" s="296">
        <v>415.71</v>
      </c>
      <c r="AT27" s="335">
        <v>3666.93</v>
      </c>
      <c r="AV27" s="297">
        <v>22.29</v>
      </c>
      <c r="AW27" s="297">
        <v>0</v>
      </c>
      <c r="AX27" s="298"/>
      <c r="AY27" s="302"/>
      <c r="AZ27" s="303"/>
      <c r="BA27" s="303"/>
      <c r="BB27" s="303">
        <f t="shared" si="6"/>
        <v>0</v>
      </c>
      <c r="BD27" s="295">
        <v>46044</v>
      </c>
      <c r="BE27" s="301">
        <v>8132.04</v>
      </c>
      <c r="BF27" s="301">
        <v>56.29</v>
      </c>
      <c r="BG27" s="298"/>
      <c r="BH27" s="302">
        <v>36.270779999999974</v>
      </c>
      <c r="BI27" s="303"/>
      <c r="BJ27" s="303"/>
      <c r="BK27" s="303">
        <f t="shared" si="7"/>
        <v>92.560779999999966</v>
      </c>
      <c r="BM27" s="295">
        <v>46044</v>
      </c>
      <c r="BN27" s="301">
        <v>2754.3</v>
      </c>
      <c r="BO27" s="297">
        <v>1022.5</v>
      </c>
      <c r="BP27" s="298"/>
      <c r="BQ27" s="302"/>
      <c r="BR27" s="303"/>
      <c r="BS27" s="303"/>
      <c r="BT27" s="303">
        <f t="shared" si="8"/>
        <v>1022.5</v>
      </c>
      <c r="BV27" s="295">
        <v>46044</v>
      </c>
      <c r="BW27" s="296">
        <v>728.73</v>
      </c>
      <c r="BX27" s="301">
        <v>0</v>
      </c>
      <c r="BY27" s="298"/>
      <c r="BZ27" s="302"/>
      <c r="CA27" s="303"/>
      <c r="CB27" s="303"/>
      <c r="CC27" s="303">
        <f t="shared" si="0"/>
        <v>0</v>
      </c>
      <c r="CE27" s="295">
        <v>46044</v>
      </c>
      <c r="CF27" s="296">
        <v>992.32</v>
      </c>
      <c r="CG27" s="301"/>
      <c r="CH27" s="298"/>
      <c r="CI27" s="302">
        <v>20.006440000000012</v>
      </c>
      <c r="CJ27" s="303"/>
      <c r="CK27" s="303"/>
      <c r="CL27" s="303">
        <f t="shared" si="1"/>
        <v>20.006440000000012</v>
      </c>
    </row>
    <row r="28" spans="2:90" hidden="1" x14ac:dyDescent="0.25">
      <c r="B28" s="295">
        <v>46045</v>
      </c>
      <c r="C28" s="296">
        <v>1956.13</v>
      </c>
      <c r="D28" s="296">
        <v>599.38</v>
      </c>
      <c r="E28" s="296">
        <v>5350.36</v>
      </c>
      <c r="F28" s="297"/>
      <c r="G28" s="298"/>
      <c r="H28" s="302"/>
      <c r="I28" s="303"/>
      <c r="J28" s="303"/>
      <c r="K28" s="303">
        <f t="shared" si="2"/>
        <v>0</v>
      </c>
      <c r="M28" s="295">
        <v>46045</v>
      </c>
      <c r="N28" s="296">
        <v>1206.93</v>
      </c>
      <c r="O28" s="296">
        <v>68.150000000000006</v>
      </c>
      <c r="P28" s="296">
        <v>5682.05</v>
      </c>
      <c r="Q28" s="297">
        <v>142.96</v>
      </c>
      <c r="R28" s="301"/>
      <c r="S28" s="298"/>
      <c r="T28" s="302"/>
      <c r="U28" s="303"/>
      <c r="V28" s="303"/>
      <c r="W28" s="303">
        <f t="shared" si="3"/>
        <v>0</v>
      </c>
      <c r="Y28" s="295">
        <v>46045</v>
      </c>
      <c r="Z28" s="296">
        <v>1594.55</v>
      </c>
      <c r="AA28" s="301">
        <v>267.98</v>
      </c>
      <c r="AB28" s="298"/>
      <c r="AC28" s="302"/>
      <c r="AD28" s="303"/>
      <c r="AE28" s="303"/>
      <c r="AF28" s="303">
        <f t="shared" si="4"/>
        <v>267.98</v>
      </c>
      <c r="AH28" s="295">
        <v>46045</v>
      </c>
      <c r="AI28" s="296">
        <v>886.33</v>
      </c>
      <c r="AJ28" s="301">
        <v>0</v>
      </c>
      <c r="AK28" s="298"/>
      <c r="AL28" s="302"/>
      <c r="AM28" s="303"/>
      <c r="AN28" s="303"/>
      <c r="AO28" s="303">
        <f t="shared" si="5"/>
        <v>0</v>
      </c>
      <c r="AQ28" s="295">
        <v>46045</v>
      </c>
      <c r="AR28" s="296">
        <v>1215.46</v>
      </c>
      <c r="AS28" s="296">
        <v>248.63</v>
      </c>
      <c r="AT28" s="335">
        <v>4235.2</v>
      </c>
      <c r="AV28" s="297">
        <v>109.8</v>
      </c>
      <c r="AW28" s="297">
        <v>0</v>
      </c>
      <c r="AX28" s="298"/>
      <c r="AY28" s="302"/>
      <c r="AZ28" s="303"/>
      <c r="BA28" s="303"/>
      <c r="BB28" s="303">
        <f t="shared" si="6"/>
        <v>0</v>
      </c>
      <c r="BD28" s="295">
        <v>46045</v>
      </c>
      <c r="BE28" s="301">
        <v>7861.01</v>
      </c>
      <c r="BF28" s="301">
        <v>63.28</v>
      </c>
      <c r="BG28" s="298"/>
      <c r="BH28" s="302">
        <v>17.872259999999997</v>
      </c>
      <c r="BI28" s="303"/>
      <c r="BJ28" s="303"/>
      <c r="BK28" s="303">
        <f t="shared" si="7"/>
        <v>81.152259999999998</v>
      </c>
      <c r="BM28" s="295">
        <v>46045</v>
      </c>
      <c r="BN28" s="301">
        <v>2677</v>
      </c>
      <c r="BO28" s="297">
        <v>947</v>
      </c>
      <c r="BP28" s="298"/>
      <c r="BQ28" s="302"/>
      <c r="BR28" s="303"/>
      <c r="BS28" s="303"/>
      <c r="BT28" s="303">
        <f t="shared" si="8"/>
        <v>947</v>
      </c>
      <c r="BV28" s="295">
        <v>46045</v>
      </c>
      <c r="BW28" s="296">
        <v>552.21</v>
      </c>
      <c r="BX28" s="301">
        <v>0</v>
      </c>
      <c r="BY28" s="298"/>
      <c r="BZ28" s="302"/>
      <c r="CA28" s="303"/>
      <c r="CB28" s="303"/>
      <c r="CC28" s="303">
        <f t="shared" si="0"/>
        <v>0</v>
      </c>
      <c r="CE28" s="295">
        <v>46045</v>
      </c>
      <c r="CF28" s="296">
        <v>2163.88</v>
      </c>
      <c r="CG28" s="301"/>
      <c r="CH28" s="298"/>
      <c r="CI28" s="302">
        <v>81.134520000000037</v>
      </c>
      <c r="CJ28" s="303"/>
      <c r="CK28" s="303"/>
      <c r="CL28" s="303">
        <f t="shared" si="1"/>
        <v>81.134520000000037</v>
      </c>
    </row>
    <row r="29" spans="2:90" hidden="1" x14ac:dyDescent="0.25">
      <c r="B29" s="295">
        <v>46046</v>
      </c>
      <c r="C29" s="296">
        <v>2132.08</v>
      </c>
      <c r="D29" s="296">
        <v>814.44</v>
      </c>
      <c r="E29" s="296">
        <v>4497.01</v>
      </c>
      <c r="F29" s="297"/>
      <c r="G29" s="298"/>
      <c r="H29" s="302"/>
      <c r="I29" s="303"/>
      <c r="J29" s="303">
        <v>8.4258000000000095</v>
      </c>
      <c r="K29" s="303">
        <f t="shared" si="2"/>
        <v>8.4258000000000095</v>
      </c>
      <c r="M29" s="295">
        <v>46046</v>
      </c>
      <c r="N29" s="296">
        <v>200.4</v>
      </c>
      <c r="O29" s="296">
        <v>35.65</v>
      </c>
      <c r="P29" s="296">
        <v>3296.84</v>
      </c>
      <c r="Q29" s="297">
        <v>179.95</v>
      </c>
      <c r="R29" s="301"/>
      <c r="S29" s="298"/>
      <c r="T29" s="302"/>
      <c r="U29" s="303"/>
      <c r="V29" s="303"/>
      <c r="W29" s="303">
        <f t="shared" si="3"/>
        <v>0</v>
      </c>
      <c r="Y29" s="295">
        <v>46046</v>
      </c>
      <c r="Z29" s="296">
        <v>1616.85</v>
      </c>
      <c r="AA29" s="301">
        <v>437.68</v>
      </c>
      <c r="AB29" s="298"/>
      <c r="AC29" s="302"/>
      <c r="AD29" s="303"/>
      <c r="AE29" s="303"/>
      <c r="AF29" s="303">
        <f t="shared" si="4"/>
        <v>437.68</v>
      </c>
      <c r="AH29" s="295">
        <v>46046</v>
      </c>
      <c r="AI29" s="296">
        <v>2131</v>
      </c>
      <c r="AJ29" s="301">
        <v>0</v>
      </c>
      <c r="AK29" s="298"/>
      <c r="AL29" s="302"/>
      <c r="AM29" s="303"/>
      <c r="AN29" s="303"/>
      <c r="AO29" s="303">
        <f t="shared" si="5"/>
        <v>0</v>
      </c>
      <c r="AQ29" s="295">
        <v>46046</v>
      </c>
      <c r="AR29" s="296">
        <v>1601.88</v>
      </c>
      <c r="AS29" s="296">
        <v>375.25</v>
      </c>
      <c r="AT29" s="335">
        <v>4334.67</v>
      </c>
      <c r="AV29" s="297">
        <v>52.14</v>
      </c>
      <c r="AW29" s="297">
        <v>0</v>
      </c>
      <c r="AX29" s="298"/>
      <c r="AY29" s="302"/>
      <c r="AZ29" s="303"/>
      <c r="BA29" s="303"/>
      <c r="BB29" s="303">
        <f t="shared" si="6"/>
        <v>0</v>
      </c>
      <c r="BD29" s="295">
        <v>46046</v>
      </c>
      <c r="BE29" s="301">
        <v>6635.74</v>
      </c>
      <c r="BF29" s="301">
        <v>72.16</v>
      </c>
      <c r="BG29" s="298"/>
      <c r="BH29" s="302"/>
      <c r="BI29" s="303"/>
      <c r="BJ29" s="303"/>
      <c r="BK29" s="303">
        <f t="shared" si="7"/>
        <v>72.16</v>
      </c>
      <c r="BM29" s="295">
        <v>46046</v>
      </c>
      <c r="BN29" s="301">
        <v>2788</v>
      </c>
      <c r="BO29" s="297">
        <v>856.57</v>
      </c>
      <c r="BP29" s="298"/>
      <c r="BQ29" s="302"/>
      <c r="BR29" s="303"/>
      <c r="BS29" s="303"/>
      <c r="BT29" s="303">
        <f t="shared" si="8"/>
        <v>856.57</v>
      </c>
      <c r="BV29" s="295">
        <v>46046</v>
      </c>
      <c r="BW29" s="296">
        <v>517</v>
      </c>
      <c r="BX29" s="301">
        <v>0</v>
      </c>
      <c r="BY29" s="298"/>
      <c r="BZ29" s="302"/>
      <c r="CA29" s="303"/>
      <c r="CB29" s="303"/>
      <c r="CC29" s="303">
        <f t="shared" si="0"/>
        <v>0</v>
      </c>
      <c r="CE29" s="295">
        <v>46046</v>
      </c>
      <c r="CF29" s="296">
        <v>1681.29</v>
      </c>
      <c r="CG29" s="301"/>
      <c r="CH29" s="298"/>
      <c r="CI29" s="302"/>
      <c r="CJ29" s="303"/>
      <c r="CK29" s="303"/>
      <c r="CL29" s="303">
        <f t="shared" si="1"/>
        <v>0</v>
      </c>
    </row>
    <row r="30" spans="2:90" hidden="1" x14ac:dyDescent="0.25">
      <c r="B30" s="295">
        <v>46047</v>
      </c>
      <c r="C30" s="296">
        <v>1436.05</v>
      </c>
      <c r="D30" s="296">
        <v>300.77999999999997</v>
      </c>
      <c r="E30" s="296">
        <v>3970.45</v>
      </c>
      <c r="F30" s="297"/>
      <c r="G30" s="298"/>
      <c r="H30" s="302"/>
      <c r="I30" s="303"/>
      <c r="J30" s="303"/>
      <c r="K30" s="303">
        <f t="shared" si="2"/>
        <v>0</v>
      </c>
      <c r="M30" s="295">
        <v>46047</v>
      </c>
      <c r="N30" s="296">
        <v>540.75</v>
      </c>
      <c r="O30" s="296">
        <v>270.3</v>
      </c>
      <c r="P30" s="296">
        <v>3792.87</v>
      </c>
      <c r="Q30" s="297">
        <v>63.85</v>
      </c>
      <c r="R30" s="301"/>
      <c r="S30" s="298"/>
      <c r="T30" s="302"/>
      <c r="U30" s="303"/>
      <c r="V30" s="303"/>
      <c r="W30" s="303">
        <f t="shared" si="3"/>
        <v>0</v>
      </c>
      <c r="Y30" s="295">
        <v>46047</v>
      </c>
      <c r="Z30" s="296">
        <v>392</v>
      </c>
      <c r="AA30" s="301">
        <v>98.41</v>
      </c>
      <c r="AB30" s="298"/>
      <c r="AC30" s="302"/>
      <c r="AD30" s="303"/>
      <c r="AE30" s="303"/>
      <c r="AF30" s="303">
        <f t="shared" si="4"/>
        <v>98.41</v>
      </c>
      <c r="AH30" s="295">
        <v>46047</v>
      </c>
      <c r="AI30" s="296">
        <v>753.2</v>
      </c>
      <c r="AJ30" s="301">
        <v>0</v>
      </c>
      <c r="AK30" s="298"/>
      <c r="AL30" s="302"/>
      <c r="AM30" s="303"/>
      <c r="AN30" s="303"/>
      <c r="AO30" s="303">
        <f t="shared" si="5"/>
        <v>0</v>
      </c>
      <c r="AQ30" s="295">
        <v>46047</v>
      </c>
      <c r="AR30" s="296">
        <v>457.49</v>
      </c>
      <c r="AS30" s="296">
        <v>276.38</v>
      </c>
      <c r="AT30" s="335">
        <v>3633.69</v>
      </c>
      <c r="AV30" s="297">
        <v>138.13999999999999</v>
      </c>
      <c r="AW30" s="297">
        <v>0</v>
      </c>
      <c r="AX30" s="298"/>
      <c r="AY30" s="302"/>
      <c r="AZ30" s="303"/>
      <c r="BA30" s="303"/>
      <c r="BB30" s="303">
        <f t="shared" si="6"/>
        <v>0</v>
      </c>
      <c r="BD30" s="295">
        <v>46047</v>
      </c>
      <c r="BE30" s="301">
        <v>5366.55</v>
      </c>
      <c r="BF30" s="301">
        <v>92.48</v>
      </c>
      <c r="BG30" s="298"/>
      <c r="BH30" s="302"/>
      <c r="BI30" s="303"/>
      <c r="BJ30" s="303"/>
      <c r="BK30" s="303">
        <f t="shared" si="7"/>
        <v>92.48</v>
      </c>
      <c r="BM30" s="295">
        <v>46047</v>
      </c>
      <c r="BN30" s="301">
        <v>5852.3</v>
      </c>
      <c r="BO30" s="297">
        <v>604.6</v>
      </c>
      <c r="BP30" s="298"/>
      <c r="BQ30" s="302"/>
      <c r="BR30" s="303"/>
      <c r="BS30" s="303"/>
      <c r="BT30" s="303">
        <f t="shared" si="8"/>
        <v>604.6</v>
      </c>
      <c r="BV30" s="295">
        <v>46047</v>
      </c>
      <c r="BW30" s="296">
        <v>358.99</v>
      </c>
      <c r="BX30" s="301">
        <v>0</v>
      </c>
      <c r="BY30" s="298"/>
      <c r="BZ30" s="302"/>
      <c r="CA30" s="303"/>
      <c r="CB30" s="303"/>
      <c r="CC30" s="303">
        <f t="shared" si="0"/>
        <v>0</v>
      </c>
      <c r="CE30" s="295">
        <v>46047</v>
      </c>
      <c r="CF30" s="296">
        <v>1429.5</v>
      </c>
      <c r="CG30" s="301"/>
      <c r="CH30" s="298"/>
      <c r="CI30" s="302"/>
      <c r="CJ30" s="303"/>
      <c r="CK30" s="303"/>
      <c r="CL30" s="303">
        <f t="shared" si="1"/>
        <v>0</v>
      </c>
    </row>
    <row r="31" spans="2:90" hidden="1" x14ac:dyDescent="0.25">
      <c r="B31" s="295">
        <v>46048</v>
      </c>
      <c r="C31" s="296">
        <v>2232.88</v>
      </c>
      <c r="D31" s="296">
        <v>653.12</v>
      </c>
      <c r="E31" s="296">
        <v>4250.72</v>
      </c>
      <c r="F31" s="297"/>
      <c r="G31" s="298"/>
      <c r="H31" s="302"/>
      <c r="I31" s="303">
        <v>53.949785714285724</v>
      </c>
      <c r="J31" s="303">
        <v>45.161555400000026</v>
      </c>
      <c r="K31" s="303">
        <f t="shared" si="2"/>
        <v>99.11134111428575</v>
      </c>
      <c r="M31" s="295">
        <v>46048</v>
      </c>
      <c r="N31" s="296">
        <v>250.1</v>
      </c>
      <c r="O31" s="296">
        <v>56.83</v>
      </c>
      <c r="P31" s="296">
        <v>4024</v>
      </c>
      <c r="Q31" s="297">
        <v>112.47</v>
      </c>
      <c r="R31" s="301"/>
      <c r="S31" s="298"/>
      <c r="T31" s="302"/>
      <c r="U31" s="303"/>
      <c r="V31" s="303"/>
      <c r="W31" s="303">
        <f t="shared" si="3"/>
        <v>0</v>
      </c>
      <c r="Y31" s="295">
        <v>46048</v>
      </c>
      <c r="Z31" s="296">
        <v>1332.81</v>
      </c>
      <c r="AA31" s="301">
        <v>551.73</v>
      </c>
      <c r="AB31" s="298"/>
      <c r="AC31" s="302"/>
      <c r="AD31" s="303"/>
      <c r="AE31" s="303"/>
      <c r="AF31" s="303">
        <f t="shared" si="4"/>
        <v>551.73</v>
      </c>
      <c r="AH31" s="295">
        <v>46048</v>
      </c>
      <c r="AI31" s="296">
        <v>1604.06</v>
      </c>
      <c r="AJ31" s="301">
        <v>0</v>
      </c>
      <c r="AK31" s="298"/>
      <c r="AL31" s="302"/>
      <c r="AM31" s="303"/>
      <c r="AN31" s="303"/>
      <c r="AO31" s="303">
        <f t="shared" si="5"/>
        <v>0</v>
      </c>
      <c r="AQ31" s="295">
        <v>46048</v>
      </c>
      <c r="AR31" s="296">
        <v>878.27</v>
      </c>
      <c r="AS31" s="296">
        <v>397.47</v>
      </c>
      <c r="AT31" s="335">
        <v>3340.14</v>
      </c>
      <c r="AV31" s="297">
        <v>97.77</v>
      </c>
      <c r="AW31" s="297">
        <v>0</v>
      </c>
      <c r="AX31" s="298"/>
      <c r="AY31" s="302"/>
      <c r="AZ31" s="303"/>
      <c r="BA31" s="303"/>
      <c r="BB31" s="303">
        <f t="shared" si="6"/>
        <v>0</v>
      </c>
      <c r="BD31" s="295">
        <v>46048</v>
      </c>
      <c r="BE31" s="301">
        <v>7577.98</v>
      </c>
      <c r="BF31" s="301">
        <v>61.44</v>
      </c>
      <c r="BG31" s="298"/>
      <c r="BH31" s="302">
        <v>16.843259999999987</v>
      </c>
      <c r="BI31" s="303"/>
      <c r="BJ31" s="303"/>
      <c r="BK31" s="303">
        <f t="shared" si="7"/>
        <v>78.283259999999984</v>
      </c>
      <c r="BM31" s="295">
        <v>46048</v>
      </c>
      <c r="BN31" s="301">
        <v>5303.21</v>
      </c>
      <c r="BO31" s="297">
        <v>597.87</v>
      </c>
      <c r="BP31" s="298"/>
      <c r="BQ31" s="302"/>
      <c r="BR31" s="303"/>
      <c r="BS31" s="303"/>
      <c r="BT31" s="303">
        <f t="shared" si="8"/>
        <v>597.87</v>
      </c>
      <c r="BV31" s="295">
        <v>46048</v>
      </c>
      <c r="BW31" s="296">
        <v>518.52</v>
      </c>
      <c r="BX31" s="301">
        <v>0</v>
      </c>
      <c r="BY31" s="298"/>
      <c r="BZ31" s="302"/>
      <c r="CA31" s="303"/>
      <c r="CB31" s="303"/>
      <c r="CC31" s="303">
        <f t="shared" si="0"/>
        <v>0</v>
      </c>
      <c r="CE31" s="295">
        <v>46048</v>
      </c>
      <c r="CF31" s="296">
        <v>2345.15</v>
      </c>
      <c r="CG31" s="301"/>
      <c r="CH31" s="298"/>
      <c r="CI31" s="302">
        <v>75.341340000000059</v>
      </c>
      <c r="CJ31" s="303"/>
      <c r="CK31" s="303"/>
      <c r="CL31" s="303">
        <f t="shared" si="1"/>
        <v>75.341340000000059</v>
      </c>
    </row>
    <row r="32" spans="2:90" hidden="1" x14ac:dyDescent="0.25">
      <c r="B32" s="295">
        <v>46049</v>
      </c>
      <c r="C32" s="296">
        <v>3033.46</v>
      </c>
      <c r="D32" s="296">
        <v>233</v>
      </c>
      <c r="E32" s="296">
        <v>4794.99</v>
      </c>
      <c r="F32" s="297">
        <v>4</v>
      </c>
      <c r="G32" s="298"/>
      <c r="H32" s="302"/>
      <c r="I32" s="303">
        <v>78.174735238095195</v>
      </c>
      <c r="J32" s="303"/>
      <c r="K32" s="303">
        <f t="shared" si="2"/>
        <v>82.174735238095195</v>
      </c>
      <c r="M32" s="295">
        <v>46049</v>
      </c>
      <c r="N32" s="296">
        <v>533</v>
      </c>
      <c r="O32" s="296">
        <v>204.16</v>
      </c>
      <c r="P32" s="296">
        <v>5237.18</v>
      </c>
      <c r="Q32" s="297">
        <v>179.98</v>
      </c>
      <c r="R32" s="301"/>
      <c r="S32" s="298"/>
      <c r="T32" s="302"/>
      <c r="U32" s="303"/>
      <c r="V32" s="303"/>
      <c r="W32" s="303">
        <f t="shared" si="3"/>
        <v>0</v>
      </c>
      <c r="Y32" s="295">
        <v>46049</v>
      </c>
      <c r="Z32" s="296">
        <v>695.82</v>
      </c>
      <c r="AA32" s="301">
        <v>300.74</v>
      </c>
      <c r="AB32" s="298"/>
      <c r="AC32" s="302"/>
      <c r="AD32" s="303"/>
      <c r="AE32" s="303"/>
      <c r="AF32" s="303">
        <f t="shared" si="4"/>
        <v>300.74</v>
      </c>
      <c r="AH32" s="295">
        <v>46049</v>
      </c>
      <c r="AI32" s="296">
        <v>858</v>
      </c>
      <c r="AJ32" s="301">
        <v>0</v>
      </c>
      <c r="AK32" s="298"/>
      <c r="AL32" s="302"/>
      <c r="AM32" s="303"/>
      <c r="AN32" s="303"/>
      <c r="AO32" s="303">
        <f t="shared" si="5"/>
        <v>0</v>
      </c>
      <c r="AQ32" s="295">
        <v>46049</v>
      </c>
      <c r="AR32" s="296">
        <v>1357.79</v>
      </c>
      <c r="AS32" s="296">
        <v>225.98</v>
      </c>
      <c r="AT32" s="335">
        <v>3942.03</v>
      </c>
      <c r="AV32" s="297">
        <v>83.48</v>
      </c>
      <c r="AW32" s="297">
        <v>0</v>
      </c>
      <c r="AX32" s="298"/>
      <c r="AY32" s="302"/>
      <c r="AZ32" s="303"/>
      <c r="BA32" s="303"/>
      <c r="BB32" s="303">
        <f t="shared" si="6"/>
        <v>0</v>
      </c>
      <c r="BD32" s="295">
        <v>46049</v>
      </c>
      <c r="BE32" s="301">
        <v>6637.58</v>
      </c>
      <c r="BF32" s="301">
        <v>54.74</v>
      </c>
      <c r="BG32" s="298"/>
      <c r="BH32" s="302">
        <v>21.160859999999992</v>
      </c>
      <c r="BI32" s="303"/>
      <c r="BJ32" s="303"/>
      <c r="BK32" s="303">
        <f t="shared" si="7"/>
        <v>75.900859999999994</v>
      </c>
      <c r="BM32" s="295">
        <v>46049</v>
      </c>
      <c r="BN32" s="301">
        <v>631.5</v>
      </c>
      <c r="BO32" s="297">
        <v>461.2</v>
      </c>
      <c r="BP32" s="298"/>
      <c r="BQ32" s="302"/>
      <c r="BR32" s="303"/>
      <c r="BS32" s="303"/>
      <c r="BT32" s="303">
        <f t="shared" si="8"/>
        <v>461.2</v>
      </c>
      <c r="BV32" s="295">
        <v>46049</v>
      </c>
      <c r="BW32" s="296">
        <v>470.5</v>
      </c>
      <c r="BX32" s="301">
        <v>0</v>
      </c>
      <c r="BY32" s="298"/>
      <c r="BZ32" s="302"/>
      <c r="CA32" s="303"/>
      <c r="CB32" s="303"/>
      <c r="CC32" s="303">
        <f t="shared" si="0"/>
        <v>0</v>
      </c>
      <c r="CE32" s="295">
        <v>46049</v>
      </c>
      <c r="CF32" s="296">
        <v>1102.48</v>
      </c>
      <c r="CG32" s="301"/>
      <c r="CH32" s="298"/>
      <c r="CI32" s="302">
        <v>22.654080000000015</v>
      </c>
      <c r="CJ32" s="303"/>
      <c r="CK32" s="303"/>
      <c r="CL32" s="303">
        <f t="shared" si="1"/>
        <v>22.654080000000015</v>
      </c>
    </row>
    <row r="33" spans="2:90" hidden="1" x14ac:dyDescent="0.25">
      <c r="B33" s="295">
        <v>46050</v>
      </c>
      <c r="C33" s="296">
        <v>2322.12</v>
      </c>
      <c r="D33" s="296">
        <v>463.66</v>
      </c>
      <c r="E33" s="296">
        <v>4773.21</v>
      </c>
      <c r="F33" s="297">
        <v>13</v>
      </c>
      <c r="G33" s="298"/>
      <c r="H33" s="302"/>
      <c r="I33" s="303">
        <v>254.0678895238093</v>
      </c>
      <c r="J33" s="303">
        <v>9.4894271999999944</v>
      </c>
      <c r="K33" s="303">
        <f t="shared" si="2"/>
        <v>276.55731672380932</v>
      </c>
      <c r="M33" s="295">
        <v>46050</v>
      </c>
      <c r="N33" s="296">
        <v>545.20000000000005</v>
      </c>
      <c r="O33" s="296">
        <v>101.35</v>
      </c>
      <c r="P33" s="296">
        <v>4685.59</v>
      </c>
      <c r="Q33" s="297">
        <v>146.11000000000001</v>
      </c>
      <c r="R33" s="301"/>
      <c r="S33" s="298"/>
      <c r="T33" s="302"/>
      <c r="U33" s="303"/>
      <c r="V33" s="303"/>
      <c r="W33" s="303">
        <f t="shared" si="3"/>
        <v>0</v>
      </c>
      <c r="Y33" s="295">
        <v>46050</v>
      </c>
      <c r="Z33" s="296">
        <v>1408.02</v>
      </c>
      <c r="AA33" s="301">
        <v>358.46</v>
      </c>
      <c r="AB33" s="298"/>
      <c r="AC33" s="302"/>
      <c r="AD33" s="303"/>
      <c r="AE33" s="303"/>
      <c r="AF33" s="303">
        <f t="shared" si="4"/>
        <v>358.46</v>
      </c>
      <c r="AH33" s="295">
        <v>46050</v>
      </c>
      <c r="AI33" s="296">
        <v>994.9</v>
      </c>
      <c r="AJ33" s="301">
        <v>0</v>
      </c>
      <c r="AK33" s="298"/>
      <c r="AL33" s="302"/>
      <c r="AM33" s="303"/>
      <c r="AN33" s="303"/>
      <c r="AO33" s="303">
        <f t="shared" si="5"/>
        <v>0</v>
      </c>
      <c r="AQ33" s="295">
        <v>46050</v>
      </c>
      <c r="AR33" s="296">
        <v>1850.72</v>
      </c>
      <c r="AS33" s="296">
        <v>575.85</v>
      </c>
      <c r="AT33" s="335">
        <v>3747.85</v>
      </c>
      <c r="AV33" s="297">
        <v>69.25</v>
      </c>
      <c r="AW33" s="297">
        <v>0</v>
      </c>
      <c r="AX33" s="298"/>
      <c r="AY33" s="302"/>
      <c r="AZ33" s="303"/>
      <c r="BA33" s="303"/>
      <c r="BB33" s="303">
        <f t="shared" si="6"/>
        <v>0</v>
      </c>
      <c r="BD33" s="295">
        <v>46050</v>
      </c>
      <c r="BE33" s="301">
        <v>6813.45</v>
      </c>
      <c r="BF33" s="301">
        <v>69.12</v>
      </c>
      <c r="BG33" s="298"/>
      <c r="BH33" s="302"/>
      <c r="BI33" s="303"/>
      <c r="BJ33" s="303"/>
      <c r="BK33" s="303">
        <f t="shared" si="7"/>
        <v>69.12</v>
      </c>
      <c r="BM33" s="295">
        <v>46050</v>
      </c>
      <c r="BN33" s="301">
        <v>1902.5</v>
      </c>
      <c r="BO33" s="297">
        <v>115.2</v>
      </c>
      <c r="BP33" s="298"/>
      <c r="BQ33" s="302"/>
      <c r="BR33" s="303"/>
      <c r="BS33" s="303"/>
      <c r="BT33" s="303">
        <f t="shared" si="8"/>
        <v>115.2</v>
      </c>
      <c r="BV33" s="295">
        <v>46050</v>
      </c>
      <c r="BW33" s="296">
        <v>692.03</v>
      </c>
      <c r="BX33" s="301">
        <v>0</v>
      </c>
      <c r="BY33" s="298"/>
      <c r="BZ33" s="302"/>
      <c r="CA33" s="303"/>
      <c r="CB33" s="303"/>
      <c r="CC33" s="303">
        <f t="shared" si="0"/>
        <v>0</v>
      </c>
      <c r="CE33" s="295">
        <v>46050</v>
      </c>
      <c r="CF33" s="296">
        <v>1596.78</v>
      </c>
      <c r="CG33" s="301"/>
      <c r="CH33" s="298"/>
      <c r="CI33" s="302">
        <v>27.488159999999993</v>
      </c>
      <c r="CJ33" s="303"/>
      <c r="CK33" s="303"/>
      <c r="CL33" s="303">
        <f t="shared" si="1"/>
        <v>27.488159999999993</v>
      </c>
    </row>
    <row r="34" spans="2:90" hidden="1" x14ac:dyDescent="0.25">
      <c r="B34" s="295">
        <v>46051</v>
      </c>
      <c r="C34" s="296">
        <v>2775.04</v>
      </c>
      <c r="D34" s="296">
        <v>455.57</v>
      </c>
      <c r="E34" s="296">
        <v>4651.08</v>
      </c>
      <c r="F34" s="297">
        <v>1</v>
      </c>
      <c r="G34" s="298"/>
      <c r="H34" s="302"/>
      <c r="I34" s="303">
        <v>19.543683809523799</v>
      </c>
      <c r="J34" s="303"/>
      <c r="K34" s="303">
        <f t="shared" si="2"/>
        <v>20.543683809523799</v>
      </c>
      <c r="M34" s="295">
        <v>46051</v>
      </c>
      <c r="N34" s="296">
        <v>215.05</v>
      </c>
      <c r="O34" s="296">
        <v>66.56</v>
      </c>
      <c r="P34" s="296">
        <v>5468.94</v>
      </c>
      <c r="Q34" s="297">
        <v>210.89</v>
      </c>
      <c r="R34" s="301"/>
      <c r="S34" s="298"/>
      <c r="T34" s="302"/>
      <c r="U34" s="303"/>
      <c r="V34" s="303"/>
      <c r="W34" s="303">
        <f t="shared" si="3"/>
        <v>0</v>
      </c>
      <c r="Y34" s="295">
        <v>46051</v>
      </c>
      <c r="Z34" s="296">
        <v>695.78</v>
      </c>
      <c r="AA34" s="301">
        <v>226.27</v>
      </c>
      <c r="AB34" s="298"/>
      <c r="AC34" s="302"/>
      <c r="AD34" s="303"/>
      <c r="AE34" s="303"/>
      <c r="AF34" s="303">
        <f t="shared" si="4"/>
        <v>226.27</v>
      </c>
      <c r="AH34" s="295">
        <v>46051</v>
      </c>
      <c r="AI34" s="296">
        <v>1097</v>
      </c>
      <c r="AJ34" s="301">
        <v>0</v>
      </c>
      <c r="AK34" s="298"/>
      <c r="AL34" s="302"/>
      <c r="AM34" s="303"/>
      <c r="AN34" s="303"/>
      <c r="AO34" s="303">
        <f t="shared" si="5"/>
        <v>0</v>
      </c>
      <c r="AQ34" s="295">
        <v>46051</v>
      </c>
      <c r="AR34" s="296">
        <v>837.14</v>
      </c>
      <c r="AS34" s="296">
        <v>304.56</v>
      </c>
      <c r="AT34" s="335">
        <v>3592.8</v>
      </c>
      <c r="AV34" s="297">
        <v>28.05</v>
      </c>
      <c r="AW34" s="297">
        <v>0</v>
      </c>
      <c r="AX34" s="298"/>
      <c r="AY34" s="302"/>
      <c r="AZ34" s="303"/>
      <c r="BA34" s="303"/>
      <c r="BB34" s="303">
        <f t="shared" si="6"/>
        <v>0</v>
      </c>
      <c r="BD34" s="295">
        <v>46051</v>
      </c>
      <c r="BE34" s="301">
        <v>7456.23</v>
      </c>
      <c r="BF34" s="301">
        <v>61.44</v>
      </c>
      <c r="BG34" s="298"/>
      <c r="BH34" s="302">
        <v>67.79807999999997</v>
      </c>
      <c r="BI34" s="303"/>
      <c r="BJ34" s="303"/>
      <c r="BK34" s="303">
        <f t="shared" si="7"/>
        <v>129.23807999999997</v>
      </c>
      <c r="BM34" s="295">
        <v>46051</v>
      </c>
      <c r="BN34" s="301">
        <v>3846.3</v>
      </c>
      <c r="BO34" s="297">
        <v>375.32</v>
      </c>
      <c r="BP34" s="298"/>
      <c r="BQ34" s="302"/>
      <c r="BR34" s="303"/>
      <c r="BS34" s="303"/>
      <c r="BT34" s="303">
        <f t="shared" si="8"/>
        <v>375.32</v>
      </c>
      <c r="BV34" s="295">
        <v>46051</v>
      </c>
      <c r="BW34" s="296">
        <v>369.5</v>
      </c>
      <c r="BX34" s="301">
        <v>0</v>
      </c>
      <c r="BY34" s="298"/>
      <c r="BZ34" s="302"/>
      <c r="CA34" s="303"/>
      <c r="CB34" s="303"/>
      <c r="CC34" s="303">
        <f t="shared" si="0"/>
        <v>0</v>
      </c>
      <c r="CE34" s="295">
        <v>46051</v>
      </c>
      <c r="CF34" s="296">
        <v>1678.16</v>
      </c>
      <c r="CG34" s="301"/>
      <c r="CH34" s="298"/>
      <c r="CI34" s="302">
        <v>95.729040000000055</v>
      </c>
      <c r="CJ34" s="303"/>
      <c r="CK34" s="303"/>
      <c r="CL34" s="303">
        <f t="shared" si="1"/>
        <v>95.729040000000055</v>
      </c>
    </row>
    <row r="35" spans="2:90" hidden="1" x14ac:dyDescent="0.25">
      <c r="B35" s="295">
        <v>46052</v>
      </c>
      <c r="C35" s="296">
        <v>2827.18</v>
      </c>
      <c r="D35" s="296">
        <v>585.55999999999995</v>
      </c>
      <c r="E35" s="296">
        <v>5751.97</v>
      </c>
      <c r="F35" s="297"/>
      <c r="G35" s="298"/>
      <c r="H35" s="302"/>
      <c r="I35" s="303"/>
      <c r="J35" s="303">
        <v>9.9283536000000083</v>
      </c>
      <c r="K35" s="303">
        <f t="shared" si="2"/>
        <v>9.9283536000000083</v>
      </c>
      <c r="M35" s="295">
        <v>46052</v>
      </c>
      <c r="N35" s="296">
        <v>449.3</v>
      </c>
      <c r="O35" s="296">
        <v>275.23</v>
      </c>
      <c r="P35" s="296">
        <v>1923.09</v>
      </c>
      <c r="Q35" s="297">
        <v>77.31</v>
      </c>
      <c r="R35" s="301"/>
      <c r="S35" s="298"/>
      <c r="T35" s="302"/>
      <c r="U35" s="303"/>
      <c r="V35" s="303"/>
      <c r="W35" s="303">
        <f t="shared" si="3"/>
        <v>0</v>
      </c>
      <c r="Y35" s="295">
        <v>46052</v>
      </c>
      <c r="Z35" s="296">
        <v>1474.76</v>
      </c>
      <c r="AA35" s="301">
        <v>643.65</v>
      </c>
      <c r="AB35" s="298"/>
      <c r="AC35" s="302"/>
      <c r="AD35" s="303"/>
      <c r="AE35" s="303"/>
      <c r="AF35" s="303">
        <f t="shared" si="4"/>
        <v>643.65</v>
      </c>
      <c r="AH35" s="295">
        <v>46052</v>
      </c>
      <c r="AI35" s="296">
        <v>1399.8</v>
      </c>
      <c r="AJ35" s="301">
        <v>0</v>
      </c>
      <c r="AK35" s="298"/>
      <c r="AL35" s="302"/>
      <c r="AM35" s="303"/>
      <c r="AN35" s="303"/>
      <c r="AO35" s="303">
        <f t="shared" si="5"/>
        <v>0</v>
      </c>
      <c r="AQ35" s="295">
        <v>46052</v>
      </c>
      <c r="AR35" s="296">
        <v>1254.98</v>
      </c>
      <c r="AS35" s="296">
        <v>396.45</v>
      </c>
      <c r="AT35" s="335">
        <v>3352.17</v>
      </c>
      <c r="AV35" s="297">
        <v>78.17</v>
      </c>
      <c r="AW35" s="297">
        <v>0</v>
      </c>
      <c r="AX35" s="298"/>
      <c r="AY35" s="302"/>
      <c r="AZ35" s="303"/>
      <c r="BA35" s="303"/>
      <c r="BB35" s="303">
        <f t="shared" si="6"/>
        <v>0</v>
      </c>
      <c r="BD35" s="295">
        <v>46052</v>
      </c>
      <c r="BE35" s="301">
        <v>8273.4</v>
      </c>
      <c r="BF35" s="301">
        <v>64.69</v>
      </c>
      <c r="BG35" s="298"/>
      <c r="BH35" s="302">
        <v>13.03284</v>
      </c>
      <c r="BI35" s="303"/>
      <c r="BJ35" s="303"/>
      <c r="BK35" s="303">
        <f t="shared" si="7"/>
        <v>77.722839999999991</v>
      </c>
      <c r="BM35" s="295">
        <v>46052</v>
      </c>
      <c r="BN35" s="301">
        <v>7016.03</v>
      </c>
      <c r="BO35" s="297">
        <v>1033.51</v>
      </c>
      <c r="BP35" s="298"/>
      <c r="BQ35" s="302"/>
      <c r="BR35" s="303"/>
      <c r="BS35" s="303"/>
      <c r="BT35" s="303">
        <f t="shared" si="8"/>
        <v>1033.51</v>
      </c>
      <c r="BV35" s="295">
        <v>46052</v>
      </c>
      <c r="BW35" s="296">
        <v>648</v>
      </c>
      <c r="BX35" s="301">
        <v>0</v>
      </c>
      <c r="BY35" s="298"/>
      <c r="BZ35" s="302"/>
      <c r="CA35" s="303"/>
      <c r="CB35" s="303"/>
      <c r="CC35" s="303">
        <f t="shared" si="0"/>
        <v>0</v>
      </c>
      <c r="CE35" s="295">
        <v>46052</v>
      </c>
      <c r="CF35" s="296">
        <v>1788.41</v>
      </c>
      <c r="CG35" s="301"/>
      <c r="CH35" s="298"/>
      <c r="CI35" s="302">
        <v>36.773169999999993</v>
      </c>
      <c r="CJ35" s="303"/>
      <c r="CK35" s="303"/>
      <c r="CL35" s="303">
        <f t="shared" si="1"/>
        <v>36.773169999999993</v>
      </c>
    </row>
    <row r="36" spans="2:90" ht="16.5" hidden="1" thickBot="1" x14ac:dyDescent="0.3">
      <c r="B36" s="295">
        <v>46053</v>
      </c>
      <c r="C36" s="296">
        <v>2758.71</v>
      </c>
      <c r="D36" s="296">
        <v>505.56</v>
      </c>
      <c r="E36" s="296">
        <v>4771.17</v>
      </c>
      <c r="F36" s="297">
        <v>1.5</v>
      </c>
      <c r="G36" s="298"/>
      <c r="H36" s="304"/>
      <c r="I36" s="305">
        <v>53.044773333333353</v>
      </c>
      <c r="J36" s="305">
        <v>37.873473799999971</v>
      </c>
      <c r="K36" s="305">
        <f t="shared" si="2"/>
        <v>92.418247133333324</v>
      </c>
      <c r="M36" s="295">
        <v>46053</v>
      </c>
      <c r="N36" s="296">
        <v>686.4</v>
      </c>
      <c r="O36" s="296">
        <v>212.53</v>
      </c>
      <c r="P36" s="296">
        <v>973.87</v>
      </c>
      <c r="Q36" s="297">
        <v>29.66</v>
      </c>
      <c r="R36" s="301"/>
      <c r="S36" s="298"/>
      <c r="T36" s="304"/>
      <c r="U36" s="305"/>
      <c r="V36" s="305"/>
      <c r="W36" s="305">
        <f t="shared" si="3"/>
        <v>0</v>
      </c>
      <c r="Y36" s="295">
        <v>46053</v>
      </c>
      <c r="Z36" s="296">
        <v>1939.57</v>
      </c>
      <c r="AA36" s="301">
        <v>466.13</v>
      </c>
      <c r="AB36" s="298"/>
      <c r="AC36" s="304"/>
      <c r="AD36" s="305"/>
      <c r="AE36" s="305"/>
      <c r="AF36" s="305">
        <f t="shared" si="4"/>
        <v>466.13</v>
      </c>
      <c r="AH36" s="295">
        <v>46053</v>
      </c>
      <c r="AI36" s="296">
        <v>1489.23</v>
      </c>
      <c r="AJ36" s="301">
        <v>0</v>
      </c>
      <c r="AK36" s="298"/>
      <c r="AL36" s="304"/>
      <c r="AM36" s="305"/>
      <c r="AN36" s="305"/>
      <c r="AO36" s="305">
        <f t="shared" si="5"/>
        <v>0</v>
      </c>
      <c r="AQ36" s="295">
        <v>46053</v>
      </c>
      <c r="AR36" s="296">
        <v>2480.56</v>
      </c>
      <c r="AS36" s="296">
        <v>212.08</v>
      </c>
      <c r="AT36" s="335">
        <v>4029.35</v>
      </c>
      <c r="AV36" s="297">
        <v>75.86</v>
      </c>
      <c r="AW36" s="297">
        <v>0</v>
      </c>
      <c r="AX36" s="298"/>
      <c r="AY36" s="304"/>
      <c r="AZ36" s="305"/>
      <c r="BA36" s="305"/>
      <c r="BB36" s="305">
        <f t="shared" si="6"/>
        <v>0</v>
      </c>
      <c r="BD36" s="295">
        <v>46053</v>
      </c>
      <c r="BE36" s="301">
        <v>7912.23</v>
      </c>
      <c r="BF36" s="301">
        <v>54.47</v>
      </c>
      <c r="BG36" s="298"/>
      <c r="BH36" s="304">
        <v>16.948319999999995</v>
      </c>
      <c r="BI36" s="305"/>
      <c r="BJ36" s="305"/>
      <c r="BK36" s="305">
        <f t="shared" si="7"/>
        <v>71.418319999999994</v>
      </c>
      <c r="BM36" s="295">
        <v>46053</v>
      </c>
      <c r="BN36" s="301">
        <v>14506.5</v>
      </c>
      <c r="BO36" s="297">
        <v>1708.7</v>
      </c>
      <c r="BP36" s="298"/>
      <c r="BQ36" s="304"/>
      <c r="BR36" s="305"/>
      <c r="BS36" s="305"/>
      <c r="BT36" s="305">
        <f t="shared" si="8"/>
        <v>1708.7</v>
      </c>
      <c r="BV36" s="295">
        <v>46053</v>
      </c>
      <c r="BW36" s="296">
        <v>529.20000000000005</v>
      </c>
      <c r="BX36" s="297">
        <v>0</v>
      </c>
      <c r="BY36" s="298"/>
      <c r="BZ36" s="304"/>
      <c r="CA36" s="305"/>
      <c r="CB36" s="305"/>
      <c r="CC36" s="305">
        <f t="shared" si="0"/>
        <v>0</v>
      </c>
      <c r="CE36" s="295">
        <v>46053</v>
      </c>
      <c r="CF36" s="296">
        <v>1577.53</v>
      </c>
      <c r="CG36" s="301"/>
      <c r="CH36" s="298"/>
      <c r="CI36" s="304">
        <v>18.496899999999997</v>
      </c>
      <c r="CJ36" s="305"/>
      <c r="CK36" s="305"/>
      <c r="CL36" s="305">
        <f t="shared" si="1"/>
        <v>18.496899999999997</v>
      </c>
    </row>
    <row r="37" spans="2:90" ht="16.5" hidden="1" thickBot="1" x14ac:dyDescent="0.3">
      <c r="C37" s="306">
        <f t="shared" ref="C37:F37" si="9">SUM(C6:C36)</f>
        <v>55527.59</v>
      </c>
      <c r="D37" s="306">
        <f t="shared" si="9"/>
        <v>16188.490000000002</v>
      </c>
      <c r="E37" s="306">
        <f t="shared" si="9"/>
        <v>134309.13</v>
      </c>
      <c r="F37" s="306">
        <f t="shared" si="9"/>
        <v>1406.28</v>
      </c>
      <c r="G37" s="83"/>
      <c r="H37" s="84">
        <f t="shared" ref="H37:K37" si="10">SUM(H6:H36)</f>
        <v>0</v>
      </c>
      <c r="I37" s="85">
        <f t="shared" si="10"/>
        <v>1528.6822117500949</v>
      </c>
      <c r="J37" s="85">
        <f t="shared" si="10"/>
        <v>403.3519136000001</v>
      </c>
      <c r="K37" s="85">
        <f t="shared" si="10"/>
        <v>3338.3141253500949</v>
      </c>
      <c r="N37" s="306">
        <f t="shared" ref="N37:R37" si="11">SUM(N6:N36)</f>
        <v>14775.529999999999</v>
      </c>
      <c r="O37" s="306">
        <f t="shared" si="11"/>
        <v>5035.72</v>
      </c>
      <c r="P37" s="306">
        <f t="shared" si="11"/>
        <v>114988.51999999999</v>
      </c>
      <c r="Q37" s="307">
        <f t="shared" si="11"/>
        <v>3780.1999999999989</v>
      </c>
      <c r="R37" s="307">
        <f t="shared" si="11"/>
        <v>0</v>
      </c>
      <c r="S37" s="83"/>
      <c r="T37" s="84">
        <f t="shared" ref="T37:W37" si="12">SUM(T6:T36)</f>
        <v>0</v>
      </c>
      <c r="U37" s="85">
        <f t="shared" si="12"/>
        <v>0</v>
      </c>
      <c r="V37" s="85">
        <f t="shared" si="12"/>
        <v>0</v>
      </c>
      <c r="W37" s="85">
        <f t="shared" si="12"/>
        <v>0</v>
      </c>
      <c r="Z37" s="308">
        <f t="shared" ref="Z37" si="13">SUM(Z6:Z36)</f>
        <v>31678.599999999995</v>
      </c>
      <c r="AA37" s="309">
        <f>SUM(AA6:AA36)</f>
        <v>10057.419999999998</v>
      </c>
      <c r="AB37" s="83"/>
      <c r="AC37" s="84">
        <f t="shared" ref="AC37:AF37" si="14">SUM(AC6:AC36)</f>
        <v>0</v>
      </c>
      <c r="AD37" s="85">
        <f t="shared" si="14"/>
        <v>0</v>
      </c>
      <c r="AE37" s="85">
        <f t="shared" si="14"/>
        <v>0</v>
      </c>
      <c r="AF37" s="85">
        <f t="shared" si="14"/>
        <v>10057.419999999998</v>
      </c>
      <c r="AH37" s="310"/>
      <c r="AI37" s="306">
        <f t="shared" ref="AI37:AJ37" si="15">SUM(AI6:AI36)</f>
        <v>33410.37000000001</v>
      </c>
      <c r="AJ37" s="306">
        <f t="shared" si="15"/>
        <v>0</v>
      </c>
      <c r="AK37" s="83"/>
      <c r="AL37" s="84">
        <f t="shared" ref="AL37:AO37" si="16">SUM(AL6:AL36)</f>
        <v>0</v>
      </c>
      <c r="AM37" s="85">
        <f t="shared" si="16"/>
        <v>0</v>
      </c>
      <c r="AN37" s="85">
        <f t="shared" si="16"/>
        <v>0</v>
      </c>
      <c r="AO37" s="85">
        <f t="shared" si="16"/>
        <v>0</v>
      </c>
      <c r="AQ37" s="310"/>
      <c r="AR37" s="306">
        <f>SUM(AR6:AR36)</f>
        <v>32286.97</v>
      </c>
      <c r="AS37" s="306">
        <f t="shared" ref="AS37:AW37" si="17">SUM(AS6:AS36)</f>
        <v>9306.7379999999994</v>
      </c>
      <c r="AT37" s="306">
        <f t="shared" si="17"/>
        <v>106733.93000000002</v>
      </c>
      <c r="AU37" s="306">
        <f t="shared" si="17"/>
        <v>0</v>
      </c>
      <c r="AV37" s="306">
        <f t="shared" si="17"/>
        <v>2339.98</v>
      </c>
      <c r="AW37" s="306">
        <f t="shared" si="17"/>
        <v>0</v>
      </c>
      <c r="AX37" s="83"/>
      <c r="AY37" s="84">
        <f t="shared" ref="AY37:BB37" si="18">SUM(AY6:AY36)</f>
        <v>0</v>
      </c>
      <c r="AZ37" s="85">
        <f t="shared" si="18"/>
        <v>0</v>
      </c>
      <c r="BA37" s="85">
        <f t="shared" si="18"/>
        <v>0</v>
      </c>
      <c r="BB37" s="85">
        <f t="shared" si="18"/>
        <v>0</v>
      </c>
      <c r="BD37" s="310"/>
      <c r="BE37" s="306">
        <f t="shared" ref="BE37:BF37" si="19">SUM(BE6:BE36)</f>
        <v>214012.14</v>
      </c>
      <c r="BF37" s="306">
        <f t="shared" si="19"/>
        <v>1965.7400000000005</v>
      </c>
      <c r="BG37" s="83"/>
      <c r="BH37" s="84">
        <f t="shared" ref="BH37:BK37" si="20">SUM(BH6:BH36)</f>
        <v>639.97034999999971</v>
      </c>
      <c r="BI37" s="85">
        <f t="shared" si="20"/>
        <v>0</v>
      </c>
      <c r="BJ37" s="85">
        <f t="shared" si="20"/>
        <v>0</v>
      </c>
      <c r="BK37" s="85">
        <f t="shared" si="20"/>
        <v>2605.7103500000003</v>
      </c>
      <c r="BM37" s="310"/>
      <c r="BN37" s="306">
        <f t="shared" ref="BN37:BO37" si="21">SUM(BN6:BN36)</f>
        <v>150241.57000000004</v>
      </c>
      <c r="BO37" s="306">
        <f t="shared" si="21"/>
        <v>25712.359999999997</v>
      </c>
      <c r="BP37" s="83"/>
      <c r="BQ37" s="84">
        <f t="shared" ref="BQ37:BT37" si="22">SUM(BQ6:BQ36)</f>
        <v>0</v>
      </c>
      <c r="BR37" s="85">
        <f t="shared" si="22"/>
        <v>0</v>
      </c>
      <c r="BS37" s="85">
        <f t="shared" si="22"/>
        <v>0</v>
      </c>
      <c r="BT37" s="85">
        <f t="shared" si="22"/>
        <v>25712.359999999997</v>
      </c>
      <c r="BW37" s="306">
        <f t="shared" ref="BW37:BX37" si="23">SUM(BW6:BW36)</f>
        <v>18189.29</v>
      </c>
      <c r="BX37" s="306">
        <f t="shared" si="23"/>
        <v>0</v>
      </c>
      <c r="BY37" s="83"/>
      <c r="BZ37" s="84">
        <f t="shared" ref="BZ37:CC37" si="24">SUM(BZ6:BZ36)</f>
        <v>0</v>
      </c>
      <c r="CA37" s="85">
        <f t="shared" si="24"/>
        <v>0</v>
      </c>
      <c r="CB37" s="85">
        <f t="shared" si="24"/>
        <v>0</v>
      </c>
      <c r="CC37" s="85">
        <f t="shared" si="24"/>
        <v>0</v>
      </c>
      <c r="CF37" s="306">
        <f t="shared" ref="CF37:CG37" si="25">SUM(CF6:CF36)</f>
        <v>50495.500000000007</v>
      </c>
      <c r="CG37" s="306">
        <f t="shared" si="25"/>
        <v>0</v>
      </c>
      <c r="CH37" s="83"/>
      <c r="CI37" s="84">
        <f t="shared" ref="CI37:CL37" si="26">SUM(CI6:CI36)</f>
        <v>909.10364000000015</v>
      </c>
      <c r="CJ37" s="85">
        <f t="shared" si="26"/>
        <v>0</v>
      </c>
      <c r="CK37" s="85">
        <f t="shared" si="26"/>
        <v>0</v>
      </c>
      <c r="CL37" s="85">
        <f t="shared" si="26"/>
        <v>909.10364000000015</v>
      </c>
    </row>
    <row r="38" spans="2:90" hidden="1" x14ac:dyDescent="0.25"/>
    <row r="39" spans="2:90" hidden="1" x14ac:dyDescent="0.25"/>
    <row r="40" spans="2:90" hidden="1" x14ac:dyDescent="0.25"/>
    <row r="41" spans="2:90" ht="26.25" hidden="1" x14ac:dyDescent="0.4">
      <c r="B41" s="275" t="s">
        <v>71</v>
      </c>
      <c r="N41" s="275" t="s">
        <v>72</v>
      </c>
      <c r="Y41" s="275" t="s">
        <v>73</v>
      </c>
      <c r="AH41" s="275" t="s">
        <v>74</v>
      </c>
      <c r="AQ41" s="275" t="s">
        <v>75</v>
      </c>
      <c r="BD41" s="275" t="s">
        <v>76</v>
      </c>
      <c r="BM41" s="275" t="s">
        <v>77</v>
      </c>
      <c r="BV41" s="275" t="s">
        <v>78</v>
      </c>
      <c r="CE41" s="275" t="s">
        <v>79</v>
      </c>
      <c r="CF41" s="276"/>
      <c r="CG41" s="276"/>
    </row>
    <row r="42" spans="2:90" ht="16.5" hidden="1" thickBot="1" x14ac:dyDescent="0.3"/>
    <row r="43" spans="2:90" ht="16.5" hidden="1" thickBot="1" x14ac:dyDescent="0.3">
      <c r="C43" s="277" t="s">
        <v>80</v>
      </c>
      <c r="D43" s="277" t="s">
        <v>80</v>
      </c>
      <c r="E43" s="277" t="s">
        <v>80</v>
      </c>
      <c r="F43" s="277" t="s">
        <v>81</v>
      </c>
      <c r="G43" s="278"/>
      <c r="H43" s="279" t="s">
        <v>16</v>
      </c>
      <c r="I43" s="280" t="s">
        <v>16</v>
      </c>
      <c r="J43" s="281" t="s">
        <v>16</v>
      </c>
      <c r="K43" s="282" t="s">
        <v>17</v>
      </c>
      <c r="N43" s="283" t="s">
        <v>15</v>
      </c>
      <c r="O43" s="283" t="s">
        <v>15</v>
      </c>
      <c r="P43" s="283" t="s">
        <v>15</v>
      </c>
      <c r="Q43" s="284" t="s">
        <v>81</v>
      </c>
      <c r="R43" s="284" t="s">
        <v>81</v>
      </c>
      <c r="S43" s="278"/>
      <c r="T43" s="279" t="s">
        <v>16</v>
      </c>
      <c r="U43" s="280" t="s">
        <v>16</v>
      </c>
      <c r="V43" s="281" t="s">
        <v>16</v>
      </c>
      <c r="W43" s="282" t="s">
        <v>17</v>
      </c>
      <c r="Z43" s="285" t="s">
        <v>15</v>
      </c>
      <c r="AA43" s="286" t="s">
        <v>24</v>
      </c>
      <c r="AB43" s="278"/>
      <c r="AC43" s="279" t="s">
        <v>16</v>
      </c>
      <c r="AD43" s="280" t="s">
        <v>16</v>
      </c>
      <c r="AE43" s="281" t="s">
        <v>16</v>
      </c>
      <c r="AF43" s="282" t="s">
        <v>17</v>
      </c>
      <c r="AI43" s="277" t="s">
        <v>80</v>
      </c>
      <c r="AJ43" s="277" t="s">
        <v>81</v>
      </c>
      <c r="AK43" s="278"/>
      <c r="AL43" s="279" t="s">
        <v>16</v>
      </c>
      <c r="AM43" s="280" t="s">
        <v>16</v>
      </c>
      <c r="AN43" s="281" t="s">
        <v>16</v>
      </c>
      <c r="AO43" s="282" t="s">
        <v>17</v>
      </c>
      <c r="AR43" s="277" t="s">
        <v>80</v>
      </c>
      <c r="AS43" s="277" t="s">
        <v>80</v>
      </c>
      <c r="AT43" s="277" t="s">
        <v>80</v>
      </c>
      <c r="AU43" s="277" t="s">
        <v>81</v>
      </c>
      <c r="AV43" s="277" t="s">
        <v>81</v>
      </c>
      <c r="AW43" s="277" t="s">
        <v>81</v>
      </c>
      <c r="AX43" s="278"/>
      <c r="AY43" s="279" t="s">
        <v>16</v>
      </c>
      <c r="AZ43" s="280" t="s">
        <v>16</v>
      </c>
      <c r="BA43" s="281" t="s">
        <v>16</v>
      </c>
      <c r="BB43" s="282" t="s">
        <v>17</v>
      </c>
      <c r="BE43" s="277" t="s">
        <v>80</v>
      </c>
      <c r="BF43" s="277" t="s">
        <v>81</v>
      </c>
      <c r="BG43" s="278"/>
      <c r="BH43" s="279" t="s">
        <v>16</v>
      </c>
      <c r="BI43" s="280" t="s">
        <v>16</v>
      </c>
      <c r="BJ43" s="281" t="s">
        <v>16</v>
      </c>
      <c r="BK43" s="282" t="s">
        <v>17</v>
      </c>
      <c r="BN43" s="277" t="s">
        <v>80</v>
      </c>
      <c r="BO43" s="277" t="s">
        <v>81</v>
      </c>
      <c r="BP43" s="278"/>
      <c r="BQ43" s="279" t="s">
        <v>16</v>
      </c>
      <c r="BR43" s="280" t="s">
        <v>16</v>
      </c>
      <c r="BS43" s="281" t="s">
        <v>16</v>
      </c>
      <c r="BT43" s="282" t="s">
        <v>17</v>
      </c>
      <c r="BW43" s="277" t="s">
        <v>80</v>
      </c>
      <c r="BX43" s="277" t="s">
        <v>81</v>
      </c>
      <c r="BY43" s="278"/>
      <c r="BZ43" s="279" t="s">
        <v>16</v>
      </c>
      <c r="CA43" s="280" t="s">
        <v>16</v>
      </c>
      <c r="CB43" s="281" t="s">
        <v>16</v>
      </c>
      <c r="CC43" s="282" t="s">
        <v>17</v>
      </c>
      <c r="CF43" s="277" t="s">
        <v>80</v>
      </c>
      <c r="CG43" s="277" t="s">
        <v>81</v>
      </c>
      <c r="CI43" s="279" t="s">
        <v>16</v>
      </c>
      <c r="CJ43" s="280" t="s">
        <v>16</v>
      </c>
      <c r="CK43" s="281" t="s">
        <v>16</v>
      </c>
      <c r="CL43" s="282" t="s">
        <v>17</v>
      </c>
    </row>
    <row r="44" spans="2:90" ht="16.5" hidden="1" thickBot="1" x14ac:dyDescent="0.3">
      <c r="C44" s="287" t="s">
        <v>18</v>
      </c>
      <c r="D44" s="287" t="s">
        <v>19</v>
      </c>
      <c r="E44" s="287" t="s">
        <v>20</v>
      </c>
      <c r="F44" s="287" t="s">
        <v>18</v>
      </c>
      <c r="G44" s="278"/>
      <c r="H44" s="288" t="s">
        <v>21</v>
      </c>
      <c r="I44" s="289" t="s">
        <v>22</v>
      </c>
      <c r="J44" s="290" t="s">
        <v>23</v>
      </c>
      <c r="K44" s="291" t="s">
        <v>24</v>
      </c>
      <c r="N44" s="292" t="s">
        <v>18</v>
      </c>
      <c r="O44" s="292" t="s">
        <v>19</v>
      </c>
      <c r="P44" s="292" t="s">
        <v>20</v>
      </c>
      <c r="Q44" s="292" t="s">
        <v>20</v>
      </c>
      <c r="R44" s="292" t="s">
        <v>18</v>
      </c>
      <c r="S44" s="278"/>
      <c r="T44" s="288" t="s">
        <v>21</v>
      </c>
      <c r="U44" s="289" t="s">
        <v>22</v>
      </c>
      <c r="V44" s="290" t="s">
        <v>23</v>
      </c>
      <c r="W44" s="291" t="s">
        <v>24</v>
      </c>
      <c r="Z44" s="293" t="s">
        <v>18</v>
      </c>
      <c r="AA44" s="294" t="s">
        <v>18</v>
      </c>
      <c r="AB44" s="278"/>
      <c r="AC44" s="288" t="s">
        <v>21</v>
      </c>
      <c r="AD44" s="289" t="s">
        <v>22</v>
      </c>
      <c r="AE44" s="290" t="s">
        <v>23</v>
      </c>
      <c r="AF44" s="291" t="s">
        <v>24</v>
      </c>
      <c r="AI44" s="287" t="s">
        <v>18</v>
      </c>
      <c r="AJ44" s="287" t="s">
        <v>18</v>
      </c>
      <c r="AK44" s="278"/>
      <c r="AL44" s="288" t="s">
        <v>21</v>
      </c>
      <c r="AM44" s="289" t="s">
        <v>22</v>
      </c>
      <c r="AN44" s="290" t="s">
        <v>23</v>
      </c>
      <c r="AO44" s="291" t="s">
        <v>24</v>
      </c>
      <c r="AR44" s="287" t="s">
        <v>18</v>
      </c>
      <c r="AS44" s="287" t="s">
        <v>19</v>
      </c>
      <c r="AT44" s="287" t="s">
        <v>20</v>
      </c>
      <c r="AU44" s="287" t="s">
        <v>19</v>
      </c>
      <c r="AV44" s="287" t="s">
        <v>20</v>
      </c>
      <c r="AW44" s="287" t="s">
        <v>18</v>
      </c>
      <c r="AX44" s="278"/>
      <c r="AY44" s="288" t="s">
        <v>21</v>
      </c>
      <c r="AZ44" s="289" t="s">
        <v>22</v>
      </c>
      <c r="BA44" s="290" t="s">
        <v>23</v>
      </c>
      <c r="BB44" s="291" t="s">
        <v>24</v>
      </c>
      <c r="BE44" s="287" t="s">
        <v>18</v>
      </c>
      <c r="BF44" s="287" t="s">
        <v>18</v>
      </c>
      <c r="BG44" s="278"/>
      <c r="BH44" s="288" t="s">
        <v>21</v>
      </c>
      <c r="BI44" s="289" t="s">
        <v>22</v>
      </c>
      <c r="BJ44" s="290" t="s">
        <v>23</v>
      </c>
      <c r="BK44" s="291" t="s">
        <v>24</v>
      </c>
      <c r="BN44" s="287" t="s">
        <v>18</v>
      </c>
      <c r="BO44" s="287" t="s">
        <v>18</v>
      </c>
      <c r="BP44" s="278"/>
      <c r="BQ44" s="288" t="s">
        <v>21</v>
      </c>
      <c r="BR44" s="289" t="s">
        <v>22</v>
      </c>
      <c r="BS44" s="290" t="s">
        <v>23</v>
      </c>
      <c r="BT44" s="291" t="s">
        <v>24</v>
      </c>
      <c r="BW44" s="287" t="s">
        <v>18</v>
      </c>
      <c r="BX44" s="287" t="s">
        <v>18</v>
      </c>
      <c r="BY44" s="278"/>
      <c r="BZ44" s="288" t="s">
        <v>21</v>
      </c>
      <c r="CA44" s="289" t="s">
        <v>22</v>
      </c>
      <c r="CB44" s="290" t="s">
        <v>23</v>
      </c>
      <c r="CC44" s="291" t="s">
        <v>24</v>
      </c>
      <c r="CF44" s="287" t="s">
        <v>18</v>
      </c>
      <c r="CG44" s="287" t="s">
        <v>18</v>
      </c>
      <c r="CI44" s="288" t="s">
        <v>21</v>
      </c>
      <c r="CJ44" s="289" t="s">
        <v>22</v>
      </c>
      <c r="CK44" s="290" t="s">
        <v>23</v>
      </c>
      <c r="CL44" s="291" t="s">
        <v>24</v>
      </c>
    </row>
    <row r="45" spans="2:90" hidden="1" x14ac:dyDescent="0.25">
      <c r="B45" s="295">
        <v>46054</v>
      </c>
      <c r="C45" s="296">
        <v>1204.1099999999999</v>
      </c>
      <c r="D45" s="296">
        <v>268.69</v>
      </c>
      <c r="E45" s="296">
        <v>3120.06</v>
      </c>
      <c r="F45" s="297"/>
      <c r="G45" s="298"/>
      <c r="H45" s="299"/>
      <c r="I45" s="300">
        <v>739.55699999999979</v>
      </c>
      <c r="J45" s="300"/>
      <c r="K45" s="300">
        <f>SUM(F45:J45)</f>
        <v>739.55699999999979</v>
      </c>
      <c r="M45" s="295">
        <v>46054</v>
      </c>
      <c r="N45" s="296">
        <v>686.4</v>
      </c>
      <c r="O45" s="296">
        <v>212.53</v>
      </c>
      <c r="P45" s="296">
        <v>973.87</v>
      </c>
      <c r="Q45" s="297">
        <v>29.66</v>
      </c>
      <c r="R45" s="297"/>
      <c r="S45" s="298"/>
      <c r="T45" s="299"/>
      <c r="U45" s="300"/>
      <c r="V45" s="300"/>
      <c r="W45" s="300">
        <f t="shared" ref="W45:W72" si="27">SUM(R45:V45)</f>
        <v>0</v>
      </c>
      <c r="Y45" s="295">
        <v>46054</v>
      </c>
      <c r="Z45" s="296">
        <v>446</v>
      </c>
      <c r="AA45" s="301">
        <v>139.22</v>
      </c>
      <c r="AB45" s="298"/>
      <c r="AC45" s="299"/>
      <c r="AD45" s="300"/>
      <c r="AE45" s="300"/>
      <c r="AF45" s="300">
        <f t="shared" ref="AF45:AF72" si="28">SUM(AA45:AE45)</f>
        <v>139.22</v>
      </c>
      <c r="AH45" s="295">
        <v>45870</v>
      </c>
      <c r="AI45" s="296">
        <v>781.96</v>
      </c>
      <c r="AJ45" s="301">
        <v>0</v>
      </c>
      <c r="AK45" s="298"/>
      <c r="AL45" s="299"/>
      <c r="AM45" s="300"/>
      <c r="AN45" s="300"/>
      <c r="AO45" s="300">
        <f t="shared" ref="AO45:AO72" si="29">SUM(AJ45:AN45)</f>
        <v>0</v>
      </c>
      <c r="AQ45" s="295">
        <v>46054</v>
      </c>
      <c r="AR45" s="296">
        <v>519.61</v>
      </c>
      <c r="AS45" s="296">
        <v>258.95</v>
      </c>
      <c r="AT45" s="296">
        <v>2616.6999999999998</v>
      </c>
      <c r="AU45" s="301"/>
      <c r="AV45" s="297">
        <v>77.55</v>
      </c>
      <c r="AW45" s="297">
        <v>0</v>
      </c>
      <c r="AX45" s="298"/>
      <c r="AY45" s="299"/>
      <c r="AZ45" s="300"/>
      <c r="BA45" s="300"/>
      <c r="BB45" s="300">
        <f t="shared" ref="BB45:BB72" si="30">SUM(AW45:BA45)</f>
        <v>0</v>
      </c>
      <c r="BD45" s="295">
        <v>46054</v>
      </c>
      <c r="BE45" s="296">
        <v>5744.27</v>
      </c>
      <c r="BF45" s="301">
        <v>60.23</v>
      </c>
      <c r="BG45" s="298"/>
      <c r="BH45" s="299"/>
      <c r="BI45" s="300"/>
      <c r="BJ45" s="300"/>
      <c r="BK45" s="300">
        <f t="shared" ref="BK45:BK72" si="31">SUM(BF45:BJ45)</f>
        <v>60.23</v>
      </c>
      <c r="BM45" s="295">
        <v>46054</v>
      </c>
      <c r="BN45" s="296">
        <v>3738.5</v>
      </c>
      <c r="BO45" s="330">
        <v>753</v>
      </c>
      <c r="BP45" s="298"/>
      <c r="BQ45" s="299"/>
      <c r="BR45" s="300"/>
      <c r="BS45" s="300"/>
      <c r="BT45" s="300">
        <f t="shared" ref="BT45:BT72" si="32">SUM(BO45:BS45)</f>
        <v>753</v>
      </c>
      <c r="BV45" s="295">
        <v>46054</v>
      </c>
      <c r="BW45" s="296">
        <v>566</v>
      </c>
      <c r="BX45" s="301">
        <v>0</v>
      </c>
      <c r="BY45" s="298"/>
      <c r="BZ45" s="299"/>
      <c r="CA45" s="300"/>
      <c r="CB45" s="300"/>
      <c r="CC45" s="300">
        <f t="shared" ref="CC45:CC72" si="33">SUM(BX45:CB45)</f>
        <v>0</v>
      </c>
      <c r="CE45" s="295">
        <v>46054</v>
      </c>
      <c r="CF45" s="296">
        <v>2203.31</v>
      </c>
      <c r="CG45" s="301"/>
      <c r="CI45" s="299"/>
      <c r="CJ45" s="300"/>
      <c r="CK45" s="300"/>
      <c r="CL45" s="300">
        <f t="shared" ref="CL45:CL72" si="34">SUM(CG45:CK45)</f>
        <v>0</v>
      </c>
    </row>
    <row r="46" spans="2:90" hidden="1" x14ac:dyDescent="0.25">
      <c r="B46" s="295">
        <v>46055</v>
      </c>
      <c r="C46" s="296">
        <v>1908.76</v>
      </c>
      <c r="D46" s="296">
        <v>300.81</v>
      </c>
      <c r="E46" s="296">
        <v>4533.54</v>
      </c>
      <c r="F46" s="297"/>
      <c r="G46" s="298"/>
      <c r="H46" s="302"/>
      <c r="I46" s="303"/>
      <c r="J46" s="303"/>
      <c r="K46" s="303">
        <f t="shared" ref="K46:K72" si="35">SUM(F46:J46)</f>
        <v>0</v>
      </c>
      <c r="M46" s="295">
        <v>46055</v>
      </c>
      <c r="N46" s="296">
        <v>278.05</v>
      </c>
      <c r="O46" s="296">
        <v>215.16</v>
      </c>
      <c r="P46" s="296">
        <v>3516.93</v>
      </c>
      <c r="Q46" s="297">
        <v>109.34</v>
      </c>
      <c r="R46" s="297"/>
      <c r="S46" s="298"/>
      <c r="T46" s="302"/>
      <c r="U46" s="303"/>
      <c r="V46" s="303"/>
      <c r="W46" s="303">
        <f t="shared" si="27"/>
        <v>0</v>
      </c>
      <c r="Y46" s="295">
        <v>46055</v>
      </c>
      <c r="Z46" s="296">
        <v>1190</v>
      </c>
      <c r="AA46" s="301">
        <v>492.47</v>
      </c>
      <c r="AB46" s="298"/>
      <c r="AC46" s="302"/>
      <c r="AD46" s="303"/>
      <c r="AE46" s="303"/>
      <c r="AF46" s="303">
        <f t="shared" si="28"/>
        <v>492.47</v>
      </c>
      <c r="AH46" s="295">
        <v>45871</v>
      </c>
      <c r="AI46" s="296">
        <v>777.91</v>
      </c>
      <c r="AJ46" s="301">
        <v>0</v>
      </c>
      <c r="AK46" s="298"/>
      <c r="AL46" s="302"/>
      <c r="AM46" s="303"/>
      <c r="AN46" s="303"/>
      <c r="AO46" s="303">
        <f t="shared" si="29"/>
        <v>0</v>
      </c>
      <c r="AQ46" s="295">
        <v>46055</v>
      </c>
      <c r="AR46" s="296">
        <v>829.79</v>
      </c>
      <c r="AS46" s="296">
        <v>225.06</v>
      </c>
      <c r="AT46" s="296">
        <v>3297.42</v>
      </c>
      <c r="AU46" s="297"/>
      <c r="AV46" s="297">
        <v>84.59</v>
      </c>
      <c r="AW46" s="297">
        <v>0</v>
      </c>
      <c r="AX46" s="298"/>
      <c r="AY46" s="302"/>
      <c r="AZ46" s="303"/>
      <c r="BA46" s="303"/>
      <c r="BB46" s="303">
        <f t="shared" si="30"/>
        <v>0</v>
      </c>
      <c r="BD46" s="295">
        <v>46055</v>
      </c>
      <c r="BE46" s="296">
        <v>8171.21</v>
      </c>
      <c r="BF46" s="301">
        <v>92.32</v>
      </c>
      <c r="BG46" s="298"/>
      <c r="BH46" s="302">
        <v>36.58468000000002</v>
      </c>
      <c r="BI46" s="303"/>
      <c r="BJ46" s="303"/>
      <c r="BK46" s="303">
        <f t="shared" si="31"/>
        <v>128.90468000000001</v>
      </c>
      <c r="BM46" s="295">
        <v>46055</v>
      </c>
      <c r="BN46" s="296">
        <v>1590.2</v>
      </c>
      <c r="BO46" s="330">
        <v>333.6</v>
      </c>
      <c r="BP46" s="298"/>
      <c r="BQ46" s="302"/>
      <c r="BR46" s="303"/>
      <c r="BS46" s="303"/>
      <c r="BT46" s="303">
        <f t="shared" si="32"/>
        <v>333.6</v>
      </c>
      <c r="BV46" s="295">
        <v>46055</v>
      </c>
      <c r="BW46" s="296">
        <v>677</v>
      </c>
      <c r="BX46" s="301">
        <v>0</v>
      </c>
      <c r="BY46" s="298"/>
      <c r="BZ46" s="302"/>
      <c r="CA46" s="303"/>
      <c r="CB46" s="303"/>
      <c r="CC46" s="303">
        <f t="shared" si="33"/>
        <v>0</v>
      </c>
      <c r="CE46" s="295">
        <v>46055</v>
      </c>
      <c r="CF46" s="296">
        <v>2411.91</v>
      </c>
      <c r="CG46" s="301"/>
      <c r="CI46" s="302">
        <v>56.454319999999967</v>
      </c>
      <c r="CJ46" s="303"/>
      <c r="CK46" s="303"/>
      <c r="CL46" s="303">
        <f t="shared" si="34"/>
        <v>56.454319999999967</v>
      </c>
    </row>
    <row r="47" spans="2:90" hidden="1" x14ac:dyDescent="0.25">
      <c r="B47" s="295">
        <v>46056</v>
      </c>
      <c r="C47" s="296">
        <v>1632.33</v>
      </c>
      <c r="D47" s="296">
        <v>460.57</v>
      </c>
      <c r="E47" s="296">
        <v>5419.79</v>
      </c>
      <c r="F47" s="297">
        <v>4</v>
      </c>
      <c r="G47" s="298"/>
      <c r="H47" s="302"/>
      <c r="I47" s="303">
        <v>72.551999999999964</v>
      </c>
      <c r="J47" s="303"/>
      <c r="K47" s="303">
        <f t="shared" si="35"/>
        <v>76.551999999999964</v>
      </c>
      <c r="M47" s="295">
        <v>46056</v>
      </c>
      <c r="N47" s="296">
        <v>353.35</v>
      </c>
      <c r="O47" s="296">
        <v>0</v>
      </c>
      <c r="P47" s="296">
        <v>4801.55</v>
      </c>
      <c r="Q47" s="297">
        <v>161.16</v>
      </c>
      <c r="R47" s="297"/>
      <c r="S47" s="298"/>
      <c r="T47" s="302"/>
      <c r="U47" s="303"/>
      <c r="V47" s="303"/>
      <c r="W47" s="303">
        <f t="shared" si="27"/>
        <v>0</v>
      </c>
      <c r="Y47" s="295">
        <v>46056</v>
      </c>
      <c r="Z47" s="296">
        <v>1827.09</v>
      </c>
      <c r="AA47" s="301">
        <v>332.07</v>
      </c>
      <c r="AB47" s="298"/>
      <c r="AC47" s="302"/>
      <c r="AD47" s="303"/>
      <c r="AE47" s="303"/>
      <c r="AF47" s="303">
        <f t="shared" si="28"/>
        <v>332.07</v>
      </c>
      <c r="AH47" s="295">
        <v>45872</v>
      </c>
      <c r="AI47" s="296">
        <v>716.42</v>
      </c>
      <c r="AJ47" s="301">
        <v>0</v>
      </c>
      <c r="AK47" s="298"/>
      <c r="AL47" s="302"/>
      <c r="AM47" s="303"/>
      <c r="AN47" s="303"/>
      <c r="AO47" s="303">
        <f t="shared" si="29"/>
        <v>0</v>
      </c>
      <c r="AQ47" s="295">
        <v>46056</v>
      </c>
      <c r="AR47" s="296">
        <v>953.28</v>
      </c>
      <c r="AS47" s="296">
        <v>258.70999999999998</v>
      </c>
      <c r="AT47" s="296">
        <v>3624.38</v>
      </c>
      <c r="AU47" s="301"/>
      <c r="AV47" s="297">
        <v>82.11</v>
      </c>
      <c r="AW47" s="297">
        <v>0</v>
      </c>
      <c r="AX47" s="298"/>
      <c r="AY47" s="302"/>
      <c r="AZ47" s="303"/>
      <c r="BA47" s="303"/>
      <c r="BB47" s="303">
        <f t="shared" si="30"/>
        <v>0</v>
      </c>
      <c r="BD47" s="295">
        <v>46056</v>
      </c>
      <c r="BE47" s="296">
        <v>6598.54</v>
      </c>
      <c r="BF47" s="301">
        <v>102.03</v>
      </c>
      <c r="BG47" s="298"/>
      <c r="BH47" s="302">
        <v>86.731330000000042</v>
      </c>
      <c r="BI47" s="303"/>
      <c r="BJ47" s="303"/>
      <c r="BK47" s="303">
        <f t="shared" si="31"/>
        <v>188.76133000000004</v>
      </c>
      <c r="BM47" s="295">
        <v>46056</v>
      </c>
      <c r="BN47" s="296">
        <v>2947.12</v>
      </c>
      <c r="BO47" s="330">
        <v>580.13</v>
      </c>
      <c r="BP47" s="298"/>
      <c r="BQ47" s="302"/>
      <c r="BR47" s="303"/>
      <c r="BS47" s="303"/>
      <c r="BT47" s="303">
        <f t="shared" si="32"/>
        <v>580.13</v>
      </c>
      <c r="BV47" s="295">
        <v>46056</v>
      </c>
      <c r="BW47" s="296">
        <v>619.4</v>
      </c>
      <c r="BX47" s="301">
        <v>0</v>
      </c>
      <c r="BY47" s="298"/>
      <c r="BZ47" s="302"/>
      <c r="CA47" s="303"/>
      <c r="CB47" s="303"/>
      <c r="CC47" s="303">
        <f t="shared" si="33"/>
        <v>0</v>
      </c>
      <c r="CE47" s="295">
        <v>46056</v>
      </c>
      <c r="CF47" s="296">
        <v>1855.21</v>
      </c>
      <c r="CG47" s="301"/>
      <c r="CI47" s="302">
        <v>14.794759999999997</v>
      </c>
      <c r="CJ47" s="303"/>
      <c r="CK47" s="303"/>
      <c r="CL47" s="303">
        <f t="shared" si="34"/>
        <v>14.794759999999997</v>
      </c>
    </row>
    <row r="48" spans="2:90" hidden="1" x14ac:dyDescent="0.25">
      <c r="B48" s="295">
        <v>46057</v>
      </c>
      <c r="C48" s="296">
        <v>1951.67</v>
      </c>
      <c r="D48" s="296">
        <v>528.64</v>
      </c>
      <c r="E48" s="296">
        <v>4831.8999999999996</v>
      </c>
      <c r="F48" s="297">
        <v>10</v>
      </c>
      <c r="G48" s="298"/>
      <c r="H48" s="302"/>
      <c r="I48" s="303">
        <v>230.13799499999988</v>
      </c>
      <c r="J48" s="303"/>
      <c r="K48" s="303">
        <f t="shared" si="35"/>
        <v>240.13799499999988</v>
      </c>
      <c r="M48" s="295">
        <v>46057</v>
      </c>
      <c r="N48" s="296">
        <v>560.15</v>
      </c>
      <c r="O48" s="296">
        <v>68</v>
      </c>
      <c r="P48" s="296">
        <v>3885.48</v>
      </c>
      <c r="Q48" s="297">
        <v>125.11</v>
      </c>
      <c r="R48" s="297"/>
      <c r="S48" s="298"/>
      <c r="T48" s="302"/>
      <c r="U48" s="303"/>
      <c r="V48" s="303"/>
      <c r="W48" s="303">
        <f t="shared" si="27"/>
        <v>0</v>
      </c>
      <c r="Y48" s="295">
        <v>46057</v>
      </c>
      <c r="Z48" s="296">
        <v>1718.24</v>
      </c>
      <c r="AA48" s="301">
        <v>546.17999999999995</v>
      </c>
      <c r="AB48" s="298"/>
      <c r="AC48" s="302"/>
      <c r="AD48" s="303"/>
      <c r="AE48" s="303"/>
      <c r="AF48" s="303">
        <f t="shared" si="28"/>
        <v>546.17999999999995</v>
      </c>
      <c r="AH48" s="295">
        <v>45873</v>
      </c>
      <c r="AI48" s="296">
        <v>751</v>
      </c>
      <c r="AJ48" s="301">
        <v>0</v>
      </c>
      <c r="AK48" s="298"/>
      <c r="AL48" s="302"/>
      <c r="AM48" s="303"/>
      <c r="AN48" s="303"/>
      <c r="AO48" s="303">
        <f t="shared" si="29"/>
        <v>0</v>
      </c>
      <c r="AQ48" s="295">
        <v>46057</v>
      </c>
      <c r="AR48" s="296">
        <v>957.34</v>
      </c>
      <c r="AS48" s="296">
        <v>354.25</v>
      </c>
      <c r="AT48" s="296">
        <v>3406.99</v>
      </c>
      <c r="AU48" s="301"/>
      <c r="AV48" s="297">
        <v>29.78</v>
      </c>
      <c r="AW48" s="297">
        <v>0</v>
      </c>
      <c r="AX48" s="298"/>
      <c r="AY48" s="302"/>
      <c r="AZ48" s="303"/>
      <c r="BA48" s="303"/>
      <c r="BB48" s="303">
        <f t="shared" si="30"/>
        <v>0</v>
      </c>
      <c r="BD48" s="295">
        <v>46057</v>
      </c>
      <c r="BE48" s="296">
        <v>8233.18</v>
      </c>
      <c r="BF48" s="301">
        <v>126.91</v>
      </c>
      <c r="BG48" s="298"/>
      <c r="BH48" s="302"/>
      <c r="BI48" s="303"/>
      <c r="BJ48" s="303"/>
      <c r="BK48" s="303">
        <f t="shared" si="31"/>
        <v>126.91</v>
      </c>
      <c r="BM48" s="295">
        <v>46057</v>
      </c>
      <c r="BN48" s="296">
        <v>2269.2800000000002</v>
      </c>
      <c r="BO48" s="330">
        <v>360.29</v>
      </c>
      <c r="BP48" s="298"/>
      <c r="BQ48" s="302"/>
      <c r="BR48" s="303"/>
      <c r="BS48" s="303"/>
      <c r="BT48" s="303">
        <f t="shared" si="32"/>
        <v>360.29</v>
      </c>
      <c r="BV48" s="295">
        <v>46057</v>
      </c>
      <c r="BW48" s="296">
        <v>676</v>
      </c>
      <c r="BX48" s="301">
        <v>0</v>
      </c>
      <c r="BY48" s="298"/>
      <c r="BZ48" s="302"/>
      <c r="CA48" s="303"/>
      <c r="CB48" s="303"/>
      <c r="CC48" s="303">
        <f t="shared" si="33"/>
        <v>0</v>
      </c>
      <c r="CE48" s="295">
        <v>46057</v>
      </c>
      <c r="CF48" s="296">
        <v>2133.85</v>
      </c>
      <c r="CG48" s="301"/>
      <c r="CI48" s="302">
        <v>21.720229999999987</v>
      </c>
      <c r="CJ48" s="303"/>
      <c r="CK48" s="303"/>
      <c r="CL48" s="303">
        <f t="shared" si="34"/>
        <v>21.720229999999987</v>
      </c>
    </row>
    <row r="49" spans="2:90" hidden="1" x14ac:dyDescent="0.25">
      <c r="B49" s="295">
        <v>46058</v>
      </c>
      <c r="C49" s="296">
        <v>2725.8</v>
      </c>
      <c r="D49" s="296">
        <v>566.12</v>
      </c>
      <c r="E49" s="296">
        <v>4996.8900000000003</v>
      </c>
      <c r="F49" s="297"/>
      <c r="G49" s="298"/>
      <c r="H49" s="302"/>
      <c r="I49" s="303"/>
      <c r="J49" s="303">
        <v>32.372050099999996</v>
      </c>
      <c r="K49" s="303">
        <f t="shared" si="35"/>
        <v>32.372050099999996</v>
      </c>
      <c r="M49" s="295">
        <v>46058</v>
      </c>
      <c r="N49" s="296">
        <v>641.79999999999995</v>
      </c>
      <c r="O49" s="296">
        <v>123</v>
      </c>
      <c r="P49" s="296">
        <v>4096.62</v>
      </c>
      <c r="Q49" s="297">
        <v>152.04</v>
      </c>
      <c r="R49" s="297"/>
      <c r="S49" s="298"/>
      <c r="T49" s="302"/>
      <c r="U49" s="303"/>
      <c r="V49" s="303"/>
      <c r="W49" s="303">
        <f t="shared" si="27"/>
        <v>0</v>
      </c>
      <c r="Y49" s="295">
        <v>46058</v>
      </c>
      <c r="Z49" s="296">
        <v>1745.42</v>
      </c>
      <c r="AA49" s="301">
        <v>529.95000000000005</v>
      </c>
      <c r="AB49" s="298"/>
      <c r="AC49" s="302"/>
      <c r="AD49" s="303"/>
      <c r="AE49" s="303"/>
      <c r="AF49" s="303">
        <f t="shared" si="28"/>
        <v>529.95000000000005</v>
      </c>
      <c r="AH49" s="295">
        <v>45874</v>
      </c>
      <c r="AI49" s="296">
        <v>866.1</v>
      </c>
      <c r="AJ49" s="301">
        <v>0</v>
      </c>
      <c r="AK49" s="298"/>
      <c r="AL49" s="302"/>
      <c r="AM49" s="303"/>
      <c r="AN49" s="303"/>
      <c r="AO49" s="303">
        <f t="shared" si="29"/>
        <v>0</v>
      </c>
      <c r="AQ49" s="295">
        <v>46058</v>
      </c>
      <c r="AR49" s="296">
        <v>919.03</v>
      </c>
      <c r="AS49" s="296">
        <v>280.11</v>
      </c>
      <c r="AT49" s="296">
        <v>4599.6499999999996</v>
      </c>
      <c r="AU49" s="301"/>
      <c r="AV49" s="297">
        <v>64.75</v>
      </c>
      <c r="AW49" s="297">
        <v>0</v>
      </c>
      <c r="AX49" s="298"/>
      <c r="AY49" s="302"/>
      <c r="AZ49" s="303"/>
      <c r="BA49" s="303"/>
      <c r="BB49" s="303">
        <f t="shared" si="30"/>
        <v>0</v>
      </c>
      <c r="BD49" s="295">
        <v>46058</v>
      </c>
      <c r="BE49" s="296">
        <v>8393.8700000000008</v>
      </c>
      <c r="BF49" s="301">
        <v>64.92</v>
      </c>
      <c r="BG49" s="298"/>
      <c r="BH49" s="302">
        <v>17.699100000000016</v>
      </c>
      <c r="BI49" s="303"/>
      <c r="BJ49" s="303"/>
      <c r="BK49" s="303">
        <f t="shared" si="31"/>
        <v>82.619100000000017</v>
      </c>
      <c r="BM49" s="295">
        <v>46058</v>
      </c>
      <c r="BN49" s="296">
        <v>3874.84</v>
      </c>
      <c r="BO49" s="330">
        <v>391.41</v>
      </c>
      <c r="BP49" s="298"/>
      <c r="BQ49" s="302"/>
      <c r="BR49" s="303"/>
      <c r="BS49" s="303"/>
      <c r="BT49" s="303">
        <f t="shared" si="32"/>
        <v>391.41</v>
      </c>
      <c r="BV49" s="295">
        <v>46058</v>
      </c>
      <c r="BW49" s="296">
        <v>518.5</v>
      </c>
      <c r="BX49" s="301">
        <v>0</v>
      </c>
      <c r="BY49" s="298"/>
      <c r="BZ49" s="302"/>
      <c r="CA49" s="303"/>
      <c r="CB49" s="303"/>
      <c r="CC49" s="303">
        <f t="shared" si="33"/>
        <v>0</v>
      </c>
      <c r="CE49" s="295">
        <v>46058</v>
      </c>
      <c r="CF49" s="296">
        <v>1997.33</v>
      </c>
      <c r="CG49" s="301"/>
      <c r="CI49" s="302">
        <v>43.197070000000025</v>
      </c>
      <c r="CJ49" s="303"/>
      <c r="CK49" s="303"/>
      <c r="CL49" s="303">
        <f t="shared" si="34"/>
        <v>43.197070000000025</v>
      </c>
    </row>
    <row r="50" spans="2:90" hidden="1" x14ac:dyDescent="0.25">
      <c r="B50" s="295">
        <v>46059</v>
      </c>
      <c r="C50" s="296">
        <v>2275.4299999999998</v>
      </c>
      <c r="D50" s="296">
        <v>493.28</v>
      </c>
      <c r="E50" s="296">
        <v>4892.72</v>
      </c>
      <c r="F50" s="297"/>
      <c r="G50" s="298"/>
      <c r="H50" s="302"/>
      <c r="I50" s="303"/>
      <c r="J50" s="303">
        <v>13.948299499999997</v>
      </c>
      <c r="K50" s="303">
        <f t="shared" si="35"/>
        <v>13.948299499999997</v>
      </c>
      <c r="M50" s="295">
        <v>46059</v>
      </c>
      <c r="N50" s="296">
        <v>579.4</v>
      </c>
      <c r="O50" s="296">
        <v>95.39</v>
      </c>
      <c r="P50" s="296">
        <v>3303.3</v>
      </c>
      <c r="Q50" s="297">
        <v>131.85</v>
      </c>
      <c r="R50" s="297"/>
      <c r="S50" s="298"/>
      <c r="T50" s="302"/>
      <c r="U50" s="303"/>
      <c r="V50" s="303"/>
      <c r="W50" s="303">
        <f t="shared" si="27"/>
        <v>0</v>
      </c>
      <c r="Y50" s="295">
        <v>46059</v>
      </c>
      <c r="Z50" s="296">
        <v>1868.53</v>
      </c>
      <c r="AA50" s="301">
        <v>230.74</v>
      </c>
      <c r="AB50" s="298"/>
      <c r="AC50" s="302"/>
      <c r="AD50" s="303"/>
      <c r="AE50" s="303"/>
      <c r="AF50" s="303">
        <f t="shared" si="28"/>
        <v>230.74</v>
      </c>
      <c r="AH50" s="295">
        <v>45875</v>
      </c>
      <c r="AI50" s="296">
        <v>1054</v>
      </c>
      <c r="AJ50" s="301">
        <v>0</v>
      </c>
      <c r="AK50" s="298"/>
      <c r="AL50" s="302"/>
      <c r="AM50" s="303"/>
      <c r="AN50" s="303"/>
      <c r="AO50" s="303">
        <f t="shared" si="29"/>
        <v>0</v>
      </c>
      <c r="AQ50" s="295">
        <v>46059</v>
      </c>
      <c r="AR50" s="296">
        <v>1239.1500000000001</v>
      </c>
      <c r="AS50" s="296">
        <v>267.86</v>
      </c>
      <c r="AT50" s="296">
        <v>3644.82</v>
      </c>
      <c r="AU50" s="301"/>
      <c r="AV50" s="297">
        <v>70.209999999999994</v>
      </c>
      <c r="AW50" s="297">
        <v>0</v>
      </c>
      <c r="AX50" s="298"/>
      <c r="AY50" s="302"/>
      <c r="AZ50" s="303"/>
      <c r="BA50" s="303"/>
      <c r="BB50" s="303">
        <f t="shared" si="30"/>
        <v>0</v>
      </c>
      <c r="BD50" s="295">
        <v>46059</v>
      </c>
      <c r="BE50" s="296">
        <v>8638.75</v>
      </c>
      <c r="BF50" s="301">
        <v>123.42</v>
      </c>
      <c r="BG50" s="298"/>
      <c r="BH50" s="302">
        <v>37.642750000000007</v>
      </c>
      <c r="BI50" s="303"/>
      <c r="BJ50" s="303"/>
      <c r="BK50" s="303">
        <f t="shared" si="31"/>
        <v>161.06274999999999</v>
      </c>
      <c r="BM50" s="295">
        <v>46059</v>
      </c>
      <c r="BN50" s="296">
        <v>1785.5</v>
      </c>
      <c r="BO50" s="330">
        <v>0</v>
      </c>
      <c r="BP50" s="298"/>
      <c r="BQ50" s="302"/>
      <c r="BR50" s="303"/>
      <c r="BS50" s="303"/>
      <c r="BT50" s="303">
        <f t="shared" si="32"/>
        <v>0</v>
      </c>
      <c r="BV50" s="295">
        <v>46059</v>
      </c>
      <c r="BW50" s="296">
        <v>918.61</v>
      </c>
      <c r="BX50" s="301">
        <v>0</v>
      </c>
      <c r="BY50" s="298"/>
      <c r="BZ50" s="302"/>
      <c r="CA50" s="303"/>
      <c r="CB50" s="303"/>
      <c r="CC50" s="303">
        <f t="shared" si="33"/>
        <v>0</v>
      </c>
      <c r="CE50" s="295">
        <v>46059</v>
      </c>
      <c r="CF50" s="296">
        <v>1981.2</v>
      </c>
      <c r="CG50" s="301"/>
      <c r="CI50" s="302"/>
      <c r="CJ50" s="303"/>
      <c r="CK50" s="303"/>
      <c r="CL50" s="303">
        <f t="shared" si="34"/>
        <v>0</v>
      </c>
    </row>
    <row r="51" spans="2:90" hidden="1" x14ac:dyDescent="0.25">
      <c r="B51" s="295">
        <v>46060</v>
      </c>
      <c r="C51" s="296">
        <v>2361.2399999999998</v>
      </c>
      <c r="D51" s="296">
        <v>439.61</v>
      </c>
      <c r="E51" s="296">
        <v>5101.1499999999996</v>
      </c>
      <c r="F51" s="297"/>
      <c r="G51" s="298"/>
      <c r="H51" s="302"/>
      <c r="I51" s="303"/>
      <c r="J51" s="303"/>
      <c r="K51" s="303">
        <f t="shared" si="35"/>
        <v>0</v>
      </c>
      <c r="M51" s="295">
        <v>46060</v>
      </c>
      <c r="N51" s="296">
        <v>481.55</v>
      </c>
      <c r="O51" s="296">
        <v>28.99</v>
      </c>
      <c r="P51" s="296">
        <v>6287.17</v>
      </c>
      <c r="Q51" s="297">
        <v>135.34</v>
      </c>
      <c r="R51" s="301"/>
      <c r="S51" s="298"/>
      <c r="T51" s="302"/>
      <c r="U51" s="303"/>
      <c r="V51" s="303"/>
      <c r="W51" s="303">
        <f t="shared" si="27"/>
        <v>0</v>
      </c>
      <c r="Y51" s="295">
        <v>46060</v>
      </c>
      <c r="Z51" s="296">
        <v>835.2</v>
      </c>
      <c r="AA51" s="301">
        <v>319.18</v>
      </c>
      <c r="AB51" s="298"/>
      <c r="AC51" s="302"/>
      <c r="AD51" s="303"/>
      <c r="AE51" s="303"/>
      <c r="AF51" s="303">
        <f t="shared" si="28"/>
        <v>319.18</v>
      </c>
      <c r="AH51" s="295">
        <v>45876</v>
      </c>
      <c r="AI51" s="296">
        <v>852</v>
      </c>
      <c r="AJ51" s="301">
        <v>0</v>
      </c>
      <c r="AK51" s="298"/>
      <c r="AL51" s="302"/>
      <c r="AM51" s="303"/>
      <c r="AN51" s="303"/>
      <c r="AO51" s="303">
        <f t="shared" si="29"/>
        <v>0</v>
      </c>
      <c r="AQ51" s="295">
        <v>46060</v>
      </c>
      <c r="AR51" s="296">
        <v>799.03</v>
      </c>
      <c r="AS51" s="296">
        <v>120.36</v>
      </c>
      <c r="AT51" s="296">
        <v>4555.59</v>
      </c>
      <c r="AU51" s="301"/>
      <c r="AV51" s="297">
        <v>76.62</v>
      </c>
      <c r="AW51" s="297">
        <v>0</v>
      </c>
      <c r="AX51" s="298"/>
      <c r="AY51" s="302"/>
      <c r="AZ51" s="303"/>
      <c r="BA51" s="303"/>
      <c r="BB51" s="303">
        <f t="shared" si="30"/>
        <v>0</v>
      </c>
      <c r="BD51" s="295">
        <v>46060</v>
      </c>
      <c r="BE51" s="296">
        <v>7427.49</v>
      </c>
      <c r="BF51" s="301">
        <v>53.28</v>
      </c>
      <c r="BG51" s="298"/>
      <c r="BH51" s="302">
        <v>9.6500000000000057</v>
      </c>
      <c r="BI51" s="303"/>
      <c r="BJ51" s="303"/>
      <c r="BK51" s="303">
        <f t="shared" si="31"/>
        <v>62.930000000000007</v>
      </c>
      <c r="BM51" s="295">
        <v>46060</v>
      </c>
      <c r="BN51" s="296">
        <v>2101</v>
      </c>
      <c r="BO51" s="330">
        <v>263.2</v>
      </c>
      <c r="BP51" s="298"/>
      <c r="BQ51" s="302"/>
      <c r="BR51" s="303"/>
      <c r="BS51" s="303"/>
      <c r="BT51" s="303">
        <f t="shared" si="32"/>
        <v>263.2</v>
      </c>
      <c r="BV51" s="295">
        <v>46060</v>
      </c>
      <c r="BW51" s="296">
        <v>673.3</v>
      </c>
      <c r="BX51" s="301">
        <v>0</v>
      </c>
      <c r="BY51" s="298"/>
      <c r="BZ51" s="302"/>
      <c r="CA51" s="303"/>
      <c r="CB51" s="303"/>
      <c r="CC51" s="303">
        <f t="shared" si="33"/>
        <v>0</v>
      </c>
      <c r="CE51" s="295">
        <v>46060</v>
      </c>
      <c r="CF51" s="296">
        <v>1856.22</v>
      </c>
      <c r="CG51" s="301"/>
      <c r="CI51" s="302"/>
      <c r="CJ51" s="303"/>
      <c r="CK51" s="303"/>
      <c r="CL51" s="303">
        <f t="shared" si="34"/>
        <v>0</v>
      </c>
    </row>
    <row r="52" spans="2:90" hidden="1" x14ac:dyDescent="0.25">
      <c r="B52" s="295">
        <v>46061</v>
      </c>
      <c r="C52" s="296">
        <v>1065.2</v>
      </c>
      <c r="D52" s="296">
        <v>235.92</v>
      </c>
      <c r="E52" s="296">
        <v>3308.26</v>
      </c>
      <c r="F52" s="297"/>
      <c r="G52" s="298"/>
      <c r="H52" s="302"/>
      <c r="I52" s="303"/>
      <c r="J52" s="303"/>
      <c r="K52" s="303">
        <f t="shared" si="35"/>
        <v>0</v>
      </c>
      <c r="M52" s="295">
        <v>46061</v>
      </c>
      <c r="N52" s="296">
        <v>325.3</v>
      </c>
      <c r="O52" s="296">
        <v>0</v>
      </c>
      <c r="P52" s="296">
        <v>4414.7299999999996</v>
      </c>
      <c r="Q52" s="297">
        <v>135.34</v>
      </c>
      <c r="R52" s="301"/>
      <c r="S52" s="298"/>
      <c r="T52" s="302"/>
      <c r="U52" s="303"/>
      <c r="V52" s="303"/>
      <c r="W52" s="303">
        <f t="shared" si="27"/>
        <v>0</v>
      </c>
      <c r="Y52" s="295">
        <v>46061</v>
      </c>
      <c r="Z52" s="296">
        <v>331.86</v>
      </c>
      <c r="AA52" s="301">
        <v>114.62</v>
      </c>
      <c r="AB52" s="298"/>
      <c r="AC52" s="302"/>
      <c r="AD52" s="303"/>
      <c r="AE52" s="303"/>
      <c r="AF52" s="303">
        <f t="shared" si="28"/>
        <v>114.62</v>
      </c>
      <c r="AH52" s="295">
        <v>45877</v>
      </c>
      <c r="AI52" s="296">
        <v>999</v>
      </c>
      <c r="AJ52" s="301">
        <v>0</v>
      </c>
      <c r="AK52" s="298"/>
      <c r="AL52" s="302"/>
      <c r="AM52" s="303"/>
      <c r="AN52" s="303"/>
      <c r="AO52" s="303">
        <f t="shared" si="29"/>
        <v>0</v>
      </c>
      <c r="AQ52" s="295">
        <v>46061</v>
      </c>
      <c r="AR52" s="296">
        <v>645.07000000000005</v>
      </c>
      <c r="AS52" s="296">
        <v>291.47000000000003</v>
      </c>
      <c r="AT52" s="296">
        <v>3055.62</v>
      </c>
      <c r="AU52" s="301"/>
      <c r="AV52" s="297">
        <v>138.37</v>
      </c>
      <c r="AW52" s="297">
        <v>0</v>
      </c>
      <c r="AX52" s="298"/>
      <c r="AY52" s="302"/>
      <c r="AZ52" s="303"/>
      <c r="BA52" s="303"/>
      <c r="BB52" s="303">
        <f t="shared" si="30"/>
        <v>0</v>
      </c>
      <c r="BD52" s="295">
        <v>46061</v>
      </c>
      <c r="BE52" s="296">
        <v>6215.36</v>
      </c>
      <c r="BF52" s="301">
        <v>24.3</v>
      </c>
      <c r="BG52" s="298"/>
      <c r="BH52" s="302">
        <v>16.839250000000007</v>
      </c>
      <c r="BI52" s="303"/>
      <c r="BJ52" s="303"/>
      <c r="BK52" s="303">
        <f t="shared" si="31"/>
        <v>41.139250000000004</v>
      </c>
      <c r="BM52" s="295">
        <v>46061</v>
      </c>
      <c r="BN52" s="296">
        <v>1914</v>
      </c>
      <c r="BO52" s="330">
        <v>315</v>
      </c>
      <c r="BP52" s="298"/>
      <c r="BQ52" s="302"/>
      <c r="BR52" s="303"/>
      <c r="BS52" s="303"/>
      <c r="BT52" s="303">
        <f t="shared" si="32"/>
        <v>315</v>
      </c>
      <c r="BV52" s="295">
        <v>46061</v>
      </c>
      <c r="BW52" s="296">
        <v>701.5</v>
      </c>
      <c r="BX52" s="301">
        <v>0</v>
      </c>
      <c r="BY52" s="298"/>
      <c r="BZ52" s="302"/>
      <c r="CA52" s="303"/>
      <c r="CB52" s="303"/>
      <c r="CC52" s="303">
        <f t="shared" si="33"/>
        <v>0</v>
      </c>
      <c r="CE52" s="295">
        <v>46061</v>
      </c>
      <c r="CF52" s="296">
        <v>1447.44</v>
      </c>
      <c r="CG52" s="301"/>
      <c r="CI52" s="302"/>
      <c r="CJ52" s="303"/>
      <c r="CK52" s="303"/>
      <c r="CL52" s="303">
        <f t="shared" si="34"/>
        <v>0</v>
      </c>
    </row>
    <row r="53" spans="2:90" hidden="1" x14ac:dyDescent="0.25">
      <c r="B53" s="295">
        <v>46062</v>
      </c>
      <c r="C53" s="296">
        <v>2424.34</v>
      </c>
      <c r="D53" s="296">
        <v>697.79</v>
      </c>
      <c r="E53" s="296">
        <v>4455</v>
      </c>
      <c r="F53" s="297"/>
      <c r="G53" s="298"/>
      <c r="H53" s="302"/>
      <c r="I53" s="303"/>
      <c r="J53" s="303">
        <v>12.36566160000001</v>
      </c>
      <c r="K53" s="303">
        <f t="shared" si="35"/>
        <v>12.36566160000001</v>
      </c>
      <c r="M53" s="295">
        <v>46062</v>
      </c>
      <c r="N53" s="296">
        <v>959.35</v>
      </c>
      <c r="O53" s="296">
        <v>0</v>
      </c>
      <c r="P53" s="296">
        <v>3983.14</v>
      </c>
      <c r="Q53" s="297">
        <v>113.17</v>
      </c>
      <c r="R53" s="301"/>
      <c r="S53" s="298"/>
      <c r="T53" s="302"/>
      <c r="U53" s="303"/>
      <c r="V53" s="303"/>
      <c r="W53" s="303">
        <f t="shared" si="27"/>
        <v>0</v>
      </c>
      <c r="Y53" s="295">
        <v>46062</v>
      </c>
      <c r="Z53" s="296">
        <v>1552.76</v>
      </c>
      <c r="AA53" s="301">
        <v>457.95</v>
      </c>
      <c r="AB53" s="298"/>
      <c r="AC53" s="302"/>
      <c r="AD53" s="303"/>
      <c r="AE53" s="303"/>
      <c r="AF53" s="303">
        <f t="shared" si="28"/>
        <v>457.95</v>
      </c>
      <c r="AH53" s="295">
        <v>45878</v>
      </c>
      <c r="AI53" s="296">
        <v>382.9</v>
      </c>
      <c r="AJ53" s="301">
        <v>0</v>
      </c>
      <c r="AK53" s="298"/>
      <c r="AL53" s="302"/>
      <c r="AM53" s="303"/>
      <c r="AN53" s="303"/>
      <c r="AO53" s="303">
        <f t="shared" si="29"/>
        <v>0</v>
      </c>
      <c r="AQ53" s="295">
        <v>46062</v>
      </c>
      <c r="AR53" s="296">
        <v>635.29999999999995</v>
      </c>
      <c r="AS53" s="296">
        <v>478.93</v>
      </c>
      <c r="AT53" s="296">
        <v>2556.34</v>
      </c>
      <c r="AU53" s="297"/>
      <c r="AV53" s="297">
        <v>40.46</v>
      </c>
      <c r="AW53" s="297">
        <v>0</v>
      </c>
      <c r="AX53" s="298"/>
      <c r="AY53" s="302"/>
      <c r="AZ53" s="303"/>
      <c r="BA53" s="303"/>
      <c r="BB53" s="303">
        <f t="shared" si="30"/>
        <v>0</v>
      </c>
      <c r="BD53" s="295">
        <v>46062</v>
      </c>
      <c r="BE53" s="296">
        <v>9207.17</v>
      </c>
      <c r="BF53" s="301">
        <v>101.67</v>
      </c>
      <c r="BG53" s="298"/>
      <c r="BH53" s="302">
        <v>38.540880000000016</v>
      </c>
      <c r="BI53" s="303"/>
      <c r="BJ53" s="303"/>
      <c r="BK53" s="303">
        <f t="shared" si="31"/>
        <v>140.21088000000003</v>
      </c>
      <c r="BM53" s="295">
        <v>46062</v>
      </c>
      <c r="BN53" s="296">
        <v>1847.6</v>
      </c>
      <c r="BO53" s="330">
        <v>284</v>
      </c>
      <c r="BP53" s="298"/>
      <c r="BQ53" s="302"/>
      <c r="BR53" s="303"/>
      <c r="BS53" s="303"/>
      <c r="BT53" s="303">
        <f t="shared" si="32"/>
        <v>284</v>
      </c>
      <c r="BV53" s="295">
        <v>46062</v>
      </c>
      <c r="BW53" s="296">
        <v>847.67</v>
      </c>
      <c r="BX53" s="301">
        <v>0</v>
      </c>
      <c r="BY53" s="298"/>
      <c r="BZ53" s="302"/>
      <c r="CA53" s="303"/>
      <c r="CB53" s="303"/>
      <c r="CC53" s="303">
        <f t="shared" si="33"/>
        <v>0</v>
      </c>
      <c r="CE53" s="295">
        <v>46062</v>
      </c>
      <c r="CF53" s="296">
        <v>2905.76</v>
      </c>
      <c r="CG53" s="301"/>
      <c r="CI53" s="302"/>
      <c r="CJ53" s="303"/>
      <c r="CK53" s="303"/>
      <c r="CL53" s="303">
        <f t="shared" si="34"/>
        <v>0</v>
      </c>
    </row>
    <row r="54" spans="2:90" hidden="1" x14ac:dyDescent="0.25">
      <c r="B54" s="295">
        <v>46063</v>
      </c>
      <c r="C54" s="296">
        <v>2200.27</v>
      </c>
      <c r="D54" s="296">
        <v>340.2</v>
      </c>
      <c r="E54" s="296">
        <v>4649.8999999999996</v>
      </c>
      <c r="F54" s="297"/>
      <c r="G54" s="298"/>
      <c r="H54" s="302"/>
      <c r="I54" s="303"/>
      <c r="J54" s="303">
        <v>87.257608999999945</v>
      </c>
      <c r="K54" s="303">
        <f t="shared" si="35"/>
        <v>87.257608999999945</v>
      </c>
      <c r="M54" s="295">
        <v>46063</v>
      </c>
      <c r="N54" s="296">
        <v>212.2</v>
      </c>
      <c r="O54" s="296">
        <v>0</v>
      </c>
      <c r="P54" s="296">
        <v>4302.21</v>
      </c>
      <c r="Q54" s="297">
        <v>123.93</v>
      </c>
      <c r="R54" s="301"/>
      <c r="S54" s="298"/>
      <c r="T54" s="302"/>
      <c r="U54" s="303"/>
      <c r="V54" s="303"/>
      <c r="W54" s="303">
        <f t="shared" si="27"/>
        <v>0</v>
      </c>
      <c r="Y54" s="295">
        <v>46063</v>
      </c>
      <c r="Z54" s="296">
        <v>1090.21</v>
      </c>
      <c r="AA54" s="301">
        <v>609.28</v>
      </c>
      <c r="AB54" s="298"/>
      <c r="AC54" s="302"/>
      <c r="AD54" s="303"/>
      <c r="AE54" s="303"/>
      <c r="AF54" s="303">
        <f t="shared" si="28"/>
        <v>609.28</v>
      </c>
      <c r="AH54" s="295">
        <v>45879</v>
      </c>
      <c r="AI54" s="296">
        <v>1001.8</v>
      </c>
      <c r="AJ54" s="301">
        <v>0</v>
      </c>
      <c r="AK54" s="298"/>
      <c r="AL54" s="302"/>
      <c r="AM54" s="303"/>
      <c r="AN54" s="303"/>
      <c r="AO54" s="303">
        <f t="shared" si="29"/>
        <v>0</v>
      </c>
      <c r="AQ54" s="295">
        <v>46063</v>
      </c>
      <c r="AR54" s="296">
        <v>1631.45</v>
      </c>
      <c r="AS54" s="296">
        <v>491.58</v>
      </c>
      <c r="AT54" s="296">
        <v>4365.8900000000003</v>
      </c>
      <c r="AU54" s="297"/>
      <c r="AV54" s="297">
        <v>51.73</v>
      </c>
      <c r="AW54" s="297">
        <v>0</v>
      </c>
      <c r="AX54" s="298"/>
      <c r="AY54" s="302"/>
      <c r="AZ54" s="303"/>
      <c r="BA54" s="303"/>
      <c r="BB54" s="303">
        <f t="shared" si="30"/>
        <v>0</v>
      </c>
      <c r="BD54" s="295">
        <v>46063</v>
      </c>
      <c r="BE54" s="296">
        <v>8312.59</v>
      </c>
      <c r="BF54" s="301">
        <v>95.31</v>
      </c>
      <c r="BG54" s="298"/>
      <c r="BH54" s="302">
        <v>8.5692000000000021</v>
      </c>
      <c r="BI54" s="303"/>
      <c r="BJ54" s="303"/>
      <c r="BK54" s="303">
        <f t="shared" si="31"/>
        <v>103.8792</v>
      </c>
      <c r="BM54" s="295">
        <v>46063</v>
      </c>
      <c r="BN54" s="296">
        <v>7249.8</v>
      </c>
      <c r="BO54" s="330">
        <v>501.6</v>
      </c>
      <c r="BP54" s="298"/>
      <c r="BQ54" s="302"/>
      <c r="BR54" s="303"/>
      <c r="BS54" s="303"/>
      <c r="BT54" s="303">
        <f t="shared" si="32"/>
        <v>501.6</v>
      </c>
      <c r="BV54" s="295">
        <v>46063</v>
      </c>
      <c r="BW54" s="296">
        <v>427.7</v>
      </c>
      <c r="BX54" s="301">
        <v>0</v>
      </c>
      <c r="BY54" s="298"/>
      <c r="BZ54" s="302"/>
      <c r="CA54" s="303"/>
      <c r="CB54" s="303"/>
      <c r="CC54" s="303">
        <f t="shared" si="33"/>
        <v>0</v>
      </c>
      <c r="CE54" s="295">
        <v>46063</v>
      </c>
      <c r="CF54" s="296">
        <v>1932.16</v>
      </c>
      <c r="CG54" s="301"/>
      <c r="CI54" s="302">
        <v>35.615060000000014</v>
      </c>
      <c r="CJ54" s="303"/>
      <c r="CK54" s="303"/>
      <c r="CL54" s="303">
        <f t="shared" si="34"/>
        <v>35.615060000000014</v>
      </c>
    </row>
    <row r="55" spans="2:90" hidden="1" x14ac:dyDescent="0.25">
      <c r="B55" s="295">
        <v>46064</v>
      </c>
      <c r="C55" s="296">
        <v>2511.7800000000002</v>
      </c>
      <c r="D55" s="296">
        <v>517.45000000000005</v>
      </c>
      <c r="E55" s="296">
        <v>5238.96</v>
      </c>
      <c r="F55" s="297">
        <v>2.2999999999999998</v>
      </c>
      <c r="G55" s="298"/>
      <c r="H55" s="302"/>
      <c r="I55" s="303">
        <v>43.61507742857134</v>
      </c>
      <c r="J55" s="303"/>
      <c r="K55" s="303">
        <f t="shared" si="35"/>
        <v>45.915077428571337</v>
      </c>
      <c r="M55" s="295">
        <v>46064</v>
      </c>
      <c r="N55" s="296">
        <v>460</v>
      </c>
      <c r="O55" s="296">
        <v>50.22</v>
      </c>
      <c r="P55" s="296">
        <v>4015.34</v>
      </c>
      <c r="Q55" s="297">
        <v>131.88</v>
      </c>
      <c r="R55" s="301"/>
      <c r="S55" s="298"/>
      <c r="T55" s="302"/>
      <c r="U55" s="303"/>
      <c r="V55" s="303"/>
      <c r="W55" s="303">
        <f t="shared" si="27"/>
        <v>0</v>
      </c>
      <c r="Y55" s="295">
        <v>46064</v>
      </c>
      <c r="Z55" s="296">
        <v>305.07</v>
      </c>
      <c r="AA55" s="301">
        <v>145.27000000000001</v>
      </c>
      <c r="AB55" s="298"/>
      <c r="AC55" s="302"/>
      <c r="AD55" s="303"/>
      <c r="AE55" s="303"/>
      <c r="AF55" s="303">
        <f t="shared" si="28"/>
        <v>145.27000000000001</v>
      </c>
      <c r="AH55" s="295">
        <v>45880</v>
      </c>
      <c r="AI55" s="296">
        <v>845.56</v>
      </c>
      <c r="AJ55" s="301">
        <v>0</v>
      </c>
      <c r="AK55" s="298"/>
      <c r="AL55" s="302"/>
      <c r="AM55" s="303"/>
      <c r="AN55" s="303"/>
      <c r="AO55" s="303">
        <f t="shared" si="29"/>
        <v>0</v>
      </c>
      <c r="AQ55" s="295">
        <v>46064</v>
      </c>
      <c r="AR55" s="296">
        <v>1624.69</v>
      </c>
      <c r="AS55" s="296">
        <v>496.18</v>
      </c>
      <c r="AT55" s="296">
        <v>3916.76</v>
      </c>
      <c r="AU55" s="301"/>
      <c r="AV55" s="297">
        <v>33.729999999999997</v>
      </c>
      <c r="AW55" s="297">
        <v>0</v>
      </c>
      <c r="AX55" s="298"/>
      <c r="AY55" s="302"/>
      <c r="AZ55" s="303"/>
      <c r="BA55" s="303"/>
      <c r="BB55" s="303">
        <f t="shared" si="30"/>
        <v>0</v>
      </c>
      <c r="BD55" s="295">
        <v>46064</v>
      </c>
      <c r="BE55" s="296">
        <v>7047.89</v>
      </c>
      <c r="BF55" s="301">
        <v>84.99</v>
      </c>
      <c r="BG55" s="298"/>
      <c r="BH55" s="302">
        <v>55.149119999999968</v>
      </c>
      <c r="BI55" s="303"/>
      <c r="BJ55" s="303"/>
      <c r="BK55" s="303">
        <f t="shared" si="31"/>
        <v>140.13911999999996</v>
      </c>
      <c r="BM55" s="295">
        <v>46064</v>
      </c>
      <c r="BN55" s="296">
        <v>4247</v>
      </c>
      <c r="BO55" s="330">
        <v>488.15</v>
      </c>
      <c r="BP55" s="298"/>
      <c r="BQ55" s="302"/>
      <c r="BR55" s="303"/>
      <c r="BS55" s="303"/>
      <c r="BT55" s="303">
        <f t="shared" si="32"/>
        <v>488.15</v>
      </c>
      <c r="BV55" s="295">
        <v>46064</v>
      </c>
      <c r="BW55" s="296">
        <v>633</v>
      </c>
      <c r="BX55" s="301">
        <v>0</v>
      </c>
      <c r="BY55" s="298"/>
      <c r="BZ55" s="302"/>
      <c r="CA55" s="303"/>
      <c r="CB55" s="303"/>
      <c r="CC55" s="303">
        <f t="shared" si="33"/>
        <v>0</v>
      </c>
      <c r="CE55" s="295">
        <v>46064</v>
      </c>
      <c r="CF55" s="296">
        <v>1396.79</v>
      </c>
      <c r="CG55" s="301"/>
      <c r="CI55" s="302">
        <v>36.158650000000037</v>
      </c>
      <c r="CJ55" s="303"/>
      <c r="CK55" s="303"/>
      <c r="CL55" s="303">
        <f t="shared" si="34"/>
        <v>36.158650000000037</v>
      </c>
    </row>
    <row r="56" spans="2:90" hidden="1" x14ac:dyDescent="0.25">
      <c r="B56" s="295">
        <v>46065</v>
      </c>
      <c r="C56" s="296">
        <v>2451.4699999999998</v>
      </c>
      <c r="D56" s="296">
        <v>720.47</v>
      </c>
      <c r="E56" s="296">
        <v>4852.3500000000004</v>
      </c>
      <c r="F56" s="297"/>
      <c r="G56" s="298"/>
      <c r="H56" s="302"/>
      <c r="I56" s="303"/>
      <c r="J56" s="303">
        <v>35.241801699999996</v>
      </c>
      <c r="K56" s="303">
        <f t="shared" si="35"/>
        <v>35.241801699999996</v>
      </c>
      <c r="M56" s="295">
        <v>46065</v>
      </c>
      <c r="N56" s="296">
        <v>1745.5</v>
      </c>
      <c r="O56" s="296">
        <v>180.35</v>
      </c>
      <c r="P56" s="296">
        <v>4938.32</v>
      </c>
      <c r="Q56" s="297">
        <v>156.29</v>
      </c>
      <c r="R56" s="301"/>
      <c r="S56" s="298"/>
      <c r="T56" s="302"/>
      <c r="U56" s="303"/>
      <c r="V56" s="303"/>
      <c r="W56" s="303">
        <f t="shared" si="27"/>
        <v>0</v>
      </c>
      <c r="Y56" s="295">
        <v>46065</v>
      </c>
      <c r="Z56" s="296">
        <v>1523.92</v>
      </c>
      <c r="AA56" s="301">
        <v>498.52</v>
      </c>
      <c r="AB56" s="298"/>
      <c r="AC56" s="302"/>
      <c r="AD56" s="303"/>
      <c r="AE56" s="303"/>
      <c r="AF56" s="303">
        <f t="shared" si="28"/>
        <v>498.52</v>
      </c>
      <c r="AH56" s="295">
        <v>45881</v>
      </c>
      <c r="AI56" s="296">
        <v>1222</v>
      </c>
      <c r="AJ56" s="301">
        <v>0</v>
      </c>
      <c r="AK56" s="298"/>
      <c r="AL56" s="302"/>
      <c r="AM56" s="303"/>
      <c r="AN56" s="303"/>
      <c r="AO56" s="303">
        <f t="shared" si="29"/>
        <v>0</v>
      </c>
      <c r="AQ56" s="295">
        <v>46065</v>
      </c>
      <c r="AR56" s="296">
        <v>2179.96</v>
      </c>
      <c r="AS56" s="296">
        <v>400.78</v>
      </c>
      <c r="AT56" s="296">
        <v>3772.93</v>
      </c>
      <c r="AU56" s="301"/>
      <c r="AV56" s="297">
        <v>33.01</v>
      </c>
      <c r="AW56" s="297">
        <v>0</v>
      </c>
      <c r="AX56" s="298"/>
      <c r="AY56" s="302"/>
      <c r="AZ56" s="303"/>
      <c r="BA56" s="303"/>
      <c r="BB56" s="303">
        <f t="shared" si="30"/>
        <v>0</v>
      </c>
      <c r="BD56" s="295">
        <v>46065</v>
      </c>
      <c r="BE56" s="296">
        <v>8513.9699999999993</v>
      </c>
      <c r="BF56" s="301">
        <v>57.13</v>
      </c>
      <c r="BG56" s="298"/>
      <c r="BH56" s="302"/>
      <c r="BI56" s="303"/>
      <c r="BJ56" s="303"/>
      <c r="BK56" s="303">
        <f t="shared" si="31"/>
        <v>57.13</v>
      </c>
      <c r="BM56" s="295">
        <v>46065</v>
      </c>
      <c r="BN56" s="296">
        <v>2841.5</v>
      </c>
      <c r="BO56" s="330">
        <v>292.64999999999998</v>
      </c>
      <c r="BP56" s="298"/>
      <c r="BQ56" s="302"/>
      <c r="BR56" s="303"/>
      <c r="BS56" s="303"/>
      <c r="BT56" s="303">
        <f t="shared" si="32"/>
        <v>292.64999999999998</v>
      </c>
      <c r="BV56" s="295">
        <v>46065</v>
      </c>
      <c r="BW56" s="296">
        <v>1189.9000000000001</v>
      </c>
      <c r="BX56" s="301">
        <v>0</v>
      </c>
      <c r="BY56" s="298"/>
      <c r="BZ56" s="302"/>
      <c r="CA56" s="303"/>
      <c r="CB56" s="303"/>
      <c r="CC56" s="303">
        <f t="shared" si="33"/>
        <v>0</v>
      </c>
      <c r="CE56" s="295">
        <v>46065</v>
      </c>
      <c r="CF56" s="296">
        <v>1378.64</v>
      </c>
      <c r="CG56" s="301"/>
      <c r="CI56" s="302">
        <v>18.595360000000028</v>
      </c>
      <c r="CJ56" s="303"/>
      <c r="CK56" s="303"/>
      <c r="CL56" s="303">
        <f t="shared" si="34"/>
        <v>18.595360000000028</v>
      </c>
    </row>
    <row r="57" spans="2:90" hidden="1" x14ac:dyDescent="0.25">
      <c r="B57" s="295">
        <v>46066</v>
      </c>
      <c r="C57" s="296">
        <v>3937.81</v>
      </c>
      <c r="D57" s="296">
        <v>711.45</v>
      </c>
      <c r="E57" s="296">
        <v>6105.69</v>
      </c>
      <c r="F57" s="297"/>
      <c r="G57" s="298"/>
      <c r="H57" s="302"/>
      <c r="I57" s="303"/>
      <c r="J57" s="303"/>
      <c r="K57" s="303">
        <f t="shared" si="35"/>
        <v>0</v>
      </c>
      <c r="M57" s="295">
        <v>46066</v>
      </c>
      <c r="N57" s="296">
        <v>533.1</v>
      </c>
      <c r="O57" s="296">
        <v>109.11</v>
      </c>
      <c r="P57" s="296">
        <v>4250.8900000000003</v>
      </c>
      <c r="Q57" s="297">
        <v>102.9</v>
      </c>
      <c r="R57" s="301"/>
      <c r="S57" s="298"/>
      <c r="T57" s="302"/>
      <c r="U57" s="303"/>
      <c r="V57" s="303"/>
      <c r="W57" s="303">
        <f t="shared" si="27"/>
        <v>0</v>
      </c>
      <c r="Y57" s="295">
        <v>46066</v>
      </c>
      <c r="Z57" s="296">
        <v>2140.31</v>
      </c>
      <c r="AA57" s="301">
        <v>384.87</v>
      </c>
      <c r="AB57" s="298"/>
      <c r="AC57" s="302"/>
      <c r="AD57" s="303"/>
      <c r="AE57" s="303"/>
      <c r="AF57" s="303">
        <f t="shared" si="28"/>
        <v>384.87</v>
      </c>
      <c r="AH57" s="295">
        <v>45882</v>
      </c>
      <c r="AI57" s="296">
        <v>693.7</v>
      </c>
      <c r="AJ57" s="301">
        <v>0</v>
      </c>
      <c r="AK57" s="298"/>
      <c r="AL57" s="302"/>
      <c r="AM57" s="303"/>
      <c r="AN57" s="303"/>
      <c r="AO57" s="303">
        <f t="shared" si="29"/>
        <v>0</v>
      </c>
      <c r="AQ57" s="295">
        <v>46066</v>
      </c>
      <c r="AR57" s="296">
        <v>1254.81</v>
      </c>
      <c r="AS57" s="296">
        <v>259.27999999999997</v>
      </c>
      <c r="AT57" s="296">
        <v>4143.5600000000004</v>
      </c>
      <c r="AU57" s="301"/>
      <c r="AV57" s="297">
        <v>64.97</v>
      </c>
      <c r="AW57" s="297">
        <v>0</v>
      </c>
      <c r="AX57" s="298"/>
      <c r="AY57" s="302"/>
      <c r="AZ57" s="303"/>
      <c r="BA57" s="303"/>
      <c r="BB57" s="303">
        <f t="shared" si="30"/>
        <v>0</v>
      </c>
      <c r="BD57" s="295">
        <v>46066</v>
      </c>
      <c r="BE57" s="296">
        <v>9861.89</v>
      </c>
      <c r="BF57" s="301">
        <v>73.13</v>
      </c>
      <c r="BG57" s="298"/>
      <c r="BH57" s="302"/>
      <c r="BI57" s="303"/>
      <c r="BJ57" s="303"/>
      <c r="BK57" s="303">
        <f t="shared" si="31"/>
        <v>73.13</v>
      </c>
      <c r="BM57" s="295">
        <v>46066</v>
      </c>
      <c r="BN57" s="296">
        <v>1380.8</v>
      </c>
      <c r="BO57" s="330">
        <v>108.1</v>
      </c>
      <c r="BP57" s="298"/>
      <c r="BQ57" s="302"/>
      <c r="BR57" s="303"/>
      <c r="BS57" s="303"/>
      <c r="BT57" s="303">
        <f t="shared" si="32"/>
        <v>108.1</v>
      </c>
      <c r="BV57" s="295">
        <v>46066</v>
      </c>
      <c r="BW57" s="296">
        <v>502.1</v>
      </c>
      <c r="BX57" s="301">
        <v>0</v>
      </c>
      <c r="BY57" s="298"/>
      <c r="BZ57" s="302"/>
      <c r="CA57" s="303"/>
      <c r="CB57" s="303"/>
      <c r="CC57" s="303">
        <f t="shared" si="33"/>
        <v>0</v>
      </c>
      <c r="CE57" s="295">
        <v>46066</v>
      </c>
      <c r="CF57" s="296">
        <v>1761.35</v>
      </c>
      <c r="CG57" s="301"/>
      <c r="CI57" s="302"/>
      <c r="CJ57" s="303"/>
      <c r="CK57" s="303"/>
      <c r="CL57" s="303">
        <f t="shared" si="34"/>
        <v>0</v>
      </c>
    </row>
    <row r="58" spans="2:90" hidden="1" x14ac:dyDescent="0.25">
      <c r="B58" s="295">
        <v>46067</v>
      </c>
      <c r="C58" s="296">
        <v>3445.22</v>
      </c>
      <c r="D58" s="296">
        <v>641.76</v>
      </c>
      <c r="E58" s="296">
        <v>5590.07</v>
      </c>
      <c r="F58" s="297"/>
      <c r="G58" s="298"/>
      <c r="H58" s="302"/>
      <c r="I58" s="303"/>
      <c r="J58" s="303"/>
      <c r="K58" s="303">
        <f t="shared" si="35"/>
        <v>0</v>
      </c>
      <c r="M58" s="295">
        <v>46067</v>
      </c>
      <c r="N58" s="296">
        <v>373.15</v>
      </c>
      <c r="O58" s="296">
        <v>113.94</v>
      </c>
      <c r="P58" s="296">
        <v>1061.44</v>
      </c>
      <c r="Q58" s="297">
        <v>128.47</v>
      </c>
      <c r="R58" s="301"/>
      <c r="S58" s="298"/>
      <c r="T58" s="302"/>
      <c r="U58" s="303"/>
      <c r="V58" s="303"/>
      <c r="W58" s="303">
        <f t="shared" si="27"/>
        <v>0</v>
      </c>
      <c r="Y58" s="295">
        <v>46067</v>
      </c>
      <c r="Z58" s="296">
        <v>514.15</v>
      </c>
      <c r="AA58" s="301">
        <v>128.63999999999999</v>
      </c>
      <c r="AB58" s="298"/>
      <c r="AC58" s="302"/>
      <c r="AD58" s="303"/>
      <c r="AE58" s="303"/>
      <c r="AF58" s="303">
        <f t="shared" si="28"/>
        <v>128.63999999999999</v>
      </c>
      <c r="AH58" s="295">
        <v>45883</v>
      </c>
      <c r="AI58" s="296">
        <v>1101</v>
      </c>
      <c r="AJ58" s="301">
        <v>0</v>
      </c>
      <c r="AK58" s="298"/>
      <c r="AL58" s="302"/>
      <c r="AM58" s="303"/>
      <c r="AN58" s="303"/>
      <c r="AO58" s="303">
        <f t="shared" si="29"/>
        <v>0</v>
      </c>
      <c r="AQ58" s="295">
        <v>46067</v>
      </c>
      <c r="AR58" s="296">
        <v>2259.0300000000002</v>
      </c>
      <c r="AS58" s="296">
        <v>479.04</v>
      </c>
      <c r="AT58" s="296">
        <v>4624.88</v>
      </c>
      <c r="AU58" s="301"/>
      <c r="AV58" s="297">
        <v>87.49</v>
      </c>
      <c r="AW58" s="297">
        <v>0</v>
      </c>
      <c r="AX58" s="298"/>
      <c r="AY58" s="302"/>
      <c r="AZ58" s="303"/>
      <c r="BA58" s="303"/>
      <c r="BB58" s="303">
        <f t="shared" si="30"/>
        <v>0</v>
      </c>
      <c r="BD58" s="295">
        <v>46067</v>
      </c>
      <c r="BE58" s="296">
        <v>10842.29</v>
      </c>
      <c r="BF58" s="301">
        <v>62.26</v>
      </c>
      <c r="BG58" s="298"/>
      <c r="BH58" s="302">
        <v>26.393179999999987</v>
      </c>
      <c r="BI58" s="303"/>
      <c r="BJ58" s="303"/>
      <c r="BK58" s="303">
        <f t="shared" si="31"/>
        <v>88.653179999999992</v>
      </c>
      <c r="BM58" s="295">
        <v>46067</v>
      </c>
      <c r="BN58" s="296">
        <v>1160</v>
      </c>
      <c r="BO58" s="330">
        <v>0</v>
      </c>
      <c r="BP58" s="298"/>
      <c r="BQ58" s="302"/>
      <c r="BR58" s="303"/>
      <c r="BS58" s="303"/>
      <c r="BT58" s="303">
        <f t="shared" si="32"/>
        <v>0</v>
      </c>
      <c r="BV58" s="295">
        <v>46067</v>
      </c>
      <c r="BW58" s="296">
        <v>451</v>
      </c>
      <c r="BX58" s="301">
        <v>0</v>
      </c>
      <c r="BY58" s="298"/>
      <c r="BZ58" s="302"/>
      <c r="CA58" s="303"/>
      <c r="CB58" s="303"/>
      <c r="CC58" s="303">
        <f t="shared" si="33"/>
        <v>0</v>
      </c>
      <c r="CE58" s="295">
        <v>46067</v>
      </c>
      <c r="CF58" s="296">
        <v>1757.56</v>
      </c>
      <c r="CG58" s="301"/>
      <c r="CI58" s="302">
        <v>33.760870000000011</v>
      </c>
      <c r="CJ58" s="303"/>
      <c r="CK58" s="303"/>
      <c r="CL58" s="303">
        <f t="shared" si="34"/>
        <v>33.760870000000011</v>
      </c>
    </row>
    <row r="59" spans="2:90" hidden="1" x14ac:dyDescent="0.25">
      <c r="B59" s="295">
        <v>46068</v>
      </c>
      <c r="C59" s="296">
        <v>2339.4299999999998</v>
      </c>
      <c r="D59" s="296">
        <v>385.17</v>
      </c>
      <c r="E59" s="296">
        <v>3067.74</v>
      </c>
      <c r="F59" s="297"/>
      <c r="G59" s="298"/>
      <c r="H59" s="302"/>
      <c r="I59" s="303"/>
      <c r="J59" s="303"/>
      <c r="K59" s="303">
        <f t="shared" si="35"/>
        <v>0</v>
      </c>
      <c r="M59" s="295">
        <v>46068</v>
      </c>
      <c r="N59" s="296">
        <v>1903.77</v>
      </c>
      <c r="O59" s="296">
        <v>170.91</v>
      </c>
      <c r="P59" s="296">
        <v>5320.89</v>
      </c>
      <c r="Q59" s="297">
        <v>129.68</v>
      </c>
      <c r="R59" s="301"/>
      <c r="S59" s="298"/>
      <c r="T59" s="302"/>
      <c r="U59" s="303"/>
      <c r="V59" s="303"/>
      <c r="W59" s="303">
        <f t="shared" si="27"/>
        <v>0</v>
      </c>
      <c r="Y59" s="295">
        <v>46068</v>
      </c>
      <c r="Z59" s="296">
        <v>599.64</v>
      </c>
      <c r="AA59" s="301">
        <v>163.6</v>
      </c>
      <c r="AB59" s="298"/>
      <c r="AC59" s="302"/>
      <c r="AD59" s="303"/>
      <c r="AE59" s="303"/>
      <c r="AF59" s="303">
        <f t="shared" si="28"/>
        <v>163.6</v>
      </c>
      <c r="AH59" s="295">
        <v>45884</v>
      </c>
      <c r="AI59" s="296">
        <v>900</v>
      </c>
      <c r="AJ59" s="301">
        <v>0</v>
      </c>
      <c r="AK59" s="298"/>
      <c r="AL59" s="302"/>
      <c r="AM59" s="303"/>
      <c r="AN59" s="303"/>
      <c r="AO59" s="303">
        <f t="shared" si="29"/>
        <v>0</v>
      </c>
      <c r="AQ59" s="295">
        <v>46068</v>
      </c>
      <c r="AR59" s="296">
        <v>1924.57</v>
      </c>
      <c r="AS59" s="296">
        <v>306.3</v>
      </c>
      <c r="AT59" s="296">
        <v>3019.89</v>
      </c>
      <c r="AU59" s="301"/>
      <c r="AV59" s="297">
        <v>141.32</v>
      </c>
      <c r="AW59" s="297">
        <v>0</v>
      </c>
      <c r="AX59" s="298"/>
      <c r="AY59" s="302"/>
      <c r="AZ59" s="303"/>
      <c r="BA59" s="303"/>
      <c r="BB59" s="303">
        <f t="shared" si="30"/>
        <v>0</v>
      </c>
      <c r="BD59" s="295">
        <v>46068</v>
      </c>
      <c r="BE59" s="296">
        <v>5042.37</v>
      </c>
      <c r="BF59" s="301">
        <v>37.799999999999997</v>
      </c>
      <c r="BG59" s="298"/>
      <c r="BH59" s="302"/>
      <c r="BI59" s="303"/>
      <c r="BJ59" s="303"/>
      <c r="BK59" s="303">
        <f t="shared" si="31"/>
        <v>37.799999999999997</v>
      </c>
      <c r="BM59" s="295">
        <v>46068</v>
      </c>
      <c r="BN59" s="296">
        <v>2434</v>
      </c>
      <c r="BO59" s="330">
        <v>679.97</v>
      </c>
      <c r="BP59" s="298"/>
      <c r="BQ59" s="302"/>
      <c r="BR59" s="303"/>
      <c r="BS59" s="303"/>
      <c r="BT59" s="303">
        <f t="shared" si="32"/>
        <v>679.97</v>
      </c>
      <c r="BV59" s="295">
        <v>46068</v>
      </c>
      <c r="BW59" s="296">
        <v>592.5</v>
      </c>
      <c r="BX59" s="301">
        <v>0</v>
      </c>
      <c r="BY59" s="298"/>
      <c r="BZ59" s="302"/>
      <c r="CA59" s="303"/>
      <c r="CB59" s="303"/>
      <c r="CC59" s="303">
        <f t="shared" si="33"/>
        <v>0</v>
      </c>
      <c r="CE59" s="295">
        <v>46068</v>
      </c>
      <c r="CF59" s="296">
        <v>1127.8800000000001</v>
      </c>
      <c r="CG59" s="301"/>
      <c r="CI59" s="302"/>
      <c r="CJ59" s="303"/>
      <c r="CK59" s="303"/>
      <c r="CL59" s="303">
        <f t="shared" si="34"/>
        <v>0</v>
      </c>
    </row>
    <row r="60" spans="2:90" hidden="1" x14ac:dyDescent="0.25">
      <c r="B60" s="295">
        <v>46069</v>
      </c>
      <c r="C60" s="296">
        <v>3417.88</v>
      </c>
      <c r="D60" s="296">
        <v>602.11</v>
      </c>
      <c r="E60" s="296">
        <v>4060.15</v>
      </c>
      <c r="F60" s="297">
        <v>39</v>
      </c>
      <c r="G60" s="298"/>
      <c r="H60" s="302"/>
      <c r="I60" s="303"/>
      <c r="J60" s="303"/>
      <c r="K60" s="303">
        <f t="shared" si="35"/>
        <v>39</v>
      </c>
      <c r="M60" s="295">
        <v>46069</v>
      </c>
      <c r="N60" s="296">
        <v>1253.08</v>
      </c>
      <c r="O60" s="296">
        <v>117.19</v>
      </c>
      <c r="P60" s="296">
        <v>1845.12</v>
      </c>
      <c r="Q60" s="297">
        <v>72.09</v>
      </c>
      <c r="R60" s="301"/>
      <c r="S60" s="298"/>
      <c r="T60" s="302"/>
      <c r="U60" s="303"/>
      <c r="V60" s="303"/>
      <c r="W60" s="303">
        <f t="shared" si="27"/>
        <v>0</v>
      </c>
      <c r="Y60" s="295">
        <v>46069</v>
      </c>
      <c r="Z60" s="296">
        <v>1688.42</v>
      </c>
      <c r="AA60" s="301">
        <v>385.32</v>
      </c>
      <c r="AB60" s="298"/>
      <c r="AC60" s="302"/>
      <c r="AD60" s="303"/>
      <c r="AE60" s="303"/>
      <c r="AF60" s="303">
        <f t="shared" si="28"/>
        <v>385.32</v>
      </c>
      <c r="AH60" s="295">
        <v>45885</v>
      </c>
      <c r="AI60" s="296">
        <v>933.6</v>
      </c>
      <c r="AJ60" s="301">
        <v>0</v>
      </c>
      <c r="AK60" s="298"/>
      <c r="AL60" s="302"/>
      <c r="AM60" s="303"/>
      <c r="AN60" s="303"/>
      <c r="AO60" s="303">
        <f t="shared" si="29"/>
        <v>0</v>
      </c>
      <c r="AQ60" s="295">
        <v>46069</v>
      </c>
      <c r="AR60" s="296">
        <v>1810.73</v>
      </c>
      <c r="AS60" s="296">
        <v>564.36</v>
      </c>
      <c r="AT60" s="296">
        <v>3113.9</v>
      </c>
      <c r="AU60" s="301"/>
      <c r="AV60" s="297">
        <v>66.510000000000005</v>
      </c>
      <c r="AW60" s="297">
        <v>0</v>
      </c>
      <c r="AX60" s="298"/>
      <c r="AY60" s="302"/>
      <c r="AZ60" s="303"/>
      <c r="BA60" s="303"/>
      <c r="BB60" s="303">
        <f t="shared" si="30"/>
        <v>0</v>
      </c>
      <c r="BD60" s="295">
        <v>46069</v>
      </c>
      <c r="BE60" s="296">
        <v>7500.63</v>
      </c>
      <c r="BF60" s="301">
        <v>82.9</v>
      </c>
      <c r="BG60" s="298"/>
      <c r="BH60" s="302">
        <v>75.904010000000014</v>
      </c>
      <c r="BI60" s="303"/>
      <c r="BJ60" s="303"/>
      <c r="BK60" s="303">
        <f t="shared" si="31"/>
        <v>158.80401000000001</v>
      </c>
      <c r="BM60" s="295">
        <v>46069</v>
      </c>
      <c r="BN60" s="296">
        <v>3117.5</v>
      </c>
      <c r="BO60" s="330">
        <v>1027.0999999999999</v>
      </c>
      <c r="BP60" s="298"/>
      <c r="BQ60" s="302"/>
      <c r="BR60" s="303"/>
      <c r="BS60" s="303"/>
      <c r="BT60" s="303">
        <f t="shared" si="32"/>
        <v>1027.0999999999999</v>
      </c>
      <c r="BV60" s="295">
        <v>46069</v>
      </c>
      <c r="BW60" s="296">
        <v>526.20000000000005</v>
      </c>
      <c r="BX60" s="301">
        <v>0</v>
      </c>
      <c r="BY60" s="298"/>
      <c r="BZ60" s="302"/>
      <c r="CA60" s="303"/>
      <c r="CB60" s="303"/>
      <c r="CC60" s="303">
        <f t="shared" si="33"/>
        <v>0</v>
      </c>
      <c r="CE60" s="295">
        <v>46069</v>
      </c>
      <c r="CF60" s="296">
        <v>1686.12</v>
      </c>
      <c r="CG60" s="301"/>
      <c r="CI60" s="302">
        <v>17.153920000000028</v>
      </c>
      <c r="CJ60" s="303"/>
      <c r="CK60" s="303"/>
      <c r="CL60" s="303">
        <f t="shared" si="34"/>
        <v>17.153920000000028</v>
      </c>
    </row>
    <row r="61" spans="2:90" hidden="1" x14ac:dyDescent="0.25">
      <c r="B61" s="295">
        <v>46070</v>
      </c>
      <c r="C61" s="296">
        <v>3792.69</v>
      </c>
      <c r="D61" s="296">
        <v>725.33</v>
      </c>
      <c r="E61" s="296">
        <v>4814.88</v>
      </c>
      <c r="F61" s="297"/>
      <c r="G61" s="298"/>
      <c r="H61" s="302"/>
      <c r="I61" s="303"/>
      <c r="J61" s="303">
        <v>43.8166765</v>
      </c>
      <c r="K61" s="303">
        <f t="shared" si="35"/>
        <v>43.8166765</v>
      </c>
      <c r="M61" s="295">
        <v>46070</v>
      </c>
      <c r="N61" s="296">
        <v>229</v>
      </c>
      <c r="O61" s="296">
        <v>128.5</v>
      </c>
      <c r="P61" s="296">
        <v>2607.9</v>
      </c>
      <c r="Q61" s="297">
        <v>204.52</v>
      </c>
      <c r="R61" s="301"/>
      <c r="S61" s="298"/>
      <c r="T61" s="302"/>
      <c r="U61" s="303"/>
      <c r="V61" s="303"/>
      <c r="W61" s="303">
        <f t="shared" si="27"/>
        <v>0</v>
      </c>
      <c r="Y61" s="295">
        <v>46070</v>
      </c>
      <c r="Z61" s="296">
        <v>370</v>
      </c>
      <c r="AA61" s="301">
        <v>146.61000000000001</v>
      </c>
      <c r="AB61" s="298"/>
      <c r="AC61" s="302"/>
      <c r="AD61" s="303"/>
      <c r="AE61" s="303"/>
      <c r="AF61" s="303">
        <f t="shared" si="28"/>
        <v>146.61000000000001</v>
      </c>
      <c r="AH61" s="295">
        <v>45886</v>
      </c>
      <c r="AI61" s="296">
        <v>1503.3</v>
      </c>
      <c r="AJ61" s="301">
        <v>0</v>
      </c>
      <c r="AK61" s="298"/>
      <c r="AL61" s="302"/>
      <c r="AM61" s="303"/>
      <c r="AN61" s="303"/>
      <c r="AO61" s="303">
        <f t="shared" si="29"/>
        <v>0</v>
      </c>
      <c r="AQ61" s="295">
        <v>46070</v>
      </c>
      <c r="AR61" s="296">
        <v>1935.83</v>
      </c>
      <c r="AS61" s="296">
        <v>600.16999999999996</v>
      </c>
      <c r="AT61" s="296">
        <v>3735.22</v>
      </c>
      <c r="AU61" s="301"/>
      <c r="AV61" s="297">
        <v>49.87</v>
      </c>
      <c r="AW61" s="297">
        <v>0</v>
      </c>
      <c r="AX61" s="298"/>
      <c r="AY61" s="302"/>
      <c r="AZ61" s="303"/>
      <c r="BA61" s="303"/>
      <c r="BB61" s="303">
        <f t="shared" si="30"/>
        <v>0</v>
      </c>
      <c r="BD61" s="295">
        <v>46070</v>
      </c>
      <c r="BE61" s="296">
        <v>7331.91</v>
      </c>
      <c r="BF61" s="301">
        <v>65.239999999999995</v>
      </c>
      <c r="BG61" s="298"/>
      <c r="BH61" s="302"/>
      <c r="BI61" s="303"/>
      <c r="BJ61" s="303"/>
      <c r="BK61" s="303">
        <f t="shared" si="31"/>
        <v>65.239999999999995</v>
      </c>
      <c r="BM61" s="295">
        <v>46070</v>
      </c>
      <c r="BN61" s="296">
        <v>5415.4</v>
      </c>
      <c r="BO61" s="330">
        <v>390.34</v>
      </c>
      <c r="BP61" s="298"/>
      <c r="BQ61" s="302"/>
      <c r="BR61" s="303"/>
      <c r="BS61" s="303"/>
      <c r="BT61" s="303">
        <f t="shared" si="32"/>
        <v>390.34</v>
      </c>
      <c r="BV61" s="295">
        <v>46070</v>
      </c>
      <c r="BW61" s="296">
        <v>596.1</v>
      </c>
      <c r="BX61" s="301">
        <v>0</v>
      </c>
      <c r="BY61" s="298"/>
      <c r="BZ61" s="302"/>
      <c r="CA61" s="303"/>
      <c r="CB61" s="303"/>
      <c r="CC61" s="303">
        <f t="shared" si="33"/>
        <v>0</v>
      </c>
      <c r="CE61" s="295">
        <v>46070</v>
      </c>
      <c r="CF61" s="296">
        <v>1470.15</v>
      </c>
      <c r="CG61" s="301"/>
      <c r="CI61" s="302">
        <v>29.803200000000004</v>
      </c>
      <c r="CJ61" s="303"/>
      <c r="CK61" s="303"/>
      <c r="CL61" s="303">
        <f t="shared" si="34"/>
        <v>29.803200000000004</v>
      </c>
    </row>
    <row r="62" spans="2:90" hidden="1" x14ac:dyDescent="0.25">
      <c r="B62" s="295">
        <v>46071</v>
      </c>
      <c r="C62" s="296">
        <v>2867.33</v>
      </c>
      <c r="D62" s="296">
        <v>667.64</v>
      </c>
      <c r="E62" s="296">
        <v>5283.3</v>
      </c>
      <c r="F62" s="297">
        <v>4</v>
      </c>
      <c r="G62" s="298"/>
      <c r="H62" s="302"/>
      <c r="I62" s="303">
        <v>74.563535238095028</v>
      </c>
      <c r="J62" s="303"/>
      <c r="K62" s="303">
        <f t="shared" si="35"/>
        <v>78.563535238095028</v>
      </c>
      <c r="M62" s="295">
        <v>46071</v>
      </c>
      <c r="N62" s="296">
        <v>1300.1600000000001</v>
      </c>
      <c r="O62" s="296">
        <v>333.38</v>
      </c>
      <c r="P62" s="296">
        <v>7972.14</v>
      </c>
      <c r="Q62" s="297">
        <v>121.4</v>
      </c>
      <c r="R62" s="301"/>
      <c r="S62" s="298"/>
      <c r="T62" s="302"/>
      <c r="U62" s="303"/>
      <c r="V62" s="303"/>
      <c r="W62" s="303">
        <f t="shared" si="27"/>
        <v>0</v>
      </c>
      <c r="Y62" s="295">
        <v>46071</v>
      </c>
      <c r="Z62" s="296">
        <v>758.72</v>
      </c>
      <c r="AA62" s="301">
        <v>235.25</v>
      </c>
      <c r="AB62" s="298"/>
      <c r="AC62" s="302"/>
      <c r="AD62" s="303"/>
      <c r="AE62" s="303"/>
      <c r="AF62" s="303">
        <f t="shared" si="28"/>
        <v>235.25</v>
      </c>
      <c r="AH62" s="295">
        <v>45887</v>
      </c>
      <c r="AI62" s="296">
        <v>864.57</v>
      </c>
      <c r="AJ62" s="301">
        <v>0</v>
      </c>
      <c r="AK62" s="298"/>
      <c r="AL62" s="302"/>
      <c r="AM62" s="303"/>
      <c r="AN62" s="303"/>
      <c r="AO62" s="303">
        <f t="shared" si="29"/>
        <v>0</v>
      </c>
      <c r="AQ62" s="295">
        <v>46071</v>
      </c>
      <c r="AR62" s="296">
        <v>2048.16</v>
      </c>
      <c r="AS62" s="296">
        <v>320.98</v>
      </c>
      <c r="AT62" s="296">
        <v>3956.29</v>
      </c>
      <c r="AU62" s="301"/>
      <c r="AV62" s="297">
        <v>27.36</v>
      </c>
      <c r="AW62" s="297">
        <v>0</v>
      </c>
      <c r="AX62" s="298"/>
      <c r="AY62" s="302"/>
      <c r="AZ62" s="303"/>
      <c r="BA62" s="303"/>
      <c r="BB62" s="303">
        <f t="shared" si="30"/>
        <v>0</v>
      </c>
      <c r="BD62" s="295">
        <v>46071</v>
      </c>
      <c r="BE62" s="296">
        <v>8153</v>
      </c>
      <c r="BF62" s="301">
        <v>74.37</v>
      </c>
      <c r="BG62" s="298"/>
      <c r="BH62" s="302">
        <v>50.295119999999976</v>
      </c>
      <c r="BI62" s="303"/>
      <c r="BJ62" s="303"/>
      <c r="BK62" s="303">
        <f t="shared" si="31"/>
        <v>124.66511999999997</v>
      </c>
      <c r="BM62" s="295">
        <v>46071</v>
      </c>
      <c r="BN62" s="296">
        <v>3398.5</v>
      </c>
      <c r="BO62" s="330">
        <v>404.5</v>
      </c>
      <c r="BP62" s="298"/>
      <c r="BQ62" s="302"/>
      <c r="BR62" s="303"/>
      <c r="BS62" s="303"/>
      <c r="BT62" s="303">
        <f t="shared" si="32"/>
        <v>404.5</v>
      </c>
      <c r="BV62" s="295">
        <v>46071</v>
      </c>
      <c r="BW62" s="296">
        <v>700.5</v>
      </c>
      <c r="BX62" s="301">
        <v>0</v>
      </c>
      <c r="BY62" s="298"/>
      <c r="BZ62" s="302"/>
      <c r="CA62" s="303"/>
      <c r="CB62" s="303"/>
      <c r="CC62" s="303">
        <f t="shared" si="33"/>
        <v>0</v>
      </c>
      <c r="CE62" s="295">
        <v>46071</v>
      </c>
      <c r="CF62" s="296">
        <v>1231.95</v>
      </c>
      <c r="CG62" s="301"/>
      <c r="CI62" s="302">
        <v>16.569000000000017</v>
      </c>
      <c r="CJ62" s="303"/>
      <c r="CK62" s="303"/>
      <c r="CL62" s="303">
        <f t="shared" si="34"/>
        <v>16.569000000000017</v>
      </c>
    </row>
    <row r="63" spans="2:90" hidden="1" x14ac:dyDescent="0.25">
      <c r="B63" s="295">
        <v>46072</v>
      </c>
      <c r="C63" s="296">
        <v>2974.54</v>
      </c>
      <c r="D63" s="296">
        <v>545.82000000000005</v>
      </c>
      <c r="E63" s="296">
        <v>4627.46</v>
      </c>
      <c r="F63" s="297"/>
      <c r="G63" s="298"/>
      <c r="H63" s="302"/>
      <c r="I63" s="303"/>
      <c r="J63" s="303"/>
      <c r="K63" s="303">
        <f t="shared" si="35"/>
        <v>0</v>
      </c>
      <c r="M63" s="295">
        <v>46072</v>
      </c>
      <c r="N63" s="296">
        <v>647.54999999999995</v>
      </c>
      <c r="O63" s="296">
        <v>200.85</v>
      </c>
      <c r="P63" s="296">
        <v>5750.58</v>
      </c>
      <c r="Q63" s="297">
        <v>181.46</v>
      </c>
      <c r="R63" s="301"/>
      <c r="S63" s="298"/>
      <c r="T63" s="302"/>
      <c r="U63" s="303"/>
      <c r="V63" s="303"/>
      <c r="W63" s="303">
        <f t="shared" si="27"/>
        <v>0</v>
      </c>
      <c r="Y63" s="295">
        <v>46072</v>
      </c>
      <c r="Z63" s="296">
        <v>2822.26</v>
      </c>
      <c r="AA63" s="301">
        <v>847.42</v>
      </c>
      <c r="AB63" s="298"/>
      <c r="AC63" s="302"/>
      <c r="AD63" s="303"/>
      <c r="AE63" s="303"/>
      <c r="AF63" s="303">
        <f t="shared" si="28"/>
        <v>847.42</v>
      </c>
      <c r="AH63" s="295">
        <v>45888</v>
      </c>
      <c r="AI63" s="296">
        <v>887.8</v>
      </c>
      <c r="AJ63" s="301">
        <v>0</v>
      </c>
      <c r="AK63" s="298"/>
      <c r="AL63" s="302"/>
      <c r="AM63" s="303"/>
      <c r="AN63" s="303"/>
      <c r="AO63" s="303">
        <f t="shared" si="29"/>
        <v>0</v>
      </c>
      <c r="AQ63" s="295">
        <v>46072</v>
      </c>
      <c r="AR63" s="296">
        <v>1955.17</v>
      </c>
      <c r="AS63" s="296">
        <v>397.56</v>
      </c>
      <c r="AT63" s="296">
        <v>4054.12</v>
      </c>
      <c r="AU63" s="301"/>
      <c r="AV63" s="297">
        <v>31.16</v>
      </c>
      <c r="AW63" s="297">
        <v>0</v>
      </c>
      <c r="AX63" s="298"/>
      <c r="AY63" s="302"/>
      <c r="AZ63" s="303"/>
      <c r="BA63" s="303"/>
      <c r="BB63" s="303">
        <f t="shared" si="30"/>
        <v>0</v>
      </c>
      <c r="BD63" s="295">
        <v>46072</v>
      </c>
      <c r="BE63" s="296">
        <v>8835.11</v>
      </c>
      <c r="BF63" s="301">
        <v>100.52</v>
      </c>
      <c r="BG63" s="298"/>
      <c r="BH63" s="302"/>
      <c r="BI63" s="303"/>
      <c r="BJ63" s="303"/>
      <c r="BK63" s="303">
        <f t="shared" si="31"/>
        <v>100.52</v>
      </c>
      <c r="BM63" s="295">
        <v>46072</v>
      </c>
      <c r="BN63" s="296">
        <v>3914.8</v>
      </c>
      <c r="BO63" s="330">
        <v>590.20000000000005</v>
      </c>
      <c r="BP63" s="298"/>
      <c r="BQ63" s="302"/>
      <c r="BR63" s="303"/>
      <c r="BS63" s="303"/>
      <c r="BT63" s="303">
        <f t="shared" si="32"/>
        <v>590.20000000000005</v>
      </c>
      <c r="BV63" s="295">
        <v>46072</v>
      </c>
      <c r="BW63" s="296">
        <v>830.93</v>
      </c>
      <c r="BX63" s="301">
        <v>0</v>
      </c>
      <c r="BY63" s="298"/>
      <c r="BZ63" s="302"/>
      <c r="CA63" s="303"/>
      <c r="CB63" s="303"/>
      <c r="CC63" s="303">
        <f t="shared" si="33"/>
        <v>0</v>
      </c>
      <c r="CE63" s="295">
        <v>46072</v>
      </c>
      <c r="CF63" s="296">
        <v>1644.72</v>
      </c>
      <c r="CG63" s="301"/>
      <c r="CI63" s="302">
        <v>6.308250000000001</v>
      </c>
      <c r="CJ63" s="303"/>
      <c r="CK63" s="303"/>
      <c r="CL63" s="303">
        <f t="shared" si="34"/>
        <v>6.308250000000001</v>
      </c>
    </row>
    <row r="64" spans="2:90" hidden="1" x14ac:dyDescent="0.25">
      <c r="B64" s="295">
        <v>46073</v>
      </c>
      <c r="C64" s="296">
        <v>3938.18</v>
      </c>
      <c r="D64" s="296">
        <v>490.29</v>
      </c>
      <c r="E64" s="296">
        <v>5999.9</v>
      </c>
      <c r="F64" s="297"/>
      <c r="G64" s="298"/>
      <c r="H64" s="302"/>
      <c r="I64" s="303"/>
      <c r="J64" s="303"/>
      <c r="K64" s="303">
        <f t="shared" si="35"/>
        <v>0</v>
      </c>
      <c r="M64" s="295">
        <v>46073</v>
      </c>
      <c r="N64" s="296">
        <v>979.2</v>
      </c>
      <c r="O64" s="296">
        <v>109.12</v>
      </c>
      <c r="P64" s="296">
        <v>4567.16</v>
      </c>
      <c r="Q64" s="297">
        <v>135.19</v>
      </c>
      <c r="R64" s="301"/>
      <c r="S64" s="298"/>
      <c r="T64" s="302"/>
      <c r="U64" s="303"/>
      <c r="V64" s="303"/>
      <c r="W64" s="303">
        <f t="shared" si="27"/>
        <v>0</v>
      </c>
      <c r="Y64" s="295">
        <v>46073</v>
      </c>
      <c r="Z64" s="296">
        <v>1690.78</v>
      </c>
      <c r="AA64" s="301">
        <v>435.78</v>
      </c>
      <c r="AB64" s="298"/>
      <c r="AC64" s="302"/>
      <c r="AD64" s="303"/>
      <c r="AE64" s="303"/>
      <c r="AF64" s="303">
        <f t="shared" si="28"/>
        <v>435.78</v>
      </c>
      <c r="AH64" s="295">
        <v>45889</v>
      </c>
      <c r="AI64" s="296">
        <v>676</v>
      </c>
      <c r="AJ64" s="301">
        <v>0</v>
      </c>
      <c r="AK64" s="298"/>
      <c r="AL64" s="302"/>
      <c r="AM64" s="303"/>
      <c r="AN64" s="303"/>
      <c r="AO64" s="303">
        <f t="shared" si="29"/>
        <v>0</v>
      </c>
      <c r="AQ64" s="295">
        <v>46073</v>
      </c>
      <c r="AR64" s="296">
        <v>953.78</v>
      </c>
      <c r="AS64" s="296">
        <v>323.69</v>
      </c>
      <c r="AT64" s="296">
        <v>3822.17</v>
      </c>
      <c r="AU64" s="301"/>
      <c r="AV64" s="297">
        <v>48.77</v>
      </c>
      <c r="AW64" s="297">
        <v>0</v>
      </c>
      <c r="AX64" s="298"/>
      <c r="AY64" s="302"/>
      <c r="AZ64" s="303"/>
      <c r="BA64" s="303"/>
      <c r="BB64" s="303">
        <f t="shared" si="30"/>
        <v>0</v>
      </c>
      <c r="BD64" s="295">
        <v>46073</v>
      </c>
      <c r="BE64" s="296">
        <v>8652.93</v>
      </c>
      <c r="BF64" s="301">
        <v>103.6</v>
      </c>
      <c r="BG64" s="298"/>
      <c r="BH64" s="302">
        <v>78.299999999999912</v>
      </c>
      <c r="BI64" s="303"/>
      <c r="BJ64" s="303"/>
      <c r="BK64" s="303">
        <f t="shared" si="31"/>
        <v>181.89999999999992</v>
      </c>
      <c r="BM64" s="295">
        <v>46073</v>
      </c>
      <c r="BN64" s="296">
        <v>6351.77</v>
      </c>
      <c r="BO64" s="330">
        <v>298.8</v>
      </c>
      <c r="BP64" s="298"/>
      <c r="BQ64" s="302"/>
      <c r="BR64" s="303"/>
      <c r="BS64" s="303"/>
      <c r="BT64" s="303">
        <f t="shared" si="32"/>
        <v>298.8</v>
      </c>
      <c r="BV64" s="295">
        <v>46073</v>
      </c>
      <c r="BW64" s="296">
        <v>529.5</v>
      </c>
      <c r="BX64" s="301">
        <v>0</v>
      </c>
      <c r="BY64" s="298"/>
      <c r="BZ64" s="302"/>
      <c r="CA64" s="303"/>
      <c r="CB64" s="303"/>
      <c r="CC64" s="303">
        <f t="shared" si="33"/>
        <v>0</v>
      </c>
      <c r="CE64" s="295">
        <v>46073</v>
      </c>
      <c r="CF64" s="296">
        <v>2053.19</v>
      </c>
      <c r="CG64" s="301"/>
      <c r="CI64" s="302">
        <v>47.348999999999933</v>
      </c>
      <c r="CJ64" s="303"/>
      <c r="CK64" s="303"/>
      <c r="CL64" s="303">
        <f t="shared" si="34"/>
        <v>47.348999999999933</v>
      </c>
    </row>
    <row r="65" spans="2:90" hidden="1" x14ac:dyDescent="0.25">
      <c r="B65" s="295">
        <v>46074</v>
      </c>
      <c r="C65" s="296">
        <v>2535.35</v>
      </c>
      <c r="D65" s="296">
        <v>686.86</v>
      </c>
      <c r="E65" s="296">
        <v>5142.57</v>
      </c>
      <c r="F65" s="297">
        <v>4</v>
      </c>
      <c r="G65" s="298"/>
      <c r="H65" s="302"/>
      <c r="I65" s="303">
        <v>74.551999999999907</v>
      </c>
      <c r="J65" s="303"/>
      <c r="K65" s="303">
        <f t="shared" si="35"/>
        <v>78.551999999999907</v>
      </c>
      <c r="M65" s="295">
        <v>46074</v>
      </c>
      <c r="N65" s="296">
        <v>2167.6799999999998</v>
      </c>
      <c r="O65" s="296">
        <v>239.7</v>
      </c>
      <c r="P65" s="296">
        <v>4948.74</v>
      </c>
      <c r="Q65" s="297">
        <v>132.85</v>
      </c>
      <c r="R65" s="301"/>
      <c r="S65" s="298"/>
      <c r="T65" s="302"/>
      <c r="U65" s="303"/>
      <c r="V65" s="303"/>
      <c r="W65" s="303">
        <f t="shared" si="27"/>
        <v>0</v>
      </c>
      <c r="Y65" s="295">
        <v>46074</v>
      </c>
      <c r="Z65" s="296">
        <v>1730.64</v>
      </c>
      <c r="AA65" s="301">
        <v>445.68</v>
      </c>
      <c r="AB65" s="298"/>
      <c r="AC65" s="302"/>
      <c r="AD65" s="303"/>
      <c r="AE65" s="303"/>
      <c r="AF65" s="303">
        <f t="shared" si="28"/>
        <v>445.68</v>
      </c>
      <c r="AH65" s="295">
        <v>45890</v>
      </c>
      <c r="AI65" s="296">
        <v>683.92</v>
      </c>
      <c r="AJ65" s="301">
        <v>0</v>
      </c>
      <c r="AK65" s="298"/>
      <c r="AL65" s="302"/>
      <c r="AM65" s="303"/>
      <c r="AN65" s="303"/>
      <c r="AO65" s="303">
        <f t="shared" si="29"/>
        <v>0</v>
      </c>
      <c r="AQ65" s="295">
        <v>46074</v>
      </c>
      <c r="AR65" s="296">
        <v>1971.39</v>
      </c>
      <c r="AS65" s="296">
        <v>412.57</v>
      </c>
      <c r="AT65" s="296">
        <v>3763.67</v>
      </c>
      <c r="AU65" s="301"/>
      <c r="AV65" s="297">
        <v>108.21</v>
      </c>
      <c r="AW65" s="297">
        <v>0</v>
      </c>
      <c r="AX65" s="298"/>
      <c r="AY65" s="302"/>
      <c r="AZ65" s="303"/>
      <c r="BA65" s="303"/>
      <c r="BB65" s="303">
        <f t="shared" si="30"/>
        <v>0</v>
      </c>
      <c r="BD65" s="295">
        <v>46074</v>
      </c>
      <c r="BE65" s="296">
        <v>9396.76</v>
      </c>
      <c r="BF65" s="301">
        <v>115.81</v>
      </c>
      <c r="BG65" s="298"/>
      <c r="BH65" s="302">
        <v>33.285599999999974</v>
      </c>
      <c r="BI65" s="303"/>
      <c r="BJ65" s="303"/>
      <c r="BK65" s="303">
        <f t="shared" si="31"/>
        <v>149.09559999999999</v>
      </c>
      <c r="BM65" s="295">
        <v>46074</v>
      </c>
      <c r="BN65" s="296">
        <v>7870</v>
      </c>
      <c r="BO65" s="330">
        <v>835.95</v>
      </c>
      <c r="BP65" s="298"/>
      <c r="BQ65" s="302"/>
      <c r="BR65" s="303"/>
      <c r="BS65" s="303"/>
      <c r="BT65" s="303">
        <f t="shared" si="32"/>
        <v>835.95</v>
      </c>
      <c r="BV65" s="295">
        <v>46074</v>
      </c>
      <c r="BW65" s="296">
        <v>806.71</v>
      </c>
      <c r="BX65" s="301">
        <v>0</v>
      </c>
      <c r="BY65" s="298"/>
      <c r="BZ65" s="302"/>
      <c r="CA65" s="303"/>
      <c r="CB65" s="303"/>
      <c r="CC65" s="303">
        <f t="shared" si="33"/>
        <v>0</v>
      </c>
      <c r="CE65" s="295">
        <v>46074</v>
      </c>
      <c r="CF65" s="296">
        <v>1534.92</v>
      </c>
      <c r="CG65" s="301"/>
      <c r="CI65" s="302"/>
      <c r="CJ65" s="303"/>
      <c r="CK65" s="303"/>
      <c r="CL65" s="303">
        <f t="shared" si="34"/>
        <v>0</v>
      </c>
    </row>
    <row r="66" spans="2:90" hidden="1" x14ac:dyDescent="0.25">
      <c r="B66" s="295">
        <v>46075</v>
      </c>
      <c r="C66" s="296">
        <v>953.5</v>
      </c>
      <c r="D66" s="296">
        <v>295.42</v>
      </c>
      <c r="E66" s="296">
        <v>3267.56</v>
      </c>
      <c r="F66" s="297"/>
      <c r="G66" s="298"/>
      <c r="H66" s="302"/>
      <c r="I66" s="303"/>
      <c r="J66" s="303"/>
      <c r="K66" s="303">
        <f t="shared" si="35"/>
        <v>0</v>
      </c>
      <c r="M66" s="295">
        <v>46075</v>
      </c>
      <c r="N66" s="296">
        <v>685.2</v>
      </c>
      <c r="O66" s="296">
        <v>109.73</v>
      </c>
      <c r="P66" s="296">
        <v>5217.6400000000003</v>
      </c>
      <c r="Q66" s="297">
        <v>72.8</v>
      </c>
      <c r="R66" s="301"/>
      <c r="S66" s="298"/>
      <c r="T66" s="302"/>
      <c r="U66" s="303"/>
      <c r="V66" s="303"/>
      <c r="W66" s="303">
        <f t="shared" si="27"/>
        <v>0</v>
      </c>
      <c r="Y66" s="295">
        <v>46075</v>
      </c>
      <c r="Z66" s="296">
        <v>407.55</v>
      </c>
      <c r="AA66" s="301">
        <v>125.62</v>
      </c>
      <c r="AB66" s="298"/>
      <c r="AC66" s="302"/>
      <c r="AD66" s="303"/>
      <c r="AE66" s="303"/>
      <c r="AF66" s="303">
        <f t="shared" si="28"/>
        <v>125.62</v>
      </c>
      <c r="AH66" s="295">
        <v>45891</v>
      </c>
      <c r="AI66" s="296">
        <v>645.83000000000004</v>
      </c>
      <c r="AJ66" s="301">
        <v>0</v>
      </c>
      <c r="AK66" s="298"/>
      <c r="AL66" s="302"/>
      <c r="AM66" s="303"/>
      <c r="AN66" s="303"/>
      <c r="AO66" s="303">
        <f t="shared" si="29"/>
        <v>0</v>
      </c>
      <c r="AQ66" s="295">
        <v>46075</v>
      </c>
      <c r="AR66" s="296">
        <v>1265.79</v>
      </c>
      <c r="AS66" s="296">
        <v>424.17</v>
      </c>
      <c r="AT66" s="296">
        <v>3222.23</v>
      </c>
      <c r="AU66" s="301"/>
      <c r="AV66" s="297">
        <v>148.72999999999999</v>
      </c>
      <c r="AW66" s="297">
        <v>0</v>
      </c>
      <c r="AX66" s="298"/>
      <c r="AY66" s="302"/>
      <c r="AZ66" s="303"/>
      <c r="BA66" s="303"/>
      <c r="BB66" s="303">
        <f t="shared" si="30"/>
        <v>0</v>
      </c>
      <c r="BD66" s="295">
        <v>46075</v>
      </c>
      <c r="BE66" s="296">
        <v>6502.15</v>
      </c>
      <c r="BF66" s="301">
        <v>72.58</v>
      </c>
      <c r="BG66" s="298"/>
      <c r="BH66" s="302"/>
      <c r="BI66" s="303"/>
      <c r="BJ66" s="303"/>
      <c r="BK66" s="303">
        <f t="shared" si="31"/>
        <v>72.58</v>
      </c>
      <c r="BM66" s="295">
        <v>46075</v>
      </c>
      <c r="BN66" s="296">
        <v>1798.5</v>
      </c>
      <c r="BO66" s="330">
        <v>462.05</v>
      </c>
      <c r="BP66" s="298"/>
      <c r="BQ66" s="302"/>
      <c r="BR66" s="303"/>
      <c r="BS66" s="303"/>
      <c r="BT66" s="303">
        <f t="shared" si="32"/>
        <v>462.05</v>
      </c>
      <c r="BV66" s="295">
        <v>46075</v>
      </c>
      <c r="BW66" s="296">
        <v>632.5</v>
      </c>
      <c r="BX66" s="301">
        <v>0</v>
      </c>
      <c r="BY66" s="298"/>
      <c r="BZ66" s="302"/>
      <c r="CA66" s="303"/>
      <c r="CB66" s="303"/>
      <c r="CC66" s="303">
        <f t="shared" si="33"/>
        <v>0</v>
      </c>
      <c r="CE66" s="295">
        <v>46075</v>
      </c>
      <c r="CF66" s="296">
        <v>1461.69</v>
      </c>
      <c r="CG66" s="301"/>
      <c r="CI66" s="302"/>
      <c r="CJ66" s="303"/>
      <c r="CK66" s="303"/>
      <c r="CL66" s="303">
        <f t="shared" si="34"/>
        <v>0</v>
      </c>
    </row>
    <row r="67" spans="2:90" hidden="1" x14ac:dyDescent="0.25">
      <c r="B67" s="295">
        <v>46076</v>
      </c>
      <c r="C67" s="296">
        <v>3088.59</v>
      </c>
      <c r="D67" s="296">
        <v>440.27</v>
      </c>
      <c r="E67" s="296">
        <v>4623.9399999999996</v>
      </c>
      <c r="F67" s="297"/>
      <c r="G67" s="298"/>
      <c r="H67" s="302"/>
      <c r="I67" s="303"/>
      <c r="J67" s="303">
        <v>11.593779600000005</v>
      </c>
      <c r="K67" s="303">
        <f t="shared" si="35"/>
        <v>11.593779600000005</v>
      </c>
      <c r="M67" s="295">
        <v>46076</v>
      </c>
      <c r="N67" s="296">
        <v>0</v>
      </c>
      <c r="O67" s="296">
        <v>0</v>
      </c>
      <c r="P67" s="296">
        <v>6129.83</v>
      </c>
      <c r="Q67" s="297">
        <v>114.17</v>
      </c>
      <c r="R67" s="301"/>
      <c r="S67" s="298"/>
      <c r="T67" s="302"/>
      <c r="U67" s="303"/>
      <c r="V67" s="303"/>
      <c r="W67" s="303">
        <f t="shared" si="27"/>
        <v>0</v>
      </c>
      <c r="Y67" s="295">
        <v>46076</v>
      </c>
      <c r="Z67" s="296">
        <v>1953.21</v>
      </c>
      <c r="AA67" s="301">
        <v>512.41999999999996</v>
      </c>
      <c r="AB67" s="298"/>
      <c r="AC67" s="302"/>
      <c r="AD67" s="303"/>
      <c r="AE67" s="303"/>
      <c r="AF67" s="303">
        <f t="shared" si="28"/>
        <v>512.41999999999996</v>
      </c>
      <c r="AH67" s="295">
        <v>45892</v>
      </c>
      <c r="AI67" s="296">
        <v>828.5</v>
      </c>
      <c r="AJ67" s="301">
        <v>0</v>
      </c>
      <c r="AK67" s="298"/>
      <c r="AL67" s="302"/>
      <c r="AM67" s="303"/>
      <c r="AN67" s="303"/>
      <c r="AO67" s="303">
        <f t="shared" si="29"/>
        <v>0</v>
      </c>
      <c r="AQ67" s="295">
        <v>46076</v>
      </c>
      <c r="AR67" s="296">
        <v>1155.9000000000001</v>
      </c>
      <c r="AS67" s="296">
        <v>370.34</v>
      </c>
      <c r="AT67" s="296">
        <v>2936.48</v>
      </c>
      <c r="AU67" s="301"/>
      <c r="AV67" s="297">
        <v>69.209999999999994</v>
      </c>
      <c r="AW67" s="297">
        <v>0</v>
      </c>
      <c r="AX67" s="298"/>
      <c r="AY67" s="302"/>
      <c r="AZ67" s="303"/>
      <c r="BA67" s="303"/>
      <c r="BB67" s="303">
        <f t="shared" si="30"/>
        <v>0</v>
      </c>
      <c r="BD67" s="295">
        <v>46076</v>
      </c>
      <c r="BE67" s="296">
        <v>9250.0499999999993</v>
      </c>
      <c r="BF67" s="301">
        <v>53.98</v>
      </c>
      <c r="BG67" s="298"/>
      <c r="BH67" s="302">
        <v>27.408519999999982</v>
      </c>
      <c r="BI67" s="303"/>
      <c r="BJ67" s="303"/>
      <c r="BK67" s="303">
        <f t="shared" si="31"/>
        <v>81.388519999999971</v>
      </c>
      <c r="BM67" s="295">
        <v>46076</v>
      </c>
      <c r="BN67" s="296">
        <v>5585.27</v>
      </c>
      <c r="BO67" s="330">
        <v>530.36</v>
      </c>
      <c r="BP67" s="298"/>
      <c r="BQ67" s="302"/>
      <c r="BR67" s="303"/>
      <c r="BS67" s="303"/>
      <c r="BT67" s="303">
        <f t="shared" si="32"/>
        <v>530.36</v>
      </c>
      <c r="BV67" s="295">
        <v>46076</v>
      </c>
      <c r="BW67" s="296">
        <v>638</v>
      </c>
      <c r="BX67" s="301">
        <v>0</v>
      </c>
      <c r="BY67" s="298"/>
      <c r="BZ67" s="302"/>
      <c r="CA67" s="303"/>
      <c r="CB67" s="303"/>
      <c r="CC67" s="303">
        <f t="shared" si="33"/>
        <v>0</v>
      </c>
      <c r="CE67" s="295">
        <v>46076</v>
      </c>
      <c r="CF67" s="296">
        <v>1983.88</v>
      </c>
      <c r="CG67" s="301"/>
      <c r="CI67" s="302"/>
      <c r="CJ67" s="303"/>
      <c r="CK67" s="303"/>
      <c r="CL67" s="303">
        <f t="shared" si="34"/>
        <v>0</v>
      </c>
    </row>
    <row r="68" spans="2:90" hidden="1" x14ac:dyDescent="0.25">
      <c r="B68" s="295">
        <v>46077</v>
      </c>
      <c r="C68" s="296">
        <v>3115.91</v>
      </c>
      <c r="D68" s="296">
        <v>735.73</v>
      </c>
      <c r="E68" s="296">
        <v>4610.16</v>
      </c>
      <c r="F68" s="297"/>
      <c r="G68" s="298"/>
      <c r="H68" s="302"/>
      <c r="I68" s="303"/>
      <c r="J68" s="303">
        <v>108.35241560000006</v>
      </c>
      <c r="K68" s="303">
        <f t="shared" si="35"/>
        <v>108.35241560000006</v>
      </c>
      <c r="M68" s="295">
        <v>46077</v>
      </c>
      <c r="N68" s="296">
        <v>992.3</v>
      </c>
      <c r="O68" s="296">
        <v>146.74</v>
      </c>
      <c r="P68" s="296">
        <v>4521.62</v>
      </c>
      <c r="Q68" s="297">
        <v>250.27</v>
      </c>
      <c r="R68" s="301"/>
      <c r="S68" s="298"/>
      <c r="T68" s="302"/>
      <c r="U68" s="303"/>
      <c r="V68" s="303"/>
      <c r="W68" s="303">
        <f t="shared" si="27"/>
        <v>0</v>
      </c>
      <c r="Y68" s="295">
        <v>46077</v>
      </c>
      <c r="Z68" s="296">
        <v>922.32</v>
      </c>
      <c r="AA68" s="301">
        <v>347.16</v>
      </c>
      <c r="AB68" s="298"/>
      <c r="AC68" s="302"/>
      <c r="AD68" s="303"/>
      <c r="AE68" s="303"/>
      <c r="AF68" s="303">
        <f t="shared" si="28"/>
        <v>347.16</v>
      </c>
      <c r="AH68" s="295">
        <v>45893</v>
      </c>
      <c r="AI68" s="296">
        <v>736</v>
      </c>
      <c r="AJ68" s="301">
        <v>0</v>
      </c>
      <c r="AK68" s="298"/>
      <c r="AL68" s="302"/>
      <c r="AM68" s="303"/>
      <c r="AN68" s="303"/>
      <c r="AO68" s="303">
        <f t="shared" si="29"/>
        <v>0</v>
      </c>
      <c r="AQ68" s="295">
        <v>46077</v>
      </c>
      <c r="AR68" s="296">
        <v>1579</v>
      </c>
      <c r="AS68" s="296">
        <v>504.31</v>
      </c>
      <c r="AT68" s="296">
        <v>3423.39</v>
      </c>
      <c r="AU68" s="301"/>
      <c r="AV68" s="297">
        <v>20.65</v>
      </c>
      <c r="AW68" s="297">
        <v>0</v>
      </c>
      <c r="AX68" s="298"/>
      <c r="AY68" s="302"/>
      <c r="AZ68" s="303"/>
      <c r="BA68" s="303"/>
      <c r="BB68" s="303">
        <f t="shared" si="30"/>
        <v>0</v>
      </c>
      <c r="BD68" s="295">
        <v>46077</v>
      </c>
      <c r="BE68" s="296">
        <v>8036.89</v>
      </c>
      <c r="BF68" s="301">
        <v>63.13</v>
      </c>
      <c r="BG68" s="298"/>
      <c r="BH68" s="302">
        <v>37.445959999999999</v>
      </c>
      <c r="BI68" s="303"/>
      <c r="BJ68" s="303"/>
      <c r="BK68" s="303">
        <f t="shared" si="31"/>
        <v>100.57596000000001</v>
      </c>
      <c r="BM68" s="295">
        <v>46077</v>
      </c>
      <c r="BN68" s="296">
        <v>2034.63</v>
      </c>
      <c r="BO68" s="330">
        <v>404.77</v>
      </c>
      <c r="BP68" s="298"/>
      <c r="BQ68" s="302"/>
      <c r="BR68" s="303"/>
      <c r="BS68" s="303"/>
      <c r="BT68" s="303">
        <f t="shared" si="32"/>
        <v>404.77</v>
      </c>
      <c r="BV68" s="295">
        <v>46077</v>
      </c>
      <c r="BW68" s="296">
        <v>138.51</v>
      </c>
      <c r="BX68" s="301">
        <v>0</v>
      </c>
      <c r="BY68" s="298"/>
      <c r="BZ68" s="302"/>
      <c r="CA68" s="303"/>
      <c r="CB68" s="303"/>
      <c r="CC68" s="303">
        <f t="shared" si="33"/>
        <v>0</v>
      </c>
      <c r="CE68" s="295">
        <v>46077</v>
      </c>
      <c r="CF68" s="296">
        <v>2159.7199999999998</v>
      </c>
      <c r="CG68" s="301"/>
      <c r="CI68" s="302">
        <v>9.5240000000000009</v>
      </c>
      <c r="CJ68" s="303"/>
      <c r="CK68" s="303"/>
      <c r="CL68" s="303">
        <f t="shared" si="34"/>
        <v>9.5240000000000009</v>
      </c>
    </row>
    <row r="69" spans="2:90" hidden="1" x14ac:dyDescent="0.25">
      <c r="B69" s="295">
        <v>46078</v>
      </c>
      <c r="C69" s="296">
        <v>5143.41</v>
      </c>
      <c r="D69" s="296">
        <v>535.66</v>
      </c>
      <c r="E69" s="296">
        <v>5707.91</v>
      </c>
      <c r="F69" s="297"/>
      <c r="G69" s="298"/>
      <c r="H69" s="302"/>
      <c r="I69" s="303"/>
      <c r="J69" s="303">
        <v>6.8328144000000037</v>
      </c>
      <c r="K69" s="303">
        <f t="shared" si="35"/>
        <v>6.8328144000000037</v>
      </c>
      <c r="M69" s="295">
        <v>46078</v>
      </c>
      <c r="N69" s="296">
        <v>10</v>
      </c>
      <c r="O69" s="296">
        <v>77.349999999999994</v>
      </c>
      <c r="P69" s="296">
        <v>2628.97</v>
      </c>
      <c r="Q69" s="297">
        <v>84.72</v>
      </c>
      <c r="R69" s="301"/>
      <c r="S69" s="298"/>
      <c r="T69" s="302"/>
      <c r="U69" s="303"/>
      <c r="V69" s="303"/>
      <c r="W69" s="303">
        <f t="shared" si="27"/>
        <v>0</v>
      </c>
      <c r="Y69" s="295">
        <v>46078</v>
      </c>
      <c r="Z69" s="296">
        <v>701.3</v>
      </c>
      <c r="AA69" s="301">
        <v>344.54</v>
      </c>
      <c r="AB69" s="298"/>
      <c r="AC69" s="302"/>
      <c r="AD69" s="303"/>
      <c r="AE69" s="303"/>
      <c r="AF69" s="303">
        <f t="shared" si="28"/>
        <v>344.54</v>
      </c>
      <c r="AH69" s="295">
        <v>45894</v>
      </c>
      <c r="AI69" s="296">
        <v>1077.5</v>
      </c>
      <c r="AJ69" s="301">
        <v>0</v>
      </c>
      <c r="AK69" s="298"/>
      <c r="AL69" s="302"/>
      <c r="AM69" s="303"/>
      <c r="AN69" s="303"/>
      <c r="AO69" s="303">
        <f t="shared" si="29"/>
        <v>0</v>
      </c>
      <c r="AQ69" s="295">
        <v>46078</v>
      </c>
      <c r="AR69" s="296">
        <v>2648.71</v>
      </c>
      <c r="AS69" s="296">
        <v>415.82</v>
      </c>
      <c r="AT69" s="296">
        <v>4150.3</v>
      </c>
      <c r="AU69" s="301"/>
      <c r="AV69" s="297">
        <v>10.24</v>
      </c>
      <c r="AW69" s="297">
        <v>0</v>
      </c>
      <c r="AX69" s="298"/>
      <c r="AY69" s="302"/>
      <c r="AZ69" s="303"/>
      <c r="BA69" s="303"/>
      <c r="BB69" s="303">
        <f t="shared" si="30"/>
        <v>0</v>
      </c>
      <c r="BD69" s="295">
        <v>46078</v>
      </c>
      <c r="BE69" s="296">
        <v>8807.3799999999992</v>
      </c>
      <c r="BF69" s="301">
        <v>48.12</v>
      </c>
      <c r="BG69" s="298"/>
      <c r="BH69" s="302">
        <v>52.604740000000007</v>
      </c>
      <c r="BI69" s="303"/>
      <c r="BJ69" s="303"/>
      <c r="BK69" s="303">
        <f t="shared" si="31"/>
        <v>100.72474</v>
      </c>
      <c r="BM69" s="295">
        <v>46078</v>
      </c>
      <c r="BN69" s="296">
        <v>1428</v>
      </c>
      <c r="BO69" s="330">
        <v>87.6</v>
      </c>
      <c r="BP69" s="298"/>
      <c r="BQ69" s="302"/>
      <c r="BR69" s="303"/>
      <c r="BS69" s="303"/>
      <c r="BT69" s="303">
        <f t="shared" si="32"/>
        <v>87.6</v>
      </c>
      <c r="BV69" s="295">
        <v>46078</v>
      </c>
      <c r="BW69" s="296">
        <v>456.1</v>
      </c>
      <c r="BX69" s="301">
        <v>0</v>
      </c>
      <c r="BY69" s="298"/>
      <c r="BZ69" s="302"/>
      <c r="CA69" s="303"/>
      <c r="CB69" s="303"/>
      <c r="CC69" s="303">
        <f t="shared" si="33"/>
        <v>0</v>
      </c>
      <c r="CE69" s="295">
        <v>46078</v>
      </c>
      <c r="CF69" s="296">
        <v>828.45</v>
      </c>
      <c r="CG69" s="301"/>
      <c r="CI69" s="302">
        <v>20.180780000000013</v>
      </c>
      <c r="CJ69" s="303"/>
      <c r="CK69" s="303"/>
      <c r="CL69" s="303">
        <f t="shared" si="34"/>
        <v>20.180780000000013</v>
      </c>
    </row>
    <row r="70" spans="2:90" hidden="1" x14ac:dyDescent="0.25">
      <c r="B70" s="295">
        <v>46079</v>
      </c>
      <c r="C70" s="296">
        <v>3519.9</v>
      </c>
      <c r="D70" s="296">
        <v>484.27</v>
      </c>
      <c r="E70" s="296">
        <v>5432.55</v>
      </c>
      <c r="F70" s="297"/>
      <c r="G70" s="298"/>
      <c r="H70" s="302"/>
      <c r="I70" s="303">
        <v>314.67756761904775</v>
      </c>
      <c r="J70" s="303"/>
      <c r="K70" s="303">
        <f t="shared" si="35"/>
        <v>314.67756761904775</v>
      </c>
      <c r="M70" s="295">
        <v>46079</v>
      </c>
      <c r="N70" s="296">
        <v>0</v>
      </c>
      <c r="O70" s="296">
        <v>163.44999999999999</v>
      </c>
      <c r="P70" s="296">
        <v>2126.9499999999998</v>
      </c>
      <c r="Q70" s="297">
        <v>140.09</v>
      </c>
      <c r="R70" s="301"/>
      <c r="S70" s="298"/>
      <c r="T70" s="302"/>
      <c r="U70" s="303"/>
      <c r="V70" s="303"/>
      <c r="W70" s="303">
        <f t="shared" si="27"/>
        <v>0</v>
      </c>
      <c r="Y70" s="295">
        <v>46079</v>
      </c>
      <c r="Z70" s="296">
        <v>1369.53</v>
      </c>
      <c r="AA70" s="301">
        <v>435.26</v>
      </c>
      <c r="AB70" s="298"/>
      <c r="AC70" s="302"/>
      <c r="AD70" s="303"/>
      <c r="AE70" s="303"/>
      <c r="AF70" s="303">
        <f t="shared" si="28"/>
        <v>435.26</v>
      </c>
      <c r="AH70" s="295">
        <v>45895</v>
      </c>
      <c r="AI70" s="296">
        <v>674.5</v>
      </c>
      <c r="AJ70" s="301">
        <v>0</v>
      </c>
      <c r="AK70" s="298"/>
      <c r="AL70" s="302"/>
      <c r="AM70" s="303"/>
      <c r="AN70" s="303"/>
      <c r="AO70" s="303">
        <f t="shared" si="29"/>
        <v>0</v>
      </c>
      <c r="AQ70" s="295">
        <v>46079</v>
      </c>
      <c r="AR70" s="296">
        <v>2074.0500000000002</v>
      </c>
      <c r="AS70" s="296">
        <v>317.49</v>
      </c>
      <c r="AT70" s="296">
        <v>3706.32</v>
      </c>
      <c r="AU70" s="301"/>
      <c r="AV70" s="297">
        <v>49.14</v>
      </c>
      <c r="AW70" s="297">
        <v>0</v>
      </c>
      <c r="AX70" s="298"/>
      <c r="AY70" s="302"/>
      <c r="AZ70" s="303"/>
      <c r="BA70" s="303"/>
      <c r="BB70" s="303">
        <f t="shared" si="30"/>
        <v>0</v>
      </c>
      <c r="BD70" s="295">
        <v>46079</v>
      </c>
      <c r="BE70" s="296">
        <v>8993.06</v>
      </c>
      <c r="BF70" s="301">
        <v>95.82</v>
      </c>
      <c r="BG70" s="298"/>
      <c r="BH70" s="302"/>
      <c r="BI70" s="303"/>
      <c r="BJ70" s="303"/>
      <c r="BK70" s="303">
        <f t="shared" si="31"/>
        <v>95.82</v>
      </c>
      <c r="BM70" s="295">
        <v>46079</v>
      </c>
      <c r="BN70" s="296">
        <v>3600.5</v>
      </c>
      <c r="BO70" s="330">
        <v>249.5</v>
      </c>
      <c r="BP70" s="298"/>
      <c r="BQ70" s="302"/>
      <c r="BR70" s="303"/>
      <c r="BS70" s="303"/>
      <c r="BT70" s="303">
        <f t="shared" si="32"/>
        <v>249.5</v>
      </c>
      <c r="BV70" s="295">
        <v>46079</v>
      </c>
      <c r="BW70" s="296">
        <v>626.29999999999995</v>
      </c>
      <c r="BX70" s="301">
        <v>0</v>
      </c>
      <c r="BY70" s="298"/>
      <c r="BZ70" s="302"/>
      <c r="CA70" s="303"/>
      <c r="CB70" s="303"/>
      <c r="CC70" s="303">
        <f t="shared" si="33"/>
        <v>0</v>
      </c>
      <c r="CE70" s="295">
        <v>46079</v>
      </c>
      <c r="CF70" s="296">
        <v>2159.35</v>
      </c>
      <c r="CG70" s="301"/>
      <c r="CI70" s="302">
        <v>10.315699999999993</v>
      </c>
      <c r="CJ70" s="303"/>
      <c r="CK70" s="303"/>
      <c r="CL70" s="303">
        <f t="shared" si="34"/>
        <v>10.315699999999993</v>
      </c>
    </row>
    <row r="71" spans="2:90" hidden="1" x14ac:dyDescent="0.25">
      <c r="B71" s="295">
        <v>46080</v>
      </c>
      <c r="C71" s="296">
        <v>4356.18</v>
      </c>
      <c r="D71" s="296">
        <v>635.46</v>
      </c>
      <c r="E71" s="296">
        <v>5735.36</v>
      </c>
      <c r="F71" s="297">
        <v>1</v>
      </c>
      <c r="G71" s="298"/>
      <c r="H71" s="302"/>
      <c r="I71" s="303">
        <v>21.835518095238115</v>
      </c>
      <c r="J71" s="303">
        <v>13.987670400000013</v>
      </c>
      <c r="K71" s="303">
        <f t="shared" si="35"/>
        <v>36.823188495238128</v>
      </c>
      <c r="M71" s="295">
        <v>46080</v>
      </c>
      <c r="N71" s="296">
        <v>1519.97</v>
      </c>
      <c r="O71" s="296">
        <v>263.39</v>
      </c>
      <c r="P71" s="296">
        <v>4488.66</v>
      </c>
      <c r="Q71" s="297">
        <v>140.09</v>
      </c>
      <c r="R71" s="301"/>
      <c r="S71" s="298"/>
      <c r="T71" s="302"/>
      <c r="U71" s="303"/>
      <c r="V71" s="303"/>
      <c r="W71" s="303">
        <f t="shared" si="27"/>
        <v>0</v>
      </c>
      <c r="Y71" s="295">
        <v>46080</v>
      </c>
      <c r="Z71" s="296">
        <v>969.4</v>
      </c>
      <c r="AA71" s="301">
        <v>199.61</v>
      </c>
      <c r="AB71" s="298"/>
      <c r="AC71" s="302"/>
      <c r="AD71" s="303"/>
      <c r="AE71" s="303"/>
      <c r="AF71" s="303">
        <f t="shared" si="28"/>
        <v>199.61</v>
      </c>
      <c r="AH71" s="295">
        <v>45896</v>
      </c>
      <c r="AI71" s="296">
        <v>903</v>
      </c>
      <c r="AJ71" s="301">
        <v>0</v>
      </c>
      <c r="AK71" s="298"/>
      <c r="AL71" s="302"/>
      <c r="AM71" s="303"/>
      <c r="AN71" s="303"/>
      <c r="AO71" s="303">
        <f t="shared" si="29"/>
        <v>0</v>
      </c>
      <c r="AQ71" s="295">
        <v>46080</v>
      </c>
      <c r="AR71" s="296">
        <v>1351.13</v>
      </c>
      <c r="AS71" s="296">
        <v>164.3</v>
      </c>
      <c r="AT71" s="296">
        <v>3300.06</v>
      </c>
      <c r="AU71" s="301"/>
      <c r="AV71" s="297">
        <v>110.13</v>
      </c>
      <c r="AW71" s="297">
        <v>0</v>
      </c>
      <c r="AX71" s="298"/>
      <c r="AY71" s="302"/>
      <c r="AZ71" s="303"/>
      <c r="BA71" s="303"/>
      <c r="BB71" s="303">
        <f t="shared" si="30"/>
        <v>0</v>
      </c>
      <c r="BD71" s="295">
        <v>46080</v>
      </c>
      <c r="BE71" s="296">
        <v>11264.47</v>
      </c>
      <c r="BF71" s="301">
        <v>109.66</v>
      </c>
      <c r="BG71" s="298"/>
      <c r="BH71" s="302">
        <v>54.747000000000014</v>
      </c>
      <c r="BI71" s="303"/>
      <c r="BJ71" s="303"/>
      <c r="BK71" s="303">
        <f t="shared" si="31"/>
        <v>164.40700000000001</v>
      </c>
      <c r="BM71" s="295">
        <v>46080</v>
      </c>
      <c r="BN71" s="296">
        <v>5092.5</v>
      </c>
      <c r="BO71" s="330">
        <v>457.49</v>
      </c>
      <c r="BP71" s="298"/>
      <c r="BQ71" s="302"/>
      <c r="BR71" s="303"/>
      <c r="BS71" s="303"/>
      <c r="BT71" s="303">
        <f t="shared" si="32"/>
        <v>457.49</v>
      </c>
      <c r="BV71" s="295">
        <v>46080</v>
      </c>
      <c r="BW71" s="296">
        <v>516.6</v>
      </c>
      <c r="BX71" s="301">
        <v>0</v>
      </c>
      <c r="BY71" s="298"/>
      <c r="BZ71" s="302"/>
      <c r="CA71" s="303"/>
      <c r="CB71" s="303"/>
      <c r="CC71" s="303">
        <f t="shared" si="33"/>
        <v>0</v>
      </c>
      <c r="CE71" s="295">
        <v>46080</v>
      </c>
      <c r="CF71" s="301">
        <v>0</v>
      </c>
      <c r="CG71" s="301"/>
      <c r="CI71" s="302">
        <v>14.229559999999964</v>
      </c>
      <c r="CJ71" s="303"/>
      <c r="CK71" s="303"/>
      <c r="CL71" s="303">
        <f t="shared" si="34"/>
        <v>14.229559999999964</v>
      </c>
    </row>
    <row r="72" spans="2:90" ht="16.5" hidden="1" thickBot="1" x14ac:dyDescent="0.3">
      <c r="B72" s="295">
        <v>46081</v>
      </c>
      <c r="C72" s="296">
        <v>3489.2</v>
      </c>
      <c r="D72" s="296">
        <v>973.05</v>
      </c>
      <c r="E72" s="296">
        <v>6001.29</v>
      </c>
      <c r="F72" s="297"/>
      <c r="G72" s="298"/>
      <c r="H72" s="302"/>
      <c r="I72" s="303"/>
      <c r="J72" s="303"/>
      <c r="K72" s="303">
        <f t="shared" si="35"/>
        <v>0</v>
      </c>
      <c r="M72" s="295">
        <v>46081</v>
      </c>
      <c r="N72" s="296">
        <v>348.05</v>
      </c>
      <c r="O72" s="296">
        <v>189.33</v>
      </c>
      <c r="P72" s="296">
        <v>2395.5500000000002</v>
      </c>
      <c r="Q72" s="297">
        <v>68.83</v>
      </c>
      <c r="R72" s="301"/>
      <c r="S72" s="298"/>
      <c r="T72" s="302"/>
      <c r="U72" s="303"/>
      <c r="V72" s="303"/>
      <c r="W72" s="303">
        <f t="shared" si="27"/>
        <v>0</v>
      </c>
      <c r="Y72" s="295">
        <v>46081</v>
      </c>
      <c r="Z72" s="296">
        <v>1118.1300000000001</v>
      </c>
      <c r="AA72" s="301">
        <v>502.55</v>
      </c>
      <c r="AB72" s="298"/>
      <c r="AC72" s="302"/>
      <c r="AD72" s="303"/>
      <c r="AE72" s="303"/>
      <c r="AF72" s="303">
        <f t="shared" si="28"/>
        <v>502.55</v>
      </c>
      <c r="AH72" s="295">
        <v>45897</v>
      </c>
      <c r="AI72" s="296">
        <v>1072.76</v>
      </c>
      <c r="AJ72" s="301">
        <v>0</v>
      </c>
      <c r="AK72" s="298"/>
      <c r="AL72" s="302"/>
      <c r="AM72" s="303"/>
      <c r="AN72" s="303"/>
      <c r="AO72" s="303">
        <f t="shared" si="29"/>
        <v>0</v>
      </c>
      <c r="AQ72" s="295">
        <v>46081</v>
      </c>
      <c r="AR72" s="296">
        <v>1715.09</v>
      </c>
      <c r="AS72" s="296">
        <v>339.69</v>
      </c>
      <c r="AT72" s="296">
        <v>3799.69</v>
      </c>
      <c r="AU72" s="301"/>
      <c r="AV72" s="297">
        <v>103.85</v>
      </c>
      <c r="AW72" s="297">
        <v>0</v>
      </c>
      <c r="AX72" s="298"/>
      <c r="AY72" s="302"/>
      <c r="AZ72" s="303"/>
      <c r="BA72" s="303"/>
      <c r="BB72" s="303">
        <f t="shared" si="30"/>
        <v>0</v>
      </c>
      <c r="BD72" s="295">
        <v>46081</v>
      </c>
      <c r="BE72" s="296">
        <v>8478.6299999999992</v>
      </c>
      <c r="BF72" s="301">
        <v>86.35</v>
      </c>
      <c r="BG72" s="298"/>
      <c r="BH72" s="302">
        <v>35.037139999999994</v>
      </c>
      <c r="BI72" s="303"/>
      <c r="BJ72" s="303"/>
      <c r="BK72" s="303">
        <f t="shared" si="31"/>
        <v>121.38713999999999</v>
      </c>
      <c r="BM72" s="295">
        <v>46081</v>
      </c>
      <c r="BN72" s="296">
        <v>5753.49</v>
      </c>
      <c r="BO72" s="330">
        <v>307.37</v>
      </c>
      <c r="BP72" s="298"/>
      <c r="BQ72" s="302"/>
      <c r="BR72" s="303"/>
      <c r="BS72" s="303"/>
      <c r="BT72" s="303">
        <f t="shared" si="32"/>
        <v>307.37</v>
      </c>
      <c r="BV72" s="295">
        <v>46081</v>
      </c>
      <c r="BW72" s="296">
        <v>270.10000000000002</v>
      </c>
      <c r="BX72" s="301">
        <v>0</v>
      </c>
      <c r="BY72" s="298"/>
      <c r="BZ72" s="302"/>
      <c r="CA72" s="303"/>
      <c r="CB72" s="303"/>
      <c r="CC72" s="303">
        <f t="shared" si="33"/>
        <v>0</v>
      </c>
      <c r="CE72" s="295">
        <v>46081</v>
      </c>
      <c r="CF72" s="301">
        <v>0</v>
      </c>
      <c r="CG72" s="301"/>
      <c r="CI72" s="302"/>
      <c r="CJ72" s="303"/>
      <c r="CK72" s="303"/>
      <c r="CL72" s="303">
        <f t="shared" si="34"/>
        <v>0</v>
      </c>
    </row>
    <row r="73" spans="2:90" ht="16.5" hidden="1" thickBot="1" x14ac:dyDescent="0.3">
      <c r="B73" s="310"/>
      <c r="C73" s="306">
        <f>SUM(C45:C72)</f>
        <v>77627.520000000004</v>
      </c>
      <c r="D73" s="306">
        <f>SUM(D45:D72)</f>
        <v>15125.84</v>
      </c>
      <c r="E73" s="306">
        <f>SUM(E45:E72)</f>
        <v>135471.05000000002</v>
      </c>
      <c r="F73" s="306">
        <f>SUM(F45:F72)</f>
        <v>64.3</v>
      </c>
      <c r="G73" s="83"/>
      <c r="H73" s="84">
        <f>SUM(H45:H72)</f>
        <v>0</v>
      </c>
      <c r="I73" s="85">
        <f>SUM(I45:I72)</f>
        <v>1571.4906933809516</v>
      </c>
      <c r="J73" s="85">
        <f>SUM(J45:J72)</f>
        <v>365.76877840000003</v>
      </c>
      <c r="K73" s="85">
        <f>SUM(K45:K72)</f>
        <v>2001.559471780952</v>
      </c>
      <c r="M73" s="274"/>
      <c r="N73" s="306">
        <f>SUM(N45:N72)</f>
        <v>20225.259999999998</v>
      </c>
      <c r="O73" s="306">
        <f>SUM(O45:O72)</f>
        <v>3446.329999999999</v>
      </c>
      <c r="P73" s="306">
        <f>SUM(P45:P72)</f>
        <v>114352.74000000002</v>
      </c>
      <c r="Q73" s="307">
        <f>SUM(Q45:Q72)</f>
        <v>3584.6400000000008</v>
      </c>
      <c r="R73" s="307">
        <f>SUM(R45:R72)</f>
        <v>0</v>
      </c>
      <c r="S73" s="83"/>
      <c r="T73" s="84">
        <f>SUM(T45:T72)</f>
        <v>0</v>
      </c>
      <c r="U73" s="85">
        <f>SUM(U45:U72)</f>
        <v>0</v>
      </c>
      <c r="V73" s="85">
        <f>SUM(V45:V72)</f>
        <v>0</v>
      </c>
      <c r="W73" s="85">
        <f>SUM(W45:W72)</f>
        <v>0</v>
      </c>
      <c r="Z73" s="308">
        <f>SUM(Z45:Z72)</f>
        <v>34190.659999999996</v>
      </c>
      <c r="AA73" s="309">
        <f>SUM(AA45:AA72)</f>
        <v>10055.780000000001</v>
      </c>
      <c r="AB73" s="83"/>
      <c r="AC73" s="84">
        <f>SUM(AC45:AC72)</f>
        <v>0</v>
      </c>
      <c r="AD73" s="85">
        <f>SUM(AD45:AD72)</f>
        <v>0</v>
      </c>
      <c r="AE73" s="85">
        <f>SUM(AE45:AE72)</f>
        <v>0</v>
      </c>
      <c r="AF73" s="85">
        <f>SUM(AF45:AF72)</f>
        <v>10055.780000000001</v>
      </c>
      <c r="AI73" s="306">
        <f>SUM(AI45:AI72)</f>
        <v>24432.629999999997</v>
      </c>
      <c r="AJ73" s="306">
        <f>SUM(AJ45:AJ72)</f>
        <v>0</v>
      </c>
      <c r="AK73" s="83"/>
      <c r="AL73" s="84">
        <f>SUM(AL45:AL72)</f>
        <v>0</v>
      </c>
      <c r="AM73" s="85">
        <f>SUM(AM45:AM72)</f>
        <v>0</v>
      </c>
      <c r="AN73" s="85">
        <f>SUM(AN45:AN72)</f>
        <v>0</v>
      </c>
      <c r="AO73" s="85">
        <f>SUM(AO45:AO72)</f>
        <v>0</v>
      </c>
      <c r="AR73" s="306">
        <f t="shared" ref="AR73:AW73" si="36">SUM(AR45:AR72)</f>
        <v>40836.839999999997</v>
      </c>
      <c r="AS73" s="306">
        <f t="shared" si="36"/>
        <v>10124.309999999998</v>
      </c>
      <c r="AT73" s="306">
        <f t="shared" si="36"/>
        <v>102185.26</v>
      </c>
      <c r="AU73" s="306">
        <f t="shared" si="36"/>
        <v>0</v>
      </c>
      <c r="AV73" s="306">
        <f t="shared" si="36"/>
        <v>1920.52</v>
      </c>
      <c r="AW73" s="306">
        <f t="shared" si="36"/>
        <v>0</v>
      </c>
      <c r="AX73" s="83"/>
      <c r="AY73" s="84">
        <f>SUM(AY45:AY72)</f>
        <v>0</v>
      </c>
      <c r="AZ73" s="85">
        <f>SUM(AZ45:AZ72)</f>
        <v>0</v>
      </c>
      <c r="BA73" s="85">
        <f>SUM(BA45:BA72)</f>
        <v>0</v>
      </c>
      <c r="BB73" s="85">
        <f>SUM(BB45:BB72)</f>
        <v>0</v>
      </c>
      <c r="BE73" s="306">
        <f>SUM(BE45:BE72)</f>
        <v>229453.81</v>
      </c>
      <c r="BF73" s="306">
        <f>SUM(BF45:BF72)</f>
        <v>2231.7799999999997</v>
      </c>
      <c r="BG73" s="83"/>
      <c r="BH73" s="84">
        <f>SUM(BH45:BH72)</f>
        <v>778.82758000000001</v>
      </c>
      <c r="BI73" s="85">
        <f>SUM(BI45:BI72)</f>
        <v>0</v>
      </c>
      <c r="BJ73" s="85">
        <f>SUM(BJ45:BJ72)</f>
        <v>0</v>
      </c>
      <c r="BK73" s="85">
        <f>SUM(BK45:BK72)</f>
        <v>3010.6075800000003</v>
      </c>
      <c r="BN73" s="306">
        <f>SUM(BN45:BN72)</f>
        <v>96742.000000000015</v>
      </c>
      <c r="BO73" s="306">
        <f>SUM(BO45:BO72)</f>
        <v>11397.130000000001</v>
      </c>
      <c r="BP73" s="83"/>
      <c r="BQ73" s="84">
        <f>SUM(BQ45:BQ72)</f>
        <v>0</v>
      </c>
      <c r="BR73" s="85">
        <f>SUM(BR45:BR72)</f>
        <v>0</v>
      </c>
      <c r="BS73" s="85">
        <f>SUM(BS45:BS72)</f>
        <v>0</v>
      </c>
      <c r="BT73" s="85">
        <f>SUM(BT45:BT72)</f>
        <v>11397.130000000001</v>
      </c>
      <c r="BW73" s="306">
        <f>SUM(BW45:BW72)</f>
        <v>17262.23</v>
      </c>
      <c r="BX73" s="306">
        <f>SUM(BX45:BX72)</f>
        <v>0</v>
      </c>
      <c r="BY73" s="83"/>
      <c r="BZ73" s="84">
        <f>SUM(BZ45:BZ72)</f>
        <v>0</v>
      </c>
      <c r="CA73" s="85">
        <f>SUM(CA45:CA72)</f>
        <v>0</v>
      </c>
      <c r="CB73" s="85">
        <f>SUM(CB45:CB72)</f>
        <v>0</v>
      </c>
      <c r="CC73" s="85">
        <f>SUM(CC45:CC72)</f>
        <v>0</v>
      </c>
      <c r="CF73" s="306">
        <f>SUM(CF45:CF72)</f>
        <v>46360.75</v>
      </c>
      <c r="CG73" s="306">
        <f>SUM(CG45:CG72)</f>
        <v>0</v>
      </c>
      <c r="CH73" s="306">
        <f t="shared" ref="CH73:CL73" si="37">SUM(CH45:CH72)</f>
        <v>0</v>
      </c>
      <c r="CI73" s="306">
        <f t="shared" si="37"/>
        <v>431.72973000000002</v>
      </c>
      <c r="CJ73" s="306">
        <f t="shared" si="37"/>
        <v>0</v>
      </c>
      <c r="CK73" s="306">
        <f t="shared" si="37"/>
        <v>0</v>
      </c>
      <c r="CL73" s="306">
        <f t="shared" si="37"/>
        <v>431.72973000000002</v>
      </c>
    </row>
    <row r="74" spans="2:90" hidden="1" x14ac:dyDescent="0.25"/>
    <row r="75" spans="2:90" hidden="1" x14ac:dyDescent="0.25"/>
    <row r="76" spans="2:90" x14ac:dyDescent="0.25">
      <c r="B76" s="275" t="s">
        <v>85</v>
      </c>
      <c r="N76" s="275" t="s">
        <v>86</v>
      </c>
      <c r="Y76" s="275" t="s">
        <v>87</v>
      </c>
      <c r="AH76" s="275" t="s">
        <v>88</v>
      </c>
      <c r="AQ76" s="275" t="s">
        <v>89</v>
      </c>
      <c r="BD76" s="275" t="s">
        <v>90</v>
      </c>
      <c r="BM76" s="275" t="s">
        <v>91</v>
      </c>
      <c r="BV76" s="275" t="s">
        <v>92</v>
      </c>
    </row>
    <row r="77" spans="2:90" ht="9" customHeight="1" thickBot="1" x14ac:dyDescent="0.3"/>
    <row r="78" spans="2:90" ht="16.5" thickBot="1" x14ac:dyDescent="0.3">
      <c r="C78" s="277" t="s">
        <v>80</v>
      </c>
      <c r="D78" s="277" t="s">
        <v>80</v>
      </c>
      <c r="E78" s="277" t="s">
        <v>80</v>
      </c>
      <c r="F78" s="277" t="s">
        <v>81</v>
      </c>
      <c r="G78" s="278"/>
      <c r="H78" s="279" t="s">
        <v>16</v>
      </c>
      <c r="I78" s="280" t="s">
        <v>16</v>
      </c>
      <c r="J78" s="281" t="s">
        <v>16</v>
      </c>
      <c r="K78" s="282" t="s">
        <v>17</v>
      </c>
      <c r="N78" s="283" t="s">
        <v>15</v>
      </c>
      <c r="O78" s="283" t="s">
        <v>15</v>
      </c>
      <c r="P78" s="283" t="s">
        <v>15</v>
      </c>
      <c r="Q78" s="284" t="s">
        <v>81</v>
      </c>
      <c r="R78" s="284" t="s">
        <v>81</v>
      </c>
      <c r="S78" s="278"/>
      <c r="T78" s="279" t="s">
        <v>16</v>
      </c>
      <c r="U78" s="280" t="s">
        <v>16</v>
      </c>
      <c r="V78" s="281" t="s">
        <v>16</v>
      </c>
      <c r="W78" s="282" t="s">
        <v>17</v>
      </c>
      <c r="Z78" s="285" t="s">
        <v>15</v>
      </c>
      <c r="AA78" s="286" t="s">
        <v>24</v>
      </c>
      <c r="AB78" s="278"/>
      <c r="AC78" s="279" t="s">
        <v>16</v>
      </c>
      <c r="AD78" s="280" t="s">
        <v>16</v>
      </c>
      <c r="AE78" s="281" t="s">
        <v>16</v>
      </c>
      <c r="AF78" s="282" t="s">
        <v>17</v>
      </c>
      <c r="AI78" s="277" t="s">
        <v>80</v>
      </c>
      <c r="AJ78" s="277" t="s">
        <v>81</v>
      </c>
      <c r="AK78" s="278"/>
      <c r="AL78" s="279" t="s">
        <v>16</v>
      </c>
      <c r="AM78" s="280" t="s">
        <v>16</v>
      </c>
      <c r="AN78" s="281" t="s">
        <v>16</v>
      </c>
      <c r="AO78" s="282" t="s">
        <v>17</v>
      </c>
      <c r="AR78" s="277" t="s">
        <v>80</v>
      </c>
      <c r="AS78" s="277" t="s">
        <v>80</v>
      </c>
      <c r="AT78" s="277" t="s">
        <v>80</v>
      </c>
      <c r="AU78" s="277" t="s">
        <v>81</v>
      </c>
      <c r="AV78" s="277" t="s">
        <v>81</v>
      </c>
      <c r="AW78" s="277" t="s">
        <v>81</v>
      </c>
      <c r="AX78" s="278"/>
      <c r="AY78" s="279" t="s">
        <v>16</v>
      </c>
      <c r="AZ78" s="280" t="s">
        <v>16</v>
      </c>
      <c r="BA78" s="281" t="s">
        <v>16</v>
      </c>
      <c r="BB78" s="282" t="s">
        <v>17</v>
      </c>
      <c r="BE78" s="277" t="s">
        <v>80</v>
      </c>
      <c r="BF78" s="277" t="s">
        <v>81</v>
      </c>
      <c r="BG78" s="278"/>
      <c r="BH78" s="279" t="s">
        <v>16</v>
      </c>
      <c r="BI78" s="280" t="s">
        <v>16</v>
      </c>
      <c r="BJ78" s="281" t="s">
        <v>16</v>
      </c>
      <c r="BK78" s="282" t="s">
        <v>17</v>
      </c>
      <c r="BN78" s="277" t="s">
        <v>80</v>
      </c>
      <c r="BO78" s="277" t="s">
        <v>81</v>
      </c>
      <c r="BP78" s="278"/>
      <c r="BQ78" s="279" t="s">
        <v>16</v>
      </c>
      <c r="BR78" s="280" t="s">
        <v>16</v>
      </c>
      <c r="BS78" s="281" t="s">
        <v>16</v>
      </c>
      <c r="BT78" s="282" t="s">
        <v>17</v>
      </c>
      <c r="BW78" s="277" t="s">
        <v>80</v>
      </c>
      <c r="BX78" s="277" t="s">
        <v>81</v>
      </c>
      <c r="BY78" s="278"/>
      <c r="BZ78" s="279" t="s">
        <v>16</v>
      </c>
      <c r="CA78" s="280" t="s">
        <v>16</v>
      </c>
      <c r="CB78" s="281" t="s">
        <v>16</v>
      </c>
      <c r="CC78" s="282" t="s">
        <v>17</v>
      </c>
    </row>
    <row r="79" spans="2:90" ht="16.5" thickBot="1" x14ac:dyDescent="0.3">
      <c r="C79" s="287" t="s">
        <v>18</v>
      </c>
      <c r="D79" s="287" t="s">
        <v>19</v>
      </c>
      <c r="E79" s="287" t="s">
        <v>20</v>
      </c>
      <c r="F79" s="287" t="s">
        <v>18</v>
      </c>
      <c r="G79" s="278"/>
      <c r="H79" s="288" t="s">
        <v>21</v>
      </c>
      <c r="I79" s="289" t="s">
        <v>22</v>
      </c>
      <c r="J79" s="290" t="s">
        <v>23</v>
      </c>
      <c r="K79" s="291" t="s">
        <v>24</v>
      </c>
      <c r="N79" s="292" t="s">
        <v>18</v>
      </c>
      <c r="O79" s="292" t="s">
        <v>19</v>
      </c>
      <c r="P79" s="292" t="s">
        <v>20</v>
      </c>
      <c r="Q79" s="292" t="s">
        <v>20</v>
      </c>
      <c r="R79" s="292" t="s">
        <v>18</v>
      </c>
      <c r="S79" s="278"/>
      <c r="T79" s="288" t="s">
        <v>21</v>
      </c>
      <c r="U79" s="289" t="s">
        <v>22</v>
      </c>
      <c r="V79" s="290" t="s">
        <v>23</v>
      </c>
      <c r="W79" s="291" t="s">
        <v>24</v>
      </c>
      <c r="Z79" s="293" t="s">
        <v>18</v>
      </c>
      <c r="AA79" s="294" t="s">
        <v>18</v>
      </c>
      <c r="AB79" s="278"/>
      <c r="AC79" s="288" t="s">
        <v>21</v>
      </c>
      <c r="AD79" s="289" t="s">
        <v>22</v>
      </c>
      <c r="AE79" s="290" t="s">
        <v>23</v>
      </c>
      <c r="AF79" s="291" t="s">
        <v>24</v>
      </c>
      <c r="AI79" s="287" t="s">
        <v>18</v>
      </c>
      <c r="AJ79" s="287" t="s">
        <v>18</v>
      </c>
      <c r="AK79" s="278"/>
      <c r="AL79" s="288" t="s">
        <v>21</v>
      </c>
      <c r="AM79" s="289" t="s">
        <v>22</v>
      </c>
      <c r="AN79" s="290" t="s">
        <v>23</v>
      </c>
      <c r="AO79" s="291" t="s">
        <v>24</v>
      </c>
      <c r="AR79" s="287" t="s">
        <v>18</v>
      </c>
      <c r="AS79" s="287" t="s">
        <v>19</v>
      </c>
      <c r="AT79" s="287" t="s">
        <v>20</v>
      </c>
      <c r="AU79" s="287" t="s">
        <v>19</v>
      </c>
      <c r="AV79" s="287" t="s">
        <v>20</v>
      </c>
      <c r="AW79" s="287" t="s">
        <v>18</v>
      </c>
      <c r="AX79" s="278"/>
      <c r="AY79" s="288" t="s">
        <v>21</v>
      </c>
      <c r="AZ79" s="289" t="s">
        <v>22</v>
      </c>
      <c r="BA79" s="290" t="s">
        <v>23</v>
      </c>
      <c r="BB79" s="291" t="s">
        <v>24</v>
      </c>
      <c r="BE79" s="287" t="s">
        <v>18</v>
      </c>
      <c r="BF79" s="287" t="s">
        <v>18</v>
      </c>
      <c r="BG79" s="278"/>
      <c r="BH79" s="288" t="s">
        <v>21</v>
      </c>
      <c r="BI79" s="289" t="s">
        <v>22</v>
      </c>
      <c r="BJ79" s="290" t="s">
        <v>23</v>
      </c>
      <c r="BK79" s="291" t="s">
        <v>24</v>
      </c>
      <c r="BN79" s="287" t="s">
        <v>18</v>
      </c>
      <c r="BO79" s="287" t="s">
        <v>18</v>
      </c>
      <c r="BP79" s="278"/>
      <c r="BQ79" s="288" t="s">
        <v>21</v>
      </c>
      <c r="BR79" s="289" t="s">
        <v>22</v>
      </c>
      <c r="BS79" s="290" t="s">
        <v>23</v>
      </c>
      <c r="BT79" s="291" t="s">
        <v>24</v>
      </c>
      <c r="BW79" s="287" t="s">
        <v>18</v>
      </c>
      <c r="BX79" s="287" t="s">
        <v>18</v>
      </c>
      <c r="BY79" s="278"/>
      <c r="BZ79" s="288" t="s">
        <v>21</v>
      </c>
      <c r="CA79" s="289" t="s">
        <v>22</v>
      </c>
      <c r="CB79" s="290" t="s">
        <v>23</v>
      </c>
      <c r="CC79" s="291" t="s">
        <v>24</v>
      </c>
    </row>
    <row r="80" spans="2:90" x14ac:dyDescent="0.25">
      <c r="B80" s="295">
        <v>46082</v>
      </c>
      <c r="C80" s="296">
        <v>1929.18</v>
      </c>
      <c r="D80" s="296">
        <v>384.38</v>
      </c>
      <c r="E80" s="296">
        <v>3311.1</v>
      </c>
      <c r="F80" s="330">
        <v>0</v>
      </c>
      <c r="G80" s="298"/>
      <c r="H80" s="299"/>
      <c r="I80" s="300"/>
      <c r="J80" s="300"/>
      <c r="K80" s="300">
        <f t="shared" ref="K80:K110" si="38">SUM(F80:J80)</f>
        <v>0</v>
      </c>
      <c r="M80" s="295">
        <v>46082</v>
      </c>
      <c r="N80" s="296">
        <v>1503.75</v>
      </c>
      <c r="O80" s="296">
        <v>252.61</v>
      </c>
      <c r="P80" s="296">
        <v>5924.57</v>
      </c>
      <c r="Q80" s="330">
        <v>62.39</v>
      </c>
      <c r="R80" s="297"/>
      <c r="S80" s="298"/>
      <c r="T80" s="299"/>
      <c r="U80" s="300"/>
      <c r="V80" s="300"/>
      <c r="W80" s="300">
        <f t="shared" ref="W80:W110" si="39">SUM(R80:V80)</f>
        <v>0</v>
      </c>
      <c r="Y80" s="295">
        <v>46082</v>
      </c>
      <c r="Z80" s="296">
        <v>447</v>
      </c>
      <c r="AA80" s="296">
        <v>137.22999999999999</v>
      </c>
      <c r="AB80" s="298"/>
      <c r="AC80" s="299"/>
      <c r="AD80" s="300"/>
      <c r="AE80" s="300"/>
      <c r="AF80" s="300">
        <f t="shared" ref="AF80:AF110" si="40">SUM(AA80:AE80)</f>
        <v>137.22999999999999</v>
      </c>
      <c r="AH80" s="295">
        <v>46082</v>
      </c>
      <c r="AI80" s="296">
        <v>570.9</v>
      </c>
      <c r="AJ80" s="301">
        <v>0</v>
      </c>
      <c r="AK80" s="298"/>
      <c r="AL80" s="299"/>
      <c r="AM80" s="300"/>
      <c r="AN80" s="300"/>
      <c r="AO80" s="300">
        <f t="shared" ref="AO80:AO110" si="41">SUM(AJ80:AN80)</f>
        <v>0</v>
      </c>
      <c r="AQ80" s="295">
        <v>46082</v>
      </c>
      <c r="AR80" s="296">
        <v>1246.42</v>
      </c>
      <c r="AS80" s="296">
        <v>303.87</v>
      </c>
      <c r="AT80" s="296">
        <v>3278.98</v>
      </c>
      <c r="AU80" s="301">
        <v>0</v>
      </c>
      <c r="AV80" s="428">
        <v>122.74</v>
      </c>
      <c r="AW80" s="301">
        <v>0</v>
      </c>
      <c r="AX80" s="298"/>
      <c r="AY80" s="299"/>
      <c r="AZ80" s="300"/>
      <c r="BA80" s="300"/>
      <c r="BB80" s="300">
        <f t="shared" ref="BB80:BB110" si="42">SUM(AW80:BA80)</f>
        <v>0</v>
      </c>
      <c r="BD80" s="295">
        <v>46082</v>
      </c>
      <c r="BE80" s="296">
        <v>7726.29</v>
      </c>
      <c r="BF80" s="301">
        <v>66.02</v>
      </c>
      <c r="BG80" s="298"/>
      <c r="BH80" s="299"/>
      <c r="BI80" s="300"/>
      <c r="BJ80" s="300"/>
      <c r="BK80" s="300">
        <f t="shared" ref="BK80:BK110" si="43">SUM(BF80:BJ80)</f>
        <v>66.02</v>
      </c>
      <c r="BM80" s="295">
        <v>46082</v>
      </c>
      <c r="BN80" s="296">
        <v>264</v>
      </c>
      <c r="BO80" s="330">
        <v>0</v>
      </c>
      <c r="BP80" s="298"/>
      <c r="BQ80" s="299"/>
      <c r="BR80" s="300"/>
      <c r="BS80" s="300"/>
      <c r="BT80" s="300">
        <f t="shared" ref="BT80:BT110" si="44">SUM(BO80:BS80)</f>
        <v>0</v>
      </c>
      <c r="BV80" s="295">
        <v>46082</v>
      </c>
      <c r="BW80" s="296">
        <v>218.8</v>
      </c>
      <c r="BX80" s="301">
        <v>0</v>
      </c>
      <c r="BY80" s="298"/>
      <c r="BZ80" s="299"/>
      <c r="CA80" s="300"/>
      <c r="CB80" s="300"/>
      <c r="CC80" s="300">
        <f t="shared" ref="CC80:CC110" si="45">SUM(BX80:CB80)</f>
        <v>0</v>
      </c>
    </row>
    <row r="81" spans="2:81" x14ac:dyDescent="0.25">
      <c r="B81" s="295">
        <v>46083</v>
      </c>
      <c r="C81" s="296">
        <v>6782.36</v>
      </c>
      <c r="D81" s="296">
        <v>542.37</v>
      </c>
      <c r="E81" s="296">
        <v>3797.87</v>
      </c>
      <c r="F81" s="330">
        <v>0</v>
      </c>
      <c r="G81" s="298"/>
      <c r="H81" s="302"/>
      <c r="I81" s="303"/>
      <c r="J81" s="303"/>
      <c r="K81" s="303">
        <f t="shared" si="38"/>
        <v>0</v>
      </c>
      <c r="M81" s="295">
        <v>46083</v>
      </c>
      <c r="N81" s="296">
        <v>1035.6500000000001</v>
      </c>
      <c r="O81" s="296">
        <v>187.24</v>
      </c>
      <c r="P81" s="296">
        <v>3416.64</v>
      </c>
      <c r="Q81" s="330">
        <v>104.37</v>
      </c>
      <c r="R81" s="297"/>
      <c r="S81" s="298"/>
      <c r="T81" s="302"/>
      <c r="U81" s="303"/>
      <c r="V81" s="303"/>
      <c r="W81" s="303">
        <f t="shared" si="39"/>
        <v>0</v>
      </c>
      <c r="Y81" s="295">
        <v>46083</v>
      </c>
      <c r="Z81" s="296">
        <v>590.55999999999995</v>
      </c>
      <c r="AA81" s="296">
        <v>307.91000000000003</v>
      </c>
      <c r="AB81" s="298"/>
      <c r="AC81" s="302"/>
      <c r="AD81" s="303"/>
      <c r="AE81" s="303"/>
      <c r="AF81" s="303">
        <f t="shared" si="40"/>
        <v>307.91000000000003</v>
      </c>
      <c r="AH81" s="295">
        <v>46083</v>
      </c>
      <c r="AI81" s="296">
        <v>1004.04</v>
      </c>
      <c r="AJ81" s="301">
        <v>0</v>
      </c>
      <c r="AK81" s="298"/>
      <c r="AL81" s="302"/>
      <c r="AM81" s="303"/>
      <c r="AN81" s="303"/>
      <c r="AO81" s="303">
        <f t="shared" si="41"/>
        <v>0</v>
      </c>
      <c r="AQ81" s="295">
        <v>46083</v>
      </c>
      <c r="AR81" s="296">
        <v>4298.88</v>
      </c>
      <c r="AS81" s="296">
        <v>375.72</v>
      </c>
      <c r="AT81" s="296">
        <v>2786.64</v>
      </c>
      <c r="AU81" s="301">
        <v>0</v>
      </c>
      <c r="AV81" s="428">
        <v>25.61</v>
      </c>
      <c r="AW81" s="301">
        <v>0</v>
      </c>
      <c r="AX81" s="298"/>
      <c r="AY81" s="302"/>
      <c r="AZ81" s="303"/>
      <c r="BA81" s="303"/>
      <c r="BB81" s="303">
        <f t="shared" si="42"/>
        <v>0</v>
      </c>
      <c r="BD81" s="295">
        <v>46083</v>
      </c>
      <c r="BE81" s="296">
        <v>12221.52</v>
      </c>
      <c r="BF81" s="301">
        <v>46.27</v>
      </c>
      <c r="BG81" s="298"/>
      <c r="BH81" s="302">
        <v>50.151849999999968</v>
      </c>
      <c r="BI81" s="303"/>
      <c r="BJ81" s="303"/>
      <c r="BK81" s="303">
        <f t="shared" si="43"/>
        <v>96.421849999999978</v>
      </c>
      <c r="BM81" s="295">
        <v>46083</v>
      </c>
      <c r="BN81" s="296">
        <v>5667.87</v>
      </c>
      <c r="BO81" s="330">
        <v>210.99</v>
      </c>
      <c r="BP81" s="298"/>
      <c r="BQ81" s="302"/>
      <c r="BR81" s="303"/>
      <c r="BS81" s="303"/>
      <c r="BT81" s="303">
        <f t="shared" si="44"/>
        <v>210.99</v>
      </c>
      <c r="BV81" s="295">
        <v>46083</v>
      </c>
      <c r="BW81" s="296">
        <v>638</v>
      </c>
      <c r="BX81" s="301">
        <v>0</v>
      </c>
      <c r="BY81" s="298"/>
      <c r="BZ81" s="302"/>
      <c r="CA81" s="303"/>
      <c r="CB81" s="303"/>
      <c r="CC81" s="303">
        <f t="shared" si="45"/>
        <v>0</v>
      </c>
    </row>
    <row r="82" spans="2:81" x14ac:dyDescent="0.25">
      <c r="B82" s="295">
        <v>46084</v>
      </c>
      <c r="C82" s="296">
        <v>2797.29</v>
      </c>
      <c r="D82" s="296">
        <v>1053.96</v>
      </c>
      <c r="E82" s="296">
        <v>0</v>
      </c>
      <c r="F82" s="330">
        <v>0</v>
      </c>
      <c r="G82" s="298"/>
      <c r="H82" s="302"/>
      <c r="I82" s="303"/>
      <c r="J82" s="303">
        <v>31.481071799999995</v>
      </c>
      <c r="K82" s="303">
        <f t="shared" si="38"/>
        <v>31.481071799999995</v>
      </c>
      <c r="M82" s="295">
        <v>46084</v>
      </c>
      <c r="N82" s="296">
        <v>813.95</v>
      </c>
      <c r="O82" s="296">
        <v>0</v>
      </c>
      <c r="P82" s="296">
        <v>5045.8599999999997</v>
      </c>
      <c r="Q82" s="330">
        <v>50.85</v>
      </c>
      <c r="R82" s="297"/>
      <c r="S82" s="298"/>
      <c r="T82" s="302"/>
      <c r="U82" s="303"/>
      <c r="V82" s="303"/>
      <c r="W82" s="303">
        <f t="shared" si="39"/>
        <v>0</v>
      </c>
      <c r="Y82" s="295">
        <v>46084</v>
      </c>
      <c r="Z82" s="296">
        <v>2425.04</v>
      </c>
      <c r="AA82" s="296">
        <v>502.36</v>
      </c>
      <c r="AB82" s="298"/>
      <c r="AC82" s="302"/>
      <c r="AD82" s="303"/>
      <c r="AE82" s="303"/>
      <c r="AF82" s="303">
        <f t="shared" si="40"/>
        <v>502.36</v>
      </c>
      <c r="AH82" s="295">
        <v>46084</v>
      </c>
      <c r="AI82" s="296">
        <v>1222.5</v>
      </c>
      <c r="AJ82" s="301">
        <v>0</v>
      </c>
      <c r="AK82" s="298"/>
      <c r="AL82" s="302"/>
      <c r="AM82" s="303"/>
      <c r="AN82" s="303"/>
      <c r="AO82" s="303">
        <f t="shared" si="41"/>
        <v>0</v>
      </c>
      <c r="AQ82" s="295">
        <v>46084</v>
      </c>
      <c r="AR82" s="296">
        <v>3945.45</v>
      </c>
      <c r="AS82" s="296">
        <v>1062.43</v>
      </c>
      <c r="AT82" s="296">
        <v>150</v>
      </c>
      <c r="AU82" s="301">
        <v>0</v>
      </c>
      <c r="AV82" s="428">
        <v>33.39</v>
      </c>
      <c r="AW82" s="301">
        <v>0</v>
      </c>
      <c r="AX82" s="298"/>
      <c r="AY82" s="302"/>
      <c r="AZ82" s="303">
        <v>38.021264761904774</v>
      </c>
      <c r="BA82" s="303"/>
      <c r="BB82" s="303">
        <f t="shared" si="42"/>
        <v>38.021264761904774</v>
      </c>
      <c r="BD82" s="295">
        <v>46084</v>
      </c>
      <c r="BE82" s="296">
        <v>13862.6</v>
      </c>
      <c r="BF82" s="301">
        <v>72.75</v>
      </c>
      <c r="BG82" s="298"/>
      <c r="BH82" s="302">
        <v>50.431640000000002</v>
      </c>
      <c r="BI82" s="303"/>
      <c r="BJ82" s="303"/>
      <c r="BK82" s="303">
        <f t="shared" si="43"/>
        <v>123.18164</v>
      </c>
      <c r="BM82" s="295">
        <v>46084</v>
      </c>
      <c r="BN82" s="296">
        <v>9914</v>
      </c>
      <c r="BO82" s="330">
        <v>19.91</v>
      </c>
      <c r="BP82" s="298"/>
      <c r="BQ82" s="302"/>
      <c r="BR82" s="303"/>
      <c r="BS82" s="303"/>
      <c r="BT82" s="303">
        <f t="shared" si="44"/>
        <v>19.91</v>
      </c>
      <c r="BV82" s="295">
        <v>46084</v>
      </c>
      <c r="BW82" s="296">
        <v>328</v>
      </c>
      <c r="BX82" s="301">
        <v>0</v>
      </c>
      <c r="BY82" s="298"/>
      <c r="BZ82" s="302"/>
      <c r="CA82" s="303"/>
      <c r="CB82" s="303"/>
      <c r="CC82" s="303">
        <f t="shared" si="45"/>
        <v>0</v>
      </c>
    </row>
    <row r="83" spans="2:81" x14ac:dyDescent="0.25">
      <c r="B83" s="295">
        <v>46085</v>
      </c>
      <c r="C83" s="296">
        <v>13342.07</v>
      </c>
      <c r="D83" s="296">
        <v>0</v>
      </c>
      <c r="E83" s="296">
        <v>0</v>
      </c>
      <c r="F83" s="330">
        <v>4</v>
      </c>
      <c r="G83" s="298"/>
      <c r="H83" s="302"/>
      <c r="I83" s="303">
        <v>112.85103542857145</v>
      </c>
      <c r="J83" s="303">
        <v>17.545694099999992</v>
      </c>
      <c r="K83" s="303">
        <f t="shared" si="38"/>
        <v>134.39672952857143</v>
      </c>
      <c r="M83" s="295">
        <v>46085</v>
      </c>
      <c r="N83" s="296">
        <v>2270.4</v>
      </c>
      <c r="O83" s="296">
        <v>154.54</v>
      </c>
      <c r="P83" s="296">
        <v>1085.96</v>
      </c>
      <c r="Q83" s="330">
        <v>68.930000000000007</v>
      </c>
      <c r="R83" s="297"/>
      <c r="S83" s="298"/>
      <c r="T83" s="302"/>
      <c r="U83" s="303"/>
      <c r="V83" s="303"/>
      <c r="W83" s="303">
        <f t="shared" si="39"/>
        <v>0</v>
      </c>
      <c r="Y83" s="295">
        <v>46085</v>
      </c>
      <c r="Z83" s="296">
        <v>1368.49</v>
      </c>
      <c r="AA83" s="296">
        <v>350.61</v>
      </c>
      <c r="AB83" s="298"/>
      <c r="AC83" s="302"/>
      <c r="AD83" s="303"/>
      <c r="AE83" s="303"/>
      <c r="AF83" s="303">
        <f t="shared" si="40"/>
        <v>350.61</v>
      </c>
      <c r="AH83" s="295">
        <v>46085</v>
      </c>
      <c r="AI83" s="296">
        <v>1109.6500000000001</v>
      </c>
      <c r="AJ83" s="301">
        <v>0</v>
      </c>
      <c r="AK83" s="298"/>
      <c r="AL83" s="302"/>
      <c r="AM83" s="303"/>
      <c r="AN83" s="303"/>
      <c r="AO83" s="303">
        <f t="shared" si="41"/>
        <v>0</v>
      </c>
      <c r="AQ83" s="295">
        <v>46085</v>
      </c>
      <c r="AR83" s="296">
        <v>5587.36</v>
      </c>
      <c r="AS83" s="296">
        <v>1605.14</v>
      </c>
      <c r="AT83" s="296">
        <v>2089.2600000000002</v>
      </c>
      <c r="AU83" s="301">
        <v>0</v>
      </c>
      <c r="AV83" s="428">
        <v>135.93</v>
      </c>
      <c r="AW83" s="301">
        <v>0</v>
      </c>
      <c r="AX83" s="298"/>
      <c r="AY83" s="302"/>
      <c r="AZ83" s="303"/>
      <c r="BA83" s="303"/>
      <c r="BB83" s="303">
        <f t="shared" si="42"/>
        <v>0</v>
      </c>
      <c r="BD83" s="295">
        <v>46085</v>
      </c>
      <c r="BE83" s="296">
        <v>10694.41</v>
      </c>
      <c r="BF83" s="301">
        <v>54.26</v>
      </c>
      <c r="BG83" s="298"/>
      <c r="BH83" s="302">
        <v>68.225079999999977</v>
      </c>
      <c r="BI83" s="303"/>
      <c r="BJ83" s="303"/>
      <c r="BK83" s="303">
        <f t="shared" si="43"/>
        <v>122.48507999999998</v>
      </c>
      <c r="BM83" s="295">
        <v>46085</v>
      </c>
      <c r="BN83" s="296">
        <v>4144.2</v>
      </c>
      <c r="BO83" s="330">
        <v>0</v>
      </c>
      <c r="BP83" s="298"/>
      <c r="BQ83" s="302"/>
      <c r="BR83" s="303"/>
      <c r="BS83" s="303"/>
      <c r="BT83" s="303">
        <f t="shared" si="44"/>
        <v>0</v>
      </c>
      <c r="BV83" s="295">
        <v>46085</v>
      </c>
      <c r="BW83" s="296">
        <v>434</v>
      </c>
      <c r="BX83" s="301">
        <v>0</v>
      </c>
      <c r="BY83" s="298"/>
      <c r="BZ83" s="302"/>
      <c r="CA83" s="303"/>
      <c r="CB83" s="303"/>
      <c r="CC83" s="303">
        <f t="shared" si="45"/>
        <v>0</v>
      </c>
    </row>
    <row r="84" spans="2:81" x14ac:dyDescent="0.25">
      <c r="B84" s="295">
        <v>46086</v>
      </c>
      <c r="C84" s="296">
        <v>3807.22</v>
      </c>
      <c r="D84" s="296">
        <v>1101.06</v>
      </c>
      <c r="E84" s="296">
        <v>0</v>
      </c>
      <c r="F84" s="330">
        <v>0</v>
      </c>
      <c r="G84" s="298"/>
      <c r="H84" s="302"/>
      <c r="I84" s="303"/>
      <c r="J84" s="303"/>
      <c r="K84" s="303">
        <f t="shared" si="38"/>
        <v>0</v>
      </c>
      <c r="M84" s="295">
        <v>46086</v>
      </c>
      <c r="N84" s="296">
        <v>1569.65</v>
      </c>
      <c r="O84" s="296">
        <v>390.05</v>
      </c>
      <c r="P84" s="296">
        <v>1315.14</v>
      </c>
      <c r="Q84" s="330">
        <v>45.85</v>
      </c>
      <c r="R84" s="297"/>
      <c r="S84" s="298"/>
      <c r="T84" s="302"/>
      <c r="U84" s="303"/>
      <c r="V84" s="303"/>
      <c r="W84" s="303">
        <f t="shared" si="39"/>
        <v>0</v>
      </c>
      <c r="Y84" s="295">
        <v>46086</v>
      </c>
      <c r="Z84" s="296">
        <v>1939.3</v>
      </c>
      <c r="AA84" s="296">
        <v>622.73</v>
      </c>
      <c r="AB84" s="298"/>
      <c r="AC84" s="302"/>
      <c r="AD84" s="303"/>
      <c r="AE84" s="303"/>
      <c r="AF84" s="303">
        <f t="shared" si="40"/>
        <v>622.73</v>
      </c>
      <c r="AH84" s="295">
        <v>46086</v>
      </c>
      <c r="AI84" s="296">
        <v>972.27</v>
      </c>
      <c r="AJ84" s="301">
        <v>0</v>
      </c>
      <c r="AK84" s="298"/>
      <c r="AL84" s="302"/>
      <c r="AM84" s="303"/>
      <c r="AN84" s="303"/>
      <c r="AO84" s="303">
        <f t="shared" si="41"/>
        <v>0</v>
      </c>
      <c r="AQ84" s="295">
        <v>46086</v>
      </c>
      <c r="AR84" s="296">
        <v>1970.98</v>
      </c>
      <c r="AS84" s="296">
        <v>165.46</v>
      </c>
      <c r="AT84" s="296">
        <v>2880.3</v>
      </c>
      <c r="AU84" s="301">
        <v>0</v>
      </c>
      <c r="AV84" s="428">
        <v>56.89</v>
      </c>
      <c r="AW84" s="301">
        <v>0</v>
      </c>
      <c r="AX84" s="298"/>
      <c r="AY84" s="302"/>
      <c r="AZ84" s="303"/>
      <c r="BA84" s="303"/>
      <c r="BB84" s="303">
        <f t="shared" si="42"/>
        <v>0</v>
      </c>
      <c r="BD84" s="295">
        <v>46086</v>
      </c>
      <c r="BE84" s="296">
        <v>22703.49</v>
      </c>
      <c r="BF84" s="301">
        <v>585.44000000000005</v>
      </c>
      <c r="BG84" s="298"/>
      <c r="BH84" s="302"/>
      <c r="BI84" s="303"/>
      <c r="BJ84" s="303"/>
      <c r="BK84" s="303">
        <f t="shared" si="43"/>
        <v>585.44000000000005</v>
      </c>
      <c r="BM84" s="295">
        <v>46086</v>
      </c>
      <c r="BN84" s="296">
        <v>2514.8000000000002</v>
      </c>
      <c r="BO84" s="330">
        <v>115.8</v>
      </c>
      <c r="BP84" s="298"/>
      <c r="BQ84" s="302"/>
      <c r="BR84" s="303"/>
      <c r="BS84" s="303"/>
      <c r="BT84" s="303">
        <f t="shared" si="44"/>
        <v>115.8</v>
      </c>
      <c r="BV84" s="295">
        <v>46086</v>
      </c>
      <c r="BW84" s="296">
        <v>40</v>
      </c>
      <c r="BX84" s="301">
        <v>0</v>
      </c>
      <c r="BY84" s="298"/>
      <c r="BZ84" s="302"/>
      <c r="CA84" s="303"/>
      <c r="CB84" s="303"/>
      <c r="CC84" s="303">
        <f t="shared" si="45"/>
        <v>0</v>
      </c>
    </row>
    <row r="85" spans="2:81" x14ac:dyDescent="0.25">
      <c r="B85" s="295">
        <v>46087</v>
      </c>
      <c r="C85" s="296">
        <v>8724.69</v>
      </c>
      <c r="D85" s="296">
        <v>3393.1</v>
      </c>
      <c r="E85" s="296">
        <v>0</v>
      </c>
      <c r="F85" s="330">
        <v>0</v>
      </c>
      <c r="G85" s="298"/>
      <c r="H85" s="302"/>
      <c r="I85" s="303"/>
      <c r="J85" s="303">
        <v>39.600636899999927</v>
      </c>
      <c r="K85" s="303">
        <f t="shared" si="38"/>
        <v>39.600636899999927</v>
      </c>
      <c r="M85" s="295">
        <v>46087</v>
      </c>
      <c r="N85" s="296">
        <v>1054.3</v>
      </c>
      <c r="O85" s="296">
        <v>260.20999999999998</v>
      </c>
      <c r="P85" s="296">
        <v>1769.69</v>
      </c>
      <c r="Q85" s="330">
        <v>35.04</v>
      </c>
      <c r="R85" s="297"/>
      <c r="S85" s="298"/>
      <c r="T85" s="302"/>
      <c r="U85" s="303"/>
      <c r="V85" s="303"/>
      <c r="W85" s="303">
        <f t="shared" si="39"/>
        <v>0</v>
      </c>
      <c r="Y85" s="295">
        <v>46087</v>
      </c>
      <c r="Z85" s="296">
        <v>902.39</v>
      </c>
      <c r="AA85" s="296">
        <v>259.66000000000003</v>
      </c>
      <c r="AB85" s="298"/>
      <c r="AC85" s="302"/>
      <c r="AD85" s="303"/>
      <c r="AE85" s="303"/>
      <c r="AF85" s="303">
        <f t="shared" si="40"/>
        <v>259.66000000000003</v>
      </c>
      <c r="AH85" s="295">
        <v>46087</v>
      </c>
      <c r="AI85" s="296">
        <v>867.64</v>
      </c>
      <c r="AJ85" s="301">
        <v>0</v>
      </c>
      <c r="AK85" s="298"/>
      <c r="AL85" s="302"/>
      <c r="AM85" s="303"/>
      <c r="AN85" s="303"/>
      <c r="AO85" s="303">
        <f t="shared" si="41"/>
        <v>0</v>
      </c>
      <c r="AQ85" s="295">
        <v>46087</v>
      </c>
      <c r="AR85" s="429">
        <v>3582.73</v>
      </c>
      <c r="AS85" s="429">
        <v>4672.32</v>
      </c>
      <c r="AT85" s="296">
        <v>850.65</v>
      </c>
      <c r="AU85" s="301">
        <v>0</v>
      </c>
      <c r="AV85" s="428">
        <v>61.12</v>
      </c>
      <c r="AW85" s="301">
        <v>0</v>
      </c>
      <c r="AX85" s="298"/>
      <c r="AY85" s="302"/>
      <c r="AZ85" s="303"/>
      <c r="BA85" s="303"/>
      <c r="BB85" s="303">
        <f t="shared" si="42"/>
        <v>0</v>
      </c>
      <c r="BD85" s="295">
        <v>46087</v>
      </c>
      <c r="BE85" s="296">
        <v>21248.11</v>
      </c>
      <c r="BF85" s="301">
        <v>32.14</v>
      </c>
      <c r="BG85" s="298"/>
      <c r="BH85" s="302"/>
      <c r="BI85" s="303"/>
      <c r="BJ85" s="303"/>
      <c r="BK85" s="303">
        <f t="shared" si="43"/>
        <v>32.14</v>
      </c>
      <c r="BM85" s="295">
        <v>46087</v>
      </c>
      <c r="BN85" s="296">
        <v>793</v>
      </c>
      <c r="BO85" s="330">
        <v>0</v>
      </c>
      <c r="BP85" s="298"/>
      <c r="BQ85" s="302"/>
      <c r="BR85" s="303"/>
      <c r="BS85" s="303"/>
      <c r="BT85" s="303">
        <f t="shared" si="44"/>
        <v>0</v>
      </c>
      <c r="BV85" s="295">
        <v>46087</v>
      </c>
      <c r="BW85" s="296">
        <v>506.5</v>
      </c>
      <c r="BX85" s="301">
        <v>0</v>
      </c>
      <c r="BY85" s="298"/>
      <c r="BZ85" s="302"/>
      <c r="CA85" s="303"/>
      <c r="CB85" s="303"/>
      <c r="CC85" s="303">
        <f t="shared" si="45"/>
        <v>0</v>
      </c>
    </row>
    <row r="86" spans="2:81" x14ac:dyDescent="0.25">
      <c r="B86" s="295">
        <v>46088</v>
      </c>
      <c r="C86" s="296">
        <v>550.70000000000005</v>
      </c>
      <c r="D86" s="296">
        <v>1929.31</v>
      </c>
      <c r="E86" s="296">
        <v>0</v>
      </c>
      <c r="F86" s="330">
        <v>0</v>
      </c>
      <c r="G86" s="298"/>
      <c r="H86" s="302"/>
      <c r="I86" s="303"/>
      <c r="J86" s="303"/>
      <c r="K86" s="303">
        <f t="shared" si="38"/>
        <v>0</v>
      </c>
      <c r="M86" s="295">
        <v>46088</v>
      </c>
      <c r="N86" s="296">
        <v>1496.68</v>
      </c>
      <c r="O86" s="296">
        <v>0</v>
      </c>
      <c r="P86" s="296">
        <v>2188.34</v>
      </c>
      <c r="Q86" s="330">
        <v>40.130000000000003</v>
      </c>
      <c r="R86" s="301"/>
      <c r="S86" s="298"/>
      <c r="T86" s="302"/>
      <c r="U86" s="303"/>
      <c r="V86" s="303"/>
      <c r="W86" s="303">
        <f t="shared" si="39"/>
        <v>0</v>
      </c>
      <c r="Y86" s="295">
        <v>46088</v>
      </c>
      <c r="Z86" s="296">
        <v>1721.6</v>
      </c>
      <c r="AA86" s="296">
        <v>457.2</v>
      </c>
      <c r="AB86" s="298"/>
      <c r="AC86" s="302"/>
      <c r="AD86" s="303"/>
      <c r="AE86" s="303"/>
      <c r="AF86" s="303">
        <f t="shared" si="40"/>
        <v>457.2</v>
      </c>
      <c r="AH86" s="295">
        <v>46088</v>
      </c>
      <c r="AI86" s="296">
        <v>1515.9</v>
      </c>
      <c r="AJ86" s="301">
        <v>0</v>
      </c>
      <c r="AK86" s="298"/>
      <c r="AL86" s="302"/>
      <c r="AM86" s="303"/>
      <c r="AN86" s="303"/>
      <c r="AO86" s="303">
        <f t="shared" si="41"/>
        <v>0</v>
      </c>
      <c r="AQ86" s="295">
        <v>46088</v>
      </c>
      <c r="AR86" s="296">
        <v>200.01</v>
      </c>
      <c r="AS86" s="296">
        <v>1325.68</v>
      </c>
      <c r="AT86" s="296">
        <v>460.18</v>
      </c>
      <c r="AU86" s="301">
        <v>0</v>
      </c>
      <c r="AV86" s="428">
        <v>37.409999999999997</v>
      </c>
      <c r="AW86" s="301">
        <v>0</v>
      </c>
      <c r="AX86" s="298"/>
      <c r="AY86" s="302"/>
      <c r="AZ86" s="303"/>
      <c r="BA86" s="303"/>
      <c r="BB86" s="303">
        <f t="shared" si="42"/>
        <v>0</v>
      </c>
      <c r="BD86" s="295">
        <v>46088</v>
      </c>
      <c r="BE86" s="296">
        <v>18385.990000000002</v>
      </c>
      <c r="BF86" s="301">
        <v>0</v>
      </c>
      <c r="BG86" s="298"/>
      <c r="BH86" s="302"/>
      <c r="BI86" s="303"/>
      <c r="BJ86" s="303"/>
      <c r="BK86" s="303">
        <f t="shared" si="43"/>
        <v>0</v>
      </c>
      <c r="BM86" s="295">
        <v>46088</v>
      </c>
      <c r="BN86" s="296">
        <v>2418</v>
      </c>
      <c r="BO86" s="330">
        <v>189.6</v>
      </c>
      <c r="BP86" s="298"/>
      <c r="BQ86" s="302"/>
      <c r="BR86" s="303"/>
      <c r="BS86" s="303"/>
      <c r="BT86" s="303">
        <f t="shared" si="44"/>
        <v>189.6</v>
      </c>
      <c r="BV86" s="295">
        <v>46088</v>
      </c>
      <c r="BW86" s="296">
        <v>460.5</v>
      </c>
      <c r="BX86" s="301">
        <v>0</v>
      </c>
      <c r="BY86" s="298"/>
      <c r="BZ86" s="302"/>
      <c r="CA86" s="303"/>
      <c r="CB86" s="303"/>
      <c r="CC86" s="303">
        <f t="shared" si="45"/>
        <v>0</v>
      </c>
    </row>
    <row r="87" spans="2:81" x14ac:dyDescent="0.25">
      <c r="B87" s="295">
        <v>46089</v>
      </c>
      <c r="C87" s="296">
        <v>8772.81</v>
      </c>
      <c r="D87" s="296">
        <v>0</v>
      </c>
      <c r="E87" s="296">
        <v>0</v>
      </c>
      <c r="F87" s="330">
        <v>0</v>
      </c>
      <c r="G87" s="298"/>
      <c r="H87" s="302"/>
      <c r="I87" s="303"/>
      <c r="J87" s="303"/>
      <c r="K87" s="303">
        <f t="shared" si="38"/>
        <v>0</v>
      </c>
      <c r="M87" s="295">
        <v>46089</v>
      </c>
      <c r="N87" s="296">
        <v>597.6</v>
      </c>
      <c r="O87" s="296">
        <v>0</v>
      </c>
      <c r="P87" s="296">
        <v>2014.56</v>
      </c>
      <c r="Q87" s="330">
        <v>8.36</v>
      </c>
      <c r="R87" s="301"/>
      <c r="S87" s="298"/>
      <c r="T87" s="302"/>
      <c r="U87" s="303"/>
      <c r="V87" s="303"/>
      <c r="W87" s="303">
        <f t="shared" si="39"/>
        <v>0</v>
      </c>
      <c r="Y87" s="295">
        <v>46089</v>
      </c>
      <c r="Z87" s="296">
        <v>887.2</v>
      </c>
      <c r="AA87" s="296">
        <v>107.23</v>
      </c>
      <c r="AB87" s="298"/>
      <c r="AC87" s="302"/>
      <c r="AD87" s="303"/>
      <c r="AE87" s="303"/>
      <c r="AF87" s="303">
        <f t="shared" si="40"/>
        <v>107.23</v>
      </c>
      <c r="AH87" s="295">
        <v>46089</v>
      </c>
      <c r="AI87" s="296">
        <v>1037.2</v>
      </c>
      <c r="AJ87" s="301">
        <v>0</v>
      </c>
      <c r="AK87" s="298"/>
      <c r="AL87" s="302"/>
      <c r="AM87" s="303"/>
      <c r="AN87" s="303"/>
      <c r="AO87" s="303">
        <f t="shared" si="41"/>
        <v>0</v>
      </c>
      <c r="AQ87" s="295">
        <v>46089</v>
      </c>
      <c r="AR87" s="296">
        <v>81.12</v>
      </c>
      <c r="AS87" s="296">
        <v>0</v>
      </c>
      <c r="AT87" s="296">
        <v>7034.75</v>
      </c>
      <c r="AU87" s="301">
        <v>0</v>
      </c>
      <c r="AV87" s="428">
        <v>39.76</v>
      </c>
      <c r="AW87" s="301">
        <v>0</v>
      </c>
      <c r="AX87" s="298"/>
      <c r="AY87" s="302"/>
      <c r="AZ87" s="303"/>
      <c r="BA87" s="303"/>
      <c r="BB87" s="303">
        <f t="shared" si="42"/>
        <v>0</v>
      </c>
      <c r="BD87" s="295">
        <v>46089</v>
      </c>
      <c r="BE87" s="296">
        <v>11612.83</v>
      </c>
      <c r="BF87" s="301">
        <v>0</v>
      </c>
      <c r="BG87" s="298"/>
      <c r="BH87" s="302">
        <v>17.679999999999993</v>
      </c>
      <c r="BI87" s="303"/>
      <c r="BJ87" s="303"/>
      <c r="BK87" s="303">
        <f t="shared" si="43"/>
        <v>17.679999999999993</v>
      </c>
      <c r="BM87" s="295">
        <v>46089</v>
      </c>
      <c r="BN87" s="296">
        <v>1283</v>
      </c>
      <c r="BO87" s="330">
        <v>61.4</v>
      </c>
      <c r="BP87" s="298"/>
      <c r="BQ87" s="302"/>
      <c r="BR87" s="303"/>
      <c r="BS87" s="303"/>
      <c r="BT87" s="303">
        <f t="shared" si="44"/>
        <v>61.4</v>
      </c>
      <c r="BV87" s="295">
        <v>46089</v>
      </c>
      <c r="BW87" s="296">
        <v>375</v>
      </c>
      <c r="BX87" s="301">
        <v>0</v>
      </c>
      <c r="BY87" s="298"/>
      <c r="BZ87" s="302"/>
      <c r="CA87" s="303"/>
      <c r="CB87" s="303"/>
      <c r="CC87" s="303">
        <f t="shared" si="45"/>
        <v>0</v>
      </c>
    </row>
    <row r="88" spans="2:81" x14ac:dyDescent="0.25">
      <c r="B88" s="295">
        <v>46090</v>
      </c>
      <c r="C88" s="296">
        <v>12782.1</v>
      </c>
      <c r="D88" s="296">
        <v>485.8</v>
      </c>
      <c r="E88" s="296">
        <v>0</v>
      </c>
      <c r="F88" s="330">
        <v>4</v>
      </c>
      <c r="G88" s="298"/>
      <c r="H88" s="302"/>
      <c r="I88" s="303">
        <v>314.95673599999986</v>
      </c>
      <c r="J88" s="303">
        <v>82.322079399999978</v>
      </c>
      <c r="K88" s="303">
        <f t="shared" si="38"/>
        <v>401.27881539999987</v>
      </c>
      <c r="M88" s="295">
        <v>46090</v>
      </c>
      <c r="N88" s="296">
        <v>695.4</v>
      </c>
      <c r="O88" s="296">
        <v>0</v>
      </c>
      <c r="P88" s="296">
        <v>1859.95</v>
      </c>
      <c r="Q88" s="330">
        <v>9.43</v>
      </c>
      <c r="R88" s="301"/>
      <c r="S88" s="298"/>
      <c r="T88" s="302"/>
      <c r="U88" s="303"/>
      <c r="V88" s="303"/>
      <c r="W88" s="303">
        <f t="shared" si="39"/>
        <v>0</v>
      </c>
      <c r="Y88" s="295">
        <v>46090</v>
      </c>
      <c r="Z88" s="296">
        <v>2237.09</v>
      </c>
      <c r="AA88" s="296">
        <v>554.62</v>
      </c>
      <c r="AB88" s="298"/>
      <c r="AC88" s="302"/>
      <c r="AD88" s="303"/>
      <c r="AE88" s="303"/>
      <c r="AF88" s="303">
        <f t="shared" si="40"/>
        <v>554.62</v>
      </c>
      <c r="AH88" s="295">
        <v>46090</v>
      </c>
      <c r="AI88" s="296">
        <v>1030.8</v>
      </c>
      <c r="AJ88" s="301">
        <v>0</v>
      </c>
      <c r="AK88" s="298"/>
      <c r="AL88" s="302"/>
      <c r="AM88" s="303"/>
      <c r="AN88" s="303"/>
      <c r="AO88" s="303">
        <f t="shared" si="41"/>
        <v>0</v>
      </c>
      <c r="AQ88" s="295">
        <v>46090</v>
      </c>
      <c r="AR88" s="296">
        <v>7200.83</v>
      </c>
      <c r="AS88" s="296">
        <v>0</v>
      </c>
      <c r="AT88" s="296">
        <v>0</v>
      </c>
      <c r="AU88" s="301">
        <v>0</v>
      </c>
      <c r="AV88" s="428">
        <v>69.22</v>
      </c>
      <c r="AW88" s="301">
        <v>0</v>
      </c>
      <c r="AX88" s="298"/>
      <c r="AY88" s="302"/>
      <c r="AZ88" s="303"/>
      <c r="BA88" s="303"/>
      <c r="BB88" s="303">
        <f t="shared" si="42"/>
        <v>0</v>
      </c>
      <c r="BD88" s="295">
        <v>46090</v>
      </c>
      <c r="BE88" s="296">
        <v>9698.99</v>
      </c>
      <c r="BF88" s="301">
        <v>0</v>
      </c>
      <c r="BG88" s="298"/>
      <c r="BH88" s="302">
        <v>36.846139999999977</v>
      </c>
      <c r="BI88" s="303"/>
      <c r="BJ88" s="303"/>
      <c r="BK88" s="303">
        <f t="shared" si="43"/>
        <v>36.846139999999977</v>
      </c>
      <c r="BM88" s="295">
        <v>46090</v>
      </c>
      <c r="BN88" s="296">
        <v>5093.92</v>
      </c>
      <c r="BO88" s="330">
        <v>103.78</v>
      </c>
      <c r="BP88" s="298"/>
      <c r="BQ88" s="302"/>
      <c r="BR88" s="303"/>
      <c r="BS88" s="303"/>
      <c r="BT88" s="303">
        <f t="shared" si="44"/>
        <v>103.78</v>
      </c>
      <c r="BV88" s="295">
        <v>46090</v>
      </c>
      <c r="BW88" s="296">
        <v>367.51</v>
      </c>
      <c r="BX88" s="301">
        <v>0</v>
      </c>
      <c r="BY88" s="298"/>
      <c r="BZ88" s="302"/>
      <c r="CA88" s="303"/>
      <c r="CB88" s="303"/>
      <c r="CC88" s="303">
        <f t="shared" si="45"/>
        <v>0</v>
      </c>
    </row>
    <row r="89" spans="2:81" x14ac:dyDescent="0.25">
      <c r="B89" s="295">
        <v>46091</v>
      </c>
      <c r="C89" s="296">
        <v>11170.88</v>
      </c>
      <c r="D89" s="296">
        <v>0</v>
      </c>
      <c r="E89" s="296">
        <v>0</v>
      </c>
      <c r="F89" s="330">
        <v>0</v>
      </c>
      <c r="G89" s="298"/>
      <c r="H89" s="302"/>
      <c r="I89" s="303"/>
      <c r="J89" s="303"/>
      <c r="K89" s="303">
        <f t="shared" si="38"/>
        <v>0</v>
      </c>
      <c r="M89" s="295">
        <v>46091</v>
      </c>
      <c r="N89" s="296">
        <v>521.75</v>
      </c>
      <c r="O89" s="296">
        <v>0</v>
      </c>
      <c r="P89" s="296">
        <v>1603.4</v>
      </c>
      <c r="Q89" s="330">
        <v>128.58000000000001</v>
      </c>
      <c r="R89" s="301"/>
      <c r="S89" s="298"/>
      <c r="T89" s="302"/>
      <c r="U89" s="303"/>
      <c r="V89" s="303"/>
      <c r="W89" s="303">
        <f t="shared" si="39"/>
        <v>0</v>
      </c>
      <c r="Y89" s="295">
        <v>46091</v>
      </c>
      <c r="Z89" s="296">
        <v>414.07</v>
      </c>
      <c r="AA89" s="296">
        <v>156.56</v>
      </c>
      <c r="AB89" s="298"/>
      <c r="AC89" s="302"/>
      <c r="AD89" s="303"/>
      <c r="AE89" s="303"/>
      <c r="AF89" s="303">
        <f t="shared" si="40"/>
        <v>156.56</v>
      </c>
      <c r="AH89" s="295">
        <v>46091</v>
      </c>
      <c r="AI89" s="296">
        <v>985.4</v>
      </c>
      <c r="AJ89" s="301">
        <v>0</v>
      </c>
      <c r="AK89" s="298"/>
      <c r="AL89" s="302"/>
      <c r="AM89" s="303"/>
      <c r="AN89" s="303"/>
      <c r="AO89" s="303">
        <f t="shared" si="41"/>
        <v>0</v>
      </c>
      <c r="AQ89" s="295">
        <v>46091</v>
      </c>
      <c r="AR89" s="296">
        <v>7677.64</v>
      </c>
      <c r="AS89" s="296">
        <v>0</v>
      </c>
      <c r="AT89" s="296">
        <v>31.95</v>
      </c>
      <c r="AU89" s="301">
        <v>0</v>
      </c>
      <c r="AV89" s="428">
        <v>37.799999999999997</v>
      </c>
      <c r="AW89" s="301">
        <v>0</v>
      </c>
      <c r="AX89" s="298"/>
      <c r="AY89" s="302"/>
      <c r="AZ89" s="303"/>
      <c r="BA89" s="303"/>
      <c r="BB89" s="303">
        <f t="shared" si="42"/>
        <v>0</v>
      </c>
      <c r="BD89" s="295">
        <v>46091</v>
      </c>
      <c r="BE89" s="296">
        <v>21540.5</v>
      </c>
      <c r="BF89" s="301">
        <v>0</v>
      </c>
      <c r="BG89" s="298"/>
      <c r="BH89" s="302">
        <v>104.75125999999993</v>
      </c>
      <c r="BI89" s="303"/>
      <c r="BJ89" s="303"/>
      <c r="BK89" s="303">
        <f t="shared" si="43"/>
        <v>104.75125999999993</v>
      </c>
      <c r="BM89" s="295">
        <v>46091</v>
      </c>
      <c r="BN89" s="296">
        <v>7413.11</v>
      </c>
      <c r="BO89" s="330">
        <v>0</v>
      </c>
      <c r="BP89" s="298"/>
      <c r="BQ89" s="302"/>
      <c r="BR89" s="303"/>
      <c r="BS89" s="303"/>
      <c r="BT89" s="303">
        <f t="shared" si="44"/>
        <v>0</v>
      </c>
      <c r="BV89" s="295">
        <v>46091</v>
      </c>
      <c r="BW89" s="296">
        <v>312.04000000000002</v>
      </c>
      <c r="BX89" s="301">
        <v>0</v>
      </c>
      <c r="BY89" s="298"/>
      <c r="BZ89" s="302"/>
      <c r="CA89" s="303"/>
      <c r="CB89" s="303"/>
      <c r="CC89" s="303">
        <f t="shared" si="45"/>
        <v>0</v>
      </c>
    </row>
    <row r="90" spans="2:81" x14ac:dyDescent="0.25">
      <c r="B90" s="295">
        <v>46092</v>
      </c>
      <c r="C90" s="296">
        <v>6203.4</v>
      </c>
      <c r="D90" s="296">
        <v>6444.88</v>
      </c>
      <c r="E90" s="296">
        <v>0</v>
      </c>
      <c r="F90" s="330">
        <v>0</v>
      </c>
      <c r="G90" s="298"/>
      <c r="H90" s="302"/>
      <c r="I90" s="303"/>
      <c r="J90" s="303"/>
      <c r="K90" s="303">
        <f t="shared" si="38"/>
        <v>0</v>
      </c>
      <c r="M90" s="295">
        <v>46092</v>
      </c>
      <c r="N90" s="296">
        <v>405.1</v>
      </c>
      <c r="O90" s="296">
        <v>0</v>
      </c>
      <c r="P90" s="296">
        <v>2573.5300000000002</v>
      </c>
      <c r="Q90" s="330">
        <v>106.36</v>
      </c>
      <c r="R90" s="301"/>
      <c r="S90" s="298"/>
      <c r="T90" s="302"/>
      <c r="U90" s="303"/>
      <c r="V90" s="303"/>
      <c r="W90" s="303">
        <f t="shared" si="39"/>
        <v>0</v>
      </c>
      <c r="Y90" s="295">
        <v>46092</v>
      </c>
      <c r="Z90" s="296">
        <v>3625.08</v>
      </c>
      <c r="AA90" s="296">
        <v>879.79</v>
      </c>
      <c r="AB90" s="298"/>
      <c r="AC90" s="302"/>
      <c r="AD90" s="303"/>
      <c r="AE90" s="303"/>
      <c r="AF90" s="303">
        <f t="shared" si="40"/>
        <v>879.79</v>
      </c>
      <c r="AH90" s="295">
        <v>46092</v>
      </c>
      <c r="AI90" s="296">
        <v>1066.9000000000001</v>
      </c>
      <c r="AJ90" s="301">
        <v>0</v>
      </c>
      <c r="AK90" s="298"/>
      <c r="AL90" s="302"/>
      <c r="AM90" s="303"/>
      <c r="AN90" s="303"/>
      <c r="AO90" s="303">
        <f t="shared" si="41"/>
        <v>0</v>
      </c>
      <c r="AQ90" s="295">
        <v>46092</v>
      </c>
      <c r="AR90" s="296">
        <v>6454.02</v>
      </c>
      <c r="AS90" s="296">
        <v>4501.0600000000004</v>
      </c>
      <c r="AT90" s="296">
        <v>375.86</v>
      </c>
      <c r="AU90" s="301">
        <v>0</v>
      </c>
      <c r="AV90" s="428">
        <v>37.65</v>
      </c>
      <c r="AW90" s="301">
        <v>0</v>
      </c>
      <c r="AX90" s="298"/>
      <c r="AY90" s="302"/>
      <c r="AZ90" s="303">
        <v>70.733553333333305</v>
      </c>
      <c r="BA90" s="303"/>
      <c r="BB90" s="303">
        <f t="shared" si="42"/>
        <v>70.733553333333305</v>
      </c>
      <c r="BD90" s="295">
        <v>46092</v>
      </c>
      <c r="BE90" s="296">
        <v>15721.41</v>
      </c>
      <c r="BF90" s="301">
        <v>0</v>
      </c>
      <c r="BG90" s="298"/>
      <c r="BH90" s="302">
        <v>451.40348999999981</v>
      </c>
      <c r="BI90" s="303"/>
      <c r="BJ90" s="303"/>
      <c r="BK90" s="303">
        <f t="shared" si="43"/>
        <v>451.40348999999981</v>
      </c>
      <c r="BM90" s="295">
        <v>46092</v>
      </c>
      <c r="BN90" s="296">
        <v>5707</v>
      </c>
      <c r="BO90" s="330">
        <v>234.42</v>
      </c>
      <c r="BP90" s="298"/>
      <c r="BQ90" s="302"/>
      <c r="BR90" s="303"/>
      <c r="BS90" s="303"/>
      <c r="BT90" s="303">
        <f t="shared" si="44"/>
        <v>234.42</v>
      </c>
      <c r="BV90" s="295">
        <v>46092</v>
      </c>
      <c r="BW90" s="296">
        <v>396.6</v>
      </c>
      <c r="BX90" s="301">
        <v>0</v>
      </c>
      <c r="BY90" s="298"/>
      <c r="BZ90" s="302"/>
      <c r="CA90" s="303"/>
      <c r="CB90" s="303"/>
      <c r="CC90" s="303">
        <f t="shared" si="45"/>
        <v>0</v>
      </c>
    </row>
    <row r="91" spans="2:81" x14ac:dyDescent="0.25">
      <c r="B91" s="295">
        <v>46093</v>
      </c>
      <c r="C91" s="296">
        <v>1379.97</v>
      </c>
      <c r="D91" s="296">
        <v>889.32</v>
      </c>
      <c r="E91" s="296">
        <v>0</v>
      </c>
      <c r="F91" s="330">
        <v>0</v>
      </c>
      <c r="G91" s="298"/>
      <c r="H91" s="302"/>
      <c r="I91" s="303"/>
      <c r="J91" s="303">
        <v>52.367478500000004</v>
      </c>
      <c r="K91" s="303">
        <f t="shared" si="38"/>
        <v>52.367478500000004</v>
      </c>
      <c r="M91" s="295">
        <v>46093</v>
      </c>
      <c r="N91" s="296">
        <v>240.6</v>
      </c>
      <c r="O91" s="296">
        <v>0</v>
      </c>
      <c r="P91" s="296">
        <v>958.48</v>
      </c>
      <c r="Q91" s="330">
        <v>118.93</v>
      </c>
      <c r="R91" s="301"/>
      <c r="S91" s="298"/>
      <c r="T91" s="302"/>
      <c r="U91" s="303"/>
      <c r="V91" s="303"/>
      <c r="W91" s="303">
        <f t="shared" si="39"/>
        <v>0</v>
      </c>
      <c r="Y91" s="295">
        <v>46093</v>
      </c>
      <c r="Z91" s="296">
        <v>1255.69</v>
      </c>
      <c r="AA91" s="296">
        <v>280.83</v>
      </c>
      <c r="AB91" s="298"/>
      <c r="AC91" s="302"/>
      <c r="AD91" s="303"/>
      <c r="AE91" s="303"/>
      <c r="AF91" s="303">
        <f t="shared" si="40"/>
        <v>280.83</v>
      </c>
      <c r="AH91" s="295">
        <v>46093</v>
      </c>
      <c r="AI91" s="296">
        <v>764</v>
      </c>
      <c r="AJ91" s="301">
        <v>0</v>
      </c>
      <c r="AK91" s="298"/>
      <c r="AL91" s="302"/>
      <c r="AM91" s="303"/>
      <c r="AN91" s="303"/>
      <c r="AO91" s="303">
        <f t="shared" si="41"/>
        <v>0</v>
      </c>
      <c r="AQ91" s="295">
        <v>46093</v>
      </c>
      <c r="AR91" s="296">
        <v>5164.7299999999996</v>
      </c>
      <c r="AS91" s="296">
        <v>2003.3</v>
      </c>
      <c r="AT91" s="296">
        <v>0</v>
      </c>
      <c r="AU91" s="301">
        <v>0</v>
      </c>
      <c r="AV91" s="428">
        <v>14.18</v>
      </c>
      <c r="AW91" s="301">
        <v>0</v>
      </c>
      <c r="AX91" s="298"/>
      <c r="AY91" s="302"/>
      <c r="AZ91" s="303"/>
      <c r="BA91" s="303"/>
      <c r="BB91" s="303">
        <f t="shared" si="42"/>
        <v>0</v>
      </c>
      <c r="BD91" s="295">
        <v>46093</v>
      </c>
      <c r="BE91" s="296">
        <v>16600.09</v>
      </c>
      <c r="BF91" s="301">
        <v>0</v>
      </c>
      <c r="BG91" s="298"/>
      <c r="BH91" s="302">
        <v>161.13824999999991</v>
      </c>
      <c r="BI91" s="303"/>
      <c r="BJ91" s="303"/>
      <c r="BK91" s="303">
        <f t="shared" si="43"/>
        <v>161.13824999999991</v>
      </c>
      <c r="BM91" s="295">
        <v>46093</v>
      </c>
      <c r="BN91" s="296">
        <v>5472.14</v>
      </c>
      <c r="BO91" s="330">
        <v>171</v>
      </c>
      <c r="BP91" s="298"/>
      <c r="BQ91" s="302"/>
      <c r="BR91" s="303"/>
      <c r="BS91" s="303"/>
      <c r="BT91" s="303">
        <f t="shared" si="44"/>
        <v>171</v>
      </c>
      <c r="BV91" s="295">
        <v>46093</v>
      </c>
      <c r="BW91" s="296">
        <v>515.5</v>
      </c>
      <c r="BX91" s="301">
        <v>0</v>
      </c>
      <c r="BY91" s="298"/>
      <c r="BZ91" s="302"/>
      <c r="CA91" s="303"/>
      <c r="CB91" s="303"/>
      <c r="CC91" s="303">
        <f t="shared" si="45"/>
        <v>0</v>
      </c>
    </row>
    <row r="92" spans="2:81" x14ac:dyDescent="0.25">
      <c r="B92" s="295">
        <v>46094</v>
      </c>
      <c r="C92" s="296">
        <v>1393.27</v>
      </c>
      <c r="D92" s="296">
        <v>0</v>
      </c>
      <c r="E92" s="296">
        <v>0</v>
      </c>
      <c r="F92" s="330">
        <v>0</v>
      </c>
      <c r="G92" s="298"/>
      <c r="H92" s="302"/>
      <c r="I92" s="303"/>
      <c r="J92" s="303">
        <v>39.832016399999986</v>
      </c>
      <c r="K92" s="303">
        <f t="shared" si="38"/>
        <v>39.832016399999986</v>
      </c>
      <c r="M92" s="295">
        <v>46094</v>
      </c>
      <c r="N92" s="296">
        <v>0</v>
      </c>
      <c r="O92" s="296">
        <v>0</v>
      </c>
      <c r="P92" s="296">
        <v>1622.26</v>
      </c>
      <c r="Q92" s="330">
        <v>111.39</v>
      </c>
      <c r="R92" s="301"/>
      <c r="S92" s="298"/>
      <c r="T92" s="302"/>
      <c r="U92" s="303"/>
      <c r="V92" s="303"/>
      <c r="W92" s="303">
        <f t="shared" si="39"/>
        <v>0</v>
      </c>
      <c r="Y92" s="295">
        <v>46094</v>
      </c>
      <c r="Z92" s="296">
        <v>2433.02</v>
      </c>
      <c r="AA92" s="296">
        <v>476.97</v>
      </c>
      <c r="AB92" s="298"/>
      <c r="AC92" s="302"/>
      <c r="AD92" s="303"/>
      <c r="AE92" s="303"/>
      <c r="AF92" s="303">
        <f t="shared" si="40"/>
        <v>476.97</v>
      </c>
      <c r="AH92" s="295">
        <v>46094</v>
      </c>
      <c r="AI92" s="296">
        <v>1725.7</v>
      </c>
      <c r="AJ92" s="301">
        <v>0</v>
      </c>
      <c r="AK92" s="298"/>
      <c r="AL92" s="302"/>
      <c r="AM92" s="303"/>
      <c r="AN92" s="303"/>
      <c r="AO92" s="303">
        <f t="shared" si="41"/>
        <v>0</v>
      </c>
      <c r="AQ92" s="295">
        <v>46094</v>
      </c>
      <c r="AR92" s="296">
        <v>2677.56</v>
      </c>
      <c r="AS92" s="296">
        <v>0</v>
      </c>
      <c r="AT92" s="296">
        <v>4570.37</v>
      </c>
      <c r="AU92" s="301">
        <v>0</v>
      </c>
      <c r="AV92" s="428">
        <v>13.24</v>
      </c>
      <c r="AW92" s="301">
        <v>0</v>
      </c>
      <c r="AX92" s="298"/>
      <c r="AY92" s="302"/>
      <c r="AZ92" s="303"/>
      <c r="BA92" s="303"/>
      <c r="BB92" s="303">
        <f t="shared" si="42"/>
        <v>0</v>
      </c>
      <c r="BD92" s="295">
        <v>46094</v>
      </c>
      <c r="BE92" s="296">
        <v>12411.02</v>
      </c>
      <c r="BF92" s="301">
        <v>0</v>
      </c>
      <c r="BG92" s="298"/>
      <c r="BH92" s="302">
        <v>44.347419999999985</v>
      </c>
      <c r="BI92" s="303"/>
      <c r="BJ92" s="303"/>
      <c r="BK92" s="303">
        <f t="shared" si="43"/>
        <v>44.347419999999985</v>
      </c>
      <c r="BM92" s="295">
        <v>46094</v>
      </c>
      <c r="BN92" s="296">
        <v>4455.45</v>
      </c>
      <c r="BO92" s="330">
        <v>250.15</v>
      </c>
      <c r="BP92" s="298"/>
      <c r="BQ92" s="302"/>
      <c r="BR92" s="303"/>
      <c r="BS92" s="303"/>
      <c r="BT92" s="303">
        <f t="shared" si="44"/>
        <v>250.15</v>
      </c>
      <c r="BV92" s="295">
        <v>46094</v>
      </c>
      <c r="BW92" s="296">
        <v>445.5</v>
      </c>
      <c r="BX92" s="301">
        <v>0</v>
      </c>
      <c r="BY92" s="298"/>
      <c r="BZ92" s="302"/>
      <c r="CA92" s="303"/>
      <c r="CB92" s="303"/>
      <c r="CC92" s="303">
        <f t="shared" si="45"/>
        <v>0</v>
      </c>
    </row>
    <row r="93" spans="2:81" x14ac:dyDescent="0.25">
      <c r="B93" s="295">
        <v>46095</v>
      </c>
      <c r="C93" s="296">
        <v>3386.3</v>
      </c>
      <c r="D93" s="296">
        <v>0</v>
      </c>
      <c r="E93" s="296">
        <v>0</v>
      </c>
      <c r="F93" s="330">
        <v>0</v>
      </c>
      <c r="G93" s="298"/>
      <c r="H93" s="302"/>
      <c r="I93" s="303"/>
      <c r="J93" s="303"/>
      <c r="K93" s="303">
        <f t="shared" si="38"/>
        <v>0</v>
      </c>
      <c r="M93" s="295">
        <v>46095</v>
      </c>
      <c r="N93" s="296">
        <v>277.75</v>
      </c>
      <c r="O93" s="296">
        <v>0</v>
      </c>
      <c r="P93" s="296">
        <v>2017.36</v>
      </c>
      <c r="Q93" s="330">
        <v>83.73</v>
      </c>
      <c r="R93" s="301"/>
      <c r="S93" s="298"/>
      <c r="T93" s="302"/>
      <c r="U93" s="303"/>
      <c r="V93" s="303"/>
      <c r="W93" s="303">
        <f t="shared" si="39"/>
        <v>0</v>
      </c>
      <c r="Y93" s="295">
        <v>46095</v>
      </c>
      <c r="Z93" s="296">
        <v>1225.49</v>
      </c>
      <c r="AA93" s="296">
        <v>264.95</v>
      </c>
      <c r="AB93" s="298"/>
      <c r="AC93" s="302"/>
      <c r="AD93" s="303"/>
      <c r="AE93" s="303"/>
      <c r="AF93" s="303">
        <f t="shared" si="40"/>
        <v>264.95</v>
      </c>
      <c r="AH93" s="295">
        <v>46095</v>
      </c>
      <c r="AI93" s="296">
        <v>1262.6500000000001</v>
      </c>
      <c r="AJ93" s="301">
        <v>0</v>
      </c>
      <c r="AK93" s="298"/>
      <c r="AL93" s="302"/>
      <c r="AM93" s="303"/>
      <c r="AN93" s="303"/>
      <c r="AO93" s="303">
        <f t="shared" si="41"/>
        <v>0</v>
      </c>
      <c r="AQ93" s="295">
        <v>46095</v>
      </c>
      <c r="AR93" s="296">
        <v>2180.37</v>
      </c>
      <c r="AS93" s="296">
        <v>0</v>
      </c>
      <c r="AT93" s="296">
        <v>3166.14</v>
      </c>
      <c r="AU93" s="301">
        <v>0</v>
      </c>
      <c r="AV93" s="428">
        <v>0</v>
      </c>
      <c r="AW93" s="301">
        <v>0</v>
      </c>
      <c r="AX93" s="298"/>
      <c r="AY93" s="302"/>
      <c r="AZ93" s="303"/>
      <c r="BA93" s="303"/>
      <c r="BB93" s="303">
        <f t="shared" si="42"/>
        <v>0</v>
      </c>
      <c r="BD93" s="295">
        <v>46095</v>
      </c>
      <c r="BE93" s="296">
        <v>12591.61</v>
      </c>
      <c r="BF93" s="301">
        <v>9.2200000000000006</v>
      </c>
      <c r="BG93" s="298"/>
      <c r="BH93" s="302">
        <v>64.73298999999993</v>
      </c>
      <c r="BI93" s="303"/>
      <c r="BJ93" s="303"/>
      <c r="BK93" s="303">
        <f t="shared" si="43"/>
        <v>73.952989999999929</v>
      </c>
      <c r="BM93" s="295">
        <v>46095</v>
      </c>
      <c r="BN93" s="296">
        <v>3669.08</v>
      </c>
      <c r="BO93" s="330">
        <v>142.5</v>
      </c>
      <c r="BP93" s="298"/>
      <c r="BQ93" s="302"/>
      <c r="BR93" s="303"/>
      <c r="BS93" s="303"/>
      <c r="BT93" s="303">
        <f t="shared" si="44"/>
        <v>142.5</v>
      </c>
      <c r="BV93" s="295">
        <v>46095</v>
      </c>
      <c r="BW93" s="296">
        <v>487</v>
      </c>
      <c r="BX93" s="301">
        <v>0</v>
      </c>
      <c r="BY93" s="298"/>
      <c r="BZ93" s="302"/>
      <c r="CA93" s="303"/>
      <c r="CB93" s="303"/>
      <c r="CC93" s="303">
        <f t="shared" si="45"/>
        <v>0</v>
      </c>
    </row>
    <row r="94" spans="2:81" x14ac:dyDescent="0.25">
      <c r="B94" s="295">
        <v>46094</v>
      </c>
      <c r="C94" s="296">
        <v>1928.13</v>
      </c>
      <c r="D94" s="296">
        <v>1313.67</v>
      </c>
      <c r="E94" s="296">
        <v>0</v>
      </c>
      <c r="F94" s="330">
        <v>0</v>
      </c>
      <c r="G94" s="298"/>
      <c r="H94" s="302"/>
      <c r="I94" s="303"/>
      <c r="J94" s="303"/>
      <c r="K94" s="303">
        <f t="shared" si="38"/>
        <v>0</v>
      </c>
      <c r="M94" s="295">
        <v>46094</v>
      </c>
      <c r="N94" s="296">
        <v>336.15</v>
      </c>
      <c r="O94" s="296">
        <v>0</v>
      </c>
      <c r="P94" s="296">
        <v>1913.44</v>
      </c>
      <c r="Q94" s="330">
        <v>85.38</v>
      </c>
      <c r="R94" s="301"/>
      <c r="S94" s="298"/>
      <c r="T94" s="302"/>
      <c r="U94" s="303"/>
      <c r="V94" s="303"/>
      <c r="W94" s="303">
        <f t="shared" si="39"/>
        <v>0</v>
      </c>
      <c r="Y94" s="295">
        <v>46094</v>
      </c>
      <c r="Z94" s="296">
        <v>524</v>
      </c>
      <c r="AA94" s="296">
        <v>382.82</v>
      </c>
      <c r="AB94" s="298"/>
      <c r="AC94" s="302"/>
      <c r="AD94" s="303"/>
      <c r="AE94" s="303"/>
      <c r="AF94" s="303">
        <f t="shared" si="40"/>
        <v>382.82</v>
      </c>
      <c r="AH94" s="295">
        <v>46094</v>
      </c>
      <c r="AI94" s="296">
        <v>1177</v>
      </c>
      <c r="AJ94" s="301">
        <v>0</v>
      </c>
      <c r="AK94" s="298"/>
      <c r="AL94" s="302"/>
      <c r="AM94" s="303"/>
      <c r="AN94" s="303"/>
      <c r="AO94" s="303">
        <f t="shared" si="41"/>
        <v>0</v>
      </c>
      <c r="AQ94" s="295">
        <v>46094</v>
      </c>
      <c r="AR94" s="296">
        <v>1488.66</v>
      </c>
      <c r="AS94" s="296">
        <v>1887.91</v>
      </c>
      <c r="AT94" s="296">
        <v>2061.42</v>
      </c>
      <c r="AU94" s="301">
        <v>0</v>
      </c>
      <c r="AV94" s="428">
        <v>18.809999999999999</v>
      </c>
      <c r="AW94" s="301">
        <v>0</v>
      </c>
      <c r="AX94" s="298"/>
      <c r="AY94" s="302"/>
      <c r="AZ94" s="303"/>
      <c r="BA94" s="303"/>
      <c r="BB94" s="303">
        <f t="shared" si="42"/>
        <v>0</v>
      </c>
      <c r="BD94" s="295">
        <v>46094</v>
      </c>
      <c r="BE94" s="296">
        <v>9085.7199999999993</v>
      </c>
      <c r="BF94" s="301">
        <v>10.19</v>
      </c>
      <c r="BG94" s="298"/>
      <c r="BH94" s="302">
        <v>45.640979999999985</v>
      </c>
      <c r="BI94" s="303"/>
      <c r="BJ94" s="303"/>
      <c r="BK94" s="303">
        <f t="shared" si="43"/>
        <v>55.830979999999983</v>
      </c>
      <c r="BM94" s="295">
        <v>46094</v>
      </c>
      <c r="BN94" s="296">
        <v>270</v>
      </c>
      <c r="BO94" s="330">
        <v>0</v>
      </c>
      <c r="BP94" s="298"/>
      <c r="BQ94" s="302"/>
      <c r="BR94" s="303"/>
      <c r="BS94" s="303"/>
      <c r="BT94" s="303">
        <f t="shared" si="44"/>
        <v>0</v>
      </c>
      <c r="BV94" s="295">
        <v>46094</v>
      </c>
      <c r="BW94" s="296">
        <v>436.2</v>
      </c>
      <c r="BX94" s="301">
        <v>0</v>
      </c>
      <c r="BY94" s="298"/>
      <c r="BZ94" s="302"/>
      <c r="CA94" s="303"/>
      <c r="CB94" s="303"/>
      <c r="CC94" s="303">
        <f t="shared" si="45"/>
        <v>0</v>
      </c>
    </row>
    <row r="95" spans="2:81" x14ac:dyDescent="0.25">
      <c r="B95" s="295">
        <v>46097</v>
      </c>
      <c r="C95" s="296">
        <v>4146.88</v>
      </c>
      <c r="D95" s="296">
        <v>2539.5500000000002</v>
      </c>
      <c r="E95" s="296">
        <v>0</v>
      </c>
      <c r="F95" s="330">
        <v>20</v>
      </c>
      <c r="G95" s="298"/>
      <c r="H95" s="302"/>
      <c r="I95" s="303">
        <v>1194.6799999999998</v>
      </c>
      <c r="J95" s="303"/>
      <c r="K95" s="303">
        <f t="shared" si="38"/>
        <v>1214.6799999999998</v>
      </c>
      <c r="M95" s="295">
        <v>46097</v>
      </c>
      <c r="N95" s="296">
        <v>393.25</v>
      </c>
      <c r="O95" s="296">
        <v>0</v>
      </c>
      <c r="P95" s="296">
        <v>1853.07</v>
      </c>
      <c r="Q95" s="330">
        <v>174.33</v>
      </c>
      <c r="R95" s="301"/>
      <c r="S95" s="298"/>
      <c r="T95" s="302"/>
      <c r="U95" s="303"/>
      <c r="V95" s="303"/>
      <c r="W95" s="303">
        <f t="shared" si="39"/>
        <v>0</v>
      </c>
      <c r="Y95" s="295">
        <v>46097</v>
      </c>
      <c r="Z95" s="296">
        <v>2343.86</v>
      </c>
      <c r="AA95" s="296">
        <v>460.52</v>
      </c>
      <c r="AB95" s="298"/>
      <c r="AC95" s="302"/>
      <c r="AD95" s="303"/>
      <c r="AE95" s="303"/>
      <c r="AF95" s="303">
        <f t="shared" si="40"/>
        <v>460.52</v>
      </c>
      <c r="AH95" s="295">
        <v>46097</v>
      </c>
      <c r="AI95" s="296">
        <v>1097.2</v>
      </c>
      <c r="AJ95" s="301">
        <v>0</v>
      </c>
      <c r="AK95" s="298"/>
      <c r="AL95" s="302"/>
      <c r="AM95" s="303"/>
      <c r="AN95" s="303"/>
      <c r="AO95" s="303">
        <f t="shared" si="41"/>
        <v>0</v>
      </c>
      <c r="AQ95" s="295">
        <v>46097</v>
      </c>
      <c r="AR95" s="296">
        <v>2069.09</v>
      </c>
      <c r="AS95" s="296">
        <v>3983.38</v>
      </c>
      <c r="AT95" s="296">
        <v>2965.51</v>
      </c>
      <c r="AU95" s="301">
        <v>0</v>
      </c>
      <c r="AV95" s="428">
        <v>17.48</v>
      </c>
      <c r="AW95" s="301">
        <v>0</v>
      </c>
      <c r="AX95" s="298"/>
      <c r="AY95" s="302"/>
      <c r="AZ95" s="303"/>
      <c r="BA95" s="303"/>
      <c r="BB95" s="303">
        <f t="shared" si="42"/>
        <v>0</v>
      </c>
      <c r="BD95" s="295">
        <v>46097</v>
      </c>
      <c r="BE95" s="296">
        <v>12976.46</v>
      </c>
      <c r="BF95" s="301">
        <v>49.75</v>
      </c>
      <c r="BG95" s="298"/>
      <c r="BH95" s="302">
        <v>18.439999999999991</v>
      </c>
      <c r="BI95" s="303"/>
      <c r="BJ95" s="303"/>
      <c r="BK95" s="303">
        <f t="shared" si="43"/>
        <v>68.19</v>
      </c>
      <c r="BM95" s="295">
        <v>46097</v>
      </c>
      <c r="BN95" s="296">
        <v>368</v>
      </c>
      <c r="BO95" s="330">
        <v>55.2</v>
      </c>
      <c r="BP95" s="298"/>
      <c r="BQ95" s="302"/>
      <c r="BR95" s="303"/>
      <c r="BS95" s="303"/>
      <c r="BT95" s="303">
        <f t="shared" si="44"/>
        <v>55.2</v>
      </c>
      <c r="BV95" s="295">
        <v>46097</v>
      </c>
      <c r="BW95" s="296">
        <v>859</v>
      </c>
      <c r="BX95" s="301">
        <v>0</v>
      </c>
      <c r="BY95" s="298"/>
      <c r="BZ95" s="302"/>
      <c r="CA95" s="303"/>
      <c r="CB95" s="303"/>
      <c r="CC95" s="303">
        <f t="shared" si="45"/>
        <v>0</v>
      </c>
    </row>
    <row r="96" spans="2:81" x14ac:dyDescent="0.25">
      <c r="B96" s="295">
        <v>46098</v>
      </c>
      <c r="C96" s="296">
        <v>3350.66</v>
      </c>
      <c r="D96" s="296">
        <v>2738.69</v>
      </c>
      <c r="E96" s="296">
        <v>0</v>
      </c>
      <c r="F96" s="330">
        <v>7</v>
      </c>
      <c r="G96" s="298"/>
      <c r="H96" s="302"/>
      <c r="I96" s="303">
        <v>259.37100000000009</v>
      </c>
      <c r="J96" s="303"/>
      <c r="K96" s="303">
        <f t="shared" si="38"/>
        <v>266.37100000000009</v>
      </c>
      <c r="M96" s="295">
        <v>46098</v>
      </c>
      <c r="N96" s="296">
        <v>1415.5</v>
      </c>
      <c r="O96" s="296">
        <v>0</v>
      </c>
      <c r="P96" s="296">
        <v>2308.0100000000002</v>
      </c>
      <c r="Q96" s="330">
        <v>96.67</v>
      </c>
      <c r="R96" s="301"/>
      <c r="S96" s="298"/>
      <c r="T96" s="302"/>
      <c r="U96" s="303"/>
      <c r="V96" s="303"/>
      <c r="W96" s="303">
        <f t="shared" si="39"/>
        <v>0</v>
      </c>
      <c r="Y96" s="295">
        <v>46098</v>
      </c>
      <c r="Z96" s="296">
        <v>1994.41</v>
      </c>
      <c r="AA96" s="296">
        <v>558.75</v>
      </c>
      <c r="AB96" s="298"/>
      <c r="AC96" s="302"/>
      <c r="AD96" s="303"/>
      <c r="AE96" s="303"/>
      <c r="AF96" s="303">
        <f t="shared" si="40"/>
        <v>558.75</v>
      </c>
      <c r="AH96" s="295">
        <v>46098</v>
      </c>
      <c r="AI96" s="296">
        <v>811.5</v>
      </c>
      <c r="AJ96" s="301">
        <v>0</v>
      </c>
      <c r="AK96" s="298"/>
      <c r="AL96" s="302"/>
      <c r="AM96" s="303"/>
      <c r="AN96" s="303"/>
      <c r="AO96" s="303">
        <f t="shared" si="41"/>
        <v>0</v>
      </c>
      <c r="AQ96" s="295">
        <v>46098</v>
      </c>
      <c r="AR96" s="296">
        <v>1974.28</v>
      </c>
      <c r="AS96" s="296">
        <v>1977.22</v>
      </c>
      <c r="AT96" s="296">
        <v>2816.78</v>
      </c>
      <c r="AU96" s="301">
        <v>0</v>
      </c>
      <c r="AV96" s="428">
        <v>16.38</v>
      </c>
      <c r="AW96" s="301">
        <v>0</v>
      </c>
      <c r="AX96" s="298"/>
      <c r="AY96" s="302"/>
      <c r="AZ96" s="303"/>
      <c r="BA96" s="303"/>
      <c r="BB96" s="303">
        <f t="shared" si="42"/>
        <v>0</v>
      </c>
      <c r="BD96" s="295">
        <v>46098</v>
      </c>
      <c r="BE96" s="296">
        <v>11246.66</v>
      </c>
      <c r="BF96" s="301">
        <v>13.31</v>
      </c>
      <c r="BG96" s="298"/>
      <c r="BH96" s="302">
        <v>19.822999999999993</v>
      </c>
      <c r="BI96" s="303"/>
      <c r="BJ96" s="303"/>
      <c r="BK96" s="303">
        <f t="shared" si="43"/>
        <v>33.132999999999996</v>
      </c>
      <c r="BM96" s="295">
        <v>46098</v>
      </c>
      <c r="BN96" s="296">
        <v>787</v>
      </c>
      <c r="BO96" s="330">
        <v>36</v>
      </c>
      <c r="BP96" s="298"/>
      <c r="BQ96" s="302"/>
      <c r="BR96" s="303"/>
      <c r="BS96" s="303"/>
      <c r="BT96" s="303">
        <f t="shared" si="44"/>
        <v>36</v>
      </c>
      <c r="BV96" s="295">
        <v>46098</v>
      </c>
      <c r="BW96" s="296">
        <v>230</v>
      </c>
      <c r="BX96" s="301">
        <v>0</v>
      </c>
      <c r="BY96" s="298"/>
      <c r="BZ96" s="302"/>
      <c r="CA96" s="303"/>
      <c r="CB96" s="303"/>
      <c r="CC96" s="303">
        <f t="shared" si="45"/>
        <v>0</v>
      </c>
    </row>
    <row r="97" spans="2:81" x14ac:dyDescent="0.25">
      <c r="B97" s="295">
        <v>46099</v>
      </c>
      <c r="C97" s="296">
        <v>4495.04</v>
      </c>
      <c r="D97" s="296">
        <v>1358.46</v>
      </c>
      <c r="E97" s="296">
        <v>0</v>
      </c>
      <c r="F97" s="330">
        <v>1</v>
      </c>
      <c r="G97" s="298"/>
      <c r="H97" s="302"/>
      <c r="I97" s="303">
        <v>37.053000000000026</v>
      </c>
      <c r="J97" s="303">
        <v>27.631107799999995</v>
      </c>
      <c r="K97" s="303">
        <f t="shared" si="38"/>
        <v>65.684107800000021</v>
      </c>
      <c r="M97" s="295">
        <v>46099</v>
      </c>
      <c r="N97" s="296">
        <v>924.9</v>
      </c>
      <c r="O97" s="296">
        <v>0</v>
      </c>
      <c r="P97" s="296">
        <v>3669.31</v>
      </c>
      <c r="Q97" s="330">
        <v>97.18</v>
      </c>
      <c r="R97" s="301"/>
      <c r="S97" s="298"/>
      <c r="T97" s="302"/>
      <c r="U97" s="303"/>
      <c r="V97" s="303"/>
      <c r="W97" s="303">
        <f t="shared" si="39"/>
        <v>0</v>
      </c>
      <c r="Y97" s="295">
        <v>46099</v>
      </c>
      <c r="Z97" s="296">
        <v>841.72</v>
      </c>
      <c r="AA97" s="296">
        <v>247.36</v>
      </c>
      <c r="AB97" s="298"/>
      <c r="AC97" s="302"/>
      <c r="AD97" s="303"/>
      <c r="AE97" s="303"/>
      <c r="AF97" s="303">
        <f t="shared" si="40"/>
        <v>247.36</v>
      </c>
      <c r="AH97" s="295">
        <v>46099</v>
      </c>
      <c r="AI97" s="296">
        <v>1452.5</v>
      </c>
      <c r="AJ97" s="301">
        <v>0</v>
      </c>
      <c r="AK97" s="298"/>
      <c r="AL97" s="302"/>
      <c r="AM97" s="303"/>
      <c r="AN97" s="303"/>
      <c r="AO97" s="303">
        <f t="shared" si="41"/>
        <v>0</v>
      </c>
      <c r="AQ97" s="295">
        <v>46099</v>
      </c>
      <c r="AR97" s="296">
        <v>1685.87</v>
      </c>
      <c r="AS97" s="296">
        <v>979.02</v>
      </c>
      <c r="AT97" s="296">
        <v>3320.52</v>
      </c>
      <c r="AU97" s="301">
        <v>0</v>
      </c>
      <c r="AV97" s="428">
        <v>78.36</v>
      </c>
      <c r="AW97" s="301">
        <v>0</v>
      </c>
      <c r="AX97" s="298"/>
      <c r="AY97" s="302"/>
      <c r="AZ97" s="303"/>
      <c r="BA97" s="303"/>
      <c r="BB97" s="303">
        <f t="shared" si="42"/>
        <v>0</v>
      </c>
      <c r="BD97" s="295">
        <v>46099</v>
      </c>
      <c r="BE97" s="296">
        <v>13356.04</v>
      </c>
      <c r="BF97" s="301">
        <v>33.39</v>
      </c>
      <c r="BG97" s="298"/>
      <c r="BH97" s="302">
        <v>35.054409999999962</v>
      </c>
      <c r="BI97" s="303"/>
      <c r="BJ97" s="303"/>
      <c r="BK97" s="303">
        <f t="shared" si="43"/>
        <v>68.444409999999962</v>
      </c>
      <c r="BM97" s="295">
        <v>46099</v>
      </c>
      <c r="BN97" s="296">
        <v>9163</v>
      </c>
      <c r="BO97" s="330">
        <v>645.61</v>
      </c>
      <c r="BP97" s="298"/>
      <c r="BQ97" s="302"/>
      <c r="BR97" s="303"/>
      <c r="BS97" s="303"/>
      <c r="BT97" s="303">
        <f t="shared" si="44"/>
        <v>645.61</v>
      </c>
      <c r="BV97" s="295">
        <v>46099</v>
      </c>
      <c r="BW97" s="296">
        <v>811.3</v>
      </c>
      <c r="BX97" s="301">
        <v>0</v>
      </c>
      <c r="BY97" s="298"/>
      <c r="BZ97" s="302"/>
      <c r="CA97" s="303"/>
      <c r="CB97" s="303"/>
      <c r="CC97" s="303">
        <f t="shared" si="45"/>
        <v>0</v>
      </c>
    </row>
    <row r="98" spans="2:81" x14ac:dyDescent="0.25">
      <c r="B98" s="295">
        <v>46100</v>
      </c>
      <c r="C98" s="296">
        <v>4990.78</v>
      </c>
      <c r="D98" s="296">
        <v>1205.44</v>
      </c>
      <c r="E98" s="296">
        <v>0</v>
      </c>
      <c r="F98" s="330">
        <v>0</v>
      </c>
      <c r="G98" s="298"/>
      <c r="H98" s="302"/>
      <c r="I98" s="303"/>
      <c r="J98" s="303">
        <v>-8.1791756000000646</v>
      </c>
      <c r="K98" s="303">
        <f t="shared" si="38"/>
        <v>-8.1791756000000646</v>
      </c>
      <c r="M98" s="295">
        <v>46100</v>
      </c>
      <c r="N98" s="296">
        <v>2024.5</v>
      </c>
      <c r="O98" s="296">
        <v>324.64</v>
      </c>
      <c r="P98" s="296">
        <v>5254.01</v>
      </c>
      <c r="Q98" s="330">
        <v>199.24</v>
      </c>
      <c r="R98" s="301"/>
      <c r="S98" s="298"/>
      <c r="T98" s="302"/>
      <c r="U98" s="303"/>
      <c r="V98" s="303"/>
      <c r="W98" s="303">
        <f t="shared" si="39"/>
        <v>0</v>
      </c>
      <c r="Y98" s="295">
        <v>46100</v>
      </c>
      <c r="Z98" s="296">
        <v>2303.71</v>
      </c>
      <c r="AA98" s="296">
        <v>389.98</v>
      </c>
      <c r="AB98" s="298"/>
      <c r="AC98" s="302"/>
      <c r="AD98" s="303"/>
      <c r="AE98" s="303"/>
      <c r="AF98" s="303">
        <f t="shared" si="40"/>
        <v>389.98</v>
      </c>
      <c r="AH98" s="295">
        <v>46100</v>
      </c>
      <c r="AI98" s="296">
        <v>1331.68</v>
      </c>
      <c r="AJ98" s="301">
        <v>0</v>
      </c>
      <c r="AK98" s="298"/>
      <c r="AL98" s="302"/>
      <c r="AM98" s="303"/>
      <c r="AN98" s="303"/>
      <c r="AO98" s="303">
        <f t="shared" si="41"/>
        <v>0</v>
      </c>
      <c r="AQ98" s="295">
        <v>46100</v>
      </c>
      <c r="AR98" s="296">
        <v>2630.44</v>
      </c>
      <c r="AS98" s="296">
        <v>922.73</v>
      </c>
      <c r="AT98" s="296">
        <v>2856.38</v>
      </c>
      <c r="AU98" s="301">
        <v>0</v>
      </c>
      <c r="AV98" s="428">
        <v>39.36</v>
      </c>
      <c r="AW98" s="301">
        <v>0</v>
      </c>
      <c r="AX98" s="298"/>
      <c r="AY98" s="302"/>
      <c r="AZ98" s="303"/>
      <c r="BA98" s="303"/>
      <c r="BB98" s="303">
        <f t="shared" si="42"/>
        <v>0</v>
      </c>
      <c r="BD98" s="295">
        <v>46100</v>
      </c>
      <c r="BE98" s="296">
        <v>12433.78</v>
      </c>
      <c r="BF98" s="301">
        <v>84.72</v>
      </c>
      <c r="BG98" s="298"/>
      <c r="BH98" s="302">
        <v>-2.2360800000000154</v>
      </c>
      <c r="BI98" s="303"/>
      <c r="BJ98" s="303"/>
      <c r="BK98" s="303">
        <f t="shared" si="43"/>
        <v>82.483919999999983</v>
      </c>
      <c r="BM98" s="295">
        <v>46100</v>
      </c>
      <c r="BN98" s="296">
        <v>1060</v>
      </c>
      <c r="BO98" s="330">
        <v>116</v>
      </c>
      <c r="BP98" s="298"/>
      <c r="BQ98" s="302"/>
      <c r="BR98" s="303"/>
      <c r="BS98" s="303"/>
      <c r="BT98" s="303">
        <f t="shared" si="44"/>
        <v>116</v>
      </c>
      <c r="BV98" s="295">
        <v>46100</v>
      </c>
      <c r="BW98" s="296">
        <v>374</v>
      </c>
      <c r="BX98" s="301">
        <v>0</v>
      </c>
      <c r="BY98" s="298"/>
      <c r="BZ98" s="302"/>
      <c r="CA98" s="303"/>
      <c r="CB98" s="303"/>
      <c r="CC98" s="303">
        <f t="shared" si="45"/>
        <v>0</v>
      </c>
    </row>
    <row r="99" spans="2:81" x14ac:dyDescent="0.25">
      <c r="B99" s="295">
        <v>46101</v>
      </c>
      <c r="C99" s="296">
        <v>5790.92</v>
      </c>
      <c r="D99" s="296">
        <v>1413.27</v>
      </c>
      <c r="E99" s="296">
        <v>0</v>
      </c>
      <c r="F99" s="330">
        <v>0.5</v>
      </c>
      <c r="G99" s="298"/>
      <c r="H99" s="302"/>
      <c r="I99" s="303">
        <v>18.526500000000013</v>
      </c>
      <c r="J99" s="303">
        <v>22.462839899999963</v>
      </c>
      <c r="K99" s="303">
        <f t="shared" si="38"/>
        <v>41.489339899999976</v>
      </c>
      <c r="M99" s="295">
        <v>46101</v>
      </c>
      <c r="N99" s="296">
        <v>2221.1999999999998</v>
      </c>
      <c r="O99" s="296">
        <v>1191.97</v>
      </c>
      <c r="P99" s="296">
        <v>3595.22</v>
      </c>
      <c r="Q99" s="330">
        <v>135.66</v>
      </c>
      <c r="R99" s="301"/>
      <c r="S99" s="298"/>
      <c r="T99" s="302"/>
      <c r="U99" s="303"/>
      <c r="V99" s="303"/>
      <c r="W99" s="303">
        <f t="shared" si="39"/>
        <v>0</v>
      </c>
      <c r="Y99" s="295">
        <v>46101</v>
      </c>
      <c r="Z99" s="296">
        <v>3180.7</v>
      </c>
      <c r="AA99" s="296">
        <v>590.95000000000005</v>
      </c>
      <c r="AB99" s="298"/>
      <c r="AC99" s="302"/>
      <c r="AD99" s="303"/>
      <c r="AE99" s="303"/>
      <c r="AF99" s="303">
        <f t="shared" si="40"/>
        <v>590.95000000000005</v>
      </c>
      <c r="AH99" s="295">
        <v>46101</v>
      </c>
      <c r="AI99" s="296">
        <v>1910.5</v>
      </c>
      <c r="AJ99" s="301">
        <v>0</v>
      </c>
      <c r="AK99" s="298"/>
      <c r="AL99" s="302"/>
      <c r="AM99" s="303"/>
      <c r="AN99" s="303"/>
      <c r="AO99" s="303">
        <f t="shared" si="41"/>
        <v>0</v>
      </c>
      <c r="AQ99" s="295">
        <v>46101</v>
      </c>
      <c r="AR99" s="296">
        <v>2053.5100000000002</v>
      </c>
      <c r="AS99" s="296">
        <v>987.93</v>
      </c>
      <c r="AT99" s="296">
        <v>2868.46</v>
      </c>
      <c r="AU99" s="301">
        <v>0</v>
      </c>
      <c r="AV99" s="428">
        <v>66.92</v>
      </c>
      <c r="AW99" s="301">
        <v>0</v>
      </c>
      <c r="AX99" s="298"/>
      <c r="AY99" s="302"/>
      <c r="AZ99" s="303"/>
      <c r="BA99" s="303"/>
      <c r="BB99" s="303">
        <f t="shared" si="42"/>
        <v>0</v>
      </c>
      <c r="BD99" s="295">
        <v>46101</v>
      </c>
      <c r="BE99" s="296">
        <v>13470.86</v>
      </c>
      <c r="BF99" s="301">
        <v>62.61</v>
      </c>
      <c r="BG99" s="298"/>
      <c r="BH99" s="302">
        <v>15.931619999999995</v>
      </c>
      <c r="BI99" s="303"/>
      <c r="BJ99" s="303"/>
      <c r="BK99" s="303">
        <f t="shared" si="43"/>
        <v>78.541619999999995</v>
      </c>
      <c r="BM99" s="295">
        <v>46101</v>
      </c>
      <c r="BN99" s="296">
        <v>12131.3</v>
      </c>
      <c r="BO99" s="330">
        <v>281.06</v>
      </c>
      <c r="BP99" s="298"/>
      <c r="BQ99" s="302"/>
      <c r="BR99" s="303"/>
      <c r="BS99" s="303"/>
      <c r="BT99" s="303">
        <f t="shared" si="44"/>
        <v>281.06</v>
      </c>
      <c r="BV99" s="295">
        <v>46101</v>
      </c>
      <c r="BW99" s="296">
        <v>653</v>
      </c>
      <c r="BX99" s="301">
        <v>0</v>
      </c>
      <c r="BY99" s="298"/>
      <c r="BZ99" s="302"/>
      <c r="CA99" s="303"/>
      <c r="CB99" s="303"/>
      <c r="CC99" s="303">
        <f t="shared" si="45"/>
        <v>0</v>
      </c>
    </row>
    <row r="100" spans="2:81" x14ac:dyDescent="0.25">
      <c r="B100" s="295">
        <v>46102</v>
      </c>
      <c r="C100" s="296">
        <v>4954.25</v>
      </c>
      <c r="D100" s="296">
        <v>446.21</v>
      </c>
      <c r="E100" s="296">
        <v>0</v>
      </c>
      <c r="F100" s="330">
        <v>0</v>
      </c>
      <c r="G100" s="298"/>
      <c r="H100" s="302"/>
      <c r="I100" s="303"/>
      <c r="J100" s="303"/>
      <c r="K100" s="303">
        <f t="shared" si="38"/>
        <v>0</v>
      </c>
      <c r="M100" s="295">
        <v>46102</v>
      </c>
      <c r="N100" s="296">
        <v>2773.69</v>
      </c>
      <c r="O100" s="296">
        <v>1972.47</v>
      </c>
      <c r="P100" s="296">
        <v>3023.02</v>
      </c>
      <c r="Q100" s="330">
        <v>126.39</v>
      </c>
      <c r="R100" s="301"/>
      <c r="S100" s="298"/>
      <c r="T100" s="302"/>
      <c r="U100" s="303"/>
      <c r="V100" s="303"/>
      <c r="W100" s="303">
        <f t="shared" si="39"/>
        <v>0</v>
      </c>
      <c r="Y100" s="295">
        <v>46102</v>
      </c>
      <c r="Z100" s="296">
        <v>4109.13</v>
      </c>
      <c r="AA100" s="296">
        <v>711.6</v>
      </c>
      <c r="AB100" s="298"/>
      <c r="AC100" s="302"/>
      <c r="AD100" s="303"/>
      <c r="AE100" s="303"/>
      <c r="AF100" s="303">
        <f t="shared" si="40"/>
        <v>711.6</v>
      </c>
      <c r="AH100" s="295">
        <v>46102</v>
      </c>
      <c r="AI100" s="296">
        <v>1564.6</v>
      </c>
      <c r="AJ100" s="301">
        <v>0</v>
      </c>
      <c r="AK100" s="298"/>
      <c r="AL100" s="302"/>
      <c r="AM100" s="303"/>
      <c r="AN100" s="303"/>
      <c r="AO100" s="303">
        <f t="shared" si="41"/>
        <v>0</v>
      </c>
      <c r="AQ100" s="295">
        <v>46102</v>
      </c>
      <c r="AR100" s="296">
        <v>2831.59</v>
      </c>
      <c r="AS100" s="296">
        <v>821.41</v>
      </c>
      <c r="AT100" s="296">
        <v>3649.8</v>
      </c>
      <c r="AU100" s="301">
        <v>0</v>
      </c>
      <c r="AV100" s="428">
        <v>55.59</v>
      </c>
      <c r="AW100" s="301">
        <v>0</v>
      </c>
      <c r="AX100" s="298"/>
      <c r="AY100" s="302"/>
      <c r="AZ100" s="303"/>
      <c r="BA100" s="303"/>
      <c r="BB100" s="303">
        <f t="shared" si="42"/>
        <v>0</v>
      </c>
      <c r="BD100" s="295">
        <v>46102</v>
      </c>
      <c r="BE100" s="296">
        <v>12875.39</v>
      </c>
      <c r="BF100" s="301">
        <v>86.95</v>
      </c>
      <c r="BG100" s="298"/>
      <c r="BH100" s="302">
        <v>-3.273900000000026</v>
      </c>
      <c r="BI100" s="303"/>
      <c r="BJ100" s="303"/>
      <c r="BK100" s="303">
        <f t="shared" si="43"/>
        <v>83.676099999999977</v>
      </c>
      <c r="BM100" s="295">
        <v>46102</v>
      </c>
      <c r="BN100" s="296">
        <v>4550.6000000000004</v>
      </c>
      <c r="BO100" s="330">
        <v>77.48</v>
      </c>
      <c r="BP100" s="298"/>
      <c r="BQ100" s="302"/>
      <c r="BR100" s="303"/>
      <c r="BS100" s="303"/>
      <c r="BT100" s="303">
        <f t="shared" si="44"/>
        <v>77.48</v>
      </c>
      <c r="BV100" s="295">
        <v>46102</v>
      </c>
      <c r="BW100" s="296">
        <v>560.79999999999995</v>
      </c>
      <c r="BX100" s="301">
        <v>0</v>
      </c>
      <c r="BY100" s="298"/>
      <c r="BZ100" s="302"/>
      <c r="CA100" s="303"/>
      <c r="CB100" s="303"/>
      <c r="CC100" s="303">
        <f t="shared" si="45"/>
        <v>0</v>
      </c>
    </row>
    <row r="101" spans="2:81" x14ac:dyDescent="0.25">
      <c r="B101" s="295">
        <v>46103</v>
      </c>
      <c r="C101" s="296">
        <v>1855.11</v>
      </c>
      <c r="D101" s="296">
        <v>242.57</v>
      </c>
      <c r="E101" s="296">
        <v>0</v>
      </c>
      <c r="F101" s="330">
        <v>0</v>
      </c>
      <c r="G101" s="298"/>
      <c r="H101" s="302"/>
      <c r="I101" s="303"/>
      <c r="J101" s="303"/>
      <c r="K101" s="303">
        <f t="shared" si="38"/>
        <v>0</v>
      </c>
      <c r="M101" s="295">
        <v>46103</v>
      </c>
      <c r="N101" s="296">
        <v>2444</v>
      </c>
      <c r="O101" s="296">
        <v>0</v>
      </c>
      <c r="P101" s="296">
        <v>5158.46</v>
      </c>
      <c r="Q101" s="330">
        <v>47.13</v>
      </c>
      <c r="R101" s="301"/>
      <c r="S101" s="298"/>
      <c r="T101" s="302"/>
      <c r="U101" s="303"/>
      <c r="V101" s="303"/>
      <c r="W101" s="303">
        <f t="shared" si="39"/>
        <v>0</v>
      </c>
      <c r="Y101" s="295">
        <v>46103</v>
      </c>
      <c r="Z101" s="296">
        <v>826.05</v>
      </c>
      <c r="AA101" s="296">
        <v>116.35</v>
      </c>
      <c r="AB101" s="298"/>
      <c r="AC101" s="302"/>
      <c r="AD101" s="303"/>
      <c r="AE101" s="303"/>
      <c r="AF101" s="303">
        <f t="shared" si="40"/>
        <v>116.35</v>
      </c>
      <c r="AH101" s="295">
        <v>46103</v>
      </c>
      <c r="AI101" s="296">
        <v>1562.1</v>
      </c>
      <c r="AJ101" s="301">
        <v>0</v>
      </c>
      <c r="AK101" s="298"/>
      <c r="AL101" s="302"/>
      <c r="AM101" s="303"/>
      <c r="AN101" s="303"/>
      <c r="AO101" s="303">
        <f t="shared" si="41"/>
        <v>0</v>
      </c>
      <c r="AQ101" s="295">
        <v>46103</v>
      </c>
      <c r="AR101" s="296">
        <v>1731.77</v>
      </c>
      <c r="AS101" s="296">
        <v>245.11</v>
      </c>
      <c r="AT101" s="296">
        <v>2484.9299999999998</v>
      </c>
      <c r="AU101" s="301">
        <v>0</v>
      </c>
      <c r="AV101" s="428">
        <v>80.709999999999994</v>
      </c>
      <c r="AW101" s="301">
        <v>0</v>
      </c>
      <c r="AX101" s="298"/>
      <c r="AY101" s="302"/>
      <c r="AZ101" s="303"/>
      <c r="BA101" s="303"/>
      <c r="BB101" s="303">
        <f t="shared" si="42"/>
        <v>0</v>
      </c>
      <c r="BD101" s="295">
        <v>46103</v>
      </c>
      <c r="BE101" s="296">
        <v>8603.51</v>
      </c>
      <c r="BF101" s="301">
        <v>59.65</v>
      </c>
      <c r="BG101" s="298"/>
      <c r="BH101" s="302">
        <v>62.862209999999948</v>
      </c>
      <c r="BI101" s="303"/>
      <c r="BJ101" s="303"/>
      <c r="BK101" s="303">
        <f t="shared" si="43"/>
        <v>122.51220999999995</v>
      </c>
      <c r="BM101" s="295">
        <v>46103</v>
      </c>
      <c r="BN101" s="296">
        <v>2245.6</v>
      </c>
      <c r="BO101" s="330">
        <v>20</v>
      </c>
      <c r="BP101" s="298"/>
      <c r="BQ101" s="302"/>
      <c r="BR101" s="303"/>
      <c r="BS101" s="303"/>
      <c r="BT101" s="303">
        <f t="shared" si="44"/>
        <v>20</v>
      </c>
      <c r="BV101" s="295">
        <v>46103</v>
      </c>
      <c r="BW101" s="296">
        <v>686.5</v>
      </c>
      <c r="BX101" s="301">
        <v>0</v>
      </c>
      <c r="BY101" s="298"/>
      <c r="BZ101" s="302"/>
      <c r="CA101" s="303"/>
      <c r="CB101" s="303"/>
      <c r="CC101" s="303">
        <f t="shared" si="45"/>
        <v>0</v>
      </c>
    </row>
    <row r="102" spans="2:81" x14ac:dyDescent="0.25">
      <c r="B102" s="295">
        <v>46104</v>
      </c>
      <c r="C102" s="296">
        <v>4650.43</v>
      </c>
      <c r="D102" s="296">
        <v>457.77</v>
      </c>
      <c r="E102" s="296">
        <v>2124</v>
      </c>
      <c r="F102" s="330">
        <v>5</v>
      </c>
      <c r="G102" s="298"/>
      <c r="H102" s="302"/>
      <c r="I102" s="303">
        <v>185.2630238095237</v>
      </c>
      <c r="J102" s="303"/>
      <c r="K102" s="303">
        <f t="shared" si="38"/>
        <v>190.2630238095237</v>
      </c>
      <c r="M102" s="295">
        <v>46104</v>
      </c>
      <c r="N102" s="296">
        <v>1455.3</v>
      </c>
      <c r="O102" s="296">
        <v>0</v>
      </c>
      <c r="P102" s="296">
        <v>5511.93</v>
      </c>
      <c r="Q102" s="330">
        <v>106.55</v>
      </c>
      <c r="R102" s="301"/>
      <c r="S102" s="298"/>
      <c r="T102" s="302"/>
      <c r="U102" s="303"/>
      <c r="V102" s="303"/>
      <c r="W102" s="303">
        <f t="shared" si="39"/>
        <v>0</v>
      </c>
      <c r="Y102" s="295">
        <v>46104</v>
      </c>
      <c r="Z102" s="296">
        <v>2288</v>
      </c>
      <c r="AA102" s="296">
        <v>382.68</v>
      </c>
      <c r="AB102" s="298"/>
      <c r="AC102" s="302"/>
      <c r="AD102" s="303"/>
      <c r="AE102" s="303"/>
      <c r="AF102" s="303">
        <f t="shared" si="40"/>
        <v>382.68</v>
      </c>
      <c r="AH102" s="295">
        <v>46104</v>
      </c>
      <c r="AI102" s="296">
        <v>1847.5</v>
      </c>
      <c r="AJ102" s="301">
        <v>0</v>
      </c>
      <c r="AK102" s="298"/>
      <c r="AL102" s="302"/>
      <c r="AM102" s="303"/>
      <c r="AN102" s="303"/>
      <c r="AO102" s="303">
        <f t="shared" si="41"/>
        <v>0</v>
      </c>
      <c r="AQ102" s="295">
        <v>46104</v>
      </c>
      <c r="AR102" s="296">
        <v>2328.71</v>
      </c>
      <c r="AS102" s="296">
        <v>130</v>
      </c>
      <c r="AT102" s="296">
        <v>3079.64</v>
      </c>
      <c r="AU102" s="301">
        <v>0</v>
      </c>
      <c r="AV102" s="428">
        <v>42.62</v>
      </c>
      <c r="AW102" s="301">
        <v>0</v>
      </c>
      <c r="AX102" s="298"/>
      <c r="AY102" s="302"/>
      <c r="AZ102" s="303"/>
      <c r="BA102" s="303"/>
      <c r="BB102" s="303">
        <f t="shared" si="42"/>
        <v>0</v>
      </c>
      <c r="BD102" s="295">
        <v>46104</v>
      </c>
      <c r="BE102" s="296">
        <v>14260.64</v>
      </c>
      <c r="BF102" s="301">
        <v>66.650000000000006</v>
      </c>
      <c r="BG102" s="298"/>
      <c r="BH102" s="302"/>
      <c r="BI102" s="303"/>
      <c r="BJ102" s="303"/>
      <c r="BK102" s="303">
        <f t="shared" si="43"/>
        <v>66.650000000000006</v>
      </c>
      <c r="BM102" s="295">
        <v>46104</v>
      </c>
      <c r="BN102" s="296">
        <v>1555.6</v>
      </c>
      <c r="BO102" s="330">
        <v>138.69999999999999</v>
      </c>
      <c r="BP102" s="298"/>
      <c r="BQ102" s="302"/>
      <c r="BR102" s="303"/>
      <c r="BS102" s="303"/>
      <c r="BT102" s="303">
        <f t="shared" si="44"/>
        <v>138.69999999999999</v>
      </c>
      <c r="BV102" s="295">
        <v>46104</v>
      </c>
      <c r="BW102" s="296">
        <v>765.03</v>
      </c>
      <c r="BX102" s="301">
        <v>0</v>
      </c>
      <c r="BY102" s="298"/>
      <c r="BZ102" s="302"/>
      <c r="CA102" s="303"/>
      <c r="CB102" s="303"/>
      <c r="CC102" s="303">
        <f t="shared" si="45"/>
        <v>0</v>
      </c>
    </row>
    <row r="103" spans="2:81" x14ac:dyDescent="0.25">
      <c r="B103" s="295">
        <v>46105</v>
      </c>
      <c r="C103" s="296">
        <v>5798.61</v>
      </c>
      <c r="D103" s="296">
        <v>565.79999999999995</v>
      </c>
      <c r="E103" s="296">
        <v>4367.1400000000003</v>
      </c>
      <c r="F103" s="330">
        <v>4.8</v>
      </c>
      <c r="G103" s="298"/>
      <c r="H103" s="302"/>
      <c r="I103" s="303">
        <v>112.3602102857144</v>
      </c>
      <c r="J103" s="303"/>
      <c r="K103" s="303">
        <f t="shared" si="38"/>
        <v>117.1602102857144</v>
      </c>
      <c r="M103" s="295">
        <v>46105</v>
      </c>
      <c r="N103" s="296">
        <v>785.13</v>
      </c>
      <c r="O103" s="296">
        <v>0</v>
      </c>
      <c r="P103" s="296">
        <v>404.58</v>
      </c>
      <c r="Q103" s="330">
        <v>86.39</v>
      </c>
      <c r="R103" s="301"/>
      <c r="S103" s="298"/>
      <c r="T103" s="302"/>
      <c r="U103" s="303"/>
      <c r="V103" s="303"/>
      <c r="W103" s="303">
        <f t="shared" si="39"/>
        <v>0</v>
      </c>
      <c r="Y103" s="295">
        <v>46105</v>
      </c>
      <c r="Z103" s="296">
        <v>2218.5</v>
      </c>
      <c r="AA103" s="296">
        <v>374.05</v>
      </c>
      <c r="AB103" s="298"/>
      <c r="AC103" s="302"/>
      <c r="AD103" s="303"/>
      <c r="AE103" s="303"/>
      <c r="AF103" s="303">
        <f t="shared" si="40"/>
        <v>374.05</v>
      </c>
      <c r="AH103" s="295">
        <v>46105</v>
      </c>
      <c r="AI103" s="296">
        <v>1396.12</v>
      </c>
      <c r="AJ103" s="301">
        <v>0</v>
      </c>
      <c r="AK103" s="298"/>
      <c r="AL103" s="302"/>
      <c r="AM103" s="303"/>
      <c r="AN103" s="303"/>
      <c r="AO103" s="303">
        <f t="shared" si="41"/>
        <v>0</v>
      </c>
      <c r="AQ103" s="295">
        <v>46105</v>
      </c>
      <c r="AR103" s="296">
        <v>2641.43</v>
      </c>
      <c r="AS103" s="296">
        <v>186.04</v>
      </c>
      <c r="AT103" s="296">
        <v>3721.99</v>
      </c>
      <c r="AU103" s="301">
        <v>0</v>
      </c>
      <c r="AV103" s="428">
        <v>62.92</v>
      </c>
      <c r="AW103" s="301">
        <v>0</v>
      </c>
      <c r="AX103" s="298"/>
      <c r="AY103" s="302"/>
      <c r="AZ103" s="303"/>
      <c r="BA103" s="303"/>
      <c r="BB103" s="303">
        <f t="shared" si="42"/>
        <v>0</v>
      </c>
      <c r="BD103" s="295">
        <v>46105</v>
      </c>
      <c r="BE103" s="296">
        <v>11501.56</v>
      </c>
      <c r="BF103" s="301">
        <v>75.72</v>
      </c>
      <c r="BG103" s="298"/>
      <c r="BH103" s="302">
        <v>20.003459999999961</v>
      </c>
      <c r="BI103" s="303"/>
      <c r="BJ103" s="303"/>
      <c r="BK103" s="303">
        <f t="shared" si="43"/>
        <v>95.72345999999996</v>
      </c>
      <c r="BM103" s="295">
        <v>46105</v>
      </c>
      <c r="BN103" s="296">
        <v>17473.400000000001</v>
      </c>
      <c r="BO103" s="330">
        <v>845.75</v>
      </c>
      <c r="BP103" s="298"/>
      <c r="BQ103" s="302"/>
      <c r="BR103" s="303"/>
      <c r="BS103" s="303"/>
      <c r="BT103" s="303">
        <f t="shared" si="44"/>
        <v>845.75</v>
      </c>
      <c r="BV103" s="295">
        <v>46105</v>
      </c>
      <c r="BW103" s="296">
        <v>768.2</v>
      </c>
      <c r="BX103" s="301">
        <v>0</v>
      </c>
      <c r="BY103" s="298"/>
      <c r="BZ103" s="302"/>
      <c r="CA103" s="303"/>
      <c r="CB103" s="303"/>
      <c r="CC103" s="303">
        <f t="shared" si="45"/>
        <v>0</v>
      </c>
    </row>
    <row r="104" spans="2:81" x14ac:dyDescent="0.25">
      <c r="B104" s="295">
        <v>46106</v>
      </c>
      <c r="C104" s="296">
        <v>3426.26</v>
      </c>
      <c r="D104" s="296">
        <v>352.68</v>
      </c>
      <c r="E104" s="296">
        <v>4457.91</v>
      </c>
      <c r="F104" s="330">
        <v>0</v>
      </c>
      <c r="G104" s="298"/>
      <c r="H104" s="302"/>
      <c r="I104" s="303">
        <v>5.8561382925714227</v>
      </c>
      <c r="J104" s="303"/>
      <c r="K104" s="303">
        <f t="shared" si="38"/>
        <v>5.8561382925714227</v>
      </c>
      <c r="M104" s="295">
        <v>46106</v>
      </c>
      <c r="N104" s="296">
        <v>5356.78</v>
      </c>
      <c r="O104" s="296">
        <v>190.45</v>
      </c>
      <c r="P104" s="296">
        <v>4330.6400000000003</v>
      </c>
      <c r="Q104" s="330">
        <v>154.52000000000001</v>
      </c>
      <c r="R104" s="301"/>
      <c r="S104" s="298"/>
      <c r="T104" s="302"/>
      <c r="U104" s="303"/>
      <c r="V104" s="303"/>
      <c r="W104" s="303">
        <f t="shared" si="39"/>
        <v>0</v>
      </c>
      <c r="Y104" s="295">
        <v>46106</v>
      </c>
      <c r="Z104" s="296">
        <v>1404.12</v>
      </c>
      <c r="AA104" s="296">
        <v>150.47</v>
      </c>
      <c r="AB104" s="298"/>
      <c r="AC104" s="302"/>
      <c r="AD104" s="303"/>
      <c r="AE104" s="303"/>
      <c r="AF104" s="303">
        <f t="shared" si="40"/>
        <v>150.47</v>
      </c>
      <c r="AH104" s="295">
        <v>46106</v>
      </c>
      <c r="AI104" s="296">
        <v>1403.28</v>
      </c>
      <c r="AJ104" s="301">
        <v>0</v>
      </c>
      <c r="AK104" s="298"/>
      <c r="AL104" s="302"/>
      <c r="AM104" s="303"/>
      <c r="AN104" s="303"/>
      <c r="AO104" s="303">
        <f t="shared" si="41"/>
        <v>0</v>
      </c>
      <c r="AQ104" s="295">
        <v>46106</v>
      </c>
      <c r="AR104" s="296">
        <v>2569.9499999999998</v>
      </c>
      <c r="AS104" s="296">
        <v>225.2</v>
      </c>
      <c r="AT104" s="296">
        <v>4147.7299999999996</v>
      </c>
      <c r="AU104" s="301">
        <v>0</v>
      </c>
      <c r="AV104" s="428">
        <v>57.4</v>
      </c>
      <c r="AW104" s="301">
        <v>0</v>
      </c>
      <c r="AX104" s="298"/>
      <c r="AY104" s="302"/>
      <c r="AZ104" s="303"/>
      <c r="BA104" s="303"/>
      <c r="BB104" s="303">
        <f t="shared" si="42"/>
        <v>0</v>
      </c>
      <c r="BD104" s="295">
        <v>46106</v>
      </c>
      <c r="BE104" s="296">
        <v>12540.44</v>
      </c>
      <c r="BF104" s="301">
        <v>80.58</v>
      </c>
      <c r="BG104" s="298"/>
      <c r="BH104" s="302">
        <v>-0.56516000000000588</v>
      </c>
      <c r="BI104" s="303"/>
      <c r="BJ104" s="303"/>
      <c r="BK104" s="303">
        <f t="shared" si="43"/>
        <v>80.014839999999992</v>
      </c>
      <c r="BM104" s="295">
        <v>46106</v>
      </c>
      <c r="BN104" s="296">
        <v>665</v>
      </c>
      <c r="BO104" s="330">
        <v>0</v>
      </c>
      <c r="BP104" s="298"/>
      <c r="BQ104" s="302"/>
      <c r="BR104" s="303"/>
      <c r="BS104" s="303"/>
      <c r="BT104" s="303">
        <f t="shared" si="44"/>
        <v>0</v>
      </c>
      <c r="BV104" s="295">
        <v>46106</v>
      </c>
      <c r="BW104" s="296">
        <v>843.12</v>
      </c>
      <c r="BX104" s="301">
        <v>0</v>
      </c>
      <c r="BY104" s="298"/>
      <c r="BZ104" s="302"/>
      <c r="CA104" s="303"/>
      <c r="CB104" s="303"/>
      <c r="CC104" s="303">
        <f t="shared" si="45"/>
        <v>0</v>
      </c>
    </row>
    <row r="105" spans="2:81" x14ac:dyDescent="0.25">
      <c r="B105" s="295">
        <v>46107</v>
      </c>
      <c r="C105" s="296">
        <v>3937.7</v>
      </c>
      <c r="D105" s="296">
        <v>1013.66</v>
      </c>
      <c r="E105" s="296">
        <v>4248.7</v>
      </c>
      <c r="F105" s="330">
        <v>5</v>
      </c>
      <c r="G105" s="298"/>
      <c r="H105" s="302"/>
      <c r="I105" s="303">
        <v>117.04188571428574</v>
      </c>
      <c r="J105" s="303">
        <v>6.3589521999999477</v>
      </c>
      <c r="K105" s="303">
        <f t="shared" si="38"/>
        <v>128.40083791428569</v>
      </c>
      <c r="M105" s="295">
        <v>46107</v>
      </c>
      <c r="N105" s="296">
        <v>4206.2299999999996</v>
      </c>
      <c r="O105" s="296">
        <v>176.22</v>
      </c>
      <c r="P105" s="296">
        <v>3667.16</v>
      </c>
      <c r="Q105" s="330">
        <v>109.33</v>
      </c>
      <c r="R105" s="301"/>
      <c r="S105" s="298"/>
      <c r="T105" s="302"/>
      <c r="U105" s="303"/>
      <c r="V105" s="303"/>
      <c r="W105" s="303">
        <f t="shared" si="39"/>
        <v>0</v>
      </c>
      <c r="Y105" s="295">
        <v>46107</v>
      </c>
      <c r="Z105" s="296">
        <v>1034.7</v>
      </c>
      <c r="AA105" s="296">
        <v>89.52</v>
      </c>
      <c r="AB105" s="298"/>
      <c r="AC105" s="302"/>
      <c r="AD105" s="303"/>
      <c r="AE105" s="303"/>
      <c r="AF105" s="303">
        <f t="shared" si="40"/>
        <v>89.52</v>
      </c>
      <c r="AH105" s="295">
        <v>46107</v>
      </c>
      <c r="AI105" s="296">
        <v>216.49</v>
      </c>
      <c r="AJ105" s="301">
        <v>0</v>
      </c>
      <c r="AK105" s="298"/>
      <c r="AL105" s="302"/>
      <c r="AM105" s="303"/>
      <c r="AN105" s="303"/>
      <c r="AO105" s="303">
        <f t="shared" si="41"/>
        <v>0</v>
      </c>
      <c r="AQ105" s="295">
        <v>46107</v>
      </c>
      <c r="AR105" s="296">
        <v>2500.5500000000002</v>
      </c>
      <c r="AS105" s="296">
        <v>655.78</v>
      </c>
      <c r="AT105" s="296">
        <v>3251.46</v>
      </c>
      <c r="AU105" s="301">
        <v>0</v>
      </c>
      <c r="AV105" s="428">
        <v>115.91</v>
      </c>
      <c r="AW105" s="301">
        <v>0</v>
      </c>
      <c r="AX105" s="298"/>
      <c r="AY105" s="302"/>
      <c r="AZ105" s="303"/>
      <c r="BA105" s="303"/>
      <c r="BB105" s="303">
        <f t="shared" si="42"/>
        <v>0</v>
      </c>
      <c r="BD105" s="295">
        <v>46107</v>
      </c>
      <c r="BE105" s="296">
        <v>10289.36</v>
      </c>
      <c r="BF105" s="301">
        <v>103.4</v>
      </c>
      <c r="BG105" s="298"/>
      <c r="BH105" s="302"/>
      <c r="BI105" s="303"/>
      <c r="BJ105" s="303"/>
      <c r="BK105" s="303">
        <f t="shared" si="43"/>
        <v>103.4</v>
      </c>
      <c r="BM105" s="295">
        <v>46107</v>
      </c>
      <c r="BN105" s="296">
        <v>9980.35</v>
      </c>
      <c r="BO105" s="330">
        <v>0</v>
      </c>
      <c r="BP105" s="298"/>
      <c r="BQ105" s="302"/>
      <c r="BR105" s="303"/>
      <c r="BS105" s="303"/>
      <c r="BT105" s="303">
        <f t="shared" si="44"/>
        <v>0</v>
      </c>
      <c r="BV105" s="295">
        <v>46107</v>
      </c>
      <c r="BW105" s="296">
        <v>23</v>
      </c>
      <c r="BX105" s="301">
        <v>0</v>
      </c>
      <c r="BY105" s="298"/>
      <c r="BZ105" s="302"/>
      <c r="CA105" s="303"/>
      <c r="CB105" s="303"/>
      <c r="CC105" s="303">
        <f t="shared" si="45"/>
        <v>0</v>
      </c>
    </row>
    <row r="106" spans="2:81" x14ac:dyDescent="0.25">
      <c r="B106" s="295">
        <v>46108</v>
      </c>
      <c r="C106" s="296">
        <v>4329.51</v>
      </c>
      <c r="D106" s="296">
        <v>1204.3900000000001</v>
      </c>
      <c r="E106" s="296">
        <v>5762.43</v>
      </c>
      <c r="F106" s="330">
        <v>15.5</v>
      </c>
      <c r="G106" s="298"/>
      <c r="H106" s="302"/>
      <c r="I106" s="303">
        <v>387.4506158527621</v>
      </c>
      <c r="J106" s="303"/>
      <c r="K106" s="303">
        <f t="shared" si="38"/>
        <v>402.9506158527621</v>
      </c>
      <c r="M106" s="295">
        <v>46108</v>
      </c>
      <c r="N106" s="296">
        <v>1428.45</v>
      </c>
      <c r="O106" s="296">
        <v>0</v>
      </c>
      <c r="P106" s="296">
        <v>5862.22</v>
      </c>
      <c r="Q106" s="330">
        <v>130.84</v>
      </c>
      <c r="R106" s="301"/>
      <c r="S106" s="298"/>
      <c r="T106" s="302"/>
      <c r="U106" s="303"/>
      <c r="V106" s="303"/>
      <c r="W106" s="303">
        <f t="shared" si="39"/>
        <v>0</v>
      </c>
      <c r="Y106" s="295">
        <v>46108</v>
      </c>
      <c r="Z106" s="296">
        <v>1997</v>
      </c>
      <c r="AA106" s="296">
        <v>348.31</v>
      </c>
      <c r="AB106" s="298"/>
      <c r="AC106" s="302"/>
      <c r="AD106" s="303"/>
      <c r="AE106" s="303"/>
      <c r="AF106" s="303">
        <f t="shared" si="40"/>
        <v>348.31</v>
      </c>
      <c r="AH106" s="295">
        <v>46108</v>
      </c>
      <c r="AI106" s="296">
        <v>1288</v>
      </c>
      <c r="AJ106" s="301">
        <v>0</v>
      </c>
      <c r="AK106" s="298"/>
      <c r="AL106" s="302"/>
      <c r="AM106" s="303"/>
      <c r="AN106" s="303"/>
      <c r="AO106" s="303">
        <f t="shared" si="41"/>
        <v>0</v>
      </c>
      <c r="AQ106" s="295">
        <v>46108</v>
      </c>
      <c r="AR106" s="296">
        <v>2185.6799999999998</v>
      </c>
      <c r="AS106" s="296">
        <v>1001.97</v>
      </c>
      <c r="AT106" s="296">
        <v>4553.53</v>
      </c>
      <c r="AU106" s="301">
        <v>0</v>
      </c>
      <c r="AV106" s="428">
        <v>90.31</v>
      </c>
      <c r="AW106" s="301">
        <v>0</v>
      </c>
      <c r="AX106" s="298"/>
      <c r="AY106" s="302"/>
      <c r="AZ106" s="303"/>
      <c r="BA106" s="303"/>
      <c r="BB106" s="303">
        <f t="shared" si="42"/>
        <v>0</v>
      </c>
      <c r="BD106" s="295">
        <v>46108</v>
      </c>
      <c r="BE106" s="296">
        <v>12494.77</v>
      </c>
      <c r="BF106" s="301">
        <v>79.430000000000007</v>
      </c>
      <c r="BG106" s="298"/>
      <c r="BH106" s="302">
        <v>22.399999999999977</v>
      </c>
      <c r="BI106" s="303"/>
      <c r="BJ106" s="303"/>
      <c r="BK106" s="303">
        <f t="shared" si="43"/>
        <v>101.82999999999998</v>
      </c>
      <c r="BM106" s="295">
        <v>46108</v>
      </c>
      <c r="BN106" s="296">
        <v>4161.5</v>
      </c>
      <c r="BO106" s="330">
        <v>0</v>
      </c>
      <c r="BP106" s="298"/>
      <c r="BQ106" s="302"/>
      <c r="BR106" s="303"/>
      <c r="BS106" s="303"/>
      <c r="BT106" s="303">
        <f t="shared" si="44"/>
        <v>0</v>
      </c>
      <c r="BV106" s="295">
        <v>46108</v>
      </c>
      <c r="BW106" s="296">
        <v>425</v>
      </c>
      <c r="BX106" s="301">
        <v>0</v>
      </c>
      <c r="BY106" s="298"/>
      <c r="BZ106" s="302"/>
      <c r="CA106" s="303"/>
      <c r="CB106" s="303"/>
      <c r="CC106" s="303">
        <f t="shared" si="45"/>
        <v>0</v>
      </c>
    </row>
    <row r="107" spans="2:81" x14ac:dyDescent="0.25">
      <c r="B107" s="295">
        <v>46109</v>
      </c>
      <c r="C107" s="296">
        <v>4143.05</v>
      </c>
      <c r="D107" s="296">
        <v>968.58</v>
      </c>
      <c r="E107" s="296">
        <v>5806.15</v>
      </c>
      <c r="F107" s="330">
        <v>0</v>
      </c>
      <c r="G107" s="298"/>
      <c r="H107" s="302"/>
      <c r="I107" s="303">
        <v>9.080553333333313</v>
      </c>
      <c r="J107" s="303"/>
      <c r="K107" s="303">
        <f t="shared" si="38"/>
        <v>9.080553333333313</v>
      </c>
      <c r="M107" s="295">
        <v>46109</v>
      </c>
      <c r="N107" s="296">
        <v>5161.1499999999996</v>
      </c>
      <c r="O107" s="296">
        <v>96.82</v>
      </c>
      <c r="P107" s="296">
        <v>3600.14</v>
      </c>
      <c r="Q107" s="330">
        <v>140.74</v>
      </c>
      <c r="R107" s="301"/>
      <c r="S107" s="298"/>
      <c r="T107" s="302"/>
      <c r="U107" s="303"/>
      <c r="V107" s="303"/>
      <c r="W107" s="303">
        <f t="shared" si="39"/>
        <v>0</v>
      </c>
      <c r="Y107" s="295">
        <v>46109</v>
      </c>
      <c r="Z107" s="296">
        <v>1925.74</v>
      </c>
      <c r="AA107" s="296">
        <v>498.74</v>
      </c>
      <c r="AB107" s="298"/>
      <c r="AC107" s="302"/>
      <c r="AD107" s="303"/>
      <c r="AE107" s="303"/>
      <c r="AF107" s="303">
        <f t="shared" si="40"/>
        <v>498.74</v>
      </c>
      <c r="AH107" s="295">
        <v>46109</v>
      </c>
      <c r="AI107" s="296">
        <v>1241.3</v>
      </c>
      <c r="AJ107" s="301">
        <v>0</v>
      </c>
      <c r="AK107" s="298"/>
      <c r="AL107" s="302"/>
      <c r="AM107" s="303"/>
      <c r="AN107" s="303"/>
      <c r="AO107" s="303">
        <f t="shared" si="41"/>
        <v>0</v>
      </c>
      <c r="AQ107" s="295">
        <v>46109</v>
      </c>
      <c r="AR107" s="296">
        <v>2337.0300000000002</v>
      </c>
      <c r="AS107" s="296">
        <v>916.52</v>
      </c>
      <c r="AT107" s="296">
        <v>4185.1099999999997</v>
      </c>
      <c r="AU107" s="301">
        <v>0</v>
      </c>
      <c r="AV107" s="428">
        <v>110.31</v>
      </c>
      <c r="AW107" s="301">
        <v>0</v>
      </c>
      <c r="AX107" s="298"/>
      <c r="AY107" s="302"/>
      <c r="AZ107" s="303"/>
      <c r="BA107" s="303"/>
      <c r="BB107" s="303">
        <f t="shared" si="42"/>
        <v>0</v>
      </c>
      <c r="BD107" s="295">
        <v>46109</v>
      </c>
      <c r="BE107" s="296">
        <v>12862.06</v>
      </c>
      <c r="BF107" s="301">
        <v>79.260000000000005</v>
      </c>
      <c r="BG107" s="298"/>
      <c r="BH107" s="302">
        <v>17.312959999999975</v>
      </c>
      <c r="BI107" s="303"/>
      <c r="BJ107" s="303"/>
      <c r="BK107" s="303">
        <f t="shared" si="43"/>
        <v>96.572959999999981</v>
      </c>
      <c r="BM107" s="295">
        <v>46109</v>
      </c>
      <c r="BN107" s="296">
        <v>8317.43</v>
      </c>
      <c r="BO107" s="330">
        <v>0</v>
      </c>
      <c r="BP107" s="298"/>
      <c r="BQ107" s="302"/>
      <c r="BR107" s="303"/>
      <c r="BS107" s="303"/>
      <c r="BT107" s="303">
        <f t="shared" si="44"/>
        <v>0</v>
      </c>
      <c r="BV107" s="295">
        <v>46109</v>
      </c>
      <c r="BW107" s="296">
        <v>669.9</v>
      </c>
      <c r="BX107" s="301">
        <v>0</v>
      </c>
      <c r="BY107" s="298"/>
      <c r="BZ107" s="302"/>
      <c r="CA107" s="303"/>
      <c r="CB107" s="303"/>
      <c r="CC107" s="303">
        <f t="shared" si="45"/>
        <v>0</v>
      </c>
    </row>
    <row r="108" spans="2:81" x14ac:dyDescent="0.25">
      <c r="B108" s="295">
        <v>46110</v>
      </c>
      <c r="C108" s="296">
        <v>1987.2</v>
      </c>
      <c r="D108" s="296">
        <v>604.52</v>
      </c>
      <c r="E108" s="296">
        <v>3327.95</v>
      </c>
      <c r="F108" s="330">
        <v>0</v>
      </c>
      <c r="G108" s="298"/>
      <c r="H108" s="302"/>
      <c r="I108" s="303"/>
      <c r="J108" s="303"/>
      <c r="K108" s="303">
        <f t="shared" si="38"/>
        <v>0</v>
      </c>
      <c r="M108" s="295">
        <v>46110</v>
      </c>
      <c r="N108" s="296">
        <v>3120.07</v>
      </c>
      <c r="O108" s="296">
        <v>245.08</v>
      </c>
      <c r="P108" s="296">
        <v>3821.48</v>
      </c>
      <c r="Q108" s="330">
        <v>55.54</v>
      </c>
      <c r="R108" s="301"/>
      <c r="S108" s="298"/>
      <c r="T108" s="302"/>
      <c r="U108" s="303"/>
      <c r="V108" s="303"/>
      <c r="W108" s="303">
        <f t="shared" si="39"/>
        <v>0</v>
      </c>
      <c r="Y108" s="295">
        <v>46110</v>
      </c>
      <c r="Z108" s="296">
        <v>1476.5</v>
      </c>
      <c r="AA108" s="296">
        <v>126.38</v>
      </c>
      <c r="AB108" s="298"/>
      <c r="AC108" s="302"/>
      <c r="AD108" s="303"/>
      <c r="AE108" s="303"/>
      <c r="AF108" s="303">
        <f t="shared" si="40"/>
        <v>126.38</v>
      </c>
      <c r="AH108" s="295">
        <v>46110</v>
      </c>
      <c r="AI108" s="296">
        <v>1256.7</v>
      </c>
      <c r="AJ108" s="301">
        <v>0</v>
      </c>
      <c r="AK108" s="298"/>
      <c r="AL108" s="302"/>
      <c r="AM108" s="303"/>
      <c r="AN108" s="303"/>
      <c r="AO108" s="303">
        <f t="shared" si="41"/>
        <v>0</v>
      </c>
      <c r="AQ108" s="295">
        <v>46110</v>
      </c>
      <c r="AR108" s="296">
        <v>1489.33</v>
      </c>
      <c r="AS108" s="296">
        <v>594.08000000000004</v>
      </c>
      <c r="AT108" s="296">
        <v>2395.39</v>
      </c>
      <c r="AU108" s="301">
        <v>0</v>
      </c>
      <c r="AV108" s="428">
        <v>35.64</v>
      </c>
      <c r="AW108" s="301">
        <v>0</v>
      </c>
      <c r="AX108" s="298"/>
      <c r="AY108" s="302"/>
      <c r="AZ108" s="303"/>
      <c r="BA108" s="303">
        <v>11.942436799999939</v>
      </c>
      <c r="BB108" s="303">
        <f t="shared" si="42"/>
        <v>11.942436799999939</v>
      </c>
      <c r="BD108" s="295">
        <v>46110</v>
      </c>
      <c r="BE108" s="296">
        <v>7958.35</v>
      </c>
      <c r="BF108" s="301">
        <v>86.55</v>
      </c>
      <c r="BG108" s="298"/>
      <c r="BH108" s="302"/>
      <c r="BI108" s="303"/>
      <c r="BJ108" s="303"/>
      <c r="BK108" s="303">
        <f t="shared" si="43"/>
        <v>86.55</v>
      </c>
      <c r="BM108" s="295">
        <v>46110</v>
      </c>
      <c r="BN108" s="296">
        <v>28742.04</v>
      </c>
      <c r="BO108" s="330">
        <v>0</v>
      </c>
      <c r="BP108" s="298"/>
      <c r="BQ108" s="302"/>
      <c r="BR108" s="303"/>
      <c r="BS108" s="303"/>
      <c r="BT108" s="303">
        <f t="shared" si="44"/>
        <v>0</v>
      </c>
      <c r="BV108" s="295">
        <v>46110</v>
      </c>
      <c r="BW108" s="296">
        <v>402</v>
      </c>
      <c r="BX108" s="301">
        <v>0</v>
      </c>
      <c r="BY108" s="298"/>
      <c r="BZ108" s="302"/>
      <c r="CA108" s="303"/>
      <c r="CB108" s="303"/>
      <c r="CC108" s="303">
        <f t="shared" si="45"/>
        <v>0</v>
      </c>
    </row>
    <row r="109" spans="2:81" x14ac:dyDescent="0.25">
      <c r="B109" s="295">
        <v>46111</v>
      </c>
      <c r="C109" s="296">
        <v>4078.65</v>
      </c>
      <c r="D109" s="296">
        <v>1530.23</v>
      </c>
      <c r="E109" s="296">
        <v>4424.3900000000003</v>
      </c>
      <c r="F109" s="330">
        <v>0</v>
      </c>
      <c r="G109" s="298"/>
      <c r="H109" s="302"/>
      <c r="I109" s="303"/>
      <c r="J109" s="303">
        <v>15.983567100000016</v>
      </c>
      <c r="K109" s="303">
        <f t="shared" si="38"/>
        <v>15.983567100000016</v>
      </c>
      <c r="M109" s="295">
        <v>46111</v>
      </c>
      <c r="N109" s="296">
        <v>320.05</v>
      </c>
      <c r="O109" s="296">
        <v>301.31</v>
      </c>
      <c r="P109" s="296">
        <v>5171.46</v>
      </c>
      <c r="Q109" s="330">
        <v>114.88</v>
      </c>
      <c r="R109" s="301"/>
      <c r="S109" s="298"/>
      <c r="T109" s="302"/>
      <c r="U109" s="303"/>
      <c r="V109" s="303"/>
      <c r="W109" s="303">
        <f t="shared" si="39"/>
        <v>0</v>
      </c>
      <c r="Y109" s="295">
        <v>46111</v>
      </c>
      <c r="Z109" s="296">
        <v>2917.48</v>
      </c>
      <c r="AA109" s="296">
        <v>480</v>
      </c>
      <c r="AB109" s="298"/>
      <c r="AC109" s="302"/>
      <c r="AD109" s="303"/>
      <c r="AE109" s="303"/>
      <c r="AF109" s="303">
        <f t="shared" si="40"/>
        <v>480</v>
      </c>
      <c r="AH109" s="295">
        <v>46111</v>
      </c>
      <c r="AI109" s="296">
        <v>1493.9</v>
      </c>
      <c r="AJ109" s="301">
        <v>0</v>
      </c>
      <c r="AK109" s="298"/>
      <c r="AL109" s="302"/>
      <c r="AM109" s="303"/>
      <c r="AN109" s="303"/>
      <c r="AO109" s="303">
        <f t="shared" si="41"/>
        <v>0</v>
      </c>
      <c r="AQ109" s="295">
        <v>46111</v>
      </c>
      <c r="AR109" s="296">
        <v>2358.59</v>
      </c>
      <c r="AS109" s="296">
        <v>812.72</v>
      </c>
      <c r="AT109" s="296">
        <v>3298.75</v>
      </c>
      <c r="AU109" s="301">
        <v>0</v>
      </c>
      <c r="AV109" s="428">
        <v>77.42</v>
      </c>
      <c r="AW109" s="301">
        <v>0</v>
      </c>
      <c r="AX109" s="298"/>
      <c r="AY109" s="302"/>
      <c r="AZ109" s="303"/>
      <c r="BA109" s="303"/>
      <c r="BB109" s="303">
        <f t="shared" si="42"/>
        <v>0</v>
      </c>
      <c r="BD109" s="295">
        <v>46111</v>
      </c>
      <c r="BE109" s="296">
        <v>14970.15</v>
      </c>
      <c r="BF109" s="301">
        <v>110.18</v>
      </c>
      <c r="BG109" s="298"/>
      <c r="BH109" s="302">
        <v>17.435459999999949</v>
      </c>
      <c r="BI109" s="303"/>
      <c r="BJ109" s="303"/>
      <c r="BK109" s="303">
        <f t="shared" si="43"/>
        <v>127.61545999999996</v>
      </c>
      <c r="BM109" s="295">
        <v>46111</v>
      </c>
      <c r="BN109" s="296">
        <v>9678</v>
      </c>
      <c r="BO109" s="330">
        <v>0</v>
      </c>
      <c r="BP109" s="298"/>
      <c r="BQ109" s="302"/>
      <c r="BR109" s="303"/>
      <c r="BS109" s="303"/>
      <c r="BT109" s="303">
        <f t="shared" si="44"/>
        <v>0</v>
      </c>
      <c r="BV109" s="295">
        <v>46111</v>
      </c>
      <c r="BW109" s="296">
        <v>718.1</v>
      </c>
      <c r="BX109" s="301">
        <v>0</v>
      </c>
      <c r="BY109" s="298"/>
      <c r="BZ109" s="302"/>
      <c r="CA109" s="303"/>
      <c r="CB109" s="303"/>
      <c r="CC109" s="303">
        <f t="shared" si="45"/>
        <v>0</v>
      </c>
    </row>
    <row r="110" spans="2:81" ht="16.5" thickBot="1" x14ac:dyDescent="0.3">
      <c r="B110" s="295">
        <v>46112</v>
      </c>
      <c r="C110" s="296">
        <v>3432.56</v>
      </c>
      <c r="D110" s="296">
        <v>972.35</v>
      </c>
      <c r="E110" s="296">
        <v>4849.47</v>
      </c>
      <c r="F110" s="330">
        <v>0</v>
      </c>
      <c r="G110" s="298"/>
      <c r="H110" s="304"/>
      <c r="I110" s="305"/>
      <c r="J110" s="305"/>
      <c r="K110" s="305">
        <f t="shared" si="38"/>
        <v>0</v>
      </c>
      <c r="M110" s="295">
        <v>46112</v>
      </c>
      <c r="N110" s="296">
        <v>1085.31</v>
      </c>
      <c r="O110" s="296">
        <v>439.25</v>
      </c>
      <c r="P110" s="296">
        <v>3709.18</v>
      </c>
      <c r="Q110" s="330">
        <v>138.30000000000001</v>
      </c>
      <c r="R110" s="297"/>
      <c r="S110" s="298"/>
      <c r="T110" s="304"/>
      <c r="U110" s="305"/>
      <c r="V110" s="305"/>
      <c r="W110" s="305">
        <f t="shared" si="39"/>
        <v>0</v>
      </c>
      <c r="Y110" s="295">
        <v>46112</v>
      </c>
      <c r="Z110" s="296">
        <v>2023.84</v>
      </c>
      <c r="AA110" s="296">
        <v>4458.97</v>
      </c>
      <c r="AB110" s="298"/>
      <c r="AC110" s="304"/>
      <c r="AD110" s="305"/>
      <c r="AE110" s="305"/>
      <c r="AF110" s="305">
        <f t="shared" si="40"/>
        <v>4458.97</v>
      </c>
      <c r="AH110" s="295">
        <v>46112</v>
      </c>
      <c r="AI110" s="296">
        <v>1665.83</v>
      </c>
      <c r="AJ110" s="297"/>
      <c r="AK110" s="298"/>
      <c r="AL110" s="304"/>
      <c r="AM110" s="305"/>
      <c r="AN110" s="305"/>
      <c r="AO110" s="305">
        <f t="shared" si="41"/>
        <v>0</v>
      </c>
      <c r="AQ110" s="295">
        <v>46112</v>
      </c>
      <c r="AR110" s="296">
        <v>2891.1</v>
      </c>
      <c r="AS110" s="296">
        <v>1141.02</v>
      </c>
      <c r="AT110" s="296">
        <v>3477.69</v>
      </c>
      <c r="AU110" s="301"/>
      <c r="AV110" s="428">
        <v>36.43</v>
      </c>
      <c r="AW110" s="301"/>
      <c r="AX110" s="298"/>
      <c r="AY110" s="304"/>
      <c r="AZ110" s="305"/>
      <c r="BA110" s="305"/>
      <c r="BB110" s="305">
        <f t="shared" si="42"/>
        <v>0</v>
      </c>
      <c r="BD110" s="295">
        <v>46112</v>
      </c>
      <c r="BE110" s="296">
        <v>12000.21</v>
      </c>
      <c r="BF110" s="301">
        <v>116.1</v>
      </c>
      <c r="BG110" s="298"/>
      <c r="BH110" s="304">
        <v>-1.8000000000000114</v>
      </c>
      <c r="BI110" s="305"/>
      <c r="BJ110" s="305"/>
      <c r="BK110" s="305">
        <f t="shared" si="43"/>
        <v>114.29999999999998</v>
      </c>
      <c r="BM110" s="295">
        <v>46112</v>
      </c>
      <c r="BN110" s="296">
        <v>11042.63</v>
      </c>
      <c r="BO110" s="330">
        <v>0</v>
      </c>
      <c r="BP110" s="298"/>
      <c r="BQ110" s="304"/>
      <c r="BR110" s="305"/>
      <c r="BS110" s="305"/>
      <c r="BT110" s="305">
        <f t="shared" si="44"/>
        <v>0</v>
      </c>
      <c r="BV110" s="295">
        <v>46112</v>
      </c>
      <c r="BW110" s="296">
        <v>500.5</v>
      </c>
      <c r="BX110" s="297"/>
      <c r="BY110" s="298"/>
      <c r="BZ110" s="304"/>
      <c r="CA110" s="305"/>
      <c r="CB110" s="305"/>
      <c r="CC110" s="305">
        <f t="shared" si="45"/>
        <v>0</v>
      </c>
    </row>
    <row r="111" spans="2:81" ht="16.5" thickBot="1" x14ac:dyDescent="0.3">
      <c r="B111" s="310"/>
      <c r="C111" s="306">
        <f t="shared" ref="C111:F111" si="46">SUM(C80:C110)</f>
        <v>150317.98000000001</v>
      </c>
      <c r="D111" s="306">
        <f t="shared" si="46"/>
        <v>35152.019999999997</v>
      </c>
      <c r="E111" s="306">
        <f t="shared" si="46"/>
        <v>46477.11</v>
      </c>
      <c r="F111" s="306">
        <f t="shared" si="46"/>
        <v>66.8</v>
      </c>
      <c r="G111" s="83"/>
      <c r="H111" s="84">
        <f t="shared" ref="H111:K111" si="47">SUM(H80:H110)</f>
        <v>0</v>
      </c>
      <c r="I111" s="85">
        <f t="shared" si="47"/>
        <v>2754.4906987167619</v>
      </c>
      <c r="J111" s="85">
        <f t="shared" si="47"/>
        <v>327.40626849999973</v>
      </c>
      <c r="K111" s="85">
        <f t="shared" si="47"/>
        <v>3148.6969672167611</v>
      </c>
      <c r="N111" s="306">
        <f t="shared" ref="N111:R111" si="48">SUM(N80:N110)</f>
        <v>47934.239999999991</v>
      </c>
      <c r="O111" s="306">
        <f t="shared" si="48"/>
        <v>6182.8600000000006</v>
      </c>
      <c r="P111" s="306">
        <f t="shared" si="48"/>
        <v>96249.069999999992</v>
      </c>
      <c r="Q111" s="307">
        <f t="shared" si="48"/>
        <v>2973.4100000000008</v>
      </c>
      <c r="R111" s="307">
        <f t="shared" si="48"/>
        <v>0</v>
      </c>
      <c r="S111" s="83"/>
      <c r="T111" s="84">
        <f t="shared" ref="T111:W111" si="49">SUM(T80:T110)</f>
        <v>0</v>
      </c>
      <c r="U111" s="85">
        <f t="shared" si="49"/>
        <v>0</v>
      </c>
      <c r="V111" s="85">
        <f t="shared" si="49"/>
        <v>0</v>
      </c>
      <c r="W111" s="85">
        <f t="shared" si="49"/>
        <v>0</v>
      </c>
      <c r="Z111" s="308">
        <f t="shared" ref="Z111" si="50">SUM(Z80:Z110)</f>
        <v>54881.48</v>
      </c>
      <c r="AA111" s="309">
        <f>SUM(AA80:AA110)</f>
        <v>15726.099999999999</v>
      </c>
      <c r="AB111" s="83"/>
      <c r="AC111" s="84">
        <f t="shared" ref="AC111:AF111" si="51">SUM(AC80:AC110)</f>
        <v>0</v>
      </c>
      <c r="AD111" s="85">
        <f t="shared" si="51"/>
        <v>0</v>
      </c>
      <c r="AE111" s="85">
        <f t="shared" si="51"/>
        <v>0</v>
      </c>
      <c r="AF111" s="85">
        <f t="shared" si="51"/>
        <v>15726.099999999999</v>
      </c>
      <c r="AI111" s="306">
        <f t="shared" ref="AI111:AJ111" si="52">SUM(AI80:AI110)</f>
        <v>37851.75</v>
      </c>
      <c r="AJ111" s="306">
        <f t="shared" si="52"/>
        <v>0</v>
      </c>
      <c r="AK111" s="83"/>
      <c r="AL111" s="84">
        <f t="shared" ref="AL111:AO111" si="53">SUM(AL80:AL110)</f>
        <v>0</v>
      </c>
      <c r="AM111" s="85">
        <f t="shared" si="53"/>
        <v>0</v>
      </c>
      <c r="AN111" s="85">
        <f t="shared" si="53"/>
        <v>0</v>
      </c>
      <c r="AO111" s="85">
        <f t="shared" si="53"/>
        <v>0</v>
      </c>
      <c r="AR111" s="306">
        <f t="shared" ref="AR111:AT111" si="54">SUM(AR80:AR110)</f>
        <v>90035.680000000008</v>
      </c>
      <c r="AS111" s="306">
        <f t="shared" si="54"/>
        <v>33483.020000000004</v>
      </c>
      <c r="AT111" s="306">
        <f t="shared" si="54"/>
        <v>82810.17</v>
      </c>
      <c r="AU111" s="306">
        <f>SUM(AU80:AU110)</f>
        <v>0</v>
      </c>
      <c r="AV111" s="306">
        <f>SUM(AV80:AV110)</f>
        <v>1687.5100000000002</v>
      </c>
      <c r="AW111" s="306">
        <f>SUM(AW80:AW110)</f>
        <v>0</v>
      </c>
      <c r="AX111" s="83"/>
      <c r="AY111" s="84">
        <f t="shared" ref="AY111:BB111" si="55">SUM(AY80:AY110)</f>
        <v>0</v>
      </c>
      <c r="AZ111" s="85">
        <f t="shared" si="55"/>
        <v>108.75481809523808</v>
      </c>
      <c r="BA111" s="85">
        <f t="shared" si="55"/>
        <v>11.942436799999939</v>
      </c>
      <c r="BB111" s="85">
        <f t="shared" si="55"/>
        <v>120.69725489523802</v>
      </c>
      <c r="BE111" s="306">
        <f t="shared" ref="BE111:BF111" si="56">SUM(BE80:BE110)</f>
        <v>409944.82000000012</v>
      </c>
      <c r="BF111" s="306">
        <f t="shared" si="56"/>
        <v>2064.5400000000004</v>
      </c>
      <c r="BG111" s="83"/>
      <c r="BH111" s="84">
        <f t="shared" ref="BH111:BK111" si="57">SUM(BH80:BH110)</f>
        <v>1316.7370799999992</v>
      </c>
      <c r="BI111" s="85">
        <f t="shared" si="57"/>
        <v>0</v>
      </c>
      <c r="BJ111" s="85">
        <f t="shared" si="57"/>
        <v>0</v>
      </c>
      <c r="BK111" s="85">
        <f t="shared" si="57"/>
        <v>3381.2770800000003</v>
      </c>
      <c r="BN111" s="306">
        <f t="shared" ref="BN111:BO111" si="58">SUM(BN80:BN110)</f>
        <v>181001.02000000005</v>
      </c>
      <c r="BO111" s="306">
        <f t="shared" si="58"/>
        <v>3715.35</v>
      </c>
      <c r="BP111" s="83"/>
      <c r="BQ111" s="84">
        <f t="shared" ref="BQ111:BT111" si="59">SUM(BQ80:BQ110)</f>
        <v>0</v>
      </c>
      <c r="BR111" s="85">
        <f t="shared" si="59"/>
        <v>0</v>
      </c>
      <c r="BS111" s="85">
        <f t="shared" si="59"/>
        <v>0</v>
      </c>
      <c r="BT111" s="85">
        <f t="shared" si="59"/>
        <v>3715.35</v>
      </c>
      <c r="BW111" s="306">
        <f t="shared" ref="BW111:BX111" si="60">SUM(BW80:BW110)</f>
        <v>15250.600000000002</v>
      </c>
      <c r="BX111" s="306">
        <f t="shared" si="60"/>
        <v>0</v>
      </c>
      <c r="BY111" s="83"/>
      <c r="BZ111" s="84">
        <f t="shared" ref="BZ111:CC111" si="61">SUM(BZ80:BZ110)</f>
        <v>0</v>
      </c>
      <c r="CA111" s="85">
        <f t="shared" si="61"/>
        <v>0</v>
      </c>
      <c r="CB111" s="85">
        <f t="shared" si="61"/>
        <v>0</v>
      </c>
      <c r="CC111" s="85">
        <f t="shared" si="61"/>
        <v>0</v>
      </c>
    </row>
    <row r="114" spans="2:81" ht="21" x14ac:dyDescent="0.35">
      <c r="B114" s="275" t="s">
        <v>85</v>
      </c>
      <c r="N114" s="275" t="s">
        <v>86</v>
      </c>
      <c r="Y114" s="275" t="s">
        <v>87</v>
      </c>
      <c r="AH114" s="1" t="s">
        <v>88</v>
      </c>
      <c r="AQ114" s="275" t="s">
        <v>89</v>
      </c>
      <c r="BD114" s="275" t="s">
        <v>90</v>
      </c>
      <c r="BM114" s="275" t="s">
        <v>91</v>
      </c>
      <c r="BV114" s="275" t="s">
        <v>92</v>
      </c>
    </row>
    <row r="115" spans="2:81" ht="16.5" customHeight="1" thickBot="1" x14ac:dyDescent="0.3"/>
    <row r="116" spans="2:81" ht="16.5" thickBot="1" x14ac:dyDescent="0.3">
      <c r="C116" s="277" t="s">
        <v>80</v>
      </c>
      <c r="D116" s="277" t="s">
        <v>80</v>
      </c>
      <c r="E116" s="277" t="s">
        <v>80</v>
      </c>
      <c r="F116" s="277" t="s">
        <v>81</v>
      </c>
      <c r="G116" s="278"/>
      <c r="H116" s="279" t="s">
        <v>16</v>
      </c>
      <c r="I116" s="280" t="s">
        <v>16</v>
      </c>
      <c r="J116" s="281" t="s">
        <v>16</v>
      </c>
      <c r="K116" s="282" t="s">
        <v>17</v>
      </c>
      <c r="N116" s="283" t="s">
        <v>15</v>
      </c>
      <c r="O116" s="283" t="s">
        <v>15</v>
      </c>
      <c r="P116" s="283" t="s">
        <v>15</v>
      </c>
      <c r="Q116" s="284" t="s">
        <v>81</v>
      </c>
      <c r="R116" s="284" t="s">
        <v>81</v>
      </c>
      <c r="S116" s="278"/>
      <c r="T116" s="279" t="s">
        <v>16</v>
      </c>
      <c r="U116" s="280" t="s">
        <v>16</v>
      </c>
      <c r="V116" s="281" t="s">
        <v>16</v>
      </c>
      <c r="W116" s="282" t="s">
        <v>17</v>
      </c>
      <c r="Z116" s="285" t="s">
        <v>15</v>
      </c>
      <c r="AA116" s="286" t="s">
        <v>24</v>
      </c>
      <c r="AB116" s="278"/>
      <c r="AC116" s="279" t="s">
        <v>16</v>
      </c>
      <c r="AD116" s="280" t="s">
        <v>16</v>
      </c>
      <c r="AE116" s="281" t="s">
        <v>16</v>
      </c>
      <c r="AF116" s="282" t="s">
        <v>17</v>
      </c>
      <c r="AI116" s="426" t="s">
        <v>80</v>
      </c>
      <c r="AJ116" s="278"/>
      <c r="AL116" s="279" t="s">
        <v>16</v>
      </c>
      <c r="AM116" s="280" t="s">
        <v>16</v>
      </c>
      <c r="AN116" s="281" t="s">
        <v>16</v>
      </c>
      <c r="AO116" s="282" t="s">
        <v>17</v>
      </c>
      <c r="AR116" s="277" t="s">
        <v>80</v>
      </c>
      <c r="AS116" s="277" t="s">
        <v>80</v>
      </c>
      <c r="AT116" s="277" t="s">
        <v>80</v>
      </c>
      <c r="AU116" s="277" t="s">
        <v>81</v>
      </c>
      <c r="AW116" s="277" t="s">
        <v>81</v>
      </c>
      <c r="AY116" s="279" t="s">
        <v>16</v>
      </c>
      <c r="AZ116" s="280" t="s">
        <v>16</v>
      </c>
      <c r="BA116" s="281" t="s">
        <v>16</v>
      </c>
      <c r="BB116" s="282" t="s">
        <v>17</v>
      </c>
      <c r="BE116" s="277" t="s">
        <v>80</v>
      </c>
      <c r="BF116" s="277" t="s">
        <v>81</v>
      </c>
      <c r="BG116" s="278"/>
      <c r="BH116" s="279" t="s">
        <v>16</v>
      </c>
      <c r="BI116" s="280" t="s">
        <v>16</v>
      </c>
      <c r="BJ116" s="281" t="s">
        <v>16</v>
      </c>
      <c r="BK116" s="282" t="s">
        <v>17</v>
      </c>
      <c r="BN116" s="277" t="s">
        <v>80</v>
      </c>
      <c r="BO116" s="277" t="s">
        <v>81</v>
      </c>
      <c r="BP116" s="278"/>
      <c r="BQ116" s="279" t="s">
        <v>16</v>
      </c>
      <c r="BR116" s="280" t="s">
        <v>16</v>
      </c>
      <c r="BS116" s="281" t="s">
        <v>16</v>
      </c>
      <c r="BT116" s="282" t="s">
        <v>17</v>
      </c>
      <c r="BW116" s="277" t="s">
        <v>80</v>
      </c>
      <c r="BX116" s="277" t="s">
        <v>81</v>
      </c>
      <c r="BZ116" s="279" t="s">
        <v>16</v>
      </c>
      <c r="CA116" s="280" t="s">
        <v>16</v>
      </c>
      <c r="CB116" s="281" t="s">
        <v>16</v>
      </c>
      <c r="CC116" s="282" t="s">
        <v>17</v>
      </c>
    </row>
    <row r="117" spans="2:81" ht="16.5" thickBot="1" x14ac:dyDescent="0.3">
      <c r="C117" s="287" t="s">
        <v>18</v>
      </c>
      <c r="D117" s="287" t="s">
        <v>19</v>
      </c>
      <c r="E117" s="287" t="s">
        <v>20</v>
      </c>
      <c r="F117" s="287" t="s">
        <v>18</v>
      </c>
      <c r="G117" s="278"/>
      <c r="H117" s="288" t="s">
        <v>21</v>
      </c>
      <c r="I117" s="289" t="s">
        <v>22</v>
      </c>
      <c r="J117" s="290" t="s">
        <v>23</v>
      </c>
      <c r="K117" s="291" t="s">
        <v>24</v>
      </c>
      <c r="N117" s="292" t="s">
        <v>18</v>
      </c>
      <c r="O117" s="292" t="s">
        <v>19</v>
      </c>
      <c r="P117" s="292" t="s">
        <v>20</v>
      </c>
      <c r="Q117" s="292" t="s">
        <v>20</v>
      </c>
      <c r="R117" s="292" t="s">
        <v>18</v>
      </c>
      <c r="S117" s="278"/>
      <c r="T117" s="288" t="s">
        <v>21</v>
      </c>
      <c r="U117" s="289" t="s">
        <v>22</v>
      </c>
      <c r="V117" s="290" t="s">
        <v>23</v>
      </c>
      <c r="W117" s="291" t="s">
        <v>24</v>
      </c>
      <c r="Z117" s="293" t="s">
        <v>18</v>
      </c>
      <c r="AA117" s="294" t="s">
        <v>18</v>
      </c>
      <c r="AB117" s="278"/>
      <c r="AC117" s="288" t="s">
        <v>21</v>
      </c>
      <c r="AD117" s="289" t="s">
        <v>22</v>
      </c>
      <c r="AE117" s="290" t="s">
        <v>23</v>
      </c>
      <c r="AF117" s="291" t="s">
        <v>24</v>
      </c>
      <c r="AI117" s="427" t="s">
        <v>18</v>
      </c>
      <c r="AJ117" s="278"/>
      <c r="AL117" s="288" t="s">
        <v>21</v>
      </c>
      <c r="AM117" s="289" t="s">
        <v>22</v>
      </c>
      <c r="AN117" s="290" t="s">
        <v>23</v>
      </c>
      <c r="AO117" s="291" t="s">
        <v>24</v>
      </c>
      <c r="AR117" s="287" t="s">
        <v>18</v>
      </c>
      <c r="AS117" s="287" t="s">
        <v>19</v>
      </c>
      <c r="AT117" s="287" t="s">
        <v>20</v>
      </c>
      <c r="AU117" s="287" t="s">
        <v>20</v>
      </c>
      <c r="AW117" s="287" t="s">
        <v>18</v>
      </c>
      <c r="AY117" s="288" t="s">
        <v>21</v>
      </c>
      <c r="AZ117" s="289" t="s">
        <v>22</v>
      </c>
      <c r="BA117" s="290" t="s">
        <v>23</v>
      </c>
      <c r="BB117" s="291" t="s">
        <v>24</v>
      </c>
      <c r="BE117" s="287" t="s">
        <v>18</v>
      </c>
      <c r="BF117" s="287" t="s">
        <v>18</v>
      </c>
      <c r="BG117" s="278"/>
      <c r="BH117" s="288" t="s">
        <v>21</v>
      </c>
      <c r="BI117" s="289" t="s">
        <v>22</v>
      </c>
      <c r="BJ117" s="290" t="s">
        <v>23</v>
      </c>
      <c r="BK117" s="291" t="s">
        <v>24</v>
      </c>
      <c r="BN117" s="287" t="s">
        <v>18</v>
      </c>
      <c r="BO117" s="287" t="s">
        <v>18</v>
      </c>
      <c r="BP117" s="278"/>
      <c r="BQ117" s="288" t="s">
        <v>21</v>
      </c>
      <c r="BR117" s="289" t="s">
        <v>22</v>
      </c>
      <c r="BS117" s="290" t="s">
        <v>23</v>
      </c>
      <c r="BT117" s="291" t="s">
        <v>24</v>
      </c>
      <c r="BW117" s="287" t="s">
        <v>18</v>
      </c>
      <c r="BX117" s="287" t="s">
        <v>18</v>
      </c>
      <c r="BZ117" s="288" t="s">
        <v>21</v>
      </c>
      <c r="CA117" s="289" t="s">
        <v>22</v>
      </c>
      <c r="CB117" s="290" t="s">
        <v>23</v>
      </c>
      <c r="CC117" s="291" t="s">
        <v>24</v>
      </c>
    </row>
    <row r="118" spans="2:81" x14ac:dyDescent="0.25">
      <c r="B118" s="295">
        <v>46113</v>
      </c>
      <c r="C118" s="296">
        <v>4289.1000000000004</v>
      </c>
      <c r="D118" s="296">
        <v>2214.44</v>
      </c>
      <c r="E118" s="296">
        <v>6103.44</v>
      </c>
      <c r="F118" s="330">
        <v>5.5</v>
      </c>
      <c r="G118" s="298"/>
      <c r="H118" s="299"/>
      <c r="I118" s="300">
        <v>88.050992857143001</v>
      </c>
      <c r="J118" s="300">
        <v>-9.5706000000035374E-2</v>
      </c>
      <c r="K118" s="300">
        <f t="shared" ref="K118:K147" si="62">SUM(F118:J118)</f>
        <v>93.455286857142966</v>
      </c>
      <c r="M118" s="295">
        <f t="shared" ref="M118:M147" si="63">+B118</f>
        <v>46113</v>
      </c>
      <c r="N118" s="296">
        <v>2105.98</v>
      </c>
      <c r="O118" s="296">
        <v>600.9</v>
      </c>
      <c r="P118" s="296">
        <v>7284.51</v>
      </c>
      <c r="Q118" s="330">
        <v>72.77</v>
      </c>
      <c r="R118" s="301">
        <v>0</v>
      </c>
      <c r="S118" s="298"/>
      <c r="T118" s="299"/>
      <c r="U118" s="300"/>
      <c r="V118" s="300"/>
      <c r="W118" s="300">
        <f t="shared" ref="W118:W147" si="64">SUM(R118:V118)</f>
        <v>0</v>
      </c>
      <c r="Y118" s="295">
        <f>+M118</f>
        <v>46113</v>
      </c>
      <c r="Z118" s="296">
        <v>1911.4</v>
      </c>
      <c r="AA118" s="296">
        <v>411.91</v>
      </c>
      <c r="AB118" s="298"/>
      <c r="AC118" s="299"/>
      <c r="AD118" s="300"/>
      <c r="AE118" s="300"/>
      <c r="AF118" s="300">
        <f t="shared" ref="AF118:AF147" si="65">SUM(AA118:AE118)</f>
        <v>411.91</v>
      </c>
      <c r="AH118" s="295">
        <f>+M118</f>
        <v>46113</v>
      </c>
      <c r="AI118" s="296">
        <v>1418.1</v>
      </c>
      <c r="AJ118" s="298"/>
      <c r="AL118" s="299"/>
      <c r="AM118" s="300"/>
      <c r="AN118" s="300"/>
      <c r="AO118" s="300">
        <f t="shared" ref="AO118:AO147" si="66">SUM(AJ118:AN118)</f>
        <v>0</v>
      </c>
      <c r="AQ118" s="295">
        <v>46113</v>
      </c>
      <c r="AR118" s="296">
        <v>4126.1099999999997</v>
      </c>
      <c r="AS118" s="296">
        <v>1174.42</v>
      </c>
      <c r="AT118" s="296">
        <v>4362.75</v>
      </c>
      <c r="AU118" s="330">
        <v>117.8</v>
      </c>
      <c r="AW118" s="301">
        <v>0</v>
      </c>
      <c r="AY118" s="299"/>
      <c r="AZ118" s="300"/>
      <c r="BA118" s="300"/>
      <c r="BB118" s="300">
        <f t="shared" ref="BB118:BB147" si="67">SUM(AW118:BA118)</f>
        <v>0</v>
      </c>
      <c r="BD118" s="295">
        <v>46113</v>
      </c>
      <c r="BE118" s="296">
        <v>13012.7</v>
      </c>
      <c r="BF118" s="301">
        <v>110.37</v>
      </c>
      <c r="BG118" s="298"/>
      <c r="BH118" s="299"/>
      <c r="BI118" s="300"/>
      <c r="BJ118" s="300"/>
      <c r="BK118" s="300">
        <f t="shared" ref="BK118:BK147" si="68">SUM(BF118:BJ118)</f>
        <v>110.37</v>
      </c>
      <c r="BM118" s="295">
        <f t="shared" ref="BM118:BM147" si="69">+BD118</f>
        <v>46113</v>
      </c>
      <c r="BN118" s="296">
        <v>4810.5</v>
      </c>
      <c r="BO118" s="330">
        <v>0</v>
      </c>
      <c r="BP118" s="298"/>
      <c r="BQ118" s="299"/>
      <c r="BR118" s="300"/>
      <c r="BS118" s="300"/>
      <c r="BT118" s="300">
        <f t="shared" ref="BT118:BT147" si="70">SUM(BO118:BS118)</f>
        <v>0</v>
      </c>
      <c r="BV118" s="295">
        <f t="shared" ref="BV118:BV147" si="71">+BM118</f>
        <v>46113</v>
      </c>
      <c r="BW118" s="296">
        <v>651</v>
      </c>
      <c r="BX118" s="301"/>
      <c r="BZ118" s="299"/>
      <c r="CA118" s="300"/>
      <c r="CB118" s="300"/>
      <c r="CC118" s="300">
        <f t="shared" ref="CC118:CC147" si="72">SUM(BX118:CB118)</f>
        <v>0</v>
      </c>
    </row>
    <row r="119" spans="2:81" x14ac:dyDescent="0.25">
      <c r="B119" s="295">
        <v>46114</v>
      </c>
      <c r="C119" s="296">
        <v>2671.15</v>
      </c>
      <c r="D119" s="296">
        <v>1100.31</v>
      </c>
      <c r="E119" s="296">
        <v>4704.6000000000004</v>
      </c>
      <c r="F119" s="330">
        <v>0</v>
      </c>
      <c r="G119" s="298"/>
      <c r="H119" s="302"/>
      <c r="I119" s="303"/>
      <c r="J119" s="303"/>
      <c r="K119" s="303">
        <f t="shared" si="62"/>
        <v>0</v>
      </c>
      <c r="M119" s="295">
        <f t="shared" si="63"/>
        <v>46114</v>
      </c>
      <c r="N119" s="296">
        <v>3078.82</v>
      </c>
      <c r="O119" s="296">
        <v>237.85</v>
      </c>
      <c r="P119" s="296">
        <v>3880.9</v>
      </c>
      <c r="Q119" s="330">
        <v>35.65</v>
      </c>
      <c r="R119" s="301">
        <v>0</v>
      </c>
      <c r="S119" s="298"/>
      <c r="T119" s="302"/>
      <c r="U119" s="303"/>
      <c r="V119" s="303"/>
      <c r="W119" s="303">
        <f t="shared" si="64"/>
        <v>0</v>
      </c>
      <c r="Y119" s="295">
        <f t="shared" ref="Y119:Y147" si="73">+M119</f>
        <v>46114</v>
      </c>
      <c r="Z119" s="296">
        <v>1363.47</v>
      </c>
      <c r="AA119" s="296">
        <v>198.38</v>
      </c>
      <c r="AB119" s="298"/>
      <c r="AC119" s="302"/>
      <c r="AD119" s="303"/>
      <c r="AE119" s="303"/>
      <c r="AF119" s="303">
        <f t="shared" si="65"/>
        <v>198.38</v>
      </c>
      <c r="AH119" s="295">
        <f t="shared" ref="AH119:AH147" si="74">+M119</f>
        <v>46114</v>
      </c>
      <c r="AI119" s="296">
        <v>389.5</v>
      </c>
      <c r="AJ119" s="298"/>
      <c r="AL119" s="302"/>
      <c r="AM119" s="303"/>
      <c r="AN119" s="303"/>
      <c r="AO119" s="303">
        <f t="shared" si="66"/>
        <v>0</v>
      </c>
      <c r="AQ119" s="295">
        <v>46114</v>
      </c>
      <c r="AR119" s="296">
        <v>4055.43</v>
      </c>
      <c r="AS119" s="296">
        <v>1324.36</v>
      </c>
      <c r="AT119" s="296">
        <v>4399.04</v>
      </c>
      <c r="AU119" s="330">
        <v>80.97</v>
      </c>
      <c r="AW119" s="301">
        <v>0</v>
      </c>
      <c r="AY119" s="302"/>
      <c r="AZ119" s="303"/>
      <c r="BA119" s="303"/>
      <c r="BB119" s="303">
        <f t="shared" si="67"/>
        <v>0</v>
      </c>
      <c r="BD119" s="295">
        <v>46114</v>
      </c>
      <c r="BE119" s="296">
        <v>8052.08</v>
      </c>
      <c r="BF119" s="301">
        <v>97.87</v>
      </c>
      <c r="BG119" s="298"/>
      <c r="BH119" s="302"/>
      <c r="BI119" s="303"/>
      <c r="BJ119" s="303"/>
      <c r="BK119" s="303">
        <f t="shared" si="68"/>
        <v>97.87</v>
      </c>
      <c r="BM119" s="295">
        <f t="shared" si="69"/>
        <v>46114</v>
      </c>
      <c r="BN119" s="296">
        <v>12602.95</v>
      </c>
      <c r="BO119" s="330">
        <v>0</v>
      </c>
      <c r="BP119" s="298"/>
      <c r="BQ119" s="302"/>
      <c r="BR119" s="303"/>
      <c r="BS119" s="303"/>
      <c r="BT119" s="303">
        <f t="shared" si="70"/>
        <v>0</v>
      </c>
      <c r="BV119" s="295">
        <f t="shared" si="71"/>
        <v>46114</v>
      </c>
      <c r="BW119" s="296">
        <v>290</v>
      </c>
      <c r="BX119" s="301"/>
      <c r="BZ119" s="302"/>
      <c r="CA119" s="303"/>
      <c r="CB119" s="303"/>
      <c r="CC119" s="303">
        <f t="shared" si="72"/>
        <v>0</v>
      </c>
    </row>
    <row r="120" spans="2:81" x14ac:dyDescent="0.25">
      <c r="B120" s="295">
        <v>46115</v>
      </c>
      <c r="C120" s="296">
        <v>1595.57</v>
      </c>
      <c r="D120" s="296">
        <v>476.14</v>
      </c>
      <c r="E120" s="296">
        <v>2279.5500000000002</v>
      </c>
      <c r="F120" s="330">
        <v>0</v>
      </c>
      <c r="G120" s="298"/>
      <c r="H120" s="302"/>
      <c r="I120" s="303"/>
      <c r="J120" s="303"/>
      <c r="K120" s="303">
        <f t="shared" si="62"/>
        <v>0</v>
      </c>
      <c r="M120" s="295">
        <f t="shared" si="63"/>
        <v>46115</v>
      </c>
      <c r="N120" s="296">
        <v>2085.96</v>
      </c>
      <c r="O120" s="296">
        <v>195.24</v>
      </c>
      <c r="P120" s="296">
        <v>3157.33</v>
      </c>
      <c r="Q120" s="330">
        <v>51.86</v>
      </c>
      <c r="R120" s="301">
        <v>0</v>
      </c>
      <c r="S120" s="298"/>
      <c r="T120" s="302"/>
      <c r="U120" s="303"/>
      <c r="V120" s="303"/>
      <c r="W120" s="303">
        <f t="shared" si="64"/>
        <v>0</v>
      </c>
      <c r="Y120" s="295">
        <f t="shared" si="73"/>
        <v>46115</v>
      </c>
      <c r="Z120" s="296">
        <v>806.4</v>
      </c>
      <c r="AA120" s="296">
        <v>75.84</v>
      </c>
      <c r="AB120" s="298"/>
      <c r="AC120" s="302"/>
      <c r="AD120" s="303"/>
      <c r="AE120" s="303"/>
      <c r="AF120" s="303">
        <f t="shared" si="65"/>
        <v>75.84</v>
      </c>
      <c r="AH120" s="295">
        <f t="shared" si="74"/>
        <v>46115</v>
      </c>
      <c r="AI120" s="296">
        <v>1173.2</v>
      </c>
      <c r="AJ120" s="298"/>
      <c r="AL120" s="302"/>
      <c r="AM120" s="303"/>
      <c r="AN120" s="303"/>
      <c r="AO120" s="303">
        <f t="shared" si="66"/>
        <v>0</v>
      </c>
      <c r="AQ120" s="295">
        <v>46115</v>
      </c>
      <c r="AR120" s="296">
        <v>1932.51</v>
      </c>
      <c r="AS120" s="296">
        <v>891.75</v>
      </c>
      <c r="AT120" s="296">
        <v>3349.43</v>
      </c>
      <c r="AU120" s="330">
        <v>140.63</v>
      </c>
      <c r="AW120" s="301">
        <v>0</v>
      </c>
      <c r="AY120" s="302"/>
      <c r="AZ120" s="303"/>
      <c r="BA120" s="303"/>
      <c r="BB120" s="303">
        <f t="shared" si="67"/>
        <v>0</v>
      </c>
      <c r="BD120" s="295">
        <v>46115</v>
      </c>
      <c r="BE120" s="296">
        <v>7530.72</v>
      </c>
      <c r="BF120" s="301">
        <v>57.86</v>
      </c>
      <c r="BG120" s="298"/>
      <c r="BH120" s="302"/>
      <c r="BI120" s="303"/>
      <c r="BJ120" s="303"/>
      <c r="BK120" s="303">
        <f t="shared" si="68"/>
        <v>57.86</v>
      </c>
      <c r="BM120" s="295">
        <f t="shared" si="69"/>
        <v>46115</v>
      </c>
      <c r="BN120" s="296">
        <v>742</v>
      </c>
      <c r="BO120" s="330">
        <v>0</v>
      </c>
      <c r="BP120" s="298"/>
      <c r="BQ120" s="302"/>
      <c r="BR120" s="303"/>
      <c r="BS120" s="303"/>
      <c r="BT120" s="303">
        <f t="shared" si="70"/>
        <v>0</v>
      </c>
      <c r="BV120" s="295">
        <f t="shared" si="71"/>
        <v>46115</v>
      </c>
      <c r="BW120" s="296">
        <v>635</v>
      </c>
      <c r="BX120" s="301"/>
      <c r="BZ120" s="302"/>
      <c r="CA120" s="303"/>
      <c r="CB120" s="303"/>
      <c r="CC120" s="303">
        <f t="shared" si="72"/>
        <v>0</v>
      </c>
    </row>
    <row r="121" spans="2:81" x14ac:dyDescent="0.25">
      <c r="B121" s="295">
        <v>46116</v>
      </c>
      <c r="C121" s="296">
        <v>3013.66</v>
      </c>
      <c r="D121" s="296">
        <v>1250.25</v>
      </c>
      <c r="E121" s="296">
        <v>5031.63</v>
      </c>
      <c r="F121" s="330">
        <v>0</v>
      </c>
      <c r="G121" s="298"/>
      <c r="H121" s="302"/>
      <c r="I121" s="303"/>
      <c r="J121" s="303"/>
      <c r="K121" s="303">
        <f t="shared" si="62"/>
        <v>0</v>
      </c>
      <c r="M121" s="295">
        <f t="shared" si="63"/>
        <v>46116</v>
      </c>
      <c r="N121" s="296">
        <v>5467.35</v>
      </c>
      <c r="O121" s="296">
        <v>991.8</v>
      </c>
      <c r="P121" s="296">
        <v>2526.85</v>
      </c>
      <c r="Q121" s="330">
        <v>100.59</v>
      </c>
      <c r="R121" s="301">
        <v>0</v>
      </c>
      <c r="S121" s="298"/>
      <c r="T121" s="302"/>
      <c r="U121" s="303"/>
      <c r="V121" s="303"/>
      <c r="W121" s="303">
        <f t="shared" si="64"/>
        <v>0</v>
      </c>
      <c r="Y121" s="295">
        <f t="shared" si="73"/>
        <v>46116</v>
      </c>
      <c r="Z121" s="296">
        <v>1877.43</v>
      </c>
      <c r="AA121" s="296">
        <v>466.12</v>
      </c>
      <c r="AB121" s="298"/>
      <c r="AC121" s="302"/>
      <c r="AD121" s="303"/>
      <c r="AE121" s="303"/>
      <c r="AF121" s="303">
        <f t="shared" si="65"/>
        <v>466.12</v>
      </c>
      <c r="AH121" s="295">
        <f t="shared" si="74"/>
        <v>46116</v>
      </c>
      <c r="AI121" s="296">
        <v>1028</v>
      </c>
      <c r="AJ121" s="298"/>
      <c r="AL121" s="302"/>
      <c r="AM121" s="303"/>
      <c r="AN121" s="303"/>
      <c r="AO121" s="303">
        <f t="shared" si="66"/>
        <v>0</v>
      </c>
      <c r="AQ121" s="295">
        <v>46116</v>
      </c>
      <c r="AR121" s="296">
        <v>2868.24</v>
      </c>
      <c r="AS121" s="296">
        <v>728.5</v>
      </c>
      <c r="AT121" s="296">
        <v>3855.1</v>
      </c>
      <c r="AU121" s="330">
        <v>100.92</v>
      </c>
      <c r="AW121" s="301">
        <v>0</v>
      </c>
      <c r="AY121" s="302"/>
      <c r="AZ121" s="303"/>
      <c r="BA121" s="303"/>
      <c r="BB121" s="303">
        <f t="shared" si="67"/>
        <v>0</v>
      </c>
      <c r="BD121" s="295">
        <v>46116</v>
      </c>
      <c r="BE121" s="296">
        <v>9734.84</v>
      </c>
      <c r="BF121" s="301">
        <v>61.87</v>
      </c>
      <c r="BG121" s="298"/>
      <c r="BH121" s="302">
        <v>22.38512399999999</v>
      </c>
      <c r="BI121" s="303"/>
      <c r="BJ121" s="303"/>
      <c r="BK121" s="303">
        <f t="shared" si="68"/>
        <v>84.255123999999995</v>
      </c>
      <c r="BM121" s="295">
        <f t="shared" si="69"/>
        <v>46116</v>
      </c>
      <c r="BN121" s="296">
        <v>12634.2</v>
      </c>
      <c r="BO121" s="330">
        <v>0</v>
      </c>
      <c r="BP121" s="298"/>
      <c r="BQ121" s="302"/>
      <c r="BR121" s="303"/>
      <c r="BS121" s="303"/>
      <c r="BT121" s="303">
        <f t="shared" si="70"/>
        <v>0</v>
      </c>
      <c r="BV121" s="295">
        <f t="shared" si="71"/>
        <v>46116</v>
      </c>
      <c r="BW121" s="296">
        <v>527.20000000000005</v>
      </c>
      <c r="BX121" s="301"/>
      <c r="BZ121" s="302"/>
      <c r="CA121" s="303"/>
      <c r="CB121" s="303"/>
      <c r="CC121" s="303">
        <f t="shared" si="72"/>
        <v>0</v>
      </c>
    </row>
    <row r="122" spans="2:81" x14ac:dyDescent="0.25">
      <c r="B122" s="295">
        <v>46117</v>
      </c>
      <c r="C122" s="296">
        <v>1624.19</v>
      </c>
      <c r="D122" s="296">
        <v>810.37</v>
      </c>
      <c r="E122" s="296">
        <v>3131.99</v>
      </c>
      <c r="F122" s="330">
        <v>0</v>
      </c>
      <c r="G122" s="298"/>
      <c r="H122" s="302"/>
      <c r="I122" s="303"/>
      <c r="J122" s="303"/>
      <c r="K122" s="303">
        <f t="shared" si="62"/>
        <v>0</v>
      </c>
      <c r="M122" s="295">
        <f t="shared" si="63"/>
        <v>46117</v>
      </c>
      <c r="N122" s="296">
        <v>2810.56</v>
      </c>
      <c r="O122" s="296">
        <v>20</v>
      </c>
      <c r="P122" s="296">
        <v>3764.18</v>
      </c>
      <c r="Q122" s="330">
        <v>64.67</v>
      </c>
      <c r="R122" s="301">
        <v>0</v>
      </c>
      <c r="S122" s="298"/>
      <c r="T122" s="302"/>
      <c r="U122" s="303"/>
      <c r="V122" s="303"/>
      <c r="W122" s="303">
        <f t="shared" si="64"/>
        <v>0</v>
      </c>
      <c r="Y122" s="295">
        <f t="shared" si="73"/>
        <v>46117</v>
      </c>
      <c r="Z122" s="296">
        <v>881.2</v>
      </c>
      <c r="AA122" s="296">
        <v>84.09</v>
      </c>
      <c r="AB122" s="298"/>
      <c r="AC122" s="302"/>
      <c r="AD122" s="303"/>
      <c r="AE122" s="303"/>
      <c r="AF122" s="303">
        <f t="shared" si="65"/>
        <v>84.09</v>
      </c>
      <c r="AH122" s="295">
        <f t="shared" si="74"/>
        <v>46117</v>
      </c>
      <c r="AI122" s="296">
        <v>1165.5</v>
      </c>
      <c r="AJ122" s="298"/>
      <c r="AL122" s="302"/>
      <c r="AM122" s="303"/>
      <c r="AN122" s="303"/>
      <c r="AO122" s="303">
        <f t="shared" si="66"/>
        <v>0</v>
      </c>
      <c r="AQ122" s="295">
        <v>46117</v>
      </c>
      <c r="AR122" s="296">
        <v>1741.45</v>
      </c>
      <c r="AS122" s="296">
        <v>619.61</v>
      </c>
      <c r="AT122" s="296">
        <v>3366.58</v>
      </c>
      <c r="AU122" s="330">
        <v>79.59</v>
      </c>
      <c r="AW122" s="301">
        <v>0</v>
      </c>
      <c r="AY122" s="302"/>
      <c r="AZ122" s="303"/>
      <c r="BA122" s="303"/>
      <c r="BB122" s="303">
        <f t="shared" si="67"/>
        <v>0</v>
      </c>
      <c r="BD122" s="295">
        <v>46117</v>
      </c>
      <c r="BE122" s="296">
        <v>8281.8700000000008</v>
      </c>
      <c r="BF122" s="301">
        <v>78.84</v>
      </c>
      <c r="BG122" s="298"/>
      <c r="BH122" s="302"/>
      <c r="BI122" s="303"/>
      <c r="BJ122" s="303"/>
      <c r="BK122" s="303">
        <f t="shared" si="68"/>
        <v>78.84</v>
      </c>
      <c r="BM122" s="295">
        <f t="shared" si="69"/>
        <v>46117</v>
      </c>
      <c r="BN122" s="296">
        <v>11092.42</v>
      </c>
      <c r="BO122" s="330">
        <v>0</v>
      </c>
      <c r="BP122" s="298"/>
      <c r="BQ122" s="302"/>
      <c r="BR122" s="303"/>
      <c r="BS122" s="303"/>
      <c r="BT122" s="303">
        <f t="shared" si="70"/>
        <v>0</v>
      </c>
      <c r="BV122" s="295">
        <f t="shared" si="71"/>
        <v>46117</v>
      </c>
      <c r="BW122" s="296">
        <v>388</v>
      </c>
      <c r="BX122" s="301"/>
      <c r="BZ122" s="302"/>
      <c r="CA122" s="303"/>
      <c r="CB122" s="303"/>
      <c r="CC122" s="303">
        <f t="shared" si="72"/>
        <v>0</v>
      </c>
    </row>
    <row r="123" spans="2:81" x14ac:dyDescent="0.25">
      <c r="B123" s="295">
        <v>46118</v>
      </c>
      <c r="C123" s="296">
        <v>6518</v>
      </c>
      <c r="D123" s="296">
        <v>724</v>
      </c>
      <c r="E123" s="296">
        <v>9470</v>
      </c>
      <c r="F123" s="330">
        <v>6.5</v>
      </c>
      <c r="G123" s="298"/>
      <c r="H123" s="302"/>
      <c r="I123" s="303">
        <v>104.06026428571454</v>
      </c>
      <c r="J123" s="303">
        <v>10.111850499999974</v>
      </c>
      <c r="K123" s="303">
        <f t="shared" si="62"/>
        <v>120.67211478571451</v>
      </c>
      <c r="M123" s="295">
        <f t="shared" si="63"/>
        <v>46118</v>
      </c>
      <c r="N123" s="296">
        <v>912.87</v>
      </c>
      <c r="O123" s="296">
        <v>352.4</v>
      </c>
      <c r="P123" s="296">
        <v>3717.24</v>
      </c>
      <c r="Q123" s="330">
        <v>84.2</v>
      </c>
      <c r="R123" s="301">
        <v>0</v>
      </c>
      <c r="S123" s="298"/>
      <c r="T123" s="302"/>
      <c r="U123" s="303"/>
      <c r="V123" s="303"/>
      <c r="W123" s="303">
        <f t="shared" si="64"/>
        <v>0</v>
      </c>
      <c r="Y123" s="295">
        <f t="shared" si="73"/>
        <v>46118</v>
      </c>
      <c r="Z123" s="296">
        <v>10</v>
      </c>
      <c r="AA123" s="296">
        <v>169.28</v>
      </c>
      <c r="AB123" s="298"/>
      <c r="AC123" s="302"/>
      <c r="AD123" s="303"/>
      <c r="AE123" s="303"/>
      <c r="AF123" s="303">
        <f t="shared" si="65"/>
        <v>169.28</v>
      </c>
      <c r="AH123" s="295">
        <f t="shared" si="74"/>
        <v>46118</v>
      </c>
      <c r="AI123" s="296">
        <v>545.14</v>
      </c>
      <c r="AJ123" s="298"/>
      <c r="AL123" s="302"/>
      <c r="AM123" s="303"/>
      <c r="AN123" s="303"/>
      <c r="AO123" s="303">
        <f t="shared" si="66"/>
        <v>0</v>
      </c>
      <c r="AQ123" s="295">
        <v>46118</v>
      </c>
      <c r="AR123" s="296">
        <v>2886.12</v>
      </c>
      <c r="AS123" s="296">
        <v>749.45</v>
      </c>
      <c r="AT123" s="296">
        <v>4115.6400000000003</v>
      </c>
      <c r="AU123" s="330">
        <v>70.73</v>
      </c>
      <c r="AW123" s="301">
        <v>0</v>
      </c>
      <c r="AY123" s="302"/>
      <c r="AZ123" s="303"/>
      <c r="BA123" s="303"/>
      <c r="BB123" s="303">
        <f t="shared" si="67"/>
        <v>0</v>
      </c>
      <c r="BD123" s="295">
        <v>46118</v>
      </c>
      <c r="BE123" s="296">
        <v>14112.32</v>
      </c>
      <c r="BF123" s="301">
        <v>49.66</v>
      </c>
      <c r="BG123" s="298"/>
      <c r="BH123" s="302"/>
      <c r="BI123" s="303"/>
      <c r="BJ123" s="303"/>
      <c r="BK123" s="303">
        <f t="shared" si="68"/>
        <v>49.66</v>
      </c>
      <c r="BM123" s="295">
        <f t="shared" si="69"/>
        <v>46118</v>
      </c>
      <c r="BN123" s="296">
        <v>80</v>
      </c>
      <c r="BO123" s="330">
        <v>0</v>
      </c>
      <c r="BP123" s="298"/>
      <c r="BQ123" s="302"/>
      <c r="BR123" s="303"/>
      <c r="BS123" s="303"/>
      <c r="BT123" s="303">
        <f t="shared" si="70"/>
        <v>0</v>
      </c>
      <c r="BV123" s="295">
        <f t="shared" si="71"/>
        <v>46118</v>
      </c>
      <c r="BW123" s="296">
        <v>520</v>
      </c>
      <c r="BX123" s="301"/>
      <c r="BZ123" s="302"/>
      <c r="CA123" s="303"/>
      <c r="CB123" s="303"/>
      <c r="CC123" s="303">
        <f t="shared" si="72"/>
        <v>0</v>
      </c>
    </row>
    <row r="124" spans="2:81" x14ac:dyDescent="0.25">
      <c r="B124" s="295">
        <v>46119</v>
      </c>
      <c r="C124" s="296">
        <v>3562.72</v>
      </c>
      <c r="D124" s="296">
        <v>1330.41</v>
      </c>
      <c r="E124" s="296">
        <v>6080.23</v>
      </c>
      <c r="F124" s="330">
        <v>4</v>
      </c>
      <c r="G124" s="298"/>
      <c r="H124" s="302"/>
      <c r="I124" s="303">
        <v>48.286220952381086</v>
      </c>
      <c r="J124" s="303"/>
      <c r="K124" s="303">
        <f t="shared" si="62"/>
        <v>52.286220952381086</v>
      </c>
      <c r="M124" s="295">
        <f t="shared" si="63"/>
        <v>46119</v>
      </c>
      <c r="N124" s="296">
        <v>2532.17</v>
      </c>
      <c r="O124" s="296">
        <v>332.64</v>
      </c>
      <c r="P124" s="296">
        <v>4229.3500000000004</v>
      </c>
      <c r="Q124" s="330">
        <v>101.7</v>
      </c>
      <c r="R124" s="301">
        <v>0</v>
      </c>
      <c r="S124" s="298"/>
      <c r="T124" s="302">
        <v>40.817699999999945</v>
      </c>
      <c r="U124" s="303"/>
      <c r="V124" s="303"/>
      <c r="W124" s="303">
        <f t="shared" si="64"/>
        <v>40.817699999999945</v>
      </c>
      <c r="Y124" s="295">
        <f t="shared" si="73"/>
        <v>46119</v>
      </c>
      <c r="Z124" s="296">
        <v>1129.3</v>
      </c>
      <c r="AA124" s="296">
        <v>279.44</v>
      </c>
      <c r="AB124" s="298"/>
      <c r="AC124" s="302"/>
      <c r="AD124" s="303"/>
      <c r="AE124" s="303"/>
      <c r="AF124" s="303">
        <f t="shared" si="65"/>
        <v>279.44</v>
      </c>
      <c r="AH124" s="295">
        <f t="shared" si="74"/>
        <v>46119</v>
      </c>
      <c r="AI124" s="296">
        <v>1120</v>
      </c>
      <c r="AJ124" s="298"/>
      <c r="AL124" s="302"/>
      <c r="AM124" s="303"/>
      <c r="AN124" s="303"/>
      <c r="AO124" s="303">
        <f t="shared" si="66"/>
        <v>0</v>
      </c>
      <c r="AQ124" s="295">
        <v>46119</v>
      </c>
      <c r="AR124" s="296">
        <v>2275.56</v>
      </c>
      <c r="AS124" s="296">
        <v>1235.78</v>
      </c>
      <c r="AT124" s="296">
        <v>4055.59</v>
      </c>
      <c r="AU124" s="330">
        <v>42</v>
      </c>
      <c r="AW124" s="301">
        <v>0</v>
      </c>
      <c r="AY124" s="302"/>
      <c r="AZ124" s="303"/>
      <c r="BA124" s="303"/>
      <c r="BB124" s="303">
        <f t="shared" si="67"/>
        <v>0</v>
      </c>
      <c r="BD124" s="295">
        <v>46119</v>
      </c>
      <c r="BE124" s="296">
        <v>13259.06</v>
      </c>
      <c r="BF124" s="301">
        <v>121.26</v>
      </c>
      <c r="BG124" s="298"/>
      <c r="BH124" s="302"/>
      <c r="BI124" s="303"/>
      <c r="BJ124" s="303"/>
      <c r="BK124" s="303">
        <f t="shared" si="68"/>
        <v>121.26</v>
      </c>
      <c r="BM124" s="295">
        <f t="shared" si="69"/>
        <v>46119</v>
      </c>
      <c r="BN124" s="296">
        <v>24056.49</v>
      </c>
      <c r="BO124" s="330">
        <v>517.5</v>
      </c>
      <c r="BP124" s="298"/>
      <c r="BQ124" s="302"/>
      <c r="BR124" s="303"/>
      <c r="BS124" s="303"/>
      <c r="BT124" s="303">
        <f t="shared" si="70"/>
        <v>517.5</v>
      </c>
      <c r="BV124" s="295">
        <f t="shared" si="71"/>
        <v>46119</v>
      </c>
      <c r="BW124" s="296">
        <v>506.4</v>
      </c>
      <c r="BX124" s="301"/>
      <c r="BZ124" s="302"/>
      <c r="CA124" s="303"/>
      <c r="CB124" s="303"/>
      <c r="CC124" s="303">
        <f t="shared" si="72"/>
        <v>0</v>
      </c>
    </row>
    <row r="125" spans="2:81" x14ac:dyDescent="0.25">
      <c r="B125" s="295">
        <v>46120</v>
      </c>
      <c r="C125" s="296">
        <v>5162.0200000000004</v>
      </c>
      <c r="D125" s="296">
        <v>1199.97</v>
      </c>
      <c r="E125" s="296">
        <v>5660.47</v>
      </c>
      <c r="F125" s="330">
        <v>7</v>
      </c>
      <c r="G125" s="298"/>
      <c r="H125" s="302"/>
      <c r="I125" s="303">
        <v>84.500886666666702</v>
      </c>
      <c r="J125" s="303"/>
      <c r="K125" s="303">
        <f t="shared" si="62"/>
        <v>91.500886666666702</v>
      </c>
      <c r="M125" s="295">
        <f t="shared" si="63"/>
        <v>46120</v>
      </c>
      <c r="N125" s="296">
        <v>1073.04</v>
      </c>
      <c r="O125" s="296">
        <v>64.44</v>
      </c>
      <c r="P125" s="296">
        <v>776.96</v>
      </c>
      <c r="Q125" s="330">
        <v>42.58</v>
      </c>
      <c r="R125" s="301">
        <v>0</v>
      </c>
      <c r="S125" s="298"/>
      <c r="T125" s="302"/>
      <c r="U125" s="303"/>
      <c r="V125" s="303"/>
      <c r="W125" s="303">
        <f t="shared" si="64"/>
        <v>0</v>
      </c>
      <c r="Y125" s="295">
        <f t="shared" si="73"/>
        <v>46120</v>
      </c>
      <c r="Z125" s="296">
        <v>824.16</v>
      </c>
      <c r="AA125" s="296">
        <v>308.33999999999997</v>
      </c>
      <c r="AB125" s="298"/>
      <c r="AC125" s="302"/>
      <c r="AD125" s="303"/>
      <c r="AE125" s="303"/>
      <c r="AF125" s="303">
        <f t="shared" si="65"/>
        <v>308.33999999999997</v>
      </c>
      <c r="AH125" s="295">
        <f t="shared" si="74"/>
        <v>46120</v>
      </c>
      <c r="AI125" s="296">
        <v>731</v>
      </c>
      <c r="AJ125" s="298"/>
      <c r="AL125" s="302"/>
      <c r="AM125" s="303"/>
      <c r="AN125" s="303"/>
      <c r="AO125" s="303">
        <f t="shared" si="66"/>
        <v>0</v>
      </c>
      <c r="AQ125" s="295">
        <v>46120</v>
      </c>
      <c r="AR125" s="296">
        <v>2167.9499999999998</v>
      </c>
      <c r="AS125" s="296">
        <v>760.99</v>
      </c>
      <c r="AT125" s="296">
        <v>4050.44</v>
      </c>
      <c r="AU125" s="330">
        <v>102.93</v>
      </c>
      <c r="AW125" s="301">
        <v>0</v>
      </c>
      <c r="AY125" s="302"/>
      <c r="AZ125" s="303"/>
      <c r="BA125" s="303"/>
      <c r="BB125" s="303">
        <f t="shared" si="67"/>
        <v>0</v>
      </c>
      <c r="BD125" s="295">
        <v>46120</v>
      </c>
      <c r="BE125" s="296">
        <v>13448.6</v>
      </c>
      <c r="BF125" s="301">
        <v>90.35</v>
      </c>
      <c r="BG125" s="298"/>
      <c r="BH125" s="302">
        <v>-0.15964000000002443</v>
      </c>
      <c r="BI125" s="303"/>
      <c r="BJ125" s="303"/>
      <c r="BK125" s="303">
        <f t="shared" si="68"/>
        <v>90.19035999999997</v>
      </c>
      <c r="BM125" s="295">
        <f t="shared" si="69"/>
        <v>46120</v>
      </c>
      <c r="BN125" s="296">
        <v>9285.7000000000007</v>
      </c>
      <c r="BO125" s="330">
        <v>0</v>
      </c>
      <c r="BP125" s="298"/>
      <c r="BQ125" s="302"/>
      <c r="BR125" s="303"/>
      <c r="BS125" s="303"/>
      <c r="BT125" s="303">
        <f t="shared" si="70"/>
        <v>0</v>
      </c>
      <c r="BV125" s="295">
        <f t="shared" si="71"/>
        <v>46120</v>
      </c>
      <c r="BW125" s="296">
        <v>326.5</v>
      </c>
      <c r="BX125" s="301"/>
      <c r="BZ125" s="302"/>
      <c r="CA125" s="303"/>
      <c r="CB125" s="303"/>
      <c r="CC125" s="303">
        <f t="shared" si="72"/>
        <v>0</v>
      </c>
    </row>
    <row r="126" spans="2:81" x14ac:dyDescent="0.25">
      <c r="B126" s="295">
        <v>46121</v>
      </c>
      <c r="C126" s="296">
        <v>3811.77</v>
      </c>
      <c r="D126" s="296">
        <v>1411.71</v>
      </c>
      <c r="E126" s="296">
        <v>5983.28</v>
      </c>
      <c r="F126" s="330">
        <v>0</v>
      </c>
      <c r="G126" s="298"/>
      <c r="H126" s="302"/>
      <c r="I126" s="303"/>
      <c r="J126" s="303">
        <v>22.456641600000012</v>
      </c>
      <c r="K126" s="303">
        <f t="shared" si="62"/>
        <v>22.456641600000012</v>
      </c>
      <c r="M126" s="295">
        <f t="shared" si="63"/>
        <v>46121</v>
      </c>
      <c r="N126" s="296">
        <v>1302.96</v>
      </c>
      <c r="O126" s="296">
        <v>0</v>
      </c>
      <c r="P126" s="296">
        <v>1797.84</v>
      </c>
      <c r="Q126" s="330">
        <v>123.22</v>
      </c>
      <c r="R126" s="301">
        <v>0</v>
      </c>
      <c r="S126" s="298"/>
      <c r="T126" s="302"/>
      <c r="U126" s="303"/>
      <c r="V126" s="303"/>
      <c r="W126" s="303">
        <f t="shared" si="64"/>
        <v>0</v>
      </c>
      <c r="Y126" s="295">
        <f t="shared" si="73"/>
        <v>46121</v>
      </c>
      <c r="Z126" s="296">
        <v>1993.05</v>
      </c>
      <c r="AA126" s="296">
        <v>468.63</v>
      </c>
      <c r="AB126" s="298"/>
      <c r="AC126" s="302"/>
      <c r="AD126" s="303"/>
      <c r="AE126" s="303"/>
      <c r="AF126" s="303">
        <f t="shared" si="65"/>
        <v>468.63</v>
      </c>
      <c r="AH126" s="295">
        <f t="shared" si="74"/>
        <v>46121</v>
      </c>
      <c r="AI126" s="296">
        <v>1024.03</v>
      </c>
      <c r="AJ126" s="298"/>
      <c r="AL126" s="302"/>
      <c r="AM126" s="303"/>
      <c r="AN126" s="303"/>
      <c r="AO126" s="303">
        <f t="shared" si="66"/>
        <v>0</v>
      </c>
      <c r="AQ126" s="295">
        <v>46121</v>
      </c>
      <c r="AR126" s="296">
        <v>2480.91</v>
      </c>
      <c r="AS126" s="296">
        <v>1071.19</v>
      </c>
      <c r="AT126" s="296">
        <v>4021.23</v>
      </c>
      <c r="AU126" s="330">
        <v>71.819999999999993</v>
      </c>
      <c r="AW126" s="301">
        <v>0</v>
      </c>
      <c r="AY126" s="302"/>
      <c r="AZ126" s="303"/>
      <c r="BA126" s="303"/>
      <c r="BB126" s="303">
        <f t="shared" si="67"/>
        <v>0</v>
      </c>
      <c r="BD126" s="295">
        <v>46121</v>
      </c>
      <c r="BE126" s="296">
        <v>11438.35</v>
      </c>
      <c r="BF126" s="301">
        <v>83.17</v>
      </c>
      <c r="BG126" s="298"/>
      <c r="BH126" s="302">
        <v>27.66246000000001</v>
      </c>
      <c r="BI126" s="303"/>
      <c r="BJ126" s="303"/>
      <c r="BK126" s="303">
        <f t="shared" si="68"/>
        <v>110.83246000000001</v>
      </c>
      <c r="BM126" s="295">
        <f t="shared" si="69"/>
        <v>46121</v>
      </c>
      <c r="BN126" s="296">
        <v>2681.4</v>
      </c>
      <c r="BO126" s="330">
        <v>0</v>
      </c>
      <c r="BP126" s="298"/>
      <c r="BQ126" s="302"/>
      <c r="BR126" s="303"/>
      <c r="BS126" s="303"/>
      <c r="BT126" s="303">
        <f t="shared" si="70"/>
        <v>0</v>
      </c>
      <c r="BV126" s="295">
        <f t="shared" si="71"/>
        <v>46121</v>
      </c>
      <c r="BW126" s="296">
        <v>705</v>
      </c>
      <c r="BX126" s="301"/>
      <c r="BZ126" s="302"/>
      <c r="CA126" s="303"/>
      <c r="CB126" s="303"/>
      <c r="CC126" s="303">
        <f t="shared" si="72"/>
        <v>0</v>
      </c>
    </row>
    <row r="127" spans="2:81" x14ac:dyDescent="0.25">
      <c r="B127" s="295">
        <v>46122</v>
      </c>
      <c r="C127" s="296">
        <v>4580.68</v>
      </c>
      <c r="D127" s="296">
        <v>1273.76</v>
      </c>
      <c r="E127" s="296">
        <v>5446.37</v>
      </c>
      <c r="F127" s="330">
        <v>3</v>
      </c>
      <c r="G127" s="298"/>
      <c r="H127" s="302"/>
      <c r="I127" s="303">
        <v>93.614922857142915</v>
      </c>
      <c r="J127" s="303">
        <v>55.694610299999994</v>
      </c>
      <c r="K127" s="303">
        <f t="shared" si="62"/>
        <v>152.30953315714291</v>
      </c>
      <c r="M127" s="295">
        <f t="shared" si="63"/>
        <v>46122</v>
      </c>
      <c r="N127" s="296">
        <v>3259.71</v>
      </c>
      <c r="O127" s="296">
        <v>145.38</v>
      </c>
      <c r="P127" s="296">
        <v>573.16999999999996</v>
      </c>
      <c r="Q127" s="330">
        <v>90.64</v>
      </c>
      <c r="R127" s="301">
        <v>0</v>
      </c>
      <c r="S127" s="298"/>
      <c r="T127" s="302"/>
      <c r="U127" s="303"/>
      <c r="V127" s="303"/>
      <c r="W127" s="303">
        <f t="shared" si="64"/>
        <v>0</v>
      </c>
      <c r="Y127" s="295">
        <f t="shared" si="73"/>
        <v>46122</v>
      </c>
      <c r="Z127" s="296">
        <v>2630</v>
      </c>
      <c r="AA127" s="296">
        <v>118.4</v>
      </c>
      <c r="AB127" s="298"/>
      <c r="AC127" s="302"/>
      <c r="AD127" s="303"/>
      <c r="AE127" s="303"/>
      <c r="AF127" s="303">
        <f t="shared" si="65"/>
        <v>118.4</v>
      </c>
      <c r="AH127" s="295">
        <f t="shared" si="74"/>
        <v>46122</v>
      </c>
      <c r="AI127" s="296">
        <v>1056.5</v>
      </c>
      <c r="AJ127" s="298"/>
      <c r="AL127" s="302"/>
      <c r="AM127" s="303"/>
      <c r="AN127" s="303"/>
      <c r="AO127" s="303">
        <f t="shared" si="66"/>
        <v>0</v>
      </c>
      <c r="AQ127" s="295">
        <v>46122</v>
      </c>
      <c r="AR127" s="296">
        <v>2800.92</v>
      </c>
      <c r="AS127" s="296">
        <v>764.63</v>
      </c>
      <c r="AT127" s="296">
        <v>4164.4399999999996</v>
      </c>
      <c r="AU127" s="330">
        <v>65.11</v>
      </c>
      <c r="AW127" s="301">
        <v>0</v>
      </c>
      <c r="AY127" s="302"/>
      <c r="AZ127" s="303"/>
      <c r="BA127" s="303"/>
      <c r="BB127" s="303">
        <f t="shared" si="67"/>
        <v>0</v>
      </c>
      <c r="BD127" s="295">
        <v>46122</v>
      </c>
      <c r="BE127" s="296">
        <v>12953.54</v>
      </c>
      <c r="BF127" s="301">
        <v>74.62</v>
      </c>
      <c r="BG127" s="298"/>
      <c r="BH127" s="302">
        <v>10.779999999999973</v>
      </c>
      <c r="BI127" s="303"/>
      <c r="BJ127" s="303"/>
      <c r="BK127" s="303">
        <f t="shared" si="68"/>
        <v>85.399999999999977</v>
      </c>
      <c r="BM127" s="295">
        <f t="shared" si="69"/>
        <v>46122</v>
      </c>
      <c r="BN127" s="296">
        <v>3711.5</v>
      </c>
      <c r="BO127" s="330">
        <v>0</v>
      </c>
      <c r="BP127" s="298"/>
      <c r="BQ127" s="302"/>
      <c r="BR127" s="303"/>
      <c r="BS127" s="303"/>
      <c r="BT127" s="303">
        <f t="shared" si="70"/>
        <v>0</v>
      </c>
      <c r="BV127" s="295">
        <f t="shared" si="71"/>
        <v>46122</v>
      </c>
      <c r="BW127" s="296">
        <v>867.5</v>
      </c>
      <c r="BX127" s="301"/>
      <c r="BZ127" s="302"/>
      <c r="CA127" s="303"/>
      <c r="CB127" s="303"/>
      <c r="CC127" s="303">
        <f t="shared" si="72"/>
        <v>0</v>
      </c>
    </row>
    <row r="128" spans="2:81" x14ac:dyDescent="0.25">
      <c r="B128" s="295">
        <v>46123</v>
      </c>
      <c r="C128" s="296">
        <v>6310.73</v>
      </c>
      <c r="D128" s="296">
        <v>2158.21</v>
      </c>
      <c r="E128" s="296">
        <v>4935.8100000000004</v>
      </c>
      <c r="F128" s="330">
        <v>0</v>
      </c>
      <c r="G128" s="298"/>
      <c r="H128" s="302"/>
      <c r="I128" s="303"/>
      <c r="J128" s="303"/>
      <c r="K128" s="303">
        <f t="shared" si="62"/>
        <v>0</v>
      </c>
      <c r="M128" s="295">
        <f t="shared" si="63"/>
        <v>46123</v>
      </c>
      <c r="N128" s="296">
        <v>1635.62</v>
      </c>
      <c r="O128" s="296">
        <v>65.34</v>
      </c>
      <c r="P128" s="296">
        <v>1527.69</v>
      </c>
      <c r="Q128" s="330">
        <v>59.34</v>
      </c>
      <c r="R128" s="301">
        <v>0</v>
      </c>
      <c r="S128" s="298"/>
      <c r="T128" s="302"/>
      <c r="U128" s="303"/>
      <c r="V128" s="303"/>
      <c r="W128" s="303">
        <f t="shared" si="64"/>
        <v>0</v>
      </c>
      <c r="Y128" s="295">
        <f t="shared" si="73"/>
        <v>46123</v>
      </c>
      <c r="Z128" s="296">
        <v>1662</v>
      </c>
      <c r="AA128" s="296">
        <v>228.37</v>
      </c>
      <c r="AB128" s="298"/>
      <c r="AC128" s="302"/>
      <c r="AD128" s="303"/>
      <c r="AE128" s="303"/>
      <c r="AF128" s="303">
        <f t="shared" si="65"/>
        <v>228.37</v>
      </c>
      <c r="AH128" s="295">
        <f t="shared" si="74"/>
        <v>46123</v>
      </c>
      <c r="AI128" s="296">
        <v>1205.8900000000001</v>
      </c>
      <c r="AJ128" s="298"/>
      <c r="AL128" s="302"/>
      <c r="AM128" s="303"/>
      <c r="AN128" s="303"/>
      <c r="AO128" s="303">
        <f t="shared" si="66"/>
        <v>0</v>
      </c>
      <c r="AQ128" s="295">
        <v>46123</v>
      </c>
      <c r="AR128" s="296">
        <v>2177.29</v>
      </c>
      <c r="AS128" s="296">
        <v>1042.6400000000001</v>
      </c>
      <c r="AT128" s="296">
        <v>4919.2299999999996</v>
      </c>
      <c r="AU128" s="330">
        <v>110.74</v>
      </c>
      <c r="AW128" s="301">
        <v>0</v>
      </c>
      <c r="AY128" s="302"/>
      <c r="AZ128" s="303"/>
      <c r="BA128" s="303"/>
      <c r="BB128" s="303">
        <f t="shared" si="67"/>
        <v>0</v>
      </c>
      <c r="BD128" s="295">
        <v>46123</v>
      </c>
      <c r="BE128" s="296">
        <v>9751.7000000000007</v>
      </c>
      <c r="BF128" s="301">
        <v>72.12</v>
      </c>
      <c r="BG128" s="298"/>
      <c r="BH128" s="302"/>
      <c r="BI128" s="303"/>
      <c r="BJ128" s="303"/>
      <c r="BK128" s="303">
        <f t="shared" si="68"/>
        <v>72.12</v>
      </c>
      <c r="BM128" s="295">
        <f t="shared" si="69"/>
        <v>46123</v>
      </c>
      <c r="BN128" s="296">
        <v>1523.6</v>
      </c>
      <c r="BO128" s="330">
        <v>0</v>
      </c>
      <c r="BP128" s="298"/>
      <c r="BQ128" s="302"/>
      <c r="BR128" s="303"/>
      <c r="BS128" s="303"/>
      <c r="BT128" s="303">
        <f t="shared" si="70"/>
        <v>0</v>
      </c>
      <c r="BV128" s="295">
        <f t="shared" si="71"/>
        <v>46123</v>
      </c>
      <c r="BW128" s="296">
        <v>634.29999999999995</v>
      </c>
      <c r="BX128" s="301"/>
      <c r="BZ128" s="302"/>
      <c r="CA128" s="303"/>
      <c r="CB128" s="303"/>
      <c r="CC128" s="303">
        <f t="shared" si="72"/>
        <v>0</v>
      </c>
    </row>
    <row r="129" spans="2:81" x14ac:dyDescent="0.25">
      <c r="B129" s="295">
        <v>46124</v>
      </c>
      <c r="C129" s="296">
        <v>2068.9899999999998</v>
      </c>
      <c r="D129" s="296">
        <v>204.49</v>
      </c>
      <c r="E129" s="296">
        <v>3249.89</v>
      </c>
      <c r="F129" s="330">
        <v>0</v>
      </c>
      <c r="G129" s="298"/>
      <c r="H129" s="302"/>
      <c r="I129" s="303"/>
      <c r="J129" s="303"/>
      <c r="K129" s="303">
        <f t="shared" si="62"/>
        <v>0</v>
      </c>
      <c r="M129" s="295">
        <f t="shared" si="63"/>
        <v>46124</v>
      </c>
      <c r="N129" s="296">
        <v>2137.13</v>
      </c>
      <c r="O129" s="296">
        <v>187.38</v>
      </c>
      <c r="P129" s="296">
        <v>1597.29</v>
      </c>
      <c r="Q129" s="330">
        <v>56.17</v>
      </c>
      <c r="R129" s="301">
        <v>0</v>
      </c>
      <c r="S129" s="298"/>
      <c r="T129" s="302"/>
      <c r="U129" s="303"/>
      <c r="V129" s="303"/>
      <c r="W129" s="303">
        <f t="shared" si="64"/>
        <v>0</v>
      </c>
      <c r="Y129" s="295">
        <f t="shared" si="73"/>
        <v>46124</v>
      </c>
      <c r="Z129" s="296">
        <v>451.04</v>
      </c>
      <c r="AA129" s="296">
        <v>101.15</v>
      </c>
      <c r="AB129" s="298"/>
      <c r="AC129" s="302"/>
      <c r="AD129" s="303"/>
      <c r="AE129" s="303"/>
      <c r="AF129" s="303">
        <f t="shared" si="65"/>
        <v>101.15</v>
      </c>
      <c r="AH129" s="295">
        <f t="shared" si="74"/>
        <v>46124</v>
      </c>
      <c r="AI129" s="296">
        <v>1300.32</v>
      </c>
      <c r="AJ129" s="298"/>
      <c r="AL129" s="302"/>
      <c r="AM129" s="303"/>
      <c r="AN129" s="303"/>
      <c r="AO129" s="303">
        <f t="shared" si="66"/>
        <v>0</v>
      </c>
      <c r="AQ129" s="295">
        <v>46124</v>
      </c>
      <c r="AR129" s="296">
        <v>966.93</v>
      </c>
      <c r="AS129" s="296">
        <v>365.22</v>
      </c>
      <c r="AT129" s="296">
        <v>2723.75</v>
      </c>
      <c r="AU129" s="330">
        <v>99.56</v>
      </c>
      <c r="AW129" s="301">
        <v>0</v>
      </c>
      <c r="AY129" s="302"/>
      <c r="AZ129" s="303"/>
      <c r="BA129" s="303"/>
      <c r="BB129" s="303">
        <f t="shared" si="67"/>
        <v>0</v>
      </c>
      <c r="BD129" s="295">
        <v>46124</v>
      </c>
      <c r="BE129" s="296">
        <v>6707.31</v>
      </c>
      <c r="BF129" s="301">
        <v>33.53</v>
      </c>
      <c r="BG129" s="298"/>
      <c r="BH129" s="302">
        <v>28.728000000000009</v>
      </c>
      <c r="BI129" s="303"/>
      <c r="BJ129" s="303"/>
      <c r="BK129" s="303">
        <f t="shared" si="68"/>
        <v>62.25800000000001</v>
      </c>
      <c r="BM129" s="295">
        <f t="shared" si="69"/>
        <v>46124</v>
      </c>
      <c r="BN129" s="296">
        <v>4731.5</v>
      </c>
      <c r="BO129" s="330">
        <v>0</v>
      </c>
      <c r="BP129" s="298"/>
      <c r="BQ129" s="302"/>
      <c r="BR129" s="303"/>
      <c r="BS129" s="303"/>
      <c r="BT129" s="303">
        <f t="shared" si="70"/>
        <v>0</v>
      </c>
      <c r="BV129" s="295">
        <f t="shared" si="71"/>
        <v>46124</v>
      </c>
      <c r="BW129" s="296">
        <v>449.5</v>
      </c>
      <c r="BX129" s="301"/>
      <c r="BZ129" s="302"/>
      <c r="CA129" s="303"/>
      <c r="CB129" s="303"/>
      <c r="CC129" s="303">
        <f t="shared" si="72"/>
        <v>0</v>
      </c>
    </row>
    <row r="130" spans="2:81" x14ac:dyDescent="0.25">
      <c r="B130" s="295">
        <v>46125</v>
      </c>
      <c r="C130" s="296">
        <v>4134.25</v>
      </c>
      <c r="D130" s="296">
        <v>1011.61</v>
      </c>
      <c r="E130" s="296">
        <v>4369.09</v>
      </c>
      <c r="F130" s="330">
        <v>0</v>
      </c>
      <c r="G130" s="298"/>
      <c r="H130" s="302"/>
      <c r="I130" s="303"/>
      <c r="J130" s="303"/>
      <c r="K130" s="303">
        <f t="shared" si="62"/>
        <v>0</v>
      </c>
      <c r="M130" s="295">
        <f t="shared" si="63"/>
        <v>46125</v>
      </c>
      <c r="N130" s="296">
        <v>1657.27</v>
      </c>
      <c r="O130" s="296">
        <v>293.38</v>
      </c>
      <c r="P130" s="296">
        <v>2871.71</v>
      </c>
      <c r="Q130" s="330">
        <v>69.290000000000006</v>
      </c>
      <c r="R130" s="301">
        <v>0</v>
      </c>
      <c r="S130" s="298"/>
      <c r="T130" s="302"/>
      <c r="U130" s="303"/>
      <c r="V130" s="303"/>
      <c r="W130" s="303">
        <f t="shared" si="64"/>
        <v>0</v>
      </c>
      <c r="Y130" s="295">
        <f t="shared" si="73"/>
        <v>46125</v>
      </c>
      <c r="Z130" s="296">
        <v>1625.42</v>
      </c>
      <c r="AA130" s="296">
        <v>155.96</v>
      </c>
      <c r="AB130" s="298"/>
      <c r="AC130" s="302"/>
      <c r="AD130" s="303"/>
      <c r="AE130" s="303"/>
      <c r="AF130" s="303">
        <f t="shared" si="65"/>
        <v>155.96</v>
      </c>
      <c r="AH130" s="295">
        <f t="shared" si="74"/>
        <v>46125</v>
      </c>
      <c r="AI130" s="296">
        <v>1011.7</v>
      </c>
      <c r="AJ130" s="298"/>
      <c r="AL130" s="302"/>
      <c r="AM130" s="303"/>
      <c r="AN130" s="303"/>
      <c r="AO130" s="303">
        <f t="shared" si="66"/>
        <v>0</v>
      </c>
      <c r="AQ130" s="295">
        <v>46125</v>
      </c>
      <c r="AR130" s="296">
        <v>3144.94</v>
      </c>
      <c r="AS130" s="296">
        <v>1213.3599999999999</v>
      </c>
      <c r="AT130" s="296">
        <v>3437.28</v>
      </c>
      <c r="AU130" s="330">
        <v>98.12</v>
      </c>
      <c r="AW130" s="301">
        <v>0</v>
      </c>
      <c r="AY130" s="302"/>
      <c r="AZ130" s="303"/>
      <c r="BA130" s="303"/>
      <c r="BB130" s="303">
        <f t="shared" si="67"/>
        <v>0</v>
      </c>
      <c r="BD130" s="295">
        <v>46125</v>
      </c>
      <c r="BE130" s="296">
        <v>11457.05</v>
      </c>
      <c r="BF130" s="301">
        <v>112.88</v>
      </c>
      <c r="BG130" s="298"/>
      <c r="BH130" s="302">
        <v>48.562880000000007</v>
      </c>
      <c r="BI130" s="303"/>
      <c r="BJ130" s="303"/>
      <c r="BK130" s="303">
        <f t="shared" si="68"/>
        <v>161.44288</v>
      </c>
      <c r="BM130" s="295">
        <f t="shared" si="69"/>
        <v>46125</v>
      </c>
      <c r="BN130" s="296">
        <v>7350.36</v>
      </c>
      <c r="BO130" s="330">
        <v>0</v>
      </c>
      <c r="BP130" s="298"/>
      <c r="BQ130" s="302"/>
      <c r="BR130" s="303"/>
      <c r="BS130" s="303"/>
      <c r="BT130" s="303">
        <f t="shared" si="70"/>
        <v>0</v>
      </c>
      <c r="BV130" s="295">
        <f t="shared" si="71"/>
        <v>46125</v>
      </c>
      <c r="BW130" s="296">
        <v>581</v>
      </c>
      <c r="BX130" s="301"/>
      <c r="BZ130" s="302"/>
      <c r="CA130" s="303"/>
      <c r="CB130" s="303"/>
      <c r="CC130" s="303">
        <f t="shared" si="72"/>
        <v>0</v>
      </c>
    </row>
    <row r="131" spans="2:81" x14ac:dyDescent="0.25">
      <c r="B131" s="295">
        <v>46126</v>
      </c>
      <c r="C131" s="296">
        <v>2605.96</v>
      </c>
      <c r="D131" s="296">
        <v>2168.1</v>
      </c>
      <c r="E131" s="296">
        <v>4328.63</v>
      </c>
      <c r="F131" s="330">
        <v>0</v>
      </c>
      <c r="G131" s="298"/>
      <c r="H131" s="302"/>
      <c r="I131" s="303"/>
      <c r="J131" s="303">
        <v>40.279263299999968</v>
      </c>
      <c r="K131" s="303">
        <f t="shared" si="62"/>
        <v>40.279263299999968</v>
      </c>
      <c r="M131" s="295">
        <f t="shared" si="63"/>
        <v>46126</v>
      </c>
      <c r="N131" s="296">
        <v>1329.03</v>
      </c>
      <c r="O131" s="296">
        <v>196.37</v>
      </c>
      <c r="P131" s="296">
        <v>3907.31</v>
      </c>
      <c r="Q131" s="330">
        <v>124.08</v>
      </c>
      <c r="R131" s="301">
        <v>0</v>
      </c>
      <c r="S131" s="298"/>
      <c r="T131" s="302"/>
      <c r="U131" s="303"/>
      <c r="V131" s="303"/>
      <c r="W131" s="303">
        <f t="shared" si="64"/>
        <v>0</v>
      </c>
      <c r="Y131" s="295">
        <f t="shared" si="73"/>
        <v>46126</v>
      </c>
      <c r="Z131" s="296">
        <v>2241.6999999999998</v>
      </c>
      <c r="AA131" s="296">
        <v>377.45</v>
      </c>
      <c r="AB131" s="298"/>
      <c r="AC131" s="302"/>
      <c r="AD131" s="303"/>
      <c r="AE131" s="303"/>
      <c r="AF131" s="303">
        <f t="shared" si="65"/>
        <v>377.45</v>
      </c>
      <c r="AH131" s="295">
        <f t="shared" si="74"/>
        <v>46126</v>
      </c>
      <c r="AI131" s="296">
        <v>944.6</v>
      </c>
      <c r="AJ131" s="298"/>
      <c r="AL131" s="302"/>
      <c r="AM131" s="303"/>
      <c r="AN131" s="303"/>
      <c r="AO131" s="303">
        <f t="shared" si="66"/>
        <v>0</v>
      </c>
      <c r="AQ131" s="295">
        <v>46126</v>
      </c>
      <c r="AR131" s="296">
        <v>2376.86</v>
      </c>
      <c r="AS131" s="296">
        <v>1289.83</v>
      </c>
      <c r="AT131" s="296">
        <v>3231</v>
      </c>
      <c r="AU131" s="330">
        <v>67.510000000000005</v>
      </c>
      <c r="AW131" s="301">
        <v>0</v>
      </c>
      <c r="AY131" s="302"/>
      <c r="AZ131" s="303"/>
      <c r="BA131" s="303"/>
      <c r="BB131" s="303">
        <f t="shared" si="67"/>
        <v>0</v>
      </c>
      <c r="BD131" s="295">
        <v>46126</v>
      </c>
      <c r="BE131" s="296">
        <v>12668.74</v>
      </c>
      <c r="BF131" s="301">
        <v>121.54</v>
      </c>
      <c r="BG131" s="298"/>
      <c r="BH131" s="302">
        <v>39.103840000000019</v>
      </c>
      <c r="BI131" s="303"/>
      <c r="BJ131" s="303"/>
      <c r="BK131" s="303">
        <f t="shared" si="68"/>
        <v>160.64384000000001</v>
      </c>
      <c r="BM131" s="295">
        <f t="shared" si="69"/>
        <v>46126</v>
      </c>
      <c r="BN131" s="296">
        <v>6724.5</v>
      </c>
      <c r="BO131" s="330">
        <v>72</v>
      </c>
      <c r="BP131" s="298"/>
      <c r="BQ131" s="302"/>
      <c r="BR131" s="303"/>
      <c r="BS131" s="303"/>
      <c r="BT131" s="303">
        <f t="shared" si="70"/>
        <v>72</v>
      </c>
      <c r="BV131" s="295">
        <f t="shared" si="71"/>
        <v>46126</v>
      </c>
      <c r="BW131" s="296">
        <v>854.31</v>
      </c>
      <c r="BX131" s="301"/>
      <c r="BZ131" s="302"/>
      <c r="CA131" s="303"/>
      <c r="CB131" s="303"/>
      <c r="CC131" s="303">
        <f t="shared" si="72"/>
        <v>0</v>
      </c>
    </row>
    <row r="132" spans="2:81" x14ac:dyDescent="0.25">
      <c r="B132" s="295">
        <v>46127</v>
      </c>
      <c r="C132" s="296">
        <v>4415.6000000000004</v>
      </c>
      <c r="D132" s="296">
        <v>2654.08</v>
      </c>
      <c r="E132" s="296">
        <v>5110.74</v>
      </c>
      <c r="F132" s="330">
        <v>0</v>
      </c>
      <c r="G132" s="298"/>
      <c r="H132" s="302"/>
      <c r="I132" s="303"/>
      <c r="J132" s="303"/>
      <c r="K132" s="303">
        <f t="shared" si="62"/>
        <v>0</v>
      </c>
      <c r="M132" s="295">
        <f t="shared" si="63"/>
        <v>46127</v>
      </c>
      <c r="N132" s="296">
        <v>5150.8900000000003</v>
      </c>
      <c r="O132" s="296">
        <v>216.15</v>
      </c>
      <c r="P132" s="296">
        <v>1969.77</v>
      </c>
      <c r="Q132" s="330">
        <v>86.05</v>
      </c>
      <c r="R132" s="301">
        <v>0</v>
      </c>
      <c r="S132" s="298"/>
      <c r="T132" s="302"/>
      <c r="U132" s="303"/>
      <c r="V132" s="303"/>
      <c r="W132" s="303">
        <f t="shared" si="64"/>
        <v>0</v>
      </c>
      <c r="Y132" s="295">
        <f t="shared" si="73"/>
        <v>46127</v>
      </c>
      <c r="Z132" s="296">
        <v>1824.5</v>
      </c>
      <c r="AA132" s="296">
        <v>115.91</v>
      </c>
      <c r="AB132" s="298"/>
      <c r="AC132" s="302"/>
      <c r="AD132" s="303"/>
      <c r="AE132" s="303"/>
      <c r="AF132" s="303">
        <f t="shared" si="65"/>
        <v>115.91</v>
      </c>
      <c r="AH132" s="295">
        <f t="shared" si="74"/>
        <v>46127</v>
      </c>
      <c r="AI132" s="296">
        <v>677.4</v>
      </c>
      <c r="AJ132" s="298"/>
      <c r="AL132" s="302"/>
      <c r="AM132" s="303"/>
      <c r="AN132" s="303"/>
      <c r="AO132" s="303">
        <f t="shared" si="66"/>
        <v>0</v>
      </c>
      <c r="AQ132" s="295">
        <v>46127</v>
      </c>
      <c r="AR132" s="296">
        <v>2970.47</v>
      </c>
      <c r="AS132" s="296">
        <v>1559.86</v>
      </c>
      <c r="AT132" s="296">
        <v>3659.78</v>
      </c>
      <c r="AU132" s="330">
        <v>44.61</v>
      </c>
      <c r="AW132" s="301">
        <v>0</v>
      </c>
      <c r="AY132" s="302"/>
      <c r="AZ132" s="303"/>
      <c r="BA132" s="303"/>
      <c r="BB132" s="303">
        <f t="shared" si="67"/>
        <v>0</v>
      </c>
      <c r="BD132" s="295">
        <v>46127</v>
      </c>
      <c r="BE132" s="296">
        <v>10219.57</v>
      </c>
      <c r="BF132" s="301">
        <v>42.72</v>
      </c>
      <c r="BG132" s="298"/>
      <c r="BH132" s="302">
        <v>69.812389999999937</v>
      </c>
      <c r="BI132" s="303"/>
      <c r="BJ132" s="303"/>
      <c r="BK132" s="303">
        <f t="shared" si="68"/>
        <v>112.53238999999994</v>
      </c>
      <c r="BM132" s="295">
        <f t="shared" si="69"/>
        <v>46127</v>
      </c>
      <c r="BN132" s="296">
        <v>3206.33</v>
      </c>
      <c r="BO132" s="330">
        <v>46.2</v>
      </c>
      <c r="BP132" s="298"/>
      <c r="BQ132" s="302"/>
      <c r="BR132" s="303"/>
      <c r="BS132" s="303"/>
      <c r="BT132" s="303">
        <f t="shared" si="70"/>
        <v>46.2</v>
      </c>
      <c r="BV132" s="295">
        <f t="shared" si="71"/>
        <v>46127</v>
      </c>
      <c r="BW132" s="296">
        <v>584.29999999999995</v>
      </c>
      <c r="BX132" s="301"/>
      <c r="BZ132" s="302"/>
      <c r="CA132" s="303"/>
      <c r="CB132" s="303"/>
      <c r="CC132" s="303">
        <f t="shared" si="72"/>
        <v>0</v>
      </c>
    </row>
    <row r="133" spans="2:81" x14ac:dyDescent="0.25">
      <c r="B133" s="295">
        <v>46128</v>
      </c>
      <c r="C133" s="296">
        <v>5772.18</v>
      </c>
      <c r="D133" s="296">
        <v>2069.84</v>
      </c>
      <c r="E133" s="296">
        <v>4156.1099999999997</v>
      </c>
      <c r="F133" s="330">
        <v>0</v>
      </c>
      <c r="G133" s="298"/>
      <c r="H133" s="302"/>
      <c r="I133" s="303"/>
      <c r="J133" s="303"/>
      <c r="K133" s="303">
        <f t="shared" si="62"/>
        <v>0</v>
      </c>
      <c r="M133" s="295">
        <f t="shared" si="63"/>
        <v>46128</v>
      </c>
      <c r="N133" s="296">
        <v>1684.31</v>
      </c>
      <c r="O133" s="296">
        <v>573.59</v>
      </c>
      <c r="P133" s="296">
        <v>5871.99</v>
      </c>
      <c r="Q133" s="330">
        <v>137.13</v>
      </c>
      <c r="R133" s="301">
        <v>0</v>
      </c>
      <c r="S133" s="298"/>
      <c r="T133" s="302"/>
      <c r="U133" s="303"/>
      <c r="V133" s="303"/>
      <c r="W133" s="303">
        <f t="shared" si="64"/>
        <v>0</v>
      </c>
      <c r="Y133" s="295">
        <f t="shared" si="73"/>
        <v>46128</v>
      </c>
      <c r="Z133" s="296">
        <v>964.06</v>
      </c>
      <c r="AA133" s="296">
        <v>141.58000000000001</v>
      </c>
      <c r="AB133" s="298"/>
      <c r="AC133" s="302"/>
      <c r="AD133" s="303"/>
      <c r="AE133" s="303"/>
      <c r="AF133" s="303">
        <f t="shared" si="65"/>
        <v>141.58000000000001</v>
      </c>
      <c r="AH133" s="295">
        <f t="shared" si="74"/>
        <v>46128</v>
      </c>
      <c r="AI133" s="296">
        <v>1326.8</v>
      </c>
      <c r="AJ133" s="298"/>
      <c r="AL133" s="302"/>
      <c r="AM133" s="303"/>
      <c r="AN133" s="303"/>
      <c r="AO133" s="303">
        <f t="shared" si="66"/>
        <v>0</v>
      </c>
      <c r="AQ133" s="295">
        <v>46128</v>
      </c>
      <c r="AR133" s="296">
        <v>2286.87</v>
      </c>
      <c r="AS133" s="296">
        <v>1638.5</v>
      </c>
      <c r="AT133" s="296">
        <v>3663.62</v>
      </c>
      <c r="AU133" s="330">
        <v>100.71</v>
      </c>
      <c r="AW133" s="301">
        <v>0</v>
      </c>
      <c r="AY133" s="302"/>
      <c r="AZ133" s="303"/>
      <c r="BA133" s="303"/>
      <c r="BB133" s="303">
        <f t="shared" si="67"/>
        <v>0</v>
      </c>
      <c r="BD133" s="295">
        <v>46128</v>
      </c>
      <c r="BE133" s="296">
        <v>11309.24</v>
      </c>
      <c r="BF133" s="301">
        <v>53.78</v>
      </c>
      <c r="BG133" s="298"/>
      <c r="BH133" s="302">
        <v>28.245750000000015</v>
      </c>
      <c r="BI133" s="303"/>
      <c r="BJ133" s="303"/>
      <c r="BK133" s="303">
        <f t="shared" si="68"/>
        <v>82.025750000000016</v>
      </c>
      <c r="BM133" s="295">
        <f t="shared" si="69"/>
        <v>46128</v>
      </c>
      <c r="BN133" s="296">
        <v>1552.5</v>
      </c>
      <c r="BO133" s="330">
        <v>0</v>
      </c>
      <c r="BP133" s="298"/>
      <c r="BQ133" s="302"/>
      <c r="BR133" s="303"/>
      <c r="BS133" s="303"/>
      <c r="BT133" s="303">
        <f t="shared" si="70"/>
        <v>0</v>
      </c>
      <c r="BV133" s="295">
        <f t="shared" si="71"/>
        <v>46128</v>
      </c>
      <c r="BW133" s="296">
        <v>765.7</v>
      </c>
      <c r="BX133" s="301"/>
      <c r="BZ133" s="302"/>
      <c r="CA133" s="303"/>
      <c r="CB133" s="303"/>
      <c r="CC133" s="303">
        <f t="shared" si="72"/>
        <v>0</v>
      </c>
    </row>
    <row r="134" spans="2:81" x14ac:dyDescent="0.25">
      <c r="B134" s="295">
        <v>46129</v>
      </c>
      <c r="C134" s="296">
        <v>7536.8</v>
      </c>
      <c r="D134" s="296">
        <v>2893.93</v>
      </c>
      <c r="E134" s="296">
        <v>6080.26</v>
      </c>
      <c r="F134" s="330">
        <v>0</v>
      </c>
      <c r="G134" s="298"/>
      <c r="H134" s="302"/>
      <c r="I134" s="303"/>
      <c r="J134" s="303">
        <v>23.607353399999994</v>
      </c>
      <c r="K134" s="303">
        <f t="shared" si="62"/>
        <v>23.607353399999994</v>
      </c>
      <c r="M134" s="295">
        <f t="shared" si="63"/>
        <v>46129</v>
      </c>
      <c r="N134" s="296">
        <v>1737.74</v>
      </c>
      <c r="O134" s="296">
        <v>92.92</v>
      </c>
      <c r="P134" s="296">
        <v>4401.8100000000004</v>
      </c>
      <c r="Q134" s="330">
        <v>95.34</v>
      </c>
      <c r="R134" s="301">
        <v>0</v>
      </c>
      <c r="S134" s="298"/>
      <c r="T134" s="302"/>
      <c r="U134" s="303"/>
      <c r="V134" s="303"/>
      <c r="W134" s="303">
        <f t="shared" si="64"/>
        <v>0</v>
      </c>
      <c r="Y134" s="295">
        <f t="shared" si="73"/>
        <v>46129</v>
      </c>
      <c r="Z134" s="296">
        <v>1570.76</v>
      </c>
      <c r="AA134" s="296">
        <v>447.08</v>
      </c>
      <c r="AB134" s="298"/>
      <c r="AC134" s="302"/>
      <c r="AD134" s="303"/>
      <c r="AE134" s="303"/>
      <c r="AF134" s="303">
        <f t="shared" si="65"/>
        <v>447.08</v>
      </c>
      <c r="AH134" s="295">
        <f t="shared" si="74"/>
        <v>46129</v>
      </c>
      <c r="AI134" s="296">
        <v>1107.9000000000001</v>
      </c>
      <c r="AJ134" s="298"/>
      <c r="AL134" s="302"/>
      <c r="AM134" s="303"/>
      <c r="AN134" s="303"/>
      <c r="AO134" s="303">
        <f t="shared" si="66"/>
        <v>0</v>
      </c>
      <c r="AQ134" s="295">
        <v>46129</v>
      </c>
      <c r="AR134" s="296">
        <v>2868.36</v>
      </c>
      <c r="AS134" s="296">
        <v>2447.1</v>
      </c>
      <c r="AT134" s="296">
        <v>4605.79</v>
      </c>
      <c r="AU134" s="330">
        <v>97.3</v>
      </c>
      <c r="AW134" s="301">
        <v>0</v>
      </c>
      <c r="AY134" s="302"/>
      <c r="AZ134" s="303"/>
      <c r="BA134" s="303"/>
      <c r="BB134" s="303">
        <f t="shared" si="67"/>
        <v>0</v>
      </c>
      <c r="BD134" s="295">
        <v>46129</v>
      </c>
      <c r="BE134" s="296">
        <v>13264.44</v>
      </c>
      <c r="BF134" s="301">
        <v>69.97</v>
      </c>
      <c r="BG134" s="298"/>
      <c r="BH134" s="302">
        <v>42.087499999999991</v>
      </c>
      <c r="BI134" s="303"/>
      <c r="BJ134" s="303"/>
      <c r="BK134" s="303">
        <f t="shared" si="68"/>
        <v>112.05749999999999</v>
      </c>
      <c r="BM134" s="295">
        <f t="shared" si="69"/>
        <v>46129</v>
      </c>
      <c r="BN134" s="296">
        <v>2695.74</v>
      </c>
      <c r="BO134" s="330">
        <v>0</v>
      </c>
      <c r="BP134" s="298"/>
      <c r="BQ134" s="302"/>
      <c r="BR134" s="303"/>
      <c r="BS134" s="303"/>
      <c r="BT134" s="303">
        <f t="shared" si="70"/>
        <v>0</v>
      </c>
      <c r="BV134" s="295">
        <f t="shared" si="71"/>
        <v>46129</v>
      </c>
      <c r="BW134" s="296">
        <v>706.61</v>
      </c>
      <c r="BX134" s="301"/>
      <c r="BZ134" s="302"/>
      <c r="CA134" s="303"/>
      <c r="CB134" s="303"/>
      <c r="CC134" s="303">
        <f t="shared" si="72"/>
        <v>0</v>
      </c>
    </row>
    <row r="135" spans="2:81" x14ac:dyDescent="0.25">
      <c r="B135" s="295">
        <v>46130</v>
      </c>
      <c r="C135" s="296">
        <v>4660.92</v>
      </c>
      <c r="D135" s="296">
        <v>1845.28</v>
      </c>
      <c r="E135" s="296">
        <v>5703.37</v>
      </c>
      <c r="F135" s="330">
        <v>0</v>
      </c>
      <c r="G135" s="298"/>
      <c r="H135" s="302"/>
      <c r="I135" s="303"/>
      <c r="J135" s="303"/>
      <c r="K135" s="303">
        <f t="shared" si="62"/>
        <v>0</v>
      </c>
      <c r="M135" s="295">
        <f t="shared" si="63"/>
        <v>46130</v>
      </c>
      <c r="N135" s="296">
        <v>833.63</v>
      </c>
      <c r="O135" s="296">
        <v>0</v>
      </c>
      <c r="P135" s="296">
        <v>4037.05</v>
      </c>
      <c r="Q135" s="330">
        <v>113.29</v>
      </c>
      <c r="R135" s="301">
        <v>0</v>
      </c>
      <c r="S135" s="298"/>
      <c r="T135" s="302"/>
      <c r="U135" s="303"/>
      <c r="V135" s="303"/>
      <c r="W135" s="303">
        <f t="shared" si="64"/>
        <v>0</v>
      </c>
      <c r="Y135" s="295">
        <f t="shared" si="73"/>
        <v>46130</v>
      </c>
      <c r="Z135" s="296">
        <v>1153.4000000000001</v>
      </c>
      <c r="AA135" s="296">
        <v>250.31</v>
      </c>
      <c r="AB135" s="298"/>
      <c r="AC135" s="302"/>
      <c r="AD135" s="303"/>
      <c r="AE135" s="303"/>
      <c r="AF135" s="303">
        <f t="shared" si="65"/>
        <v>250.31</v>
      </c>
      <c r="AH135" s="295">
        <f t="shared" si="74"/>
        <v>46130</v>
      </c>
      <c r="AI135" s="296">
        <v>1133.5999999999999</v>
      </c>
      <c r="AJ135" s="298"/>
      <c r="AL135" s="302"/>
      <c r="AM135" s="303"/>
      <c r="AN135" s="303"/>
      <c r="AO135" s="303">
        <f t="shared" si="66"/>
        <v>0</v>
      </c>
      <c r="AQ135" s="295">
        <v>46130</v>
      </c>
      <c r="AR135" s="296">
        <v>2420.09</v>
      </c>
      <c r="AS135" s="296">
        <v>1550.01</v>
      </c>
      <c r="AT135" s="296">
        <v>3371.66</v>
      </c>
      <c r="AU135" s="330">
        <v>85.06</v>
      </c>
      <c r="AW135" s="301">
        <v>0</v>
      </c>
      <c r="AY135" s="302"/>
      <c r="AZ135" s="303"/>
      <c r="BA135" s="303"/>
      <c r="BB135" s="303">
        <f t="shared" si="67"/>
        <v>0</v>
      </c>
      <c r="BD135" s="295">
        <v>46130</v>
      </c>
      <c r="BE135" s="296">
        <v>12770.75</v>
      </c>
      <c r="BF135" s="301">
        <v>38.5</v>
      </c>
      <c r="BG135" s="298"/>
      <c r="BH135" s="302">
        <v>4.7999999999999972</v>
      </c>
      <c r="BI135" s="303"/>
      <c r="BJ135" s="303"/>
      <c r="BK135" s="303">
        <f t="shared" si="68"/>
        <v>43.3</v>
      </c>
      <c r="BM135" s="295">
        <f t="shared" si="69"/>
        <v>46130</v>
      </c>
      <c r="BN135" s="296">
        <v>2193</v>
      </c>
      <c r="BO135" s="330">
        <v>50.7</v>
      </c>
      <c r="BP135" s="298"/>
      <c r="BQ135" s="302"/>
      <c r="BR135" s="303"/>
      <c r="BS135" s="303"/>
      <c r="BT135" s="303">
        <f t="shared" si="70"/>
        <v>50.7</v>
      </c>
      <c r="BV135" s="295">
        <f t="shared" si="71"/>
        <v>46130</v>
      </c>
      <c r="BW135" s="296">
        <v>832.7</v>
      </c>
      <c r="BX135" s="301"/>
      <c r="BZ135" s="302"/>
      <c r="CA135" s="303"/>
      <c r="CB135" s="303"/>
      <c r="CC135" s="303">
        <f t="shared" si="72"/>
        <v>0</v>
      </c>
    </row>
    <row r="136" spans="2:81" x14ac:dyDescent="0.25">
      <c r="B136" s="295">
        <v>46131</v>
      </c>
      <c r="C136" s="296">
        <v>1275.48</v>
      </c>
      <c r="D136" s="296">
        <v>1265.96</v>
      </c>
      <c r="E136" s="296">
        <v>3741.72</v>
      </c>
      <c r="F136" s="330">
        <v>0</v>
      </c>
      <c r="G136" s="298"/>
      <c r="H136" s="302"/>
      <c r="I136" s="303"/>
      <c r="J136" s="303"/>
      <c r="K136" s="303">
        <f t="shared" si="62"/>
        <v>0</v>
      </c>
      <c r="M136" s="295">
        <f t="shared" si="63"/>
        <v>46131</v>
      </c>
      <c r="N136" s="296">
        <v>430.86</v>
      </c>
      <c r="O136" s="296">
        <v>145.03</v>
      </c>
      <c r="P136" s="296">
        <v>2955.9</v>
      </c>
      <c r="Q136" s="330">
        <v>70.08</v>
      </c>
      <c r="R136" s="301">
        <v>0</v>
      </c>
      <c r="S136" s="298"/>
      <c r="T136" s="302"/>
      <c r="U136" s="303"/>
      <c r="V136" s="303"/>
      <c r="W136" s="303">
        <f t="shared" si="64"/>
        <v>0</v>
      </c>
      <c r="Y136" s="295">
        <f t="shared" si="73"/>
        <v>46131</v>
      </c>
      <c r="Z136" s="296">
        <v>420.8</v>
      </c>
      <c r="AA136" s="296">
        <v>141.94999999999999</v>
      </c>
      <c r="AB136" s="298"/>
      <c r="AC136" s="302"/>
      <c r="AD136" s="303"/>
      <c r="AE136" s="303"/>
      <c r="AF136" s="303">
        <f t="shared" si="65"/>
        <v>141.94999999999999</v>
      </c>
      <c r="AH136" s="295">
        <f t="shared" si="74"/>
        <v>46131</v>
      </c>
      <c r="AI136" s="296">
        <v>915</v>
      </c>
      <c r="AJ136" s="298"/>
      <c r="AL136" s="302"/>
      <c r="AM136" s="303"/>
      <c r="AN136" s="303"/>
      <c r="AO136" s="303">
        <f t="shared" si="66"/>
        <v>0</v>
      </c>
      <c r="AQ136" s="295">
        <v>46131</v>
      </c>
      <c r="AR136" s="296">
        <v>1082.8499999999999</v>
      </c>
      <c r="AS136" s="296">
        <v>1456.5</v>
      </c>
      <c r="AT136" s="296">
        <v>2809.63</v>
      </c>
      <c r="AU136" s="330">
        <v>91.54</v>
      </c>
      <c r="AW136" s="301">
        <v>0</v>
      </c>
      <c r="AY136" s="302"/>
      <c r="AZ136" s="303"/>
      <c r="BA136" s="303"/>
      <c r="BB136" s="303">
        <f t="shared" si="67"/>
        <v>0</v>
      </c>
      <c r="BD136" s="295">
        <v>46131</v>
      </c>
      <c r="BE136" s="296">
        <v>7693.65</v>
      </c>
      <c r="BF136" s="301">
        <v>98.01</v>
      </c>
      <c r="BG136" s="298"/>
      <c r="BH136" s="302"/>
      <c r="BI136" s="303"/>
      <c r="BJ136" s="303"/>
      <c r="BK136" s="303">
        <f t="shared" si="68"/>
        <v>98.01</v>
      </c>
      <c r="BM136" s="295">
        <f t="shared" si="69"/>
        <v>46131</v>
      </c>
      <c r="BN136" s="296">
        <v>897</v>
      </c>
      <c r="BO136" s="330">
        <v>124.54</v>
      </c>
      <c r="BP136" s="298"/>
      <c r="BQ136" s="302"/>
      <c r="BR136" s="303"/>
      <c r="BS136" s="303"/>
      <c r="BT136" s="303">
        <f t="shared" si="70"/>
        <v>124.54</v>
      </c>
      <c r="BV136" s="295">
        <f t="shared" si="71"/>
        <v>46131</v>
      </c>
      <c r="BW136" s="296">
        <v>338</v>
      </c>
      <c r="BX136" s="301"/>
      <c r="BZ136" s="302"/>
      <c r="CA136" s="303"/>
      <c r="CB136" s="303"/>
      <c r="CC136" s="303">
        <f t="shared" si="72"/>
        <v>0</v>
      </c>
    </row>
    <row r="137" spans="2:81" x14ac:dyDescent="0.25">
      <c r="B137" s="295">
        <v>46132</v>
      </c>
      <c r="C137" s="296">
        <v>4006.51</v>
      </c>
      <c r="D137" s="296">
        <v>2190.5700000000002</v>
      </c>
      <c r="E137" s="296">
        <v>5020.8100000000004</v>
      </c>
      <c r="F137" s="330">
        <v>0</v>
      </c>
      <c r="G137" s="298"/>
      <c r="H137" s="302"/>
      <c r="I137" s="303"/>
      <c r="J137" s="303"/>
      <c r="K137" s="303">
        <f t="shared" si="62"/>
        <v>0</v>
      </c>
      <c r="M137" s="295">
        <f t="shared" si="63"/>
        <v>46132</v>
      </c>
      <c r="N137" s="296">
        <v>5701.9</v>
      </c>
      <c r="O137" s="296">
        <v>629.13</v>
      </c>
      <c r="P137" s="296">
        <v>2965.98</v>
      </c>
      <c r="Q137" s="330">
        <v>83.94</v>
      </c>
      <c r="R137" s="301">
        <v>0</v>
      </c>
      <c r="S137" s="298"/>
      <c r="T137" s="302"/>
      <c r="U137" s="303"/>
      <c r="V137" s="303"/>
      <c r="W137" s="303">
        <f t="shared" si="64"/>
        <v>0</v>
      </c>
      <c r="Y137" s="295">
        <f t="shared" si="73"/>
        <v>46132</v>
      </c>
      <c r="Z137" s="296">
        <v>2125.1</v>
      </c>
      <c r="AA137" s="296">
        <v>310.47000000000003</v>
      </c>
      <c r="AB137" s="298"/>
      <c r="AC137" s="302"/>
      <c r="AD137" s="303"/>
      <c r="AE137" s="303"/>
      <c r="AF137" s="303">
        <f t="shared" si="65"/>
        <v>310.47000000000003</v>
      </c>
      <c r="AH137" s="295">
        <f t="shared" si="74"/>
        <v>46132</v>
      </c>
      <c r="AI137" s="296">
        <v>1463.39</v>
      </c>
      <c r="AJ137" s="298"/>
      <c r="AL137" s="302"/>
      <c r="AM137" s="303"/>
      <c r="AN137" s="303"/>
      <c r="AO137" s="303">
        <f t="shared" si="66"/>
        <v>0</v>
      </c>
      <c r="AQ137" s="295">
        <v>46132</v>
      </c>
      <c r="AR137" s="296">
        <v>2641.02</v>
      </c>
      <c r="AS137" s="296">
        <v>1876.93</v>
      </c>
      <c r="AT137" s="296">
        <v>3182.86</v>
      </c>
      <c r="AU137" s="330">
        <v>103.02</v>
      </c>
      <c r="AW137" s="301">
        <v>0</v>
      </c>
      <c r="AY137" s="302"/>
      <c r="AZ137" s="303"/>
      <c r="BA137" s="303"/>
      <c r="BB137" s="303">
        <f t="shared" si="67"/>
        <v>0</v>
      </c>
      <c r="BD137" s="295">
        <v>46132</v>
      </c>
      <c r="BE137" s="296">
        <v>13219.06</v>
      </c>
      <c r="BF137" s="301">
        <v>51.88</v>
      </c>
      <c r="BG137" s="298"/>
      <c r="BH137" s="302">
        <v>101.47779999999995</v>
      </c>
      <c r="BI137" s="303"/>
      <c r="BJ137" s="303"/>
      <c r="BK137" s="303">
        <f t="shared" si="68"/>
        <v>153.35779999999994</v>
      </c>
      <c r="BM137" s="295">
        <f t="shared" si="69"/>
        <v>46132</v>
      </c>
      <c r="BN137" s="296">
        <v>3099.5</v>
      </c>
      <c r="BO137" s="330">
        <v>60.9</v>
      </c>
      <c r="BP137" s="298"/>
      <c r="BQ137" s="302"/>
      <c r="BR137" s="303"/>
      <c r="BS137" s="303"/>
      <c r="BT137" s="303">
        <f t="shared" si="70"/>
        <v>60.9</v>
      </c>
      <c r="BV137" s="295">
        <f t="shared" si="71"/>
        <v>46132</v>
      </c>
      <c r="BW137" s="296">
        <v>585.9</v>
      </c>
      <c r="BX137" s="301"/>
      <c r="BZ137" s="302"/>
      <c r="CA137" s="303"/>
      <c r="CB137" s="303"/>
      <c r="CC137" s="303">
        <f t="shared" si="72"/>
        <v>0</v>
      </c>
    </row>
    <row r="138" spans="2:81" x14ac:dyDescent="0.25">
      <c r="B138" s="295">
        <v>46133</v>
      </c>
      <c r="C138" s="296">
        <v>4672.8</v>
      </c>
      <c r="D138" s="296">
        <v>2061.66</v>
      </c>
      <c r="E138" s="296">
        <v>4552.9399999999996</v>
      </c>
      <c r="F138" s="330">
        <v>0</v>
      </c>
      <c r="G138" s="298"/>
      <c r="H138" s="302"/>
      <c r="I138" s="303"/>
      <c r="J138" s="303">
        <v>10.067167500000011</v>
      </c>
      <c r="K138" s="303">
        <f t="shared" si="62"/>
        <v>10.067167500000011</v>
      </c>
      <c r="M138" s="295">
        <f t="shared" si="63"/>
        <v>46133</v>
      </c>
      <c r="N138" s="296">
        <v>1213.74</v>
      </c>
      <c r="O138" s="296">
        <v>283.3</v>
      </c>
      <c r="P138" s="296">
        <v>5954.18</v>
      </c>
      <c r="Q138" s="330">
        <v>121.07</v>
      </c>
      <c r="R138" s="301">
        <v>0</v>
      </c>
      <c r="S138" s="298"/>
      <c r="T138" s="302"/>
      <c r="U138" s="303"/>
      <c r="V138" s="303"/>
      <c r="W138" s="303">
        <f t="shared" si="64"/>
        <v>0</v>
      </c>
      <c r="Y138" s="295">
        <f t="shared" si="73"/>
        <v>46133</v>
      </c>
      <c r="Z138" s="296">
        <v>879.91</v>
      </c>
      <c r="AA138" s="296">
        <v>157.81</v>
      </c>
      <c r="AB138" s="298"/>
      <c r="AC138" s="302"/>
      <c r="AD138" s="303"/>
      <c r="AE138" s="303"/>
      <c r="AF138" s="303">
        <f t="shared" si="65"/>
        <v>157.81</v>
      </c>
      <c r="AH138" s="295">
        <f t="shared" si="74"/>
        <v>46133</v>
      </c>
      <c r="AI138" s="296">
        <v>1902.64</v>
      </c>
      <c r="AJ138" s="298"/>
      <c r="AL138" s="302"/>
      <c r="AM138" s="303"/>
      <c r="AN138" s="303"/>
      <c r="AO138" s="303">
        <f t="shared" si="66"/>
        <v>0</v>
      </c>
      <c r="AQ138" s="295">
        <v>46133</v>
      </c>
      <c r="AR138" s="296">
        <v>2109.75</v>
      </c>
      <c r="AS138" s="296">
        <v>1035.03</v>
      </c>
      <c r="AT138" s="296">
        <v>4353.8599999999997</v>
      </c>
      <c r="AU138" s="330">
        <v>70.930000000000007</v>
      </c>
      <c r="AW138" s="301">
        <v>0</v>
      </c>
      <c r="AY138" s="302"/>
      <c r="AZ138" s="303"/>
      <c r="BA138" s="303"/>
      <c r="BB138" s="303">
        <f t="shared" si="67"/>
        <v>0</v>
      </c>
      <c r="BD138" s="295">
        <v>46133</v>
      </c>
      <c r="BE138" s="296">
        <v>12657.98</v>
      </c>
      <c r="BF138" s="301">
        <v>51.56</v>
      </c>
      <c r="BG138" s="298"/>
      <c r="BH138" s="302">
        <v>11.834599999999995</v>
      </c>
      <c r="BI138" s="303"/>
      <c r="BJ138" s="303"/>
      <c r="BK138" s="303">
        <f t="shared" si="68"/>
        <v>63.394599999999997</v>
      </c>
      <c r="BM138" s="295">
        <f t="shared" si="69"/>
        <v>46133</v>
      </c>
      <c r="BN138" s="296">
        <v>2375.6</v>
      </c>
      <c r="BO138" s="330">
        <v>0</v>
      </c>
      <c r="BP138" s="298"/>
      <c r="BQ138" s="302"/>
      <c r="BR138" s="303"/>
      <c r="BS138" s="303"/>
      <c r="BT138" s="303">
        <f t="shared" si="70"/>
        <v>0</v>
      </c>
      <c r="BV138" s="295">
        <f t="shared" si="71"/>
        <v>46133</v>
      </c>
      <c r="BW138" s="296">
        <v>588.5</v>
      </c>
      <c r="BX138" s="301"/>
      <c r="BZ138" s="302"/>
      <c r="CA138" s="303"/>
      <c r="CB138" s="303"/>
      <c r="CC138" s="303">
        <f t="shared" si="72"/>
        <v>0</v>
      </c>
    </row>
    <row r="139" spans="2:81" x14ac:dyDescent="0.25">
      <c r="B139" s="295">
        <v>46134</v>
      </c>
      <c r="C139" s="296">
        <v>4195.29</v>
      </c>
      <c r="D139" s="296">
        <v>1667.64</v>
      </c>
      <c r="E139" s="296">
        <v>5021.8</v>
      </c>
      <c r="F139" s="330">
        <v>0</v>
      </c>
      <c r="G139" s="298"/>
      <c r="H139" s="302"/>
      <c r="I139" s="303"/>
      <c r="J139" s="303">
        <v>114.1288064</v>
      </c>
      <c r="K139" s="303">
        <f t="shared" si="62"/>
        <v>114.1288064</v>
      </c>
      <c r="M139" s="295">
        <f t="shared" si="63"/>
        <v>46134</v>
      </c>
      <c r="N139" s="296">
        <v>757.27</v>
      </c>
      <c r="O139" s="296">
        <v>287.17</v>
      </c>
      <c r="P139" s="296">
        <v>3272.21</v>
      </c>
      <c r="Q139" s="330">
        <v>81.36</v>
      </c>
      <c r="R139" s="301">
        <v>0</v>
      </c>
      <c r="S139" s="298"/>
      <c r="T139" s="302"/>
      <c r="U139" s="303"/>
      <c r="V139" s="303"/>
      <c r="W139" s="303">
        <f t="shared" si="64"/>
        <v>0</v>
      </c>
      <c r="Y139" s="295">
        <f t="shared" si="73"/>
        <v>46134</v>
      </c>
      <c r="Z139" s="296">
        <v>1314.2</v>
      </c>
      <c r="AA139" s="296">
        <v>340.23</v>
      </c>
      <c r="AB139" s="298"/>
      <c r="AC139" s="302"/>
      <c r="AD139" s="303"/>
      <c r="AE139" s="303"/>
      <c r="AF139" s="303">
        <f t="shared" si="65"/>
        <v>340.23</v>
      </c>
      <c r="AH139" s="295">
        <f t="shared" si="74"/>
        <v>46134</v>
      </c>
      <c r="AI139" s="296">
        <v>898</v>
      </c>
      <c r="AJ139" s="298"/>
      <c r="AL139" s="302"/>
      <c r="AM139" s="303"/>
      <c r="AN139" s="303"/>
      <c r="AO139" s="303">
        <f t="shared" si="66"/>
        <v>0</v>
      </c>
      <c r="AQ139" s="295">
        <v>46134</v>
      </c>
      <c r="AR139" s="296">
        <v>2456.9299999999998</v>
      </c>
      <c r="AS139" s="296">
        <v>1275.31</v>
      </c>
      <c r="AT139" s="296">
        <v>4136.6899999999996</v>
      </c>
      <c r="AU139" s="330">
        <v>65.22</v>
      </c>
      <c r="AW139" s="301">
        <v>0</v>
      </c>
      <c r="AY139" s="302"/>
      <c r="AZ139" s="303"/>
      <c r="BA139" s="303"/>
      <c r="BB139" s="303">
        <f t="shared" si="67"/>
        <v>0</v>
      </c>
      <c r="BD139" s="295">
        <v>46134</v>
      </c>
      <c r="BE139" s="296">
        <v>12263.5</v>
      </c>
      <c r="BF139" s="301">
        <v>130.82</v>
      </c>
      <c r="BG139" s="298"/>
      <c r="BH139" s="302"/>
      <c r="BI139" s="303"/>
      <c r="BJ139" s="303"/>
      <c r="BK139" s="303">
        <f t="shared" si="68"/>
        <v>130.82</v>
      </c>
      <c r="BM139" s="295">
        <f t="shared" si="69"/>
        <v>46134</v>
      </c>
      <c r="BN139" s="296">
        <v>1644.9</v>
      </c>
      <c r="BO139" s="330">
        <v>0</v>
      </c>
      <c r="BP139" s="298"/>
      <c r="BQ139" s="302"/>
      <c r="BR139" s="303"/>
      <c r="BS139" s="303"/>
      <c r="BT139" s="303">
        <f t="shared" si="70"/>
        <v>0</v>
      </c>
      <c r="BV139" s="295">
        <f t="shared" si="71"/>
        <v>46134</v>
      </c>
      <c r="BW139" s="296">
        <v>797.47</v>
      </c>
      <c r="BX139" s="301"/>
      <c r="BZ139" s="302"/>
      <c r="CA139" s="303"/>
      <c r="CB139" s="303"/>
      <c r="CC139" s="303">
        <f t="shared" si="72"/>
        <v>0</v>
      </c>
    </row>
    <row r="140" spans="2:81" x14ac:dyDescent="0.25">
      <c r="B140" s="295">
        <v>46135</v>
      </c>
      <c r="C140" s="296">
        <v>4644.87</v>
      </c>
      <c r="D140" s="296">
        <v>2160.25</v>
      </c>
      <c r="E140" s="296">
        <v>5531</v>
      </c>
      <c r="F140" s="330">
        <v>0</v>
      </c>
      <c r="G140" s="298"/>
      <c r="H140" s="302"/>
      <c r="I140" s="303"/>
      <c r="J140" s="303"/>
      <c r="K140" s="303">
        <f t="shared" si="62"/>
        <v>0</v>
      </c>
      <c r="M140" s="295">
        <f t="shared" si="63"/>
        <v>46135</v>
      </c>
      <c r="N140" s="296">
        <v>1029.01</v>
      </c>
      <c r="O140" s="296">
        <v>32.44</v>
      </c>
      <c r="P140" s="296">
        <v>5924.74</v>
      </c>
      <c r="Q140" s="330">
        <v>136.78</v>
      </c>
      <c r="R140" s="301">
        <v>0</v>
      </c>
      <c r="S140" s="298"/>
      <c r="T140" s="302"/>
      <c r="U140" s="303"/>
      <c r="V140" s="303"/>
      <c r="W140" s="303">
        <f t="shared" si="64"/>
        <v>0</v>
      </c>
      <c r="Y140" s="295">
        <f t="shared" si="73"/>
        <v>46135</v>
      </c>
      <c r="Z140" s="296">
        <v>1902.58</v>
      </c>
      <c r="AA140" s="296">
        <v>392.65</v>
      </c>
      <c r="AB140" s="298"/>
      <c r="AC140" s="302"/>
      <c r="AD140" s="303"/>
      <c r="AE140" s="303"/>
      <c r="AF140" s="303">
        <f t="shared" si="65"/>
        <v>392.65</v>
      </c>
      <c r="AH140" s="295">
        <f t="shared" si="74"/>
        <v>46135</v>
      </c>
      <c r="AI140" s="296">
        <v>1668.1</v>
      </c>
      <c r="AJ140" s="298"/>
      <c r="AL140" s="302"/>
      <c r="AM140" s="303"/>
      <c r="AN140" s="303"/>
      <c r="AO140" s="303">
        <f t="shared" si="66"/>
        <v>0</v>
      </c>
      <c r="AQ140" s="295">
        <v>46135</v>
      </c>
      <c r="AR140" s="296">
        <v>2535.25</v>
      </c>
      <c r="AS140" s="296">
        <v>1109.22</v>
      </c>
      <c r="AT140" s="296">
        <v>3596.36</v>
      </c>
      <c r="AU140" s="330">
        <v>50</v>
      </c>
      <c r="AW140" s="301">
        <v>0</v>
      </c>
      <c r="AY140" s="302"/>
      <c r="AZ140" s="303"/>
      <c r="BA140" s="303"/>
      <c r="BB140" s="303">
        <f t="shared" si="67"/>
        <v>0</v>
      </c>
      <c r="BD140" s="295">
        <v>46135</v>
      </c>
      <c r="BE140" s="296">
        <v>12844.44</v>
      </c>
      <c r="BF140" s="301">
        <v>91.19</v>
      </c>
      <c r="BG140" s="298"/>
      <c r="BH140" s="302"/>
      <c r="BI140" s="303"/>
      <c r="BJ140" s="303"/>
      <c r="BK140" s="303">
        <f t="shared" si="68"/>
        <v>91.19</v>
      </c>
      <c r="BM140" s="295">
        <f t="shared" si="69"/>
        <v>46135</v>
      </c>
      <c r="BN140" s="296">
        <v>2687</v>
      </c>
      <c r="BO140" s="330">
        <v>52.49</v>
      </c>
      <c r="BP140" s="298"/>
      <c r="BQ140" s="302"/>
      <c r="BR140" s="303"/>
      <c r="BS140" s="303"/>
      <c r="BT140" s="303">
        <f t="shared" si="70"/>
        <v>52.49</v>
      </c>
      <c r="BV140" s="295">
        <f t="shared" si="71"/>
        <v>46135</v>
      </c>
      <c r="BW140" s="296">
        <v>762</v>
      </c>
      <c r="BX140" s="301"/>
      <c r="BZ140" s="302"/>
      <c r="CA140" s="303"/>
      <c r="CB140" s="303"/>
      <c r="CC140" s="303">
        <f t="shared" si="72"/>
        <v>0</v>
      </c>
    </row>
    <row r="141" spans="2:81" x14ac:dyDescent="0.25">
      <c r="B141" s="295">
        <v>46136</v>
      </c>
      <c r="C141" s="296">
        <v>4932.7299999999996</v>
      </c>
      <c r="D141" s="296">
        <v>1716.88</v>
      </c>
      <c r="E141" s="296">
        <v>5621.39</v>
      </c>
      <c r="F141" s="330">
        <v>0</v>
      </c>
      <c r="G141" s="298"/>
      <c r="H141" s="302"/>
      <c r="I141" s="303"/>
      <c r="J141" s="303">
        <v>14.8937952</v>
      </c>
      <c r="K141" s="303">
        <f t="shared" si="62"/>
        <v>14.8937952</v>
      </c>
      <c r="M141" s="295">
        <f t="shared" si="63"/>
        <v>46136</v>
      </c>
      <c r="N141" s="296">
        <v>2021.4</v>
      </c>
      <c r="O141" s="296">
        <v>166.76</v>
      </c>
      <c r="P141" s="296">
        <v>4689.7</v>
      </c>
      <c r="Q141" s="330">
        <v>100.13</v>
      </c>
      <c r="R141" s="301">
        <v>0</v>
      </c>
      <c r="S141" s="298"/>
      <c r="T141" s="302"/>
      <c r="U141" s="303"/>
      <c r="V141" s="303"/>
      <c r="W141" s="303">
        <f t="shared" si="64"/>
        <v>0</v>
      </c>
      <c r="Y141" s="295">
        <f t="shared" si="73"/>
        <v>46136</v>
      </c>
      <c r="Z141" s="296">
        <v>989.02</v>
      </c>
      <c r="AA141" s="296">
        <v>219.27</v>
      </c>
      <c r="AB141" s="298"/>
      <c r="AC141" s="302"/>
      <c r="AD141" s="303"/>
      <c r="AE141" s="303"/>
      <c r="AF141" s="303">
        <f t="shared" si="65"/>
        <v>219.27</v>
      </c>
      <c r="AH141" s="295">
        <f t="shared" si="74"/>
        <v>46136</v>
      </c>
      <c r="AI141" s="296">
        <v>1214.47</v>
      </c>
      <c r="AJ141" s="298"/>
      <c r="AL141" s="302"/>
      <c r="AM141" s="303"/>
      <c r="AN141" s="303"/>
      <c r="AO141" s="303">
        <f t="shared" si="66"/>
        <v>0</v>
      </c>
      <c r="AQ141" s="295">
        <v>46136</v>
      </c>
      <c r="AR141" s="296">
        <v>2527.06</v>
      </c>
      <c r="AS141" s="296">
        <v>1259.8800000000001</v>
      </c>
      <c r="AT141" s="296">
        <v>4203.57</v>
      </c>
      <c r="AU141" s="330">
        <v>122.76</v>
      </c>
      <c r="AW141" s="301">
        <v>0</v>
      </c>
      <c r="AY141" s="302"/>
      <c r="AZ141" s="303">
        <v>30.340728491428592</v>
      </c>
      <c r="BA141" s="303"/>
      <c r="BB141" s="303">
        <f t="shared" si="67"/>
        <v>30.340728491428592</v>
      </c>
      <c r="BD141" s="295">
        <v>46136</v>
      </c>
      <c r="BE141" s="296">
        <v>11703.4</v>
      </c>
      <c r="BF141" s="301">
        <v>72.05</v>
      </c>
      <c r="BG141" s="298"/>
      <c r="BH141" s="302">
        <v>65.942129999999992</v>
      </c>
      <c r="BI141" s="303"/>
      <c r="BJ141" s="303"/>
      <c r="BK141" s="303">
        <f t="shared" si="68"/>
        <v>137.99212999999997</v>
      </c>
      <c r="BM141" s="295">
        <f t="shared" si="69"/>
        <v>46136</v>
      </c>
      <c r="BN141" s="296">
        <v>4569.8599999999997</v>
      </c>
      <c r="BO141" s="330">
        <v>165.3</v>
      </c>
      <c r="BP141" s="298"/>
      <c r="BQ141" s="302"/>
      <c r="BR141" s="303"/>
      <c r="BS141" s="303"/>
      <c r="BT141" s="303">
        <f t="shared" si="70"/>
        <v>165.3</v>
      </c>
      <c r="BV141" s="295">
        <f t="shared" si="71"/>
        <v>46136</v>
      </c>
      <c r="BW141" s="296">
        <v>640.9</v>
      </c>
      <c r="BX141" s="301"/>
      <c r="BZ141" s="302"/>
      <c r="CA141" s="303"/>
      <c r="CB141" s="303"/>
      <c r="CC141" s="303">
        <f t="shared" si="72"/>
        <v>0</v>
      </c>
    </row>
    <row r="142" spans="2:81" x14ac:dyDescent="0.25">
      <c r="B142" s="295">
        <v>46137</v>
      </c>
      <c r="C142" s="296">
        <v>4251.05</v>
      </c>
      <c r="D142" s="296">
        <v>1960.43</v>
      </c>
      <c r="E142" s="296">
        <v>4830.3100000000004</v>
      </c>
      <c r="F142" s="330">
        <v>0</v>
      </c>
      <c r="G142" s="298"/>
      <c r="H142" s="302"/>
      <c r="I142" s="303"/>
      <c r="J142" s="303"/>
      <c r="K142" s="303">
        <f t="shared" si="62"/>
        <v>0</v>
      </c>
      <c r="M142" s="295">
        <f t="shared" si="63"/>
        <v>46137</v>
      </c>
      <c r="N142" s="296">
        <v>1108.79</v>
      </c>
      <c r="O142" s="296">
        <v>200.12</v>
      </c>
      <c r="P142" s="296">
        <v>7850.76</v>
      </c>
      <c r="Q142" s="330">
        <v>112.07</v>
      </c>
      <c r="R142" s="301">
        <v>0</v>
      </c>
      <c r="S142" s="298"/>
      <c r="T142" s="302"/>
      <c r="U142" s="303"/>
      <c r="V142" s="303"/>
      <c r="W142" s="303">
        <f t="shared" si="64"/>
        <v>0</v>
      </c>
      <c r="Y142" s="295">
        <f t="shared" si="73"/>
        <v>46137</v>
      </c>
      <c r="Z142" s="296">
        <v>868.5</v>
      </c>
      <c r="AA142" s="296">
        <v>142.21</v>
      </c>
      <c r="AB142" s="298"/>
      <c r="AC142" s="302"/>
      <c r="AD142" s="303"/>
      <c r="AE142" s="303"/>
      <c r="AF142" s="303">
        <f t="shared" si="65"/>
        <v>142.21</v>
      </c>
      <c r="AH142" s="295">
        <f t="shared" si="74"/>
        <v>46137</v>
      </c>
      <c r="AI142" s="296">
        <v>1285.5</v>
      </c>
      <c r="AJ142" s="298"/>
      <c r="AL142" s="302"/>
      <c r="AM142" s="303"/>
      <c r="AN142" s="303"/>
      <c r="AO142" s="303">
        <f t="shared" si="66"/>
        <v>0</v>
      </c>
      <c r="AQ142" s="295">
        <v>46137</v>
      </c>
      <c r="AR142" s="296">
        <v>2974.39</v>
      </c>
      <c r="AS142" s="296">
        <v>1128.46</v>
      </c>
      <c r="AT142" s="296">
        <v>5025.88</v>
      </c>
      <c r="AU142" s="330">
        <v>149.09</v>
      </c>
      <c r="AW142" s="301">
        <v>0</v>
      </c>
      <c r="AY142" s="302"/>
      <c r="AZ142" s="303"/>
      <c r="BA142" s="303"/>
      <c r="BB142" s="303">
        <f t="shared" si="67"/>
        <v>0</v>
      </c>
      <c r="BD142" s="295">
        <v>46137</v>
      </c>
      <c r="BE142" s="296">
        <v>13432.21</v>
      </c>
      <c r="BF142" s="301">
        <v>65.03</v>
      </c>
      <c r="BG142" s="298"/>
      <c r="BH142" s="302"/>
      <c r="BI142" s="303"/>
      <c r="BJ142" s="303"/>
      <c r="BK142" s="303">
        <f t="shared" si="68"/>
        <v>65.03</v>
      </c>
      <c r="BM142" s="295">
        <f t="shared" si="69"/>
        <v>46137</v>
      </c>
      <c r="BN142" s="296">
        <v>3267.82</v>
      </c>
      <c r="BO142" s="330">
        <v>164.9</v>
      </c>
      <c r="BP142" s="298"/>
      <c r="BQ142" s="302"/>
      <c r="BR142" s="303"/>
      <c r="BS142" s="303"/>
      <c r="BT142" s="303">
        <f t="shared" si="70"/>
        <v>164.9</v>
      </c>
      <c r="BV142" s="295">
        <f t="shared" si="71"/>
        <v>46137</v>
      </c>
      <c r="BW142" s="296">
        <v>556.6</v>
      </c>
      <c r="BX142" s="301"/>
      <c r="BZ142" s="302"/>
      <c r="CA142" s="303"/>
      <c r="CB142" s="303"/>
      <c r="CC142" s="303">
        <f t="shared" si="72"/>
        <v>0</v>
      </c>
    </row>
    <row r="143" spans="2:81" x14ac:dyDescent="0.25">
      <c r="B143" s="295">
        <v>46138</v>
      </c>
      <c r="C143" s="296">
        <v>1841.01</v>
      </c>
      <c r="D143" s="296">
        <v>1191.76</v>
      </c>
      <c r="E143" s="296">
        <v>3004.27</v>
      </c>
      <c r="F143" s="330">
        <v>0</v>
      </c>
      <c r="G143" s="298"/>
      <c r="H143" s="302"/>
      <c r="I143" s="303"/>
      <c r="J143" s="303"/>
      <c r="K143" s="303">
        <f t="shared" si="62"/>
        <v>0</v>
      </c>
      <c r="M143" s="295">
        <f t="shared" si="63"/>
        <v>46138</v>
      </c>
      <c r="N143" s="296">
        <v>823.84</v>
      </c>
      <c r="O143" s="296">
        <v>177.9</v>
      </c>
      <c r="P143" s="296">
        <v>4791.42</v>
      </c>
      <c r="Q143" s="330">
        <v>23.03</v>
      </c>
      <c r="R143" s="301">
        <v>0</v>
      </c>
      <c r="S143" s="298"/>
      <c r="T143" s="302"/>
      <c r="U143" s="303"/>
      <c r="V143" s="303"/>
      <c r="W143" s="303">
        <f t="shared" si="64"/>
        <v>0</v>
      </c>
      <c r="Y143" s="295">
        <f t="shared" si="73"/>
        <v>46138</v>
      </c>
      <c r="Z143" s="296">
        <v>535.79999999999995</v>
      </c>
      <c r="AA143" s="296">
        <v>290.05</v>
      </c>
      <c r="AB143" s="298"/>
      <c r="AC143" s="302"/>
      <c r="AD143" s="303"/>
      <c r="AE143" s="303"/>
      <c r="AF143" s="303">
        <f t="shared" si="65"/>
        <v>290.05</v>
      </c>
      <c r="AH143" s="295">
        <f t="shared" si="74"/>
        <v>46138</v>
      </c>
      <c r="AI143" s="296">
        <v>1264.5999999999999</v>
      </c>
      <c r="AJ143" s="298"/>
      <c r="AL143" s="302"/>
      <c r="AM143" s="303"/>
      <c r="AN143" s="303"/>
      <c r="AO143" s="303">
        <f t="shared" si="66"/>
        <v>0</v>
      </c>
      <c r="AQ143" s="295">
        <v>46138</v>
      </c>
      <c r="AR143" s="296">
        <v>920.31</v>
      </c>
      <c r="AS143" s="296">
        <v>803</v>
      </c>
      <c r="AT143" s="296">
        <v>3772.43</v>
      </c>
      <c r="AU143" s="330">
        <v>94.27</v>
      </c>
      <c r="AW143" s="301">
        <v>0</v>
      </c>
      <c r="AY143" s="302"/>
      <c r="AZ143" s="303"/>
      <c r="BA143" s="303"/>
      <c r="BB143" s="303">
        <f t="shared" si="67"/>
        <v>0</v>
      </c>
      <c r="BD143" s="295">
        <v>46138</v>
      </c>
      <c r="BE143" s="296">
        <v>8564.18</v>
      </c>
      <c r="BF143" s="301">
        <v>69.3</v>
      </c>
      <c r="BG143" s="298"/>
      <c r="BH143" s="302"/>
      <c r="BI143" s="303"/>
      <c r="BJ143" s="303"/>
      <c r="BK143" s="303">
        <f t="shared" si="68"/>
        <v>69.3</v>
      </c>
      <c r="BM143" s="295">
        <f t="shared" si="69"/>
        <v>46138</v>
      </c>
      <c r="BN143" s="296">
        <v>9598.5</v>
      </c>
      <c r="BO143" s="330">
        <v>284.97000000000003</v>
      </c>
      <c r="BP143" s="298"/>
      <c r="BQ143" s="302"/>
      <c r="BR143" s="303"/>
      <c r="BS143" s="303"/>
      <c r="BT143" s="303">
        <f t="shared" si="70"/>
        <v>284.97000000000003</v>
      </c>
      <c r="BV143" s="295">
        <f t="shared" si="71"/>
        <v>46138</v>
      </c>
      <c r="BW143" s="296">
        <v>234.07</v>
      </c>
      <c r="BX143" s="301"/>
      <c r="BZ143" s="302"/>
      <c r="CA143" s="303"/>
      <c r="CB143" s="303"/>
      <c r="CC143" s="303">
        <f t="shared" si="72"/>
        <v>0</v>
      </c>
    </row>
    <row r="144" spans="2:81" x14ac:dyDescent="0.25">
      <c r="B144" s="295">
        <v>46139</v>
      </c>
      <c r="C144" s="296">
        <v>3707.47</v>
      </c>
      <c r="D144" s="296">
        <v>2058.15</v>
      </c>
      <c r="E144" s="296">
        <v>4718.3599999999997</v>
      </c>
      <c r="F144" s="330">
        <v>0</v>
      </c>
      <c r="G144" s="298"/>
      <c r="H144" s="302"/>
      <c r="I144" s="303"/>
      <c r="J144" s="303">
        <v>34.272693000000004</v>
      </c>
      <c r="K144" s="303">
        <f t="shared" si="62"/>
        <v>34.272693000000004</v>
      </c>
      <c r="M144" s="295">
        <f t="shared" si="63"/>
        <v>46139</v>
      </c>
      <c r="N144" s="296">
        <v>2854.9</v>
      </c>
      <c r="O144" s="296">
        <v>150.36000000000001</v>
      </c>
      <c r="P144" s="296">
        <v>5605.58</v>
      </c>
      <c r="Q144" s="330">
        <v>59.91</v>
      </c>
      <c r="R144" s="301">
        <v>0</v>
      </c>
      <c r="S144" s="298"/>
      <c r="T144" s="302"/>
      <c r="U144" s="303"/>
      <c r="V144" s="303"/>
      <c r="W144" s="303">
        <f t="shared" si="64"/>
        <v>0</v>
      </c>
      <c r="Y144" s="295">
        <f t="shared" si="73"/>
        <v>46139</v>
      </c>
      <c r="Z144" s="296">
        <v>2179.35</v>
      </c>
      <c r="AA144" s="296">
        <v>486.81</v>
      </c>
      <c r="AB144" s="298"/>
      <c r="AC144" s="302"/>
      <c r="AD144" s="303"/>
      <c r="AE144" s="303"/>
      <c r="AF144" s="303">
        <f t="shared" si="65"/>
        <v>486.81</v>
      </c>
      <c r="AH144" s="295">
        <f t="shared" si="74"/>
        <v>46139</v>
      </c>
      <c r="AI144" s="296">
        <v>1435.6</v>
      </c>
      <c r="AJ144" s="298"/>
      <c r="AL144" s="302"/>
      <c r="AM144" s="303"/>
      <c r="AN144" s="303"/>
      <c r="AO144" s="303">
        <f t="shared" si="66"/>
        <v>0</v>
      </c>
      <c r="AQ144" s="295">
        <v>46139</v>
      </c>
      <c r="AR144" s="296">
        <v>2138.83</v>
      </c>
      <c r="AS144" s="296">
        <v>1406.23</v>
      </c>
      <c r="AT144" s="296">
        <v>3343.35</v>
      </c>
      <c r="AU144" s="330">
        <v>98.23</v>
      </c>
      <c r="AW144" s="301">
        <v>0</v>
      </c>
      <c r="AY144" s="302"/>
      <c r="AZ144" s="303"/>
      <c r="BA144" s="303"/>
      <c r="BB144" s="303">
        <f t="shared" si="67"/>
        <v>0</v>
      </c>
      <c r="BD144" s="295">
        <v>46139</v>
      </c>
      <c r="BE144" s="296">
        <v>11111.37</v>
      </c>
      <c r="BF144" s="301">
        <v>36.840000000000003</v>
      </c>
      <c r="BG144" s="298"/>
      <c r="BH144" s="302">
        <v>140.14580000000001</v>
      </c>
      <c r="BI144" s="303"/>
      <c r="BJ144" s="303"/>
      <c r="BK144" s="303">
        <f t="shared" si="68"/>
        <v>176.98580000000001</v>
      </c>
      <c r="BM144" s="295">
        <f t="shared" si="69"/>
        <v>46139</v>
      </c>
      <c r="BN144" s="296">
        <v>540.5</v>
      </c>
      <c r="BO144" s="330">
        <v>0</v>
      </c>
      <c r="BP144" s="298"/>
      <c r="BQ144" s="302"/>
      <c r="BR144" s="303"/>
      <c r="BS144" s="303"/>
      <c r="BT144" s="303">
        <f t="shared" si="70"/>
        <v>0</v>
      </c>
      <c r="BV144" s="295">
        <f t="shared" si="71"/>
        <v>46139</v>
      </c>
      <c r="BW144" s="296">
        <v>335.5</v>
      </c>
      <c r="BX144" s="301"/>
      <c r="BZ144" s="302"/>
      <c r="CA144" s="303"/>
      <c r="CB144" s="303"/>
      <c r="CC144" s="303">
        <f t="shared" si="72"/>
        <v>0</v>
      </c>
    </row>
    <row r="145" spans="2:81" x14ac:dyDescent="0.25">
      <c r="B145" s="295">
        <v>46140</v>
      </c>
      <c r="C145" s="296">
        <v>3323.73</v>
      </c>
      <c r="D145" s="296">
        <v>1782.55</v>
      </c>
      <c r="E145" s="296">
        <v>5492.05</v>
      </c>
      <c r="F145" s="330">
        <v>0</v>
      </c>
      <c r="G145" s="298"/>
      <c r="H145" s="302"/>
      <c r="I145" s="303"/>
      <c r="J145" s="303">
        <v>12.426659000000001</v>
      </c>
      <c r="K145" s="303">
        <f t="shared" si="62"/>
        <v>12.426659000000001</v>
      </c>
      <c r="M145" s="295">
        <f t="shared" si="63"/>
        <v>46140</v>
      </c>
      <c r="N145" s="296">
        <v>1253.1500000000001</v>
      </c>
      <c r="O145" s="296">
        <v>104.27</v>
      </c>
      <c r="P145" s="296">
        <v>4696.8599999999997</v>
      </c>
      <c r="Q145" s="330">
        <v>82.45</v>
      </c>
      <c r="R145" s="301">
        <v>0</v>
      </c>
      <c r="S145" s="298"/>
      <c r="T145" s="302"/>
      <c r="U145" s="303"/>
      <c r="V145" s="303"/>
      <c r="W145" s="303">
        <f t="shared" si="64"/>
        <v>0</v>
      </c>
      <c r="Y145" s="295">
        <f t="shared" si="73"/>
        <v>46140</v>
      </c>
      <c r="Z145" s="296">
        <v>1447.72</v>
      </c>
      <c r="AA145" s="296">
        <v>220.25</v>
      </c>
      <c r="AB145" s="298"/>
      <c r="AC145" s="302"/>
      <c r="AD145" s="303"/>
      <c r="AE145" s="303"/>
      <c r="AF145" s="303">
        <f t="shared" si="65"/>
        <v>220.25</v>
      </c>
      <c r="AH145" s="295">
        <f t="shared" si="74"/>
        <v>46140</v>
      </c>
      <c r="AI145" s="296">
        <v>1098.83</v>
      </c>
      <c r="AJ145" s="298"/>
      <c r="AL145" s="302"/>
      <c r="AM145" s="303"/>
      <c r="AN145" s="303"/>
      <c r="AO145" s="303">
        <f t="shared" si="66"/>
        <v>0</v>
      </c>
      <c r="AQ145" s="295">
        <v>46140</v>
      </c>
      <c r="AR145" s="296">
        <v>2640.1</v>
      </c>
      <c r="AS145" s="296">
        <v>1268.8699999999999</v>
      </c>
      <c r="AT145" s="296">
        <v>3993.16</v>
      </c>
      <c r="AU145" s="330">
        <v>112.57</v>
      </c>
      <c r="AW145" s="301">
        <v>0</v>
      </c>
      <c r="AY145" s="302"/>
      <c r="AZ145" s="303"/>
      <c r="BA145" s="303"/>
      <c r="BB145" s="303">
        <f t="shared" si="67"/>
        <v>0</v>
      </c>
      <c r="BD145" s="295">
        <v>46140</v>
      </c>
      <c r="BE145" s="296">
        <v>10689.33</v>
      </c>
      <c r="BF145" s="301">
        <v>62.77</v>
      </c>
      <c r="BG145" s="298"/>
      <c r="BH145" s="302"/>
      <c r="BI145" s="303"/>
      <c r="BJ145" s="303"/>
      <c r="BK145" s="303">
        <f t="shared" si="68"/>
        <v>62.77</v>
      </c>
      <c r="BM145" s="295">
        <f t="shared" si="69"/>
        <v>46140</v>
      </c>
      <c r="BN145" s="296">
        <v>3875.5</v>
      </c>
      <c r="BO145" s="330">
        <v>38.200000000000003</v>
      </c>
      <c r="BP145" s="298"/>
      <c r="BQ145" s="302"/>
      <c r="BR145" s="303"/>
      <c r="BS145" s="303"/>
      <c r="BT145" s="303">
        <f t="shared" si="70"/>
        <v>38.200000000000003</v>
      </c>
      <c r="BV145" s="295">
        <f t="shared" si="71"/>
        <v>46140</v>
      </c>
      <c r="BW145" s="296">
        <v>630.79999999999995</v>
      </c>
      <c r="BX145" s="301"/>
      <c r="BZ145" s="302"/>
      <c r="CA145" s="303"/>
      <c r="CB145" s="303"/>
      <c r="CC145" s="303">
        <f t="shared" si="72"/>
        <v>0</v>
      </c>
    </row>
    <row r="146" spans="2:81" x14ac:dyDescent="0.25">
      <c r="B146" s="295">
        <v>46141</v>
      </c>
      <c r="C146" s="296">
        <v>5153.34</v>
      </c>
      <c r="D146" s="296">
        <v>2476.37</v>
      </c>
      <c r="E146" s="296">
        <v>5524</v>
      </c>
      <c r="F146" s="330">
        <v>0</v>
      </c>
      <c r="G146" s="298"/>
      <c r="H146" s="302"/>
      <c r="I146" s="303"/>
      <c r="J146" s="303"/>
      <c r="K146" s="303">
        <f t="shared" si="62"/>
        <v>0</v>
      </c>
      <c r="M146" s="295">
        <f t="shared" si="63"/>
        <v>46141</v>
      </c>
      <c r="N146" s="296">
        <v>1165.01</v>
      </c>
      <c r="O146" s="296">
        <v>44.82</v>
      </c>
      <c r="P146" s="296">
        <v>8899.92</v>
      </c>
      <c r="Q146" s="330">
        <v>104.38</v>
      </c>
      <c r="R146" s="301">
        <v>0</v>
      </c>
      <c r="S146" s="298"/>
      <c r="T146" s="302"/>
      <c r="U146" s="303"/>
      <c r="V146" s="303"/>
      <c r="W146" s="303">
        <f t="shared" si="64"/>
        <v>0</v>
      </c>
      <c r="Y146" s="295">
        <f t="shared" si="73"/>
        <v>46141</v>
      </c>
      <c r="Z146" s="296">
        <v>1277.8499999999999</v>
      </c>
      <c r="AA146" s="296">
        <v>132.16</v>
      </c>
      <c r="AB146" s="298"/>
      <c r="AC146" s="302"/>
      <c r="AD146" s="303"/>
      <c r="AE146" s="303"/>
      <c r="AF146" s="303">
        <f t="shared" si="65"/>
        <v>132.16</v>
      </c>
      <c r="AH146" s="295">
        <f t="shared" si="74"/>
        <v>46141</v>
      </c>
      <c r="AI146" s="296">
        <v>1674.35</v>
      </c>
      <c r="AJ146" s="298"/>
      <c r="AL146" s="302"/>
      <c r="AM146" s="303"/>
      <c r="AN146" s="303"/>
      <c r="AO146" s="303">
        <f t="shared" si="66"/>
        <v>0</v>
      </c>
      <c r="AQ146" s="295">
        <v>46141</v>
      </c>
      <c r="AR146" s="296">
        <v>3942.48</v>
      </c>
      <c r="AS146" s="296">
        <v>923.09</v>
      </c>
      <c r="AT146" s="296">
        <v>4674.08</v>
      </c>
      <c r="AU146" s="330">
        <v>91.21</v>
      </c>
      <c r="AW146" s="301">
        <v>0</v>
      </c>
      <c r="AY146" s="302"/>
      <c r="AZ146" s="303"/>
      <c r="BA146" s="303"/>
      <c r="BB146" s="303">
        <f t="shared" si="67"/>
        <v>0</v>
      </c>
      <c r="BD146" s="295">
        <v>46141</v>
      </c>
      <c r="BE146" s="296">
        <v>11129.59</v>
      </c>
      <c r="BF146" s="301">
        <v>54.24</v>
      </c>
      <c r="BG146" s="298"/>
      <c r="BH146" s="302">
        <v>18.867380000000026</v>
      </c>
      <c r="BI146" s="303"/>
      <c r="BJ146" s="303"/>
      <c r="BK146" s="303">
        <f t="shared" si="68"/>
        <v>73.107380000000035</v>
      </c>
      <c r="BM146" s="295">
        <f t="shared" si="69"/>
        <v>46141</v>
      </c>
      <c r="BN146" s="296">
        <v>1537.8</v>
      </c>
      <c r="BO146" s="330">
        <v>40.799999999999997</v>
      </c>
      <c r="BP146" s="298"/>
      <c r="BQ146" s="302"/>
      <c r="BR146" s="303"/>
      <c r="BS146" s="303"/>
      <c r="BT146" s="303">
        <f t="shared" si="70"/>
        <v>40.799999999999997</v>
      </c>
      <c r="BV146" s="295">
        <f t="shared" si="71"/>
        <v>46141</v>
      </c>
      <c r="BW146" s="296">
        <v>988</v>
      </c>
      <c r="BX146" s="301"/>
      <c r="BZ146" s="302"/>
      <c r="CA146" s="303"/>
      <c r="CB146" s="303"/>
      <c r="CC146" s="303">
        <f t="shared" si="72"/>
        <v>0</v>
      </c>
    </row>
    <row r="147" spans="2:81" ht="16.5" thickBot="1" x14ac:dyDescent="0.3">
      <c r="B147" s="295">
        <v>46142</v>
      </c>
      <c r="C147" s="296">
        <v>5315.77</v>
      </c>
      <c r="D147" s="296">
        <v>2268.11</v>
      </c>
      <c r="E147" s="296">
        <v>6338.42</v>
      </c>
      <c r="F147" s="330">
        <v>0</v>
      </c>
      <c r="G147" s="298"/>
      <c r="H147" s="302"/>
      <c r="I147" s="303"/>
      <c r="J147" s="303">
        <v>9.6912350999999717</v>
      </c>
      <c r="K147" s="303">
        <f t="shared" si="62"/>
        <v>9.6912350999999717</v>
      </c>
      <c r="M147" s="295">
        <f t="shared" si="63"/>
        <v>46142</v>
      </c>
      <c r="N147" s="296">
        <v>1887.89</v>
      </c>
      <c r="O147" s="296">
        <v>177.49</v>
      </c>
      <c r="P147" s="296">
        <v>4329.99</v>
      </c>
      <c r="Q147" s="330">
        <v>90.84</v>
      </c>
      <c r="R147" s="301">
        <v>0</v>
      </c>
      <c r="S147" s="298"/>
      <c r="T147" s="302">
        <v>73.799999999999955</v>
      </c>
      <c r="U147" s="303"/>
      <c r="V147" s="303"/>
      <c r="W147" s="303">
        <f t="shared" si="64"/>
        <v>73.799999999999955</v>
      </c>
      <c r="Y147" s="295">
        <f t="shared" si="73"/>
        <v>46142</v>
      </c>
      <c r="Z147" s="296">
        <v>1775.22</v>
      </c>
      <c r="AA147" s="296">
        <v>312.89999999999998</v>
      </c>
      <c r="AB147" s="298"/>
      <c r="AC147" s="302"/>
      <c r="AD147" s="303"/>
      <c r="AE147" s="303"/>
      <c r="AF147" s="303">
        <f t="shared" si="65"/>
        <v>312.89999999999998</v>
      </c>
      <c r="AH147" s="295">
        <f t="shared" si="74"/>
        <v>46142</v>
      </c>
      <c r="AI147" s="296">
        <v>1241</v>
      </c>
      <c r="AJ147" s="298"/>
      <c r="AL147" s="302"/>
      <c r="AM147" s="303"/>
      <c r="AN147" s="303"/>
      <c r="AO147" s="303">
        <f t="shared" si="66"/>
        <v>0</v>
      </c>
      <c r="AQ147" s="295">
        <v>46142</v>
      </c>
      <c r="AR147" s="296">
        <v>3414.83</v>
      </c>
      <c r="AS147" s="296">
        <v>1876.67</v>
      </c>
      <c r="AT147" s="296">
        <v>5624.15</v>
      </c>
      <c r="AU147" s="330">
        <v>92.17</v>
      </c>
      <c r="AW147" s="301">
        <v>0</v>
      </c>
      <c r="AY147" s="302"/>
      <c r="AZ147" s="303"/>
      <c r="BA147" s="303"/>
      <c r="BB147" s="303">
        <f t="shared" si="67"/>
        <v>0</v>
      </c>
      <c r="BD147" s="295">
        <v>46142</v>
      </c>
      <c r="BE147" s="296">
        <v>14400.11</v>
      </c>
      <c r="BF147" s="301">
        <v>41.21</v>
      </c>
      <c r="BG147" s="298"/>
      <c r="BH147" s="302"/>
      <c r="BI147" s="303"/>
      <c r="BJ147" s="303"/>
      <c r="BK147" s="303">
        <f t="shared" si="68"/>
        <v>41.21</v>
      </c>
      <c r="BM147" s="295">
        <f t="shared" si="69"/>
        <v>46142</v>
      </c>
      <c r="BN147" s="296">
        <v>6792.66</v>
      </c>
      <c r="BO147" s="330">
        <v>404.16</v>
      </c>
      <c r="BP147" s="298"/>
      <c r="BQ147" s="302"/>
      <c r="BR147" s="303"/>
      <c r="BS147" s="303"/>
      <c r="BT147" s="303">
        <f t="shared" si="70"/>
        <v>404.16</v>
      </c>
      <c r="BV147" s="295">
        <f t="shared" si="71"/>
        <v>46142</v>
      </c>
      <c r="BW147" s="296">
        <v>633.5</v>
      </c>
      <c r="BX147" s="301"/>
      <c r="BZ147" s="302"/>
      <c r="CA147" s="303"/>
      <c r="CB147" s="303"/>
      <c r="CC147" s="303">
        <f t="shared" si="72"/>
        <v>0</v>
      </c>
    </row>
    <row r="148" spans="2:81" ht="16.5" thickBot="1" x14ac:dyDescent="0.3">
      <c r="B148" s="310"/>
      <c r="C148" s="306">
        <f>SUM(C118:C147)</f>
        <v>121654.33999999997</v>
      </c>
      <c r="D148" s="306">
        <f>SUM(D118:D147)</f>
        <v>49597.23</v>
      </c>
      <c r="E148" s="306">
        <f>SUM(E118:E147)</f>
        <v>151222.53</v>
      </c>
      <c r="F148" s="306">
        <f>SUM(F118:F147)</f>
        <v>26</v>
      </c>
      <c r="G148" s="83"/>
      <c r="H148" s="84">
        <f>SUM(H118:H147)</f>
        <v>0</v>
      </c>
      <c r="I148" s="85">
        <f>SUM(I118:I147)</f>
        <v>418.51328761904824</v>
      </c>
      <c r="J148" s="85">
        <f>SUM(J118:J147)</f>
        <v>347.53436929999987</v>
      </c>
      <c r="K148" s="85">
        <f>SUM(K118:K147)</f>
        <v>792.04765691904799</v>
      </c>
      <c r="N148" s="306">
        <f>SUM(N118:N147)</f>
        <v>61042.799999999996</v>
      </c>
      <c r="O148" s="306">
        <f>SUM(O118:O147)</f>
        <v>6964.57</v>
      </c>
      <c r="P148" s="306">
        <f>SUM(P118:P147)</f>
        <v>119830.19</v>
      </c>
      <c r="Q148" s="307">
        <f>SUM(Q118:Q147)</f>
        <v>2574.61</v>
      </c>
      <c r="R148" s="307">
        <f>SUM(R118:R147)</f>
        <v>0</v>
      </c>
      <c r="S148" s="83"/>
      <c r="T148" s="84">
        <f>SUM(T118:T147)</f>
        <v>114.6176999999999</v>
      </c>
      <c r="U148" s="85">
        <f>SUM(U118:U147)</f>
        <v>0</v>
      </c>
      <c r="V148" s="85">
        <f>SUM(V118:V147)</f>
        <v>0</v>
      </c>
      <c r="W148" s="85">
        <f>SUM(W118:W147)</f>
        <v>114.6176999999999</v>
      </c>
      <c r="Z148" s="308">
        <f>SUM(Z118:Z147)</f>
        <v>40635.340000000011</v>
      </c>
      <c r="AA148" s="309">
        <f>SUM(AA118:AA147)</f>
        <v>7545.0000000000009</v>
      </c>
      <c r="AB148" s="83"/>
      <c r="AC148" s="84">
        <f>SUM(AC118:AC147)</f>
        <v>0</v>
      </c>
      <c r="AD148" s="85">
        <f>SUM(AD118:AD147)</f>
        <v>0</v>
      </c>
      <c r="AE148" s="85">
        <f>SUM(AE118:AE147)</f>
        <v>0</v>
      </c>
      <c r="AF148" s="85">
        <f>SUM(AF118:AF147)</f>
        <v>7545.0000000000009</v>
      </c>
      <c r="AI148" s="306">
        <f>SUM(AI118:AI147)</f>
        <v>34420.659999999996</v>
      </c>
      <c r="AJ148" s="83"/>
      <c r="AL148" s="84">
        <f>SUM(AL118:AL147)</f>
        <v>0</v>
      </c>
      <c r="AM148" s="85">
        <f>SUM(AM118:AM147)</f>
        <v>0</v>
      </c>
      <c r="AN148" s="85">
        <f>SUM(AN118:AN147)</f>
        <v>0</v>
      </c>
      <c r="AO148" s="85">
        <f>SUM(AO118:AO147)</f>
        <v>0</v>
      </c>
      <c r="AR148" s="306">
        <f>SUM(AR118:AR147)</f>
        <v>75930.81</v>
      </c>
      <c r="AS148" s="306">
        <f>SUM(AS118:AS147)</f>
        <v>35846.389999999992</v>
      </c>
      <c r="AT148" s="306">
        <f>SUM(AT118:AT147)</f>
        <v>118068.37000000001</v>
      </c>
      <c r="AU148" s="306">
        <f>SUM(AU118:AU147)</f>
        <v>2717.1200000000003</v>
      </c>
      <c r="AW148" s="306">
        <f>SUM(AW118:AW147)</f>
        <v>0</v>
      </c>
      <c r="AY148" s="84">
        <f>SUM(AY118:AY147)</f>
        <v>0</v>
      </c>
      <c r="AZ148" s="85">
        <f>SUM(AZ118:AZ147)</f>
        <v>30.340728491428592</v>
      </c>
      <c r="BA148" s="85">
        <f>SUM(BA118:BA147)</f>
        <v>0</v>
      </c>
      <c r="BB148" s="85">
        <f>SUM(BB118:BB147)</f>
        <v>30.340728491428592</v>
      </c>
      <c r="BE148" s="306">
        <f>SUM(BE118:BE147)</f>
        <v>339681.70000000007</v>
      </c>
      <c r="BF148" s="306">
        <f>SUM(BF118:BF147)</f>
        <v>2195.81</v>
      </c>
      <c r="BG148" s="83"/>
      <c r="BH148" s="84">
        <f>SUM(BH118:BH147)</f>
        <v>660.27601399999992</v>
      </c>
      <c r="BI148" s="85">
        <f>SUM(BI118:BI147)</f>
        <v>0</v>
      </c>
      <c r="BJ148" s="85">
        <f>SUM(BJ118:BJ147)</f>
        <v>0</v>
      </c>
      <c r="BK148" s="85">
        <f>SUM(BK118:BK147)</f>
        <v>2856.086014</v>
      </c>
      <c r="BN148" s="306">
        <f>SUM(BN118:BN147)</f>
        <v>152561.32999999999</v>
      </c>
      <c r="BO148" s="306">
        <f>SUM(BO118:BO147)</f>
        <v>2022.6600000000003</v>
      </c>
      <c r="BP148" s="83"/>
      <c r="BQ148" s="84">
        <f>SUM(BQ118:BQ147)</f>
        <v>0</v>
      </c>
      <c r="BR148" s="85">
        <f>SUM(BR118:BR147)</f>
        <v>0</v>
      </c>
      <c r="BS148" s="85">
        <f>SUM(BS118:BS147)</f>
        <v>0</v>
      </c>
      <c r="BT148" s="85">
        <f>SUM(BT118:BT147)</f>
        <v>2022.6600000000003</v>
      </c>
      <c r="BW148" s="306">
        <f>SUM(BW118:BW147)</f>
        <v>17916.260000000002</v>
      </c>
      <c r="BX148" s="306">
        <f>SUM(BX118:BX147)</f>
        <v>0</v>
      </c>
      <c r="BZ148" s="84">
        <f>SUM(BZ118:BZ147)</f>
        <v>0</v>
      </c>
      <c r="CA148" s="85">
        <f>SUM(CA118:CA147)</f>
        <v>0</v>
      </c>
      <c r="CB148" s="85">
        <f>SUM(CB118:CB147)</f>
        <v>0</v>
      </c>
      <c r="CC148" s="85">
        <f>SUM(CC118:CC147)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FA302"/>
  <sheetViews>
    <sheetView showGridLines="0" topLeftCell="EL1" zoomScaleNormal="100" workbookViewId="0">
      <selection activeCell="FC246" sqref="FC246"/>
    </sheetView>
  </sheetViews>
  <sheetFormatPr baseColWidth="10" defaultColWidth="11" defaultRowHeight="15" x14ac:dyDescent="0.25"/>
  <cols>
    <col min="1" max="1" width="4.7109375" customWidth="1"/>
    <col min="3" max="3" width="19.140625" customWidth="1"/>
    <col min="4" max="4" width="16.42578125" customWidth="1"/>
    <col min="5" max="5" width="15.140625" customWidth="1"/>
    <col min="6" max="6" width="20.28515625" customWidth="1"/>
    <col min="8" max="8" width="1.42578125" customWidth="1"/>
    <col min="9" max="12" width="11.140625" customWidth="1"/>
    <col min="15" max="15" width="15.28515625" customWidth="1"/>
    <col min="16" max="16" width="13.85546875" customWidth="1"/>
    <col min="17" max="17" width="10.85546875" customWidth="1"/>
    <col min="18" max="18" width="11.5703125" customWidth="1"/>
    <col min="19" max="19" width="1.42578125" customWidth="1"/>
    <col min="20" max="20" width="13.140625" customWidth="1"/>
    <col min="21" max="23" width="11.140625" customWidth="1"/>
    <col min="26" max="26" width="18.140625" customWidth="1"/>
    <col min="27" max="27" width="17" customWidth="1"/>
    <col min="28" max="29" width="15.140625" customWidth="1"/>
    <col min="30" max="30" width="1.28515625" customWidth="1"/>
    <col min="31" max="31" width="12.85546875" customWidth="1"/>
    <col min="32" max="33" width="11.140625" customWidth="1"/>
    <col min="34" max="34" width="13" customWidth="1"/>
    <col min="37" max="37" width="18.140625" customWidth="1"/>
    <col min="38" max="38" width="15.5703125" customWidth="1"/>
    <col min="39" max="40" width="15.140625" customWidth="1"/>
    <col min="41" max="41" width="1.28515625" customWidth="1"/>
    <col min="42" max="45" width="11.140625" customWidth="1"/>
    <col min="48" max="48" width="17.42578125" customWidth="1"/>
    <col min="49" max="49" width="13.85546875" customWidth="1"/>
    <col min="50" max="51" width="15.140625" customWidth="1"/>
    <col min="52" max="52" width="1.28515625" customWidth="1"/>
    <col min="53" max="53" width="13" customWidth="1"/>
    <col min="54" max="55" width="11.140625" customWidth="1"/>
    <col min="56" max="56" width="13" customWidth="1"/>
    <col min="59" max="59" width="18.42578125" customWidth="1"/>
    <col min="60" max="60" width="16" customWidth="1"/>
    <col min="61" max="62" width="15.140625" customWidth="1"/>
    <col min="63" max="63" width="1.28515625" customWidth="1"/>
    <col min="64" max="64" width="12" customWidth="1"/>
    <col min="65" max="66" width="11.140625" customWidth="1"/>
    <col min="67" max="67" width="13.5703125" customWidth="1"/>
    <col min="70" max="70" width="15.28515625" customWidth="1"/>
    <col min="71" max="71" width="15.5703125" customWidth="1"/>
    <col min="72" max="73" width="15.140625" customWidth="1"/>
    <col min="74" max="74" width="1.28515625" customWidth="1"/>
    <col min="75" max="78" width="11.140625" customWidth="1"/>
    <col min="81" max="81" width="18.7109375" customWidth="1"/>
    <col min="82" max="82" width="15.7109375" customWidth="1"/>
    <col min="83" max="84" width="15.140625" customWidth="1"/>
    <col min="85" max="85" width="1.28515625" customWidth="1"/>
    <col min="86" max="89" width="11.140625" customWidth="1"/>
    <col min="92" max="92" width="17.140625" customWidth="1"/>
    <col min="93" max="93" width="18" customWidth="1"/>
    <col min="94" max="94" width="14.28515625" customWidth="1"/>
    <col min="95" max="95" width="14.7109375" customWidth="1"/>
    <col min="96" max="96" width="1.28515625" customWidth="1"/>
    <col min="97" max="99" width="11.140625" customWidth="1"/>
    <col min="100" max="100" width="12" customWidth="1"/>
    <col min="103" max="103" width="15.42578125" customWidth="1"/>
    <col min="104" max="104" width="14.85546875" customWidth="1"/>
    <col min="105" max="105" width="14.7109375" customWidth="1"/>
    <col min="106" max="106" width="14" customWidth="1"/>
    <col min="107" max="107" width="1.28515625" customWidth="1"/>
    <col min="108" max="108" width="13.7109375" customWidth="1"/>
    <col min="110" max="110" width="11.140625" customWidth="1"/>
    <col min="111" max="111" width="12.85546875" customWidth="1"/>
    <col min="114" max="114" width="15" customWidth="1"/>
    <col min="115" max="115" width="17" customWidth="1"/>
    <col min="116" max="116" width="15.140625" customWidth="1"/>
    <col min="117" max="117" width="15.7109375" customWidth="1"/>
    <col min="118" max="118" width="1.28515625" customWidth="1"/>
    <col min="119" max="122" width="11.140625" customWidth="1"/>
    <col min="125" max="125" width="18.5703125" customWidth="1"/>
    <col min="126" max="126" width="15" customWidth="1"/>
    <col min="127" max="127" width="14.85546875" customWidth="1"/>
    <col min="128" max="128" width="15.5703125" customWidth="1"/>
    <col min="129" max="129" width="1.28515625" customWidth="1"/>
    <col min="130" max="130" width="13.140625" customWidth="1"/>
    <col min="131" max="131" width="12.28515625" customWidth="1"/>
    <col min="132" max="132" width="11.140625" customWidth="1"/>
    <col min="133" max="133" width="12.140625" customWidth="1"/>
    <col min="136" max="136" width="18.28515625" customWidth="1"/>
    <col min="137" max="137" width="16.140625" customWidth="1"/>
    <col min="139" max="139" width="13.42578125" customWidth="1"/>
    <col min="140" max="140" width="1.28515625" customWidth="1"/>
    <col min="141" max="143" width="11.140625" customWidth="1"/>
    <col min="144" max="144" width="13.140625" customWidth="1"/>
    <col min="147" max="147" width="15.42578125" customWidth="1"/>
    <col min="148" max="148" width="16.140625" customWidth="1"/>
    <col min="149" max="150" width="14.7109375" customWidth="1"/>
    <col min="151" max="151" width="1.28515625" customWidth="1"/>
    <col min="152" max="155" width="11.140625" customWidth="1"/>
    <col min="157" max="157" width="11" style="437"/>
  </cols>
  <sheetData>
    <row r="1" spans="2:155" ht="15" customHeight="1" x14ac:dyDescent="0.35">
      <c r="C1" s="1" t="s">
        <v>0</v>
      </c>
      <c r="O1" s="1" t="s">
        <v>1</v>
      </c>
      <c r="Z1" s="1" t="s">
        <v>2</v>
      </c>
      <c r="AK1" s="1" t="s">
        <v>3</v>
      </c>
      <c r="AV1" s="1" t="s">
        <v>4</v>
      </c>
      <c r="BG1" s="1" t="s">
        <v>5</v>
      </c>
      <c r="BR1" s="1" t="s">
        <v>6</v>
      </c>
      <c r="CC1" s="1" t="s">
        <v>7</v>
      </c>
      <c r="CN1" s="1" t="s">
        <v>8</v>
      </c>
      <c r="CY1" s="1" t="s">
        <v>9</v>
      </c>
      <c r="DJ1" s="1" t="s">
        <v>10</v>
      </c>
      <c r="DU1" s="1" t="s">
        <v>11</v>
      </c>
      <c r="EF1" s="1" t="s">
        <v>12</v>
      </c>
      <c r="EQ1" s="1" t="s">
        <v>13</v>
      </c>
    </row>
    <row r="2" spans="2:155" ht="15.75" hidden="1" thickBot="1" x14ac:dyDescent="0.3"/>
    <row r="3" spans="2:155" hidden="1" x14ac:dyDescent="0.25">
      <c r="B3" s="2" t="s">
        <v>14</v>
      </c>
      <c r="C3" s="3" t="s">
        <v>15</v>
      </c>
      <c r="D3" s="4" t="s">
        <v>15</v>
      </c>
      <c r="E3" s="4" t="s">
        <v>15</v>
      </c>
      <c r="F3" s="5" t="s">
        <v>16</v>
      </c>
      <c r="H3" s="6"/>
      <c r="I3" s="7" t="s">
        <v>16</v>
      </c>
      <c r="J3" s="8" t="s">
        <v>16</v>
      </c>
      <c r="K3" s="9" t="s">
        <v>16</v>
      </c>
      <c r="L3" s="10" t="s">
        <v>17</v>
      </c>
      <c r="N3" s="2" t="s">
        <v>14</v>
      </c>
      <c r="O3" s="3" t="s">
        <v>15</v>
      </c>
      <c r="P3" s="4" t="s">
        <v>15</v>
      </c>
      <c r="Q3" s="11" t="s">
        <v>16</v>
      </c>
      <c r="R3" s="11" t="s">
        <v>16</v>
      </c>
      <c r="S3" s="6"/>
      <c r="T3" s="7" t="s">
        <v>16</v>
      </c>
      <c r="U3" s="8" t="s">
        <v>16</v>
      </c>
      <c r="V3" s="9" t="s">
        <v>16</v>
      </c>
      <c r="W3" s="10" t="s">
        <v>17</v>
      </c>
      <c r="Y3" s="2" t="s">
        <v>14</v>
      </c>
      <c r="Z3" s="3" t="s">
        <v>15</v>
      </c>
      <c r="AA3" s="4" t="s">
        <v>15</v>
      </c>
      <c r="AB3" s="5" t="s">
        <v>16</v>
      </c>
      <c r="AC3" s="11" t="s">
        <v>16</v>
      </c>
      <c r="AD3" s="6"/>
      <c r="AE3" s="7" t="s">
        <v>16</v>
      </c>
      <c r="AF3" s="8" t="s">
        <v>16</v>
      </c>
      <c r="AG3" s="9" t="s">
        <v>16</v>
      </c>
      <c r="AH3" s="10" t="s">
        <v>17</v>
      </c>
      <c r="AJ3" s="2" t="s">
        <v>14</v>
      </c>
      <c r="AK3" s="3" t="s">
        <v>15</v>
      </c>
      <c r="AL3" s="4" t="s">
        <v>15</v>
      </c>
      <c r="AM3" s="5" t="s">
        <v>16</v>
      </c>
      <c r="AN3" s="11" t="s">
        <v>16</v>
      </c>
      <c r="AO3" s="6"/>
      <c r="AP3" s="7" t="s">
        <v>16</v>
      </c>
      <c r="AQ3" s="8" t="s">
        <v>16</v>
      </c>
      <c r="AR3" s="9" t="s">
        <v>16</v>
      </c>
      <c r="AS3" s="10" t="s">
        <v>17</v>
      </c>
      <c r="AU3" s="2" t="s">
        <v>14</v>
      </c>
      <c r="AV3" s="3" t="s">
        <v>15</v>
      </c>
      <c r="AW3" s="4" t="s">
        <v>15</v>
      </c>
      <c r="AX3" s="5" t="s">
        <v>16</v>
      </c>
      <c r="AY3" s="11" t="s">
        <v>16</v>
      </c>
      <c r="AZ3" s="6"/>
      <c r="BA3" s="7" t="s">
        <v>16</v>
      </c>
      <c r="BB3" s="8" t="s">
        <v>16</v>
      </c>
      <c r="BC3" s="9" t="s">
        <v>16</v>
      </c>
      <c r="BD3" s="10" t="s">
        <v>17</v>
      </c>
      <c r="BF3" s="2" t="s">
        <v>14</v>
      </c>
      <c r="BG3" s="3" t="s">
        <v>15</v>
      </c>
      <c r="BH3" s="4" t="s">
        <v>15</v>
      </c>
      <c r="BI3" s="5" t="s">
        <v>16</v>
      </c>
      <c r="BJ3" s="11" t="s">
        <v>16</v>
      </c>
      <c r="BK3" s="6"/>
      <c r="BL3" s="7" t="s">
        <v>16</v>
      </c>
      <c r="BM3" s="8" t="s">
        <v>16</v>
      </c>
      <c r="BN3" s="9" t="s">
        <v>16</v>
      </c>
      <c r="BO3" s="10" t="s">
        <v>17</v>
      </c>
      <c r="BQ3" s="2" t="s">
        <v>14</v>
      </c>
      <c r="BR3" s="3" t="s">
        <v>15</v>
      </c>
      <c r="BS3" s="4" t="s">
        <v>15</v>
      </c>
      <c r="BT3" s="5" t="s">
        <v>16</v>
      </c>
      <c r="BU3" s="11" t="s">
        <v>16</v>
      </c>
      <c r="BV3" s="6"/>
      <c r="BW3" s="7" t="s">
        <v>16</v>
      </c>
      <c r="BX3" s="8" t="s">
        <v>16</v>
      </c>
      <c r="BY3" s="9" t="s">
        <v>16</v>
      </c>
      <c r="BZ3" s="10" t="s">
        <v>17</v>
      </c>
      <c r="CB3" s="2" t="s">
        <v>14</v>
      </c>
      <c r="CC3" s="3" t="s">
        <v>15</v>
      </c>
      <c r="CD3" s="4" t="s">
        <v>15</v>
      </c>
      <c r="CE3" s="5" t="s">
        <v>16</v>
      </c>
      <c r="CF3" s="11" t="s">
        <v>16</v>
      </c>
      <c r="CG3" s="6"/>
      <c r="CH3" s="7" t="s">
        <v>16</v>
      </c>
      <c r="CI3" s="8" t="s">
        <v>16</v>
      </c>
      <c r="CJ3" s="9" t="s">
        <v>16</v>
      </c>
      <c r="CK3" s="10" t="s">
        <v>17</v>
      </c>
      <c r="CM3" s="2" t="s">
        <v>14</v>
      </c>
      <c r="CN3" s="3" t="s">
        <v>15</v>
      </c>
      <c r="CO3" s="4" t="s">
        <v>15</v>
      </c>
      <c r="CP3" s="5" t="s">
        <v>16</v>
      </c>
      <c r="CQ3" s="11" t="s">
        <v>16</v>
      </c>
      <c r="CR3" s="6"/>
      <c r="CS3" s="7" t="s">
        <v>16</v>
      </c>
      <c r="CT3" s="8" t="s">
        <v>16</v>
      </c>
      <c r="CU3" s="9" t="s">
        <v>16</v>
      </c>
      <c r="CV3" s="10" t="s">
        <v>17</v>
      </c>
      <c r="CX3" s="2" t="s">
        <v>14</v>
      </c>
      <c r="CY3" s="3" t="s">
        <v>15</v>
      </c>
      <c r="CZ3" s="4" t="s">
        <v>15</v>
      </c>
      <c r="DA3" s="5" t="s">
        <v>16</v>
      </c>
      <c r="DB3" s="11" t="s">
        <v>16</v>
      </c>
      <c r="DC3" s="6"/>
      <c r="DD3" s="7" t="s">
        <v>16</v>
      </c>
      <c r="DE3" s="8" t="s">
        <v>16</v>
      </c>
      <c r="DF3" s="9" t="s">
        <v>16</v>
      </c>
      <c r="DG3" s="10" t="s">
        <v>17</v>
      </c>
      <c r="DI3" s="2" t="s">
        <v>14</v>
      </c>
      <c r="DJ3" s="3" t="s">
        <v>15</v>
      </c>
      <c r="DK3" s="4" t="s">
        <v>15</v>
      </c>
      <c r="DL3" s="5" t="s">
        <v>16</v>
      </c>
      <c r="DM3" s="11" t="s">
        <v>16</v>
      </c>
      <c r="DN3" s="6"/>
      <c r="DO3" s="7" t="s">
        <v>16</v>
      </c>
      <c r="DP3" s="8" t="s">
        <v>16</v>
      </c>
      <c r="DQ3" s="9" t="s">
        <v>16</v>
      </c>
      <c r="DR3" s="10" t="s">
        <v>17</v>
      </c>
      <c r="DT3" s="2" t="s">
        <v>14</v>
      </c>
      <c r="DU3" s="3" t="s">
        <v>15</v>
      </c>
      <c r="DV3" s="4" t="s">
        <v>15</v>
      </c>
      <c r="DW3" s="5" t="s">
        <v>16</v>
      </c>
      <c r="DX3" s="11" t="s">
        <v>16</v>
      </c>
      <c r="DY3" s="6"/>
      <c r="DZ3" s="7" t="s">
        <v>16</v>
      </c>
      <c r="EA3" s="8" t="s">
        <v>16</v>
      </c>
      <c r="EB3" s="9" t="s">
        <v>16</v>
      </c>
      <c r="EC3" s="10" t="s">
        <v>17</v>
      </c>
      <c r="EE3" s="2" t="s">
        <v>14</v>
      </c>
      <c r="EF3" s="3" t="s">
        <v>15</v>
      </c>
      <c r="EG3" s="4" t="s">
        <v>15</v>
      </c>
      <c r="EH3" s="5" t="s">
        <v>16</v>
      </c>
      <c r="EI3" s="11" t="s">
        <v>16</v>
      </c>
      <c r="EJ3" s="6"/>
      <c r="EK3" s="7" t="s">
        <v>16</v>
      </c>
      <c r="EL3" s="8" t="s">
        <v>16</v>
      </c>
      <c r="EM3" s="9" t="s">
        <v>16</v>
      </c>
      <c r="EN3" s="10" t="s">
        <v>17</v>
      </c>
      <c r="EP3" s="2" t="s">
        <v>14</v>
      </c>
      <c r="EQ3" s="3" t="s">
        <v>15</v>
      </c>
      <c r="ER3" s="4" t="s">
        <v>15</v>
      </c>
      <c r="ES3" s="5" t="s">
        <v>16</v>
      </c>
      <c r="ET3" s="11" t="s">
        <v>16</v>
      </c>
      <c r="EU3" s="6"/>
      <c r="EV3" s="7" t="s">
        <v>16</v>
      </c>
      <c r="EW3" s="8" t="s">
        <v>16</v>
      </c>
      <c r="EX3" s="9" t="s">
        <v>16</v>
      </c>
      <c r="EY3" s="10" t="s">
        <v>17</v>
      </c>
    </row>
    <row r="4" spans="2:155" ht="15.75" hidden="1" thickBot="1" x14ac:dyDescent="0.3">
      <c r="B4" s="12"/>
      <c r="C4" s="13" t="s">
        <v>18</v>
      </c>
      <c r="D4" s="14" t="s">
        <v>19</v>
      </c>
      <c r="E4" s="14" t="s">
        <v>20</v>
      </c>
      <c r="F4" s="15" t="s">
        <v>20</v>
      </c>
      <c r="H4" s="6"/>
      <c r="I4" s="16" t="s">
        <v>21</v>
      </c>
      <c r="J4" s="17" t="s">
        <v>22</v>
      </c>
      <c r="K4" s="18" t="s">
        <v>23</v>
      </c>
      <c r="L4" s="19" t="s">
        <v>24</v>
      </c>
      <c r="N4" s="12"/>
      <c r="O4" s="13" t="s">
        <v>18</v>
      </c>
      <c r="P4" s="14" t="s">
        <v>19</v>
      </c>
      <c r="Q4" s="20" t="s">
        <v>19</v>
      </c>
      <c r="R4" s="20" t="s">
        <v>25</v>
      </c>
      <c r="S4" s="6"/>
      <c r="T4" s="16" t="s">
        <v>21</v>
      </c>
      <c r="U4" s="17" t="s">
        <v>22</v>
      </c>
      <c r="V4" s="18" t="s">
        <v>23</v>
      </c>
      <c r="W4" s="19" t="s">
        <v>24</v>
      </c>
      <c r="Y4" s="12"/>
      <c r="Z4" s="13" t="s">
        <v>18</v>
      </c>
      <c r="AA4" s="14" t="s">
        <v>19</v>
      </c>
      <c r="AB4" s="15" t="s">
        <v>19</v>
      </c>
      <c r="AC4" s="20" t="s">
        <v>25</v>
      </c>
      <c r="AD4" s="6"/>
      <c r="AE4" s="16" t="s">
        <v>21</v>
      </c>
      <c r="AF4" s="17" t="s">
        <v>22</v>
      </c>
      <c r="AG4" s="18" t="s">
        <v>23</v>
      </c>
      <c r="AH4" s="21" t="s">
        <v>24</v>
      </c>
      <c r="AJ4" s="12"/>
      <c r="AK4" s="13" t="s">
        <v>18</v>
      </c>
      <c r="AL4" s="14" t="s">
        <v>19</v>
      </c>
      <c r="AM4" s="15" t="s">
        <v>19</v>
      </c>
      <c r="AN4" s="20" t="s">
        <v>25</v>
      </c>
      <c r="AO4" s="6"/>
      <c r="AP4" s="16" t="s">
        <v>21</v>
      </c>
      <c r="AQ4" s="17" t="s">
        <v>22</v>
      </c>
      <c r="AR4" s="18" t="s">
        <v>23</v>
      </c>
      <c r="AS4" s="21" t="s">
        <v>24</v>
      </c>
      <c r="AU4" s="12"/>
      <c r="AV4" s="13" t="s">
        <v>18</v>
      </c>
      <c r="AW4" s="14" t="s">
        <v>19</v>
      </c>
      <c r="AX4" s="15" t="s">
        <v>19</v>
      </c>
      <c r="AY4" s="20" t="s">
        <v>25</v>
      </c>
      <c r="AZ4" s="6"/>
      <c r="BA4" s="16" t="s">
        <v>21</v>
      </c>
      <c r="BB4" s="17" t="s">
        <v>22</v>
      </c>
      <c r="BC4" s="18" t="s">
        <v>23</v>
      </c>
      <c r="BD4" s="21" t="s">
        <v>24</v>
      </c>
      <c r="BF4" s="12"/>
      <c r="BG4" s="13" t="s">
        <v>18</v>
      </c>
      <c r="BH4" s="14" t="s">
        <v>19</v>
      </c>
      <c r="BI4" s="15" t="s">
        <v>19</v>
      </c>
      <c r="BJ4" s="20" t="s">
        <v>25</v>
      </c>
      <c r="BK4" s="6"/>
      <c r="BL4" s="16" t="s">
        <v>21</v>
      </c>
      <c r="BM4" s="17" t="s">
        <v>22</v>
      </c>
      <c r="BN4" s="18" t="s">
        <v>23</v>
      </c>
      <c r="BO4" s="21" t="s">
        <v>24</v>
      </c>
      <c r="BQ4" s="12"/>
      <c r="BR4" s="13" t="s">
        <v>18</v>
      </c>
      <c r="BS4" s="14" t="s">
        <v>19</v>
      </c>
      <c r="BT4" s="15" t="s">
        <v>19</v>
      </c>
      <c r="BU4" s="20" t="s">
        <v>25</v>
      </c>
      <c r="BV4" s="6"/>
      <c r="BW4" s="16" t="s">
        <v>21</v>
      </c>
      <c r="BX4" s="17" t="s">
        <v>22</v>
      </c>
      <c r="BY4" s="18" t="s">
        <v>23</v>
      </c>
      <c r="BZ4" s="21" t="s">
        <v>24</v>
      </c>
      <c r="CB4" s="12"/>
      <c r="CC4" s="13" t="s">
        <v>18</v>
      </c>
      <c r="CD4" s="14" t="s">
        <v>19</v>
      </c>
      <c r="CE4" s="15" t="s">
        <v>19</v>
      </c>
      <c r="CF4" s="20" t="s">
        <v>25</v>
      </c>
      <c r="CG4" s="6"/>
      <c r="CH4" s="16" t="s">
        <v>21</v>
      </c>
      <c r="CI4" s="17" t="s">
        <v>22</v>
      </c>
      <c r="CJ4" s="18" t="s">
        <v>23</v>
      </c>
      <c r="CK4" s="21" t="s">
        <v>24</v>
      </c>
      <c r="CM4" s="12"/>
      <c r="CN4" s="13" t="s">
        <v>18</v>
      </c>
      <c r="CO4" s="14" t="s">
        <v>19</v>
      </c>
      <c r="CP4" s="15" t="s">
        <v>19</v>
      </c>
      <c r="CQ4" s="20" t="s">
        <v>25</v>
      </c>
      <c r="CR4" s="6"/>
      <c r="CS4" s="16" t="s">
        <v>21</v>
      </c>
      <c r="CT4" s="17" t="s">
        <v>22</v>
      </c>
      <c r="CU4" s="18" t="s">
        <v>23</v>
      </c>
      <c r="CV4" s="21" t="s">
        <v>24</v>
      </c>
      <c r="CX4" s="12"/>
      <c r="CY4" s="13" t="s">
        <v>18</v>
      </c>
      <c r="CZ4" s="14" t="s">
        <v>19</v>
      </c>
      <c r="DA4" s="15" t="s">
        <v>19</v>
      </c>
      <c r="DB4" s="20" t="s">
        <v>25</v>
      </c>
      <c r="DC4" s="6"/>
      <c r="DD4" s="16" t="s">
        <v>21</v>
      </c>
      <c r="DE4" s="17" t="s">
        <v>22</v>
      </c>
      <c r="DF4" s="18" t="s">
        <v>23</v>
      </c>
      <c r="DG4" s="21" t="s">
        <v>24</v>
      </c>
      <c r="DI4" s="12"/>
      <c r="DJ4" s="13" t="s">
        <v>18</v>
      </c>
      <c r="DK4" s="14" t="s">
        <v>19</v>
      </c>
      <c r="DL4" s="15" t="s">
        <v>19</v>
      </c>
      <c r="DM4" s="20" t="s">
        <v>25</v>
      </c>
      <c r="DN4" s="6"/>
      <c r="DO4" s="16" t="s">
        <v>21</v>
      </c>
      <c r="DP4" s="17" t="s">
        <v>22</v>
      </c>
      <c r="DQ4" s="18" t="s">
        <v>23</v>
      </c>
      <c r="DR4" s="21" t="s">
        <v>24</v>
      </c>
      <c r="DT4" s="12"/>
      <c r="DU4" s="13" t="s">
        <v>18</v>
      </c>
      <c r="DV4" s="14" t="s">
        <v>19</v>
      </c>
      <c r="DW4" s="15" t="s">
        <v>19</v>
      </c>
      <c r="DX4" s="20" t="s">
        <v>25</v>
      </c>
      <c r="DY4" s="6"/>
      <c r="DZ4" s="16" t="s">
        <v>21</v>
      </c>
      <c r="EA4" s="17" t="s">
        <v>22</v>
      </c>
      <c r="EB4" s="18" t="s">
        <v>23</v>
      </c>
      <c r="EC4" s="21" t="s">
        <v>24</v>
      </c>
      <c r="EE4" s="12"/>
      <c r="EF4" s="13" t="s">
        <v>18</v>
      </c>
      <c r="EG4" s="14" t="s">
        <v>19</v>
      </c>
      <c r="EH4" s="15" t="s">
        <v>19</v>
      </c>
      <c r="EI4" s="20" t="s">
        <v>25</v>
      </c>
      <c r="EJ4" s="6"/>
      <c r="EK4" s="16" t="s">
        <v>21</v>
      </c>
      <c r="EL4" s="17" t="s">
        <v>22</v>
      </c>
      <c r="EM4" s="18" t="s">
        <v>23</v>
      </c>
      <c r="EN4" s="21" t="s">
        <v>24</v>
      </c>
      <c r="EP4" s="12"/>
      <c r="EQ4" s="13" t="s">
        <v>18</v>
      </c>
      <c r="ER4" s="14" t="s">
        <v>19</v>
      </c>
      <c r="ES4" s="15" t="s">
        <v>19</v>
      </c>
      <c r="ET4" s="20" t="s">
        <v>25</v>
      </c>
      <c r="EU4" s="6"/>
      <c r="EV4" s="16" t="s">
        <v>21</v>
      </c>
      <c r="EW4" s="17" t="s">
        <v>22</v>
      </c>
      <c r="EX4" s="18" t="s">
        <v>23</v>
      </c>
      <c r="EY4" s="21" t="s">
        <v>24</v>
      </c>
    </row>
    <row r="5" spans="2:155" hidden="1" x14ac:dyDescent="0.25">
      <c r="B5" s="22">
        <v>45901</v>
      </c>
      <c r="C5" s="23">
        <v>25421.33</v>
      </c>
      <c r="D5" s="24">
        <v>4339.55</v>
      </c>
      <c r="E5" s="25">
        <v>5399.93</v>
      </c>
      <c r="F5" s="26">
        <v>160.63</v>
      </c>
      <c r="H5" s="27"/>
      <c r="I5" s="28"/>
      <c r="J5" s="29"/>
      <c r="K5" s="29"/>
      <c r="L5" s="30">
        <f>SUM(G5:K5)</f>
        <v>0</v>
      </c>
      <c r="N5" s="22">
        <v>45901</v>
      </c>
      <c r="O5" s="31">
        <v>5211.84</v>
      </c>
      <c r="P5" s="31">
        <v>230.76</v>
      </c>
      <c r="Q5" s="26"/>
      <c r="R5" s="26"/>
      <c r="S5" s="27"/>
      <c r="T5" s="32">
        <v>21.046320000000037</v>
      </c>
      <c r="U5" s="33"/>
      <c r="V5" s="29"/>
      <c r="W5" s="30">
        <f>SUM(R5:V5)</f>
        <v>21.046320000000037</v>
      </c>
      <c r="Y5" s="22">
        <v>45901</v>
      </c>
      <c r="Z5" s="34">
        <v>5135.66</v>
      </c>
      <c r="AA5" s="35">
        <v>1755.61</v>
      </c>
      <c r="AB5" s="36"/>
      <c r="AC5" s="37">
        <v>408.04</v>
      </c>
      <c r="AD5" s="27"/>
      <c r="AE5" s="32">
        <v>24.612100999999996</v>
      </c>
      <c r="AF5" s="29"/>
      <c r="AG5" s="29"/>
      <c r="AH5" s="30">
        <f>SUM(AC5:AG5)</f>
        <v>432.65210100000002</v>
      </c>
      <c r="AJ5" s="22">
        <v>45901</v>
      </c>
      <c r="AK5" s="34">
        <v>3285.44</v>
      </c>
      <c r="AL5" s="35">
        <v>493.62</v>
      </c>
      <c r="AM5" s="36"/>
      <c r="AN5" s="38"/>
      <c r="AO5" s="27"/>
      <c r="AP5" s="28"/>
      <c r="AQ5" s="29"/>
      <c r="AR5" s="29"/>
      <c r="AS5" s="30">
        <f>SUM(AN5:AR5)</f>
        <v>0</v>
      </c>
      <c r="AU5" s="22">
        <v>45901</v>
      </c>
      <c r="AV5" s="39">
        <v>945.04</v>
      </c>
      <c r="AW5" s="39">
        <v>25</v>
      </c>
      <c r="AX5" s="36"/>
      <c r="AY5" s="37"/>
      <c r="AZ5" s="27"/>
      <c r="BA5" s="32">
        <v>46.094920000000016</v>
      </c>
      <c r="BB5" s="29"/>
      <c r="BC5" s="29"/>
      <c r="BD5" s="30">
        <f>SUM(AY5:BC5)</f>
        <v>46.094920000000016</v>
      </c>
      <c r="BF5" s="22">
        <v>45901</v>
      </c>
      <c r="BG5" s="34">
        <v>4485.8599999999997</v>
      </c>
      <c r="BH5" s="35">
        <v>965.25</v>
      </c>
      <c r="BI5" s="36"/>
      <c r="BJ5" s="37"/>
      <c r="BK5" s="27"/>
      <c r="BL5" s="32">
        <v>176.92111999999989</v>
      </c>
      <c r="BM5" s="33">
        <v>59.770388000000011</v>
      </c>
      <c r="BN5" s="29"/>
      <c r="BO5" s="30">
        <f>SUM(BJ5:BN5)</f>
        <v>236.69150799999989</v>
      </c>
      <c r="BQ5" s="22">
        <v>45901</v>
      </c>
      <c r="BR5" s="35">
        <v>1396.75</v>
      </c>
      <c r="BS5" s="35">
        <v>658.83</v>
      </c>
      <c r="BT5" s="36"/>
      <c r="BU5" s="40"/>
      <c r="BV5" s="27"/>
      <c r="BW5" s="28"/>
      <c r="BX5" s="29"/>
      <c r="BY5" s="29"/>
      <c r="BZ5" s="30">
        <f>SUM(BU5:BY5)</f>
        <v>0</v>
      </c>
      <c r="CB5" s="22">
        <v>45901</v>
      </c>
      <c r="CC5" s="34">
        <v>15955.58</v>
      </c>
      <c r="CD5" s="35">
        <v>1569.11</v>
      </c>
      <c r="CE5" s="36"/>
      <c r="CF5" s="38"/>
      <c r="CG5" s="27"/>
      <c r="CH5" s="28"/>
      <c r="CI5" s="29"/>
      <c r="CJ5" s="29"/>
      <c r="CK5" s="30">
        <f>SUM(CF5:CJ5)</f>
        <v>0</v>
      </c>
      <c r="CM5" s="22">
        <v>45901</v>
      </c>
      <c r="CN5" s="34">
        <v>9979.11</v>
      </c>
      <c r="CO5" s="35">
        <v>2139.81</v>
      </c>
      <c r="CP5" s="36"/>
      <c r="CQ5" s="41"/>
      <c r="CR5" s="27"/>
      <c r="CS5" s="32">
        <v>149.34450853443201</v>
      </c>
      <c r="CT5" s="42">
        <v>199.4912699999999</v>
      </c>
      <c r="CU5" s="29"/>
      <c r="CV5" s="30">
        <f>SUM(CQ5:CU5)</f>
        <v>348.83577853443194</v>
      </c>
      <c r="CX5" s="22">
        <v>45901</v>
      </c>
      <c r="CY5" s="34">
        <v>5204.03</v>
      </c>
      <c r="CZ5" s="35">
        <v>1804.39</v>
      </c>
      <c r="DA5" s="36"/>
      <c r="DB5" s="37">
        <v>2.4</v>
      </c>
      <c r="DC5" s="27"/>
      <c r="DD5" s="32">
        <v>73.274099999999919</v>
      </c>
      <c r="DE5" s="32"/>
      <c r="DF5" s="29"/>
      <c r="DG5" s="30">
        <f>SUM(DB5:DF5)</f>
        <v>75.674099999999925</v>
      </c>
      <c r="DI5" s="22">
        <v>45901</v>
      </c>
      <c r="DJ5" s="34">
        <v>2767.84</v>
      </c>
      <c r="DK5" s="43"/>
      <c r="DL5" s="36"/>
      <c r="DM5" s="41"/>
      <c r="DN5" s="27"/>
      <c r="DO5" s="28"/>
      <c r="DP5" s="29"/>
      <c r="DQ5" s="29"/>
      <c r="DR5" s="30">
        <f>SUM(DM5:DQ5)</f>
        <v>0</v>
      </c>
      <c r="DT5" s="22">
        <v>45901</v>
      </c>
      <c r="DU5" s="34">
        <v>803.48</v>
      </c>
      <c r="DV5" s="35">
        <v>120.54</v>
      </c>
      <c r="DW5" s="36"/>
      <c r="DX5" s="41"/>
      <c r="DY5" s="27"/>
      <c r="DZ5" s="32">
        <v>156.23920000000001</v>
      </c>
      <c r="EA5" s="32">
        <v>252.86115999999993</v>
      </c>
      <c r="EB5" s="44"/>
      <c r="EC5" s="30">
        <f>SUM(DX5:EB5)</f>
        <v>409.10035999999991</v>
      </c>
      <c r="EE5" s="22">
        <v>45901</v>
      </c>
      <c r="EF5" s="34">
        <v>7571.53</v>
      </c>
      <c r="EG5" s="35">
        <v>1988.66</v>
      </c>
      <c r="EH5" s="36"/>
      <c r="EI5" s="37">
        <v>132.6</v>
      </c>
      <c r="EJ5" s="27"/>
      <c r="EK5" s="32"/>
      <c r="EL5" s="42"/>
      <c r="EM5" s="29"/>
      <c r="EN5" s="30">
        <f>SUM(EI5:EM5)</f>
        <v>132.6</v>
      </c>
      <c r="EP5" s="22">
        <v>45901</v>
      </c>
      <c r="EQ5" s="45">
        <v>973.63</v>
      </c>
      <c r="ER5" s="46">
        <v>818.39</v>
      </c>
      <c r="ES5" s="36"/>
      <c r="ET5" s="41"/>
      <c r="EU5" s="27"/>
      <c r="EV5" s="28"/>
      <c r="EW5" s="29"/>
      <c r="EX5" s="29"/>
      <c r="EY5" s="30">
        <f>SUM(ET5:EX5)</f>
        <v>0</v>
      </c>
    </row>
    <row r="6" spans="2:155" hidden="1" x14ac:dyDescent="0.25">
      <c r="B6" s="47">
        <v>45902</v>
      </c>
      <c r="C6" s="48">
        <v>21265.68</v>
      </c>
      <c r="D6" s="49">
        <v>3251.76</v>
      </c>
      <c r="E6" s="50">
        <v>3977.42</v>
      </c>
      <c r="F6" s="49">
        <v>192.4</v>
      </c>
      <c r="H6" s="27"/>
      <c r="I6" s="51"/>
      <c r="J6" s="52"/>
      <c r="K6" s="52"/>
      <c r="L6" s="53">
        <f t="shared" ref="L6:L35" si="0">SUM(G6:K6)</f>
        <v>0</v>
      </c>
      <c r="N6" s="47">
        <v>45902</v>
      </c>
      <c r="O6" s="54">
        <v>1823.91</v>
      </c>
      <c r="P6" s="54">
        <v>227.96</v>
      </c>
      <c r="Q6" s="55"/>
      <c r="R6" s="55">
        <v>34.83</v>
      </c>
      <c r="S6" s="27"/>
      <c r="T6" s="32">
        <v>14.639619999999908</v>
      </c>
      <c r="U6" s="33"/>
      <c r="V6" s="52"/>
      <c r="W6" s="53">
        <f t="shared" ref="W6:W34" si="1">SUM(R6:V6)</f>
        <v>49.469619999999907</v>
      </c>
      <c r="Y6" s="47">
        <v>45902</v>
      </c>
      <c r="Z6" s="56">
        <v>5231.33</v>
      </c>
      <c r="AA6" s="57">
        <v>1901.44</v>
      </c>
      <c r="AB6" s="58"/>
      <c r="AC6" s="59">
        <v>160.97</v>
      </c>
      <c r="AD6" s="27"/>
      <c r="AE6" s="32">
        <v>180.63459599999996</v>
      </c>
      <c r="AF6" s="52"/>
      <c r="AG6" s="52"/>
      <c r="AH6" s="53">
        <f t="shared" ref="AH6:AH34" si="2">SUM(AC6:AG6)</f>
        <v>341.60459599999996</v>
      </c>
      <c r="AJ6" s="47">
        <v>45902</v>
      </c>
      <c r="AK6" s="56">
        <v>3622.21</v>
      </c>
      <c r="AL6" s="57">
        <v>613.61</v>
      </c>
      <c r="AM6" s="58"/>
      <c r="AN6" s="60"/>
      <c r="AO6" s="27"/>
      <c r="AP6" s="51"/>
      <c r="AQ6" s="52"/>
      <c r="AR6" s="52"/>
      <c r="AS6" s="53">
        <f t="shared" ref="AS6:AS35" si="3">SUM(AN6:AR6)</f>
        <v>0</v>
      </c>
      <c r="AU6" s="47">
        <v>45902</v>
      </c>
      <c r="AV6" s="57">
        <v>383.3</v>
      </c>
      <c r="AW6" s="57">
        <v>0</v>
      </c>
      <c r="AX6" s="58"/>
      <c r="AY6" s="59"/>
      <c r="AZ6" s="27"/>
      <c r="BA6" s="32">
        <v>111.69597999999996</v>
      </c>
      <c r="BB6" s="52"/>
      <c r="BC6" s="52"/>
      <c r="BD6" s="53">
        <f t="shared" ref="BD6:BD34" si="4">SUM(AY6:BC6)</f>
        <v>111.69597999999996</v>
      </c>
      <c r="BF6" s="47">
        <v>45902</v>
      </c>
      <c r="BG6" s="56">
        <v>4967.7299999999996</v>
      </c>
      <c r="BH6" s="57">
        <v>914.39</v>
      </c>
      <c r="BI6" s="58"/>
      <c r="BJ6" s="59"/>
      <c r="BK6" s="27"/>
      <c r="BL6" s="32">
        <v>289.26399000000004</v>
      </c>
      <c r="BM6" s="33">
        <v>57.979792999999972</v>
      </c>
      <c r="BN6" s="52"/>
      <c r="BO6" s="53">
        <f t="shared" ref="BO6:BO34" si="5">SUM(BJ6:BN6)</f>
        <v>347.24378300000001</v>
      </c>
      <c r="BQ6" s="47">
        <v>45902</v>
      </c>
      <c r="BR6" s="57">
        <v>981.4</v>
      </c>
      <c r="BS6" s="57">
        <v>451.74</v>
      </c>
      <c r="BT6" s="58"/>
      <c r="BU6" s="61"/>
      <c r="BV6" s="27"/>
      <c r="BW6" s="51"/>
      <c r="BX6" s="52"/>
      <c r="BY6" s="52"/>
      <c r="BZ6" s="53">
        <f t="shared" ref="BZ6:BZ34" si="6">SUM(BU6:BY6)</f>
        <v>0</v>
      </c>
      <c r="CB6" s="47">
        <v>45902</v>
      </c>
      <c r="CC6" s="56">
        <v>18654.849999999999</v>
      </c>
      <c r="CD6" s="57">
        <v>2132.41</v>
      </c>
      <c r="CE6" s="58"/>
      <c r="CF6" s="60"/>
      <c r="CG6" s="27"/>
      <c r="CH6" s="51"/>
      <c r="CI6" s="52"/>
      <c r="CJ6" s="52"/>
      <c r="CK6" s="53">
        <f t="shared" ref="CK6:CK35" si="7">SUM(CF6:CJ6)</f>
        <v>0</v>
      </c>
      <c r="CM6" s="47">
        <v>45902</v>
      </c>
      <c r="CN6" s="56">
        <v>9263.4699999999993</v>
      </c>
      <c r="CO6" s="57">
        <v>2187.56</v>
      </c>
      <c r="CP6" s="58"/>
      <c r="CQ6" s="62"/>
      <c r="CR6" s="27"/>
      <c r="CS6" s="32">
        <v>90.333696848424182</v>
      </c>
      <c r="CT6" s="42">
        <v>287.78495999999996</v>
      </c>
      <c r="CU6" s="52"/>
      <c r="CV6" s="53">
        <f t="shared" ref="CV6:CV35" si="8">SUM(CQ6:CU6)</f>
        <v>378.11865684842417</v>
      </c>
      <c r="CX6" s="47">
        <v>45902</v>
      </c>
      <c r="CY6" s="56">
        <v>7321.86</v>
      </c>
      <c r="CZ6" s="57">
        <v>696.31</v>
      </c>
      <c r="DA6" s="58"/>
      <c r="DB6" s="59">
        <v>15.92</v>
      </c>
      <c r="DC6" s="27"/>
      <c r="DD6" s="32">
        <v>130.13634999999994</v>
      </c>
      <c r="DE6" s="32">
        <v>5.1399250000000052</v>
      </c>
      <c r="DF6" s="52"/>
      <c r="DG6" s="53">
        <f t="shared" ref="DG6:DG34" si="9">SUM(DB6:DF6)</f>
        <v>151.19627499999993</v>
      </c>
      <c r="DI6" s="47">
        <v>45902</v>
      </c>
      <c r="DJ6" s="56">
        <v>2149.36</v>
      </c>
      <c r="DK6" s="63"/>
      <c r="DL6" s="58"/>
      <c r="DM6" s="62"/>
      <c r="DN6" s="27"/>
      <c r="DO6" s="51"/>
      <c r="DP6" s="52"/>
      <c r="DQ6" s="52"/>
      <c r="DR6" s="53">
        <f t="shared" ref="DR6:DR35" si="10">SUM(DM6:DQ6)</f>
        <v>0</v>
      </c>
      <c r="DT6" s="47">
        <v>45902</v>
      </c>
      <c r="DU6" s="56">
        <v>2870.86</v>
      </c>
      <c r="DV6" s="57">
        <v>253.02</v>
      </c>
      <c r="DW6" s="58"/>
      <c r="DX6" s="62"/>
      <c r="DY6" s="27"/>
      <c r="DZ6" s="32">
        <v>100.81221000000004</v>
      </c>
      <c r="EA6" s="32"/>
      <c r="EB6" s="44"/>
      <c r="EC6" s="53">
        <f t="shared" ref="EC6:EC35" si="11">SUM(DX6:EB6)</f>
        <v>100.81221000000004</v>
      </c>
      <c r="EE6" s="47">
        <v>45902</v>
      </c>
      <c r="EF6" s="56">
        <v>6210.62</v>
      </c>
      <c r="EG6" s="57">
        <v>2153.61</v>
      </c>
      <c r="EH6" s="58"/>
      <c r="EI6" s="59">
        <v>92.56</v>
      </c>
      <c r="EJ6" s="27"/>
      <c r="EK6" s="32">
        <v>14.556979999999982</v>
      </c>
      <c r="EL6" s="42"/>
      <c r="EM6" s="52"/>
      <c r="EN6" s="53">
        <f t="shared" ref="EN6:EN34" si="12">SUM(EI6:EM6)</f>
        <v>107.11697999999998</v>
      </c>
      <c r="EP6" s="47">
        <v>45902</v>
      </c>
      <c r="EQ6" s="64">
        <v>1471.3</v>
      </c>
      <c r="ER6" s="65">
        <v>584.05999999999995</v>
      </c>
      <c r="ES6" s="58"/>
      <c r="ET6" s="62"/>
      <c r="EU6" s="27"/>
      <c r="EV6" s="51"/>
      <c r="EW6" s="52"/>
      <c r="EX6" s="52"/>
      <c r="EY6" s="53">
        <f t="shared" ref="EY6:EY35" si="13">SUM(ET6:EX6)</f>
        <v>0</v>
      </c>
    </row>
    <row r="7" spans="2:155" hidden="1" x14ac:dyDescent="0.25">
      <c r="B7" s="47">
        <v>45903</v>
      </c>
      <c r="C7" s="48">
        <v>19947.2</v>
      </c>
      <c r="D7" s="49">
        <v>3371.23</v>
      </c>
      <c r="E7" s="50">
        <v>6615.76</v>
      </c>
      <c r="F7" s="55">
        <v>194.2</v>
      </c>
      <c r="H7" s="27"/>
      <c r="I7" s="51"/>
      <c r="J7" s="52"/>
      <c r="K7" s="52"/>
      <c r="L7" s="53">
        <f t="shared" si="0"/>
        <v>0</v>
      </c>
      <c r="N7" s="47">
        <v>45903</v>
      </c>
      <c r="O7" s="54">
        <v>3928.67</v>
      </c>
      <c r="P7" s="54">
        <v>300.52999999999997</v>
      </c>
      <c r="Q7" s="55"/>
      <c r="R7" s="55"/>
      <c r="S7" s="27"/>
      <c r="T7" s="32">
        <v>9.525599999999919</v>
      </c>
      <c r="U7" s="33"/>
      <c r="V7" s="52"/>
      <c r="W7" s="53">
        <f t="shared" si="1"/>
        <v>9.525599999999919</v>
      </c>
      <c r="Y7" s="47">
        <v>45903</v>
      </c>
      <c r="Z7" s="56">
        <v>4616.32</v>
      </c>
      <c r="AA7" s="57">
        <v>1663.34</v>
      </c>
      <c r="AB7" s="58"/>
      <c r="AC7" s="59">
        <v>216.19</v>
      </c>
      <c r="AD7" s="27"/>
      <c r="AE7" s="32">
        <v>77.849999999999966</v>
      </c>
      <c r="AF7" s="52"/>
      <c r="AG7" s="52"/>
      <c r="AH7" s="53">
        <f t="shared" si="2"/>
        <v>294.03999999999996</v>
      </c>
      <c r="AJ7" s="47">
        <v>45903</v>
      </c>
      <c r="AK7" s="56">
        <v>4239.9399999999996</v>
      </c>
      <c r="AL7" s="57">
        <v>580.38</v>
      </c>
      <c r="AM7" s="58"/>
      <c r="AN7" s="60"/>
      <c r="AO7" s="27"/>
      <c r="AP7" s="51"/>
      <c r="AQ7" s="52"/>
      <c r="AR7" s="52"/>
      <c r="AS7" s="53">
        <f t="shared" si="3"/>
        <v>0</v>
      </c>
      <c r="AU7" s="47">
        <v>45903</v>
      </c>
      <c r="AV7" s="57">
        <v>553.1</v>
      </c>
      <c r="AW7" s="57">
        <v>136.22999999999999</v>
      </c>
      <c r="AX7" s="58"/>
      <c r="AY7" s="59"/>
      <c r="AZ7" s="27"/>
      <c r="BA7" s="32">
        <v>295.63788000000011</v>
      </c>
      <c r="BB7" s="52"/>
      <c r="BC7" s="52"/>
      <c r="BD7" s="53">
        <f t="shared" si="4"/>
        <v>295.63788000000011</v>
      </c>
      <c r="BF7" s="47">
        <v>45903</v>
      </c>
      <c r="BG7" s="56">
        <v>4813.6899999999996</v>
      </c>
      <c r="BH7" s="57">
        <v>1050.8900000000001</v>
      </c>
      <c r="BI7" s="58"/>
      <c r="BJ7" s="59"/>
      <c r="BK7" s="27"/>
      <c r="BL7" s="32">
        <v>104.63632</v>
      </c>
      <c r="BM7" s="33">
        <v>231.940629</v>
      </c>
      <c r="BN7" s="52"/>
      <c r="BO7" s="53">
        <f t="shared" si="5"/>
        <v>336.57694900000001</v>
      </c>
      <c r="BQ7" s="47">
        <v>45903</v>
      </c>
      <c r="BR7" s="57">
        <v>433.38</v>
      </c>
      <c r="BS7" s="57">
        <v>583.28</v>
      </c>
      <c r="BT7" s="58"/>
      <c r="BU7" s="61">
        <v>133.26</v>
      </c>
      <c r="BV7" s="27"/>
      <c r="BW7" s="51"/>
      <c r="BX7" s="52"/>
      <c r="BY7" s="52"/>
      <c r="BZ7" s="53">
        <f t="shared" si="6"/>
        <v>133.26</v>
      </c>
      <c r="CB7" s="47">
        <v>45903</v>
      </c>
      <c r="CC7" s="56">
        <v>19860.599999999999</v>
      </c>
      <c r="CD7" s="57">
        <v>2311.8200000000002</v>
      </c>
      <c r="CE7" s="58"/>
      <c r="CF7" s="60"/>
      <c r="CG7" s="27"/>
      <c r="CH7" s="51"/>
      <c r="CI7" s="52"/>
      <c r="CJ7" s="52"/>
      <c r="CK7" s="53">
        <f t="shared" si="7"/>
        <v>0</v>
      </c>
      <c r="CM7" s="47">
        <v>45903</v>
      </c>
      <c r="CN7" s="56">
        <v>11183.4</v>
      </c>
      <c r="CO7" s="57">
        <v>2682.64</v>
      </c>
      <c r="CP7" s="58"/>
      <c r="CQ7" s="62"/>
      <c r="CR7" s="27"/>
      <c r="CS7" s="32">
        <v>71.022201294879338</v>
      </c>
      <c r="CT7" s="42">
        <v>154.86086999999992</v>
      </c>
      <c r="CU7" s="52"/>
      <c r="CV7" s="53">
        <f t="shared" si="8"/>
        <v>225.88307129487924</v>
      </c>
      <c r="CX7" s="47">
        <v>45903</v>
      </c>
      <c r="CY7" s="56">
        <v>8831.34</v>
      </c>
      <c r="CZ7" s="57">
        <v>1092.92</v>
      </c>
      <c r="DA7" s="58"/>
      <c r="DB7" s="59">
        <v>3.5</v>
      </c>
      <c r="DC7" s="27"/>
      <c r="DD7" s="32">
        <v>163.02006999999995</v>
      </c>
      <c r="DE7" s="32">
        <v>1.6696310000000949</v>
      </c>
      <c r="DF7" s="52"/>
      <c r="DG7" s="53">
        <f t="shared" si="9"/>
        <v>168.18970100000004</v>
      </c>
      <c r="DI7" s="47">
        <v>45903</v>
      </c>
      <c r="DJ7" s="56">
        <v>1761.19</v>
      </c>
      <c r="DK7" s="63"/>
      <c r="DL7" s="58"/>
      <c r="DM7" s="62"/>
      <c r="DN7" s="27"/>
      <c r="DO7" s="51"/>
      <c r="DP7" s="52"/>
      <c r="DQ7" s="52"/>
      <c r="DR7" s="53">
        <f t="shared" si="10"/>
        <v>0</v>
      </c>
      <c r="DT7" s="47">
        <v>45903</v>
      </c>
      <c r="DU7" s="56">
        <v>938.03</v>
      </c>
      <c r="DV7" s="57">
        <v>444.03</v>
      </c>
      <c r="DW7" s="58"/>
      <c r="DX7" s="62"/>
      <c r="DY7" s="27"/>
      <c r="DZ7" s="32">
        <v>45.596209999999999</v>
      </c>
      <c r="EA7" s="32">
        <v>443.08312999999998</v>
      </c>
      <c r="EB7" s="44"/>
      <c r="EC7" s="53">
        <f t="shared" si="11"/>
        <v>488.67933999999997</v>
      </c>
      <c r="EE7" s="47">
        <v>45903</v>
      </c>
      <c r="EF7" s="56">
        <v>6938.1</v>
      </c>
      <c r="EG7" s="57">
        <v>2029.7</v>
      </c>
      <c r="EH7" s="58"/>
      <c r="EI7" s="59">
        <v>167.78</v>
      </c>
      <c r="EJ7" s="27"/>
      <c r="EK7" s="32"/>
      <c r="EL7" s="42"/>
      <c r="EM7" s="52"/>
      <c r="EN7" s="53">
        <f t="shared" si="12"/>
        <v>167.78</v>
      </c>
      <c r="EP7" s="47">
        <v>45903</v>
      </c>
      <c r="EQ7" s="64">
        <v>707.66</v>
      </c>
      <c r="ER7" s="56">
        <v>558.07000000000005</v>
      </c>
      <c r="ES7" s="58"/>
      <c r="ET7" s="62"/>
      <c r="EU7" s="27"/>
      <c r="EV7" s="51"/>
      <c r="EW7" s="52"/>
      <c r="EX7" s="52"/>
      <c r="EY7" s="53">
        <f t="shared" si="13"/>
        <v>0</v>
      </c>
    </row>
    <row r="8" spans="2:155" hidden="1" x14ac:dyDescent="0.25">
      <c r="B8" s="47">
        <v>45904</v>
      </c>
      <c r="C8" s="48">
        <v>21456.85</v>
      </c>
      <c r="D8" s="49">
        <v>3193.06</v>
      </c>
      <c r="E8" s="50">
        <v>6467.96</v>
      </c>
      <c r="F8" s="55">
        <v>163.81</v>
      </c>
      <c r="H8" s="27"/>
      <c r="I8" s="51"/>
      <c r="J8" s="52"/>
      <c r="K8" s="52"/>
      <c r="L8" s="53">
        <f t="shared" si="0"/>
        <v>0</v>
      </c>
      <c r="N8" s="47">
        <v>45904</v>
      </c>
      <c r="O8" s="54">
        <v>4557.83</v>
      </c>
      <c r="P8" s="54">
        <v>414.6</v>
      </c>
      <c r="Q8" s="55"/>
      <c r="R8" s="55"/>
      <c r="S8" s="27"/>
      <c r="T8" s="32">
        <v>7.761520000000047</v>
      </c>
      <c r="U8" s="33"/>
      <c r="V8" s="52"/>
      <c r="W8" s="53">
        <f t="shared" si="1"/>
        <v>7.761520000000047</v>
      </c>
      <c r="Y8" s="47">
        <v>45904</v>
      </c>
      <c r="Z8" s="56">
        <v>5770.56</v>
      </c>
      <c r="AA8" s="57">
        <v>1809.24</v>
      </c>
      <c r="AB8" s="58"/>
      <c r="AC8" s="59">
        <v>59.84</v>
      </c>
      <c r="AD8" s="27"/>
      <c r="AE8" s="32">
        <v>235.5</v>
      </c>
      <c r="AF8" s="52"/>
      <c r="AG8" s="52"/>
      <c r="AH8" s="53">
        <f t="shared" si="2"/>
        <v>295.34000000000003</v>
      </c>
      <c r="AJ8" s="47">
        <v>45904</v>
      </c>
      <c r="AK8" s="56">
        <v>2580.14</v>
      </c>
      <c r="AL8" s="57">
        <v>368.75</v>
      </c>
      <c r="AM8" s="58"/>
      <c r="AN8" s="60"/>
      <c r="AO8" s="27"/>
      <c r="AP8" s="51"/>
      <c r="AQ8" s="52"/>
      <c r="AR8" s="52"/>
      <c r="AS8" s="53">
        <f t="shared" si="3"/>
        <v>0</v>
      </c>
      <c r="AU8" s="47">
        <v>45904</v>
      </c>
      <c r="AV8" s="57">
        <v>216.5</v>
      </c>
      <c r="AW8" s="57">
        <v>40</v>
      </c>
      <c r="AX8" s="58"/>
      <c r="AY8" s="59">
        <v>117</v>
      </c>
      <c r="AZ8" s="27"/>
      <c r="BA8" s="32">
        <v>183.73766000000001</v>
      </c>
      <c r="BB8" s="52"/>
      <c r="BC8" s="52"/>
      <c r="BD8" s="53">
        <f t="shared" si="4"/>
        <v>300.73766000000001</v>
      </c>
      <c r="BF8" s="47">
        <v>45904</v>
      </c>
      <c r="BG8" s="56">
        <v>4676.01</v>
      </c>
      <c r="BH8" s="57">
        <v>1013.24</v>
      </c>
      <c r="BI8" s="58"/>
      <c r="BJ8" s="59"/>
      <c r="BK8" s="27"/>
      <c r="BL8" s="32">
        <v>161.76397999999995</v>
      </c>
      <c r="BM8" s="33">
        <v>39.76923899999997</v>
      </c>
      <c r="BN8" s="52"/>
      <c r="BO8" s="53">
        <f t="shared" si="5"/>
        <v>201.53321899999992</v>
      </c>
      <c r="BQ8" s="47">
        <v>45904</v>
      </c>
      <c r="BR8" s="57">
        <v>718.2</v>
      </c>
      <c r="BS8" s="57">
        <v>434.22</v>
      </c>
      <c r="BT8" s="58"/>
      <c r="BU8" s="61"/>
      <c r="BV8" s="27"/>
      <c r="BW8" s="51"/>
      <c r="BX8" s="52"/>
      <c r="BY8" s="52"/>
      <c r="BZ8" s="53">
        <f t="shared" si="6"/>
        <v>0</v>
      </c>
      <c r="CB8" s="47">
        <v>45904</v>
      </c>
      <c r="CC8" s="56">
        <v>21281.54</v>
      </c>
      <c r="CD8" s="57">
        <v>1636.64</v>
      </c>
      <c r="CE8" s="58"/>
      <c r="CF8" s="60"/>
      <c r="CG8" s="27"/>
      <c r="CH8" s="51"/>
      <c r="CI8" s="52"/>
      <c r="CJ8" s="52"/>
      <c r="CK8" s="53">
        <f t="shared" si="7"/>
        <v>0</v>
      </c>
      <c r="CM8" s="47">
        <v>45904</v>
      </c>
      <c r="CN8" s="56">
        <v>12860.98</v>
      </c>
      <c r="CO8" s="57">
        <v>2091.77</v>
      </c>
      <c r="CP8" s="58"/>
      <c r="CQ8" s="62"/>
      <c r="CR8" s="27"/>
      <c r="CS8" s="32"/>
      <c r="CT8" s="42">
        <v>346.23732999999993</v>
      </c>
      <c r="CU8" s="52"/>
      <c r="CV8" s="53">
        <f t="shared" si="8"/>
        <v>346.23732999999993</v>
      </c>
      <c r="CX8" s="47">
        <v>45904</v>
      </c>
      <c r="CY8" s="56">
        <v>4531.26</v>
      </c>
      <c r="CZ8" s="57">
        <v>1452.74</v>
      </c>
      <c r="DA8" s="58"/>
      <c r="DB8" s="59">
        <v>12.15</v>
      </c>
      <c r="DC8" s="27"/>
      <c r="DD8" s="32">
        <v>56.097949999999884</v>
      </c>
      <c r="DE8" s="32">
        <v>0.86934800000005907</v>
      </c>
      <c r="DF8" s="52"/>
      <c r="DG8" s="53">
        <f t="shared" si="9"/>
        <v>69.117297999999948</v>
      </c>
      <c r="DI8" s="47">
        <v>45904</v>
      </c>
      <c r="DJ8" s="56">
        <v>1373.8</v>
      </c>
      <c r="DK8" s="63"/>
      <c r="DL8" s="58"/>
      <c r="DM8" s="62"/>
      <c r="DN8" s="27"/>
      <c r="DO8" s="51"/>
      <c r="DP8" s="52"/>
      <c r="DQ8" s="52"/>
      <c r="DR8" s="53">
        <f t="shared" si="10"/>
        <v>0</v>
      </c>
      <c r="DT8" s="47">
        <v>45904</v>
      </c>
      <c r="DU8" s="56">
        <v>1695.61</v>
      </c>
      <c r="DV8" s="57">
        <v>524.27</v>
      </c>
      <c r="DW8" s="58"/>
      <c r="DX8" s="62"/>
      <c r="DY8" s="27"/>
      <c r="DZ8" s="32">
        <v>73.565910000000073</v>
      </c>
      <c r="EA8" s="32">
        <v>58.850160000000017</v>
      </c>
      <c r="EB8" s="44"/>
      <c r="EC8" s="53">
        <f t="shared" si="11"/>
        <v>132.4160700000001</v>
      </c>
      <c r="EE8" s="47">
        <v>45904</v>
      </c>
      <c r="EF8" s="56">
        <v>5293.17</v>
      </c>
      <c r="EG8" s="57">
        <v>1174.8499999999999</v>
      </c>
      <c r="EH8" s="58"/>
      <c r="EI8" s="59">
        <v>131.25</v>
      </c>
      <c r="EJ8" s="27"/>
      <c r="EK8" s="32"/>
      <c r="EL8" s="42"/>
      <c r="EM8" s="52"/>
      <c r="EN8" s="53">
        <f t="shared" si="12"/>
        <v>131.25</v>
      </c>
      <c r="EP8" s="47">
        <v>45904</v>
      </c>
      <c r="EQ8" s="64">
        <v>1106.21</v>
      </c>
      <c r="ER8" s="56">
        <v>658.21</v>
      </c>
      <c r="ES8" s="58"/>
      <c r="ET8" s="62"/>
      <c r="EU8" s="27"/>
      <c r="EV8" s="51"/>
      <c r="EW8" s="52"/>
      <c r="EX8" s="52"/>
      <c r="EY8" s="53">
        <f t="shared" si="13"/>
        <v>0</v>
      </c>
    </row>
    <row r="9" spans="2:155" hidden="1" x14ac:dyDescent="0.25">
      <c r="B9" s="47">
        <v>45905</v>
      </c>
      <c r="C9" s="48">
        <v>20490.16</v>
      </c>
      <c r="D9" s="49">
        <v>4091.45</v>
      </c>
      <c r="E9" s="50">
        <v>4156.2299999999996</v>
      </c>
      <c r="F9" s="66">
        <v>234.85</v>
      </c>
      <c r="H9" s="27"/>
      <c r="I9" s="51"/>
      <c r="J9" s="52"/>
      <c r="K9" s="52"/>
      <c r="L9" s="53">
        <f t="shared" si="0"/>
        <v>0</v>
      </c>
      <c r="N9" s="47">
        <v>45905</v>
      </c>
      <c r="O9" s="54">
        <v>4706.58</v>
      </c>
      <c r="P9" s="54">
        <v>235.09</v>
      </c>
      <c r="Q9" s="55"/>
      <c r="R9" s="55"/>
      <c r="S9" s="27"/>
      <c r="T9" s="32">
        <v>69.604099999999804</v>
      </c>
      <c r="U9" s="33"/>
      <c r="V9" s="52"/>
      <c r="W9" s="53">
        <f t="shared" si="1"/>
        <v>69.604099999999804</v>
      </c>
      <c r="Y9" s="47">
        <v>45905</v>
      </c>
      <c r="Z9" s="56">
        <v>6761.67</v>
      </c>
      <c r="AA9" s="57">
        <v>2342.9899999999998</v>
      </c>
      <c r="AB9" s="58"/>
      <c r="AC9" s="59">
        <v>145.34</v>
      </c>
      <c r="AD9" s="27"/>
      <c r="AE9" s="32">
        <v>79.298174999999986</v>
      </c>
      <c r="AF9" s="52"/>
      <c r="AG9" s="52"/>
      <c r="AH9" s="53">
        <f t="shared" si="2"/>
        <v>224.63817499999999</v>
      </c>
      <c r="AJ9" s="47">
        <v>45905</v>
      </c>
      <c r="AK9" s="56">
        <v>3939.09</v>
      </c>
      <c r="AL9" s="57">
        <v>807.87</v>
      </c>
      <c r="AM9" s="58"/>
      <c r="AN9" s="60"/>
      <c r="AO9" s="27"/>
      <c r="AP9" s="51"/>
      <c r="AQ9" s="52"/>
      <c r="AR9" s="52"/>
      <c r="AS9" s="53">
        <f t="shared" si="3"/>
        <v>0</v>
      </c>
      <c r="AU9" s="47">
        <v>45905</v>
      </c>
      <c r="AV9" s="57">
        <v>529.54</v>
      </c>
      <c r="AW9" s="57">
        <v>25.03</v>
      </c>
      <c r="AX9" s="58"/>
      <c r="AY9" s="59">
        <v>105.3</v>
      </c>
      <c r="AZ9" s="27"/>
      <c r="BA9" s="32">
        <v>652.17241999999987</v>
      </c>
      <c r="BB9" s="52"/>
      <c r="BC9" s="52"/>
      <c r="BD9" s="53">
        <f t="shared" si="4"/>
        <v>757.47241999999983</v>
      </c>
      <c r="BF9" s="47">
        <v>45905</v>
      </c>
      <c r="BG9" s="56">
        <v>5212.34</v>
      </c>
      <c r="BH9" s="57">
        <v>869.02</v>
      </c>
      <c r="BI9" s="58"/>
      <c r="BJ9" s="59">
        <v>9.42</v>
      </c>
      <c r="BK9" s="27"/>
      <c r="BL9" s="32">
        <v>190.67597999999992</v>
      </c>
      <c r="BM9" s="33">
        <v>9.6901459999999986</v>
      </c>
      <c r="BN9" s="52"/>
      <c r="BO9" s="53">
        <f t="shared" si="5"/>
        <v>209.78612599999991</v>
      </c>
      <c r="BQ9" s="47">
        <v>45905</v>
      </c>
      <c r="BR9" s="57">
        <v>2876.39</v>
      </c>
      <c r="BS9" s="57">
        <v>650.16</v>
      </c>
      <c r="BT9" s="58"/>
      <c r="BU9" s="61"/>
      <c r="BV9" s="27"/>
      <c r="BW9" s="51"/>
      <c r="BX9" s="52"/>
      <c r="BY9" s="52"/>
      <c r="BZ9" s="53">
        <f t="shared" si="6"/>
        <v>0</v>
      </c>
      <c r="CB9" s="47">
        <v>45905</v>
      </c>
      <c r="CC9" s="56">
        <v>19333.060000000001</v>
      </c>
      <c r="CD9" s="57">
        <v>2633.59</v>
      </c>
      <c r="CE9" s="58"/>
      <c r="CF9" s="60"/>
      <c r="CG9" s="27"/>
      <c r="CH9" s="51"/>
      <c r="CI9" s="52"/>
      <c r="CJ9" s="52"/>
      <c r="CK9" s="53">
        <f t="shared" si="7"/>
        <v>0</v>
      </c>
      <c r="CM9" s="47">
        <v>45905</v>
      </c>
      <c r="CN9" s="56">
        <v>9687.35</v>
      </c>
      <c r="CO9" s="57">
        <v>2297.8200000000002</v>
      </c>
      <c r="CP9" s="58"/>
      <c r="CQ9" s="62"/>
      <c r="CR9" s="27"/>
      <c r="CS9" s="32">
        <v>132.12009980269704</v>
      </c>
      <c r="CT9" s="42">
        <v>325.02800004559992</v>
      </c>
      <c r="CU9" s="52"/>
      <c r="CV9" s="53">
        <f t="shared" si="8"/>
        <v>457.14809984829697</v>
      </c>
      <c r="CX9" s="47">
        <v>45905</v>
      </c>
      <c r="CY9" s="56">
        <v>5624.96</v>
      </c>
      <c r="CZ9" s="57">
        <v>910.72</v>
      </c>
      <c r="DA9" s="58"/>
      <c r="DB9" s="59"/>
      <c r="DC9" s="27"/>
      <c r="DD9" s="32">
        <v>102.81874999999982</v>
      </c>
      <c r="DE9" s="32">
        <v>2.300442000000146</v>
      </c>
      <c r="DF9" s="52"/>
      <c r="DG9" s="53">
        <f t="shared" si="9"/>
        <v>105.11919199999997</v>
      </c>
      <c r="DI9" s="47">
        <v>45905</v>
      </c>
      <c r="DJ9" s="56">
        <v>1836.21</v>
      </c>
      <c r="DK9" s="63"/>
      <c r="DL9" s="58"/>
      <c r="DM9" s="62"/>
      <c r="DN9" s="27"/>
      <c r="DO9" s="51"/>
      <c r="DP9" s="52"/>
      <c r="DQ9" s="52"/>
      <c r="DR9" s="53">
        <f t="shared" si="10"/>
        <v>0</v>
      </c>
      <c r="DT9" s="47">
        <v>45905</v>
      </c>
      <c r="DU9" s="56">
        <v>0</v>
      </c>
      <c r="DV9" s="57">
        <v>0</v>
      </c>
      <c r="DW9" s="58"/>
      <c r="DX9" s="62"/>
      <c r="DY9" s="27"/>
      <c r="DZ9" s="32">
        <v>73.518693000000013</v>
      </c>
      <c r="EA9" s="32"/>
      <c r="EB9" s="44"/>
      <c r="EC9" s="53">
        <f t="shared" si="11"/>
        <v>73.518693000000013</v>
      </c>
      <c r="EE9" s="47">
        <v>45905</v>
      </c>
      <c r="EF9" s="56">
        <v>5886.9</v>
      </c>
      <c r="EG9" s="57">
        <v>1150.8399999999999</v>
      </c>
      <c r="EH9" s="58"/>
      <c r="EI9" s="59">
        <v>123.21</v>
      </c>
      <c r="EJ9" s="27"/>
      <c r="EK9" s="32"/>
      <c r="EL9" s="42"/>
      <c r="EM9" s="52"/>
      <c r="EN9" s="53">
        <f t="shared" si="12"/>
        <v>123.21</v>
      </c>
      <c r="EP9" s="47">
        <v>45905</v>
      </c>
      <c r="EQ9" s="64">
        <v>1212.48</v>
      </c>
      <c r="ER9" s="56">
        <v>523.15</v>
      </c>
      <c r="ES9" s="58"/>
      <c r="ET9" s="62"/>
      <c r="EU9" s="27"/>
      <c r="EV9" s="51"/>
      <c r="EW9" s="52"/>
      <c r="EX9" s="52"/>
      <c r="EY9" s="53">
        <f t="shared" si="13"/>
        <v>0</v>
      </c>
    </row>
    <row r="10" spans="2:155" hidden="1" x14ac:dyDescent="0.25">
      <c r="B10" s="47">
        <v>45906</v>
      </c>
      <c r="C10" s="48">
        <v>23651.66</v>
      </c>
      <c r="D10" s="49">
        <v>3690.36</v>
      </c>
      <c r="E10" s="50">
        <v>3572.73</v>
      </c>
      <c r="F10" s="55">
        <v>155.66999999999999</v>
      </c>
      <c r="H10" s="27"/>
      <c r="I10" s="51"/>
      <c r="J10" s="52"/>
      <c r="K10" s="52"/>
      <c r="L10" s="53">
        <f t="shared" si="0"/>
        <v>0</v>
      </c>
      <c r="N10" s="47">
        <v>45906</v>
      </c>
      <c r="O10" s="54">
        <v>2816.96</v>
      </c>
      <c r="P10" s="54">
        <v>371.44</v>
      </c>
      <c r="Q10" s="55"/>
      <c r="R10" s="55"/>
      <c r="S10" s="27"/>
      <c r="T10" s="32">
        <v>17.085179999999852</v>
      </c>
      <c r="U10" s="33"/>
      <c r="V10" s="52"/>
      <c r="W10" s="53">
        <f t="shared" si="1"/>
        <v>17.085179999999852</v>
      </c>
      <c r="Y10" s="47">
        <v>45906</v>
      </c>
      <c r="Z10" s="56">
        <v>6519.17</v>
      </c>
      <c r="AA10" s="57">
        <v>1730.11</v>
      </c>
      <c r="AB10" s="58"/>
      <c r="AC10" s="59">
        <v>94.51</v>
      </c>
      <c r="AD10" s="27"/>
      <c r="AE10" s="32">
        <v>18</v>
      </c>
      <c r="AF10" s="52"/>
      <c r="AG10" s="52"/>
      <c r="AH10" s="53">
        <f t="shared" si="2"/>
        <v>112.51</v>
      </c>
      <c r="AJ10" s="47">
        <v>45906</v>
      </c>
      <c r="AK10" s="56">
        <v>3637.12</v>
      </c>
      <c r="AL10" s="57">
        <v>705.6</v>
      </c>
      <c r="AM10" s="58"/>
      <c r="AN10" s="60"/>
      <c r="AO10" s="27"/>
      <c r="AP10" s="51"/>
      <c r="AQ10" s="52"/>
      <c r="AR10" s="52"/>
      <c r="AS10" s="53">
        <f t="shared" si="3"/>
        <v>0</v>
      </c>
      <c r="AU10" s="47">
        <v>45906</v>
      </c>
      <c r="AV10" s="57">
        <v>581.70000000000005</v>
      </c>
      <c r="AW10" s="57">
        <v>68</v>
      </c>
      <c r="AX10" s="58"/>
      <c r="AY10" s="59"/>
      <c r="AZ10" s="27"/>
      <c r="BA10" s="32">
        <v>6.394360000000006</v>
      </c>
      <c r="BB10" s="52"/>
      <c r="BC10" s="52"/>
      <c r="BD10" s="53">
        <f t="shared" si="4"/>
        <v>6.394360000000006</v>
      </c>
      <c r="BF10" s="47">
        <v>45906</v>
      </c>
      <c r="BG10" s="56">
        <v>4622.0600000000004</v>
      </c>
      <c r="BH10" s="57">
        <v>1062.6400000000001</v>
      </c>
      <c r="BI10" s="58"/>
      <c r="BJ10" s="59"/>
      <c r="BK10" s="27"/>
      <c r="BL10" s="32">
        <v>567.79734999999994</v>
      </c>
      <c r="BM10" s="33"/>
      <c r="BN10" s="52"/>
      <c r="BO10" s="53">
        <f t="shared" si="5"/>
        <v>567.79734999999994</v>
      </c>
      <c r="BQ10" s="47">
        <v>45906</v>
      </c>
      <c r="BR10" s="57">
        <v>255</v>
      </c>
      <c r="BS10" s="57">
        <v>598.22</v>
      </c>
      <c r="BT10" s="58"/>
      <c r="BU10" s="61"/>
      <c r="BV10" s="27"/>
      <c r="BW10" s="51"/>
      <c r="BX10" s="52"/>
      <c r="BY10" s="52"/>
      <c r="BZ10" s="53">
        <f t="shared" si="6"/>
        <v>0</v>
      </c>
      <c r="CB10" s="47">
        <v>45906</v>
      </c>
      <c r="CC10" s="56">
        <v>19170.439999999999</v>
      </c>
      <c r="CD10" s="57">
        <v>2664.23</v>
      </c>
      <c r="CE10" s="58"/>
      <c r="CF10" s="60"/>
      <c r="CG10" s="27"/>
      <c r="CH10" s="51"/>
      <c r="CI10" s="52"/>
      <c r="CJ10" s="52"/>
      <c r="CK10" s="53">
        <f t="shared" si="7"/>
        <v>0</v>
      </c>
      <c r="CM10" s="47">
        <v>45906</v>
      </c>
      <c r="CN10" s="56">
        <v>8279.49</v>
      </c>
      <c r="CO10" s="57">
        <v>1676.98</v>
      </c>
      <c r="CP10" s="58"/>
      <c r="CQ10" s="62"/>
      <c r="CR10" s="27"/>
      <c r="CS10" s="32"/>
      <c r="CT10" s="42">
        <v>49.240000005900001</v>
      </c>
      <c r="CU10" s="52"/>
      <c r="CV10" s="53">
        <f t="shared" si="8"/>
        <v>49.240000005900001</v>
      </c>
      <c r="CX10" s="47">
        <v>45906</v>
      </c>
      <c r="CY10" s="56">
        <v>3597.09</v>
      </c>
      <c r="CZ10" s="57">
        <v>1382.55</v>
      </c>
      <c r="DA10" s="58"/>
      <c r="DB10" s="59"/>
      <c r="DC10" s="27"/>
      <c r="DD10" s="32">
        <v>42.362770000000033</v>
      </c>
      <c r="DE10" s="32"/>
      <c r="DF10" s="52"/>
      <c r="DG10" s="53">
        <f t="shared" si="9"/>
        <v>42.362770000000033</v>
      </c>
      <c r="DI10" s="47">
        <v>45906</v>
      </c>
      <c r="DJ10" s="56">
        <v>2008.51</v>
      </c>
      <c r="DK10" s="63"/>
      <c r="DL10" s="58"/>
      <c r="DM10" s="62"/>
      <c r="DN10" s="27"/>
      <c r="DO10" s="51"/>
      <c r="DP10" s="52"/>
      <c r="DQ10" s="52"/>
      <c r="DR10" s="53">
        <f t="shared" si="10"/>
        <v>0</v>
      </c>
      <c r="DT10" s="47">
        <v>45906</v>
      </c>
      <c r="DU10" s="56">
        <v>358.38</v>
      </c>
      <c r="DV10" s="57">
        <v>133.47</v>
      </c>
      <c r="DW10" s="58"/>
      <c r="DX10" s="62"/>
      <c r="DY10" s="27"/>
      <c r="DZ10" s="32">
        <v>22.499389000000008</v>
      </c>
      <c r="EA10" s="32">
        <v>42.090621999999996</v>
      </c>
      <c r="EB10" s="44"/>
      <c r="EC10" s="53">
        <f t="shared" si="11"/>
        <v>64.590011000000004</v>
      </c>
      <c r="EE10" s="47">
        <v>45906</v>
      </c>
      <c r="EF10" s="56">
        <v>4507.2</v>
      </c>
      <c r="EG10" s="57">
        <v>1478.86</v>
      </c>
      <c r="EH10" s="58"/>
      <c r="EI10" s="59">
        <v>112</v>
      </c>
      <c r="EJ10" s="27"/>
      <c r="EK10" s="32">
        <v>10.904219999999981</v>
      </c>
      <c r="EL10" s="42"/>
      <c r="EM10" s="52"/>
      <c r="EN10" s="53">
        <f t="shared" si="12"/>
        <v>122.90421999999998</v>
      </c>
      <c r="EP10" s="47">
        <v>45906</v>
      </c>
      <c r="EQ10" s="64">
        <v>857.29</v>
      </c>
      <c r="ER10" s="56">
        <v>624.02</v>
      </c>
      <c r="ES10" s="58"/>
      <c r="ET10" s="62"/>
      <c r="EU10" s="27"/>
      <c r="EV10" s="51"/>
      <c r="EW10" s="52"/>
      <c r="EX10" s="52"/>
      <c r="EY10" s="53">
        <f t="shared" si="13"/>
        <v>0</v>
      </c>
    </row>
    <row r="11" spans="2:155" hidden="1" x14ac:dyDescent="0.25">
      <c r="B11" s="47">
        <v>45907</v>
      </c>
      <c r="C11" s="48">
        <v>17670.66</v>
      </c>
      <c r="D11" s="49">
        <v>2509.4499999999998</v>
      </c>
      <c r="E11" s="50">
        <v>2046.6</v>
      </c>
      <c r="F11" s="55">
        <v>28.76</v>
      </c>
      <c r="H11" s="27"/>
      <c r="I11" s="51"/>
      <c r="J11" s="52"/>
      <c r="K11" s="52"/>
      <c r="L11" s="53">
        <f t="shared" si="0"/>
        <v>0</v>
      </c>
      <c r="N11" s="47">
        <v>45907</v>
      </c>
      <c r="O11" s="54">
        <v>3900.98</v>
      </c>
      <c r="P11" s="54">
        <v>242.2</v>
      </c>
      <c r="Q11" s="55"/>
      <c r="R11" s="55">
        <v>35.090000000000003</v>
      </c>
      <c r="S11" s="27"/>
      <c r="T11" s="32">
        <v>31.44019999999994</v>
      </c>
      <c r="U11" s="32"/>
      <c r="V11" s="52"/>
      <c r="W11" s="53">
        <f t="shared" si="1"/>
        <v>66.530199999999951</v>
      </c>
      <c r="Y11" s="47">
        <v>45907</v>
      </c>
      <c r="Z11" s="56">
        <v>5740.15</v>
      </c>
      <c r="AA11" s="57">
        <v>1754.33</v>
      </c>
      <c r="AB11" s="58"/>
      <c r="AC11" s="59">
        <v>243.98</v>
      </c>
      <c r="AD11" s="27"/>
      <c r="AE11" s="32">
        <v>7.5885000000000105</v>
      </c>
      <c r="AF11" s="52"/>
      <c r="AG11" s="52"/>
      <c r="AH11" s="53">
        <f t="shared" si="2"/>
        <v>251.5685</v>
      </c>
      <c r="AJ11" s="47">
        <v>45907</v>
      </c>
      <c r="AK11" s="56">
        <v>1321.45</v>
      </c>
      <c r="AL11" s="57">
        <v>246.79</v>
      </c>
      <c r="AM11" s="58"/>
      <c r="AN11" s="60"/>
      <c r="AO11" s="27"/>
      <c r="AP11" s="51"/>
      <c r="AQ11" s="52"/>
      <c r="AR11" s="52"/>
      <c r="AS11" s="53">
        <f t="shared" si="3"/>
        <v>0</v>
      </c>
      <c r="AU11" s="47">
        <v>45907</v>
      </c>
      <c r="AV11" s="57">
        <v>64</v>
      </c>
      <c r="AW11" s="57">
        <v>40</v>
      </c>
      <c r="AX11" s="58"/>
      <c r="AY11" s="59"/>
      <c r="AZ11" s="27"/>
      <c r="BA11" s="32">
        <v>175.38487999999995</v>
      </c>
      <c r="BB11" s="52"/>
      <c r="BC11" s="52"/>
      <c r="BD11" s="53">
        <f t="shared" si="4"/>
        <v>175.38487999999995</v>
      </c>
      <c r="BF11" s="47">
        <v>45907</v>
      </c>
      <c r="BG11" s="56">
        <v>1895.62</v>
      </c>
      <c r="BH11" s="57">
        <v>508.18</v>
      </c>
      <c r="BI11" s="58"/>
      <c r="BJ11" s="59"/>
      <c r="BK11" s="27"/>
      <c r="BL11" s="32">
        <v>178.13455000000002</v>
      </c>
      <c r="BM11" s="33">
        <v>20.868639999999985</v>
      </c>
      <c r="BN11" s="52"/>
      <c r="BO11" s="53">
        <f t="shared" si="5"/>
        <v>199.00319000000002</v>
      </c>
      <c r="BQ11" s="47">
        <v>45907</v>
      </c>
      <c r="BR11" s="57">
        <v>175.02</v>
      </c>
      <c r="BS11" s="57">
        <v>248.31</v>
      </c>
      <c r="BT11" s="58"/>
      <c r="BU11" s="61"/>
      <c r="BV11" s="27"/>
      <c r="BW11" s="51"/>
      <c r="BX11" s="52"/>
      <c r="BY11" s="52"/>
      <c r="BZ11" s="53">
        <f t="shared" si="6"/>
        <v>0</v>
      </c>
      <c r="CB11" s="47">
        <v>45907</v>
      </c>
      <c r="CC11" s="56">
        <v>16871.7</v>
      </c>
      <c r="CD11" s="57">
        <v>1810.23</v>
      </c>
      <c r="CE11" s="58"/>
      <c r="CF11" s="60"/>
      <c r="CG11" s="27"/>
      <c r="CH11" s="51"/>
      <c r="CI11" s="52"/>
      <c r="CJ11" s="52"/>
      <c r="CK11" s="53">
        <f t="shared" si="7"/>
        <v>0</v>
      </c>
      <c r="CM11" s="47">
        <v>45907</v>
      </c>
      <c r="CN11" s="56">
        <v>5690.9</v>
      </c>
      <c r="CO11" s="57">
        <v>1829.16</v>
      </c>
      <c r="CP11" s="58"/>
      <c r="CQ11" s="62"/>
      <c r="CR11" s="27"/>
      <c r="CS11" s="32">
        <v>51.515385520894625</v>
      </c>
      <c r="CT11" s="42">
        <v>48.850000004689974</v>
      </c>
      <c r="CU11" s="52"/>
      <c r="CV11" s="53">
        <f t="shared" si="8"/>
        <v>100.3653855255846</v>
      </c>
      <c r="CX11" s="47">
        <v>45907</v>
      </c>
      <c r="CY11" s="56">
        <v>4791.01</v>
      </c>
      <c r="CZ11" s="57">
        <v>875.6</v>
      </c>
      <c r="DA11" s="58"/>
      <c r="DB11" s="59">
        <v>62.1</v>
      </c>
      <c r="DC11" s="27"/>
      <c r="DD11" s="32">
        <v>52.64643999999987</v>
      </c>
      <c r="DE11" s="32">
        <v>1.4783999999999935</v>
      </c>
      <c r="DF11" s="52"/>
      <c r="DG11" s="53">
        <f t="shared" si="9"/>
        <v>116.22483999999986</v>
      </c>
      <c r="DI11" s="47">
        <v>45907</v>
      </c>
      <c r="DJ11" s="56">
        <v>1349.94</v>
      </c>
      <c r="DK11" s="63"/>
      <c r="DL11" s="58"/>
      <c r="DM11" s="62"/>
      <c r="DN11" s="27"/>
      <c r="DO11" s="51"/>
      <c r="DP11" s="52"/>
      <c r="DQ11" s="52"/>
      <c r="DR11" s="53">
        <f t="shared" si="10"/>
        <v>0</v>
      </c>
      <c r="DT11" s="47">
        <v>45907</v>
      </c>
      <c r="DU11" s="56">
        <v>434.78</v>
      </c>
      <c r="DV11" s="57">
        <v>100</v>
      </c>
      <c r="DW11" s="58"/>
      <c r="DX11" s="62"/>
      <c r="DY11" s="27"/>
      <c r="DZ11" s="32">
        <v>71.87602000000004</v>
      </c>
      <c r="EA11" s="32"/>
      <c r="EB11" s="44"/>
      <c r="EC11" s="53">
        <f t="shared" si="11"/>
        <v>71.87602000000004</v>
      </c>
      <c r="EE11" s="47">
        <v>45907</v>
      </c>
      <c r="EF11" s="56">
        <v>3703.62</v>
      </c>
      <c r="EG11" s="57">
        <v>854.67</v>
      </c>
      <c r="EH11" s="58"/>
      <c r="EI11" s="59">
        <v>102.62</v>
      </c>
      <c r="EJ11" s="27"/>
      <c r="EK11" s="32"/>
      <c r="EL11" s="42"/>
      <c r="EM11" s="52"/>
      <c r="EN11" s="53">
        <f t="shared" si="12"/>
        <v>102.62</v>
      </c>
      <c r="EP11" s="47">
        <v>45907</v>
      </c>
      <c r="EQ11" s="64">
        <v>879.96</v>
      </c>
      <c r="ER11" s="56">
        <v>610.97</v>
      </c>
      <c r="ES11" s="58"/>
      <c r="ET11" s="62"/>
      <c r="EU11" s="27"/>
      <c r="EV11" s="51"/>
      <c r="EW11" s="52"/>
      <c r="EX11" s="52"/>
      <c r="EY11" s="53">
        <f t="shared" si="13"/>
        <v>0</v>
      </c>
    </row>
    <row r="12" spans="2:155" hidden="1" x14ac:dyDescent="0.25">
      <c r="B12" s="47">
        <v>45908</v>
      </c>
      <c r="C12" s="48">
        <v>18117.47</v>
      </c>
      <c r="D12" s="49">
        <v>3565.16</v>
      </c>
      <c r="E12" s="50">
        <v>3628.75</v>
      </c>
      <c r="F12" s="55">
        <v>171.71</v>
      </c>
      <c r="H12" s="27"/>
      <c r="I12" s="51"/>
      <c r="J12" s="52"/>
      <c r="K12" s="52"/>
      <c r="L12" s="53">
        <f t="shared" si="0"/>
        <v>0</v>
      </c>
      <c r="N12" s="47">
        <v>45908</v>
      </c>
      <c r="O12" s="54">
        <v>2206.4299999999998</v>
      </c>
      <c r="P12" s="54">
        <v>340.38</v>
      </c>
      <c r="Q12" s="55"/>
      <c r="R12" s="55">
        <v>52</v>
      </c>
      <c r="S12" s="27"/>
      <c r="T12" s="32">
        <v>34.526619999999838</v>
      </c>
      <c r="U12" s="32">
        <v>1.4631000000000114</v>
      </c>
      <c r="V12" s="52"/>
      <c r="W12" s="53">
        <f t="shared" si="1"/>
        <v>87.989719999999849</v>
      </c>
      <c r="Y12" s="47">
        <v>45908</v>
      </c>
      <c r="Z12" s="56">
        <v>5109.29</v>
      </c>
      <c r="AA12" s="57">
        <v>1402.96</v>
      </c>
      <c r="AB12" s="58"/>
      <c r="AC12" s="59">
        <v>350.44</v>
      </c>
      <c r="AD12" s="27"/>
      <c r="AE12" s="32">
        <v>130.42846199999997</v>
      </c>
      <c r="AF12" s="52"/>
      <c r="AG12" s="52"/>
      <c r="AH12" s="53">
        <f t="shared" si="2"/>
        <v>480.86846199999997</v>
      </c>
      <c r="AJ12" s="47">
        <v>45908</v>
      </c>
      <c r="AK12" s="56">
        <v>3982.4</v>
      </c>
      <c r="AL12" s="57">
        <v>313.97000000000003</v>
      </c>
      <c r="AM12" s="58"/>
      <c r="AN12" s="60"/>
      <c r="AO12" s="27"/>
      <c r="AP12" s="51"/>
      <c r="AQ12" s="52"/>
      <c r="AR12" s="52"/>
      <c r="AS12" s="53">
        <f t="shared" si="3"/>
        <v>0</v>
      </c>
      <c r="AU12" s="47">
        <v>45908</v>
      </c>
      <c r="AV12" s="57">
        <v>338.5</v>
      </c>
      <c r="AW12" s="57">
        <v>0</v>
      </c>
      <c r="AX12" s="58"/>
      <c r="AY12" s="59"/>
      <c r="AZ12" s="27"/>
      <c r="BA12" s="32">
        <v>139.01063000000005</v>
      </c>
      <c r="BB12" s="52"/>
      <c r="BC12" s="52"/>
      <c r="BD12" s="53">
        <f t="shared" si="4"/>
        <v>139.01063000000005</v>
      </c>
      <c r="BF12" s="47">
        <v>45908</v>
      </c>
      <c r="BG12" s="56">
        <v>5140.6400000000003</v>
      </c>
      <c r="BH12" s="57">
        <v>893.79</v>
      </c>
      <c r="BI12" s="58"/>
      <c r="BJ12" s="59">
        <v>50.16</v>
      </c>
      <c r="BK12" s="27"/>
      <c r="BL12" s="32">
        <v>253.44135999999997</v>
      </c>
      <c r="BM12" s="33">
        <v>25.307000000000002</v>
      </c>
      <c r="BN12" s="52"/>
      <c r="BO12" s="53">
        <f t="shared" si="5"/>
        <v>328.90836000000002</v>
      </c>
      <c r="BQ12" s="47">
        <v>45908</v>
      </c>
      <c r="BR12" s="57">
        <v>524.22</v>
      </c>
      <c r="BS12" s="57">
        <v>524.25</v>
      </c>
      <c r="BT12" s="58"/>
      <c r="BU12" s="61"/>
      <c r="BV12" s="27"/>
      <c r="BW12" s="51"/>
      <c r="BX12" s="52"/>
      <c r="BY12" s="52"/>
      <c r="BZ12" s="53">
        <f t="shared" si="6"/>
        <v>0</v>
      </c>
      <c r="CB12" s="47">
        <v>45908</v>
      </c>
      <c r="CC12" s="56">
        <v>20366.990000000002</v>
      </c>
      <c r="CD12" s="57">
        <v>1996.17</v>
      </c>
      <c r="CE12" s="58"/>
      <c r="CF12" s="60"/>
      <c r="CG12" s="27"/>
      <c r="CH12" s="51"/>
      <c r="CI12" s="52"/>
      <c r="CJ12" s="52"/>
      <c r="CK12" s="53">
        <f t="shared" si="7"/>
        <v>0</v>
      </c>
      <c r="CM12" s="47">
        <v>45908</v>
      </c>
      <c r="CN12" s="56">
        <v>10637.34</v>
      </c>
      <c r="CO12" s="57">
        <v>2049.92</v>
      </c>
      <c r="CP12" s="58"/>
      <c r="CQ12" s="62"/>
      <c r="CR12" s="27"/>
      <c r="CS12" s="32">
        <v>154.57547999999997</v>
      </c>
      <c r="CT12" s="42">
        <v>105.25839999999998</v>
      </c>
      <c r="CU12" s="52"/>
      <c r="CV12" s="53">
        <f t="shared" si="8"/>
        <v>259.83387999999997</v>
      </c>
      <c r="CX12" s="47">
        <v>45908</v>
      </c>
      <c r="CY12" s="56">
        <v>2989.6</v>
      </c>
      <c r="CZ12" s="57">
        <v>1499.78</v>
      </c>
      <c r="DA12" s="58"/>
      <c r="DB12" s="59"/>
      <c r="DC12" s="27"/>
      <c r="DD12" s="32">
        <v>147.13267999999991</v>
      </c>
      <c r="DE12" s="32">
        <v>1.2599999999999909</v>
      </c>
      <c r="DF12" s="52"/>
      <c r="DG12" s="53">
        <f t="shared" si="9"/>
        <v>148.3926799999999</v>
      </c>
      <c r="DI12" s="47">
        <v>45908</v>
      </c>
      <c r="DJ12" s="56">
        <v>1793.71</v>
      </c>
      <c r="DK12" s="63"/>
      <c r="DL12" s="58"/>
      <c r="DM12" s="62"/>
      <c r="DN12" s="27"/>
      <c r="DO12" s="51"/>
      <c r="DP12" s="52"/>
      <c r="DQ12" s="52"/>
      <c r="DR12" s="53">
        <f t="shared" si="10"/>
        <v>0</v>
      </c>
      <c r="DT12" s="47">
        <v>45908</v>
      </c>
      <c r="DU12" s="56">
        <v>980.61</v>
      </c>
      <c r="DV12" s="57">
        <v>90</v>
      </c>
      <c r="DW12" s="58"/>
      <c r="DX12" s="62"/>
      <c r="DY12" s="27"/>
      <c r="DZ12" s="32">
        <v>219.34745000000004</v>
      </c>
      <c r="EA12" s="32"/>
      <c r="EB12" s="44"/>
      <c r="EC12" s="53">
        <f t="shared" si="11"/>
        <v>219.34745000000004</v>
      </c>
      <c r="EE12" s="47">
        <v>45908</v>
      </c>
      <c r="EF12" s="56">
        <v>7426.69</v>
      </c>
      <c r="EG12" s="57">
        <v>953.92</v>
      </c>
      <c r="EH12" s="58"/>
      <c r="EI12" s="59">
        <v>165.3</v>
      </c>
      <c r="EJ12" s="27"/>
      <c r="EK12" s="32"/>
      <c r="EL12" s="42"/>
      <c r="EM12" s="52"/>
      <c r="EN12" s="53">
        <f t="shared" si="12"/>
        <v>165.3</v>
      </c>
      <c r="EP12" s="47">
        <v>45908</v>
      </c>
      <c r="EQ12" s="64">
        <v>597.04</v>
      </c>
      <c r="ER12" s="56">
        <v>839.73</v>
      </c>
      <c r="ES12" s="58"/>
      <c r="ET12" s="62"/>
      <c r="EU12" s="27"/>
      <c r="EV12" s="51"/>
      <c r="EW12" s="52"/>
      <c r="EX12" s="52"/>
      <c r="EY12" s="53">
        <f t="shared" si="13"/>
        <v>0</v>
      </c>
    </row>
    <row r="13" spans="2:155" hidden="1" x14ac:dyDescent="0.25">
      <c r="B13" s="47">
        <v>45909</v>
      </c>
      <c r="C13" s="48">
        <v>19112.89</v>
      </c>
      <c r="D13" s="49">
        <v>3429.71</v>
      </c>
      <c r="E13" s="50">
        <v>3360.2</v>
      </c>
      <c r="F13" s="49">
        <v>195.12</v>
      </c>
      <c r="H13" s="27"/>
      <c r="I13" s="51"/>
      <c r="J13" s="52"/>
      <c r="K13" s="52"/>
      <c r="L13" s="53">
        <f t="shared" si="0"/>
        <v>0</v>
      </c>
      <c r="N13" s="47">
        <v>45909</v>
      </c>
      <c r="O13" s="54">
        <v>3694.08</v>
      </c>
      <c r="P13" s="54">
        <v>281.83999999999997</v>
      </c>
      <c r="Q13" s="55"/>
      <c r="R13" s="55"/>
      <c r="S13" s="27"/>
      <c r="T13" s="32">
        <v>43.55102999999994</v>
      </c>
      <c r="U13" s="32">
        <v>69.877099999999984</v>
      </c>
      <c r="V13" s="52"/>
      <c r="W13" s="53">
        <f t="shared" si="1"/>
        <v>113.42812999999992</v>
      </c>
      <c r="Y13" s="47">
        <v>45909</v>
      </c>
      <c r="Z13" s="56">
        <v>7383.21</v>
      </c>
      <c r="AA13" s="57">
        <v>1674.01</v>
      </c>
      <c r="AB13" s="58"/>
      <c r="AC13" s="59">
        <v>176.86</v>
      </c>
      <c r="AD13" s="27"/>
      <c r="AE13" s="32">
        <v>15.75</v>
      </c>
      <c r="AF13" s="52"/>
      <c r="AG13" s="52"/>
      <c r="AH13" s="53">
        <f t="shared" si="2"/>
        <v>192.61</v>
      </c>
      <c r="AJ13" s="47">
        <v>45909</v>
      </c>
      <c r="AK13" s="56">
        <v>3027.59</v>
      </c>
      <c r="AL13" s="57">
        <v>452.11</v>
      </c>
      <c r="AM13" s="58"/>
      <c r="AN13" s="60"/>
      <c r="AO13" s="27"/>
      <c r="AP13" s="51"/>
      <c r="AQ13" s="52"/>
      <c r="AR13" s="52"/>
      <c r="AS13" s="53">
        <f t="shared" si="3"/>
        <v>0</v>
      </c>
      <c r="AU13" s="47">
        <v>45909</v>
      </c>
      <c r="AV13" s="57">
        <v>190</v>
      </c>
      <c r="AW13" s="57">
        <v>0</v>
      </c>
      <c r="AX13" s="58"/>
      <c r="AY13" s="59"/>
      <c r="AZ13" s="27"/>
      <c r="BA13" s="32">
        <v>107.47121199999998</v>
      </c>
      <c r="BB13" s="52"/>
      <c r="BC13" s="52"/>
      <c r="BD13" s="53">
        <f t="shared" si="4"/>
        <v>107.47121199999998</v>
      </c>
      <c r="BF13" s="47">
        <v>45909</v>
      </c>
      <c r="BG13" s="56">
        <v>4052.04</v>
      </c>
      <c r="BH13" s="57">
        <v>926.95</v>
      </c>
      <c r="BI13" s="58"/>
      <c r="BJ13" s="59">
        <v>14.96</v>
      </c>
      <c r="BK13" s="27"/>
      <c r="BL13" s="32">
        <v>151.98425999999998</v>
      </c>
      <c r="BM13" s="33">
        <v>101.02839999999995</v>
      </c>
      <c r="BN13" s="52"/>
      <c r="BO13" s="53">
        <f t="shared" si="5"/>
        <v>267.97265999999991</v>
      </c>
      <c r="BQ13" s="47">
        <v>45909</v>
      </c>
      <c r="BR13" s="57">
        <v>843.45</v>
      </c>
      <c r="BS13" s="57">
        <v>637.46</v>
      </c>
      <c r="BT13" s="58"/>
      <c r="BU13" s="61"/>
      <c r="BV13" s="27"/>
      <c r="BW13" s="51"/>
      <c r="BX13" s="52"/>
      <c r="BY13" s="52"/>
      <c r="BZ13" s="53">
        <f t="shared" si="6"/>
        <v>0</v>
      </c>
      <c r="CB13" s="47">
        <v>45909</v>
      </c>
      <c r="CC13" s="56">
        <v>16790.72</v>
      </c>
      <c r="CD13" s="57">
        <v>2394.12</v>
      </c>
      <c r="CE13" s="58"/>
      <c r="CF13" s="60"/>
      <c r="CG13" s="27"/>
      <c r="CH13" s="51"/>
      <c r="CI13" s="52"/>
      <c r="CJ13" s="52"/>
      <c r="CK13" s="53">
        <f t="shared" si="7"/>
        <v>0</v>
      </c>
      <c r="CM13" s="47">
        <v>45909</v>
      </c>
      <c r="CN13" s="56">
        <v>11737.32</v>
      </c>
      <c r="CO13" s="57">
        <v>2342.0700000000002</v>
      </c>
      <c r="CP13" s="58"/>
      <c r="CQ13" s="62"/>
      <c r="CR13" s="27"/>
      <c r="CS13" s="32">
        <v>94.989359999999948</v>
      </c>
      <c r="CT13" s="42">
        <v>268.77699999999999</v>
      </c>
      <c r="CU13" s="52"/>
      <c r="CV13" s="53">
        <f t="shared" si="8"/>
        <v>363.76635999999996</v>
      </c>
      <c r="CX13" s="47">
        <v>45909</v>
      </c>
      <c r="CY13" s="56">
        <v>6674.69</v>
      </c>
      <c r="CZ13" s="57">
        <v>1440.98</v>
      </c>
      <c r="DA13" s="58"/>
      <c r="DB13" s="59"/>
      <c r="DC13" s="27"/>
      <c r="DD13" s="32">
        <v>202.44206999999986</v>
      </c>
      <c r="DE13" s="32">
        <v>-5.6369000000000256</v>
      </c>
      <c r="DF13" s="52"/>
      <c r="DG13" s="53">
        <f t="shared" si="9"/>
        <v>196.80516999999983</v>
      </c>
      <c r="DI13" s="47">
        <v>45909</v>
      </c>
      <c r="DJ13" s="56">
        <v>1443.81</v>
      </c>
      <c r="DK13" s="63"/>
      <c r="DL13" s="58"/>
      <c r="DM13" s="62"/>
      <c r="DN13" s="27"/>
      <c r="DO13" s="51"/>
      <c r="DP13" s="52"/>
      <c r="DQ13" s="52"/>
      <c r="DR13" s="53">
        <f t="shared" si="10"/>
        <v>0</v>
      </c>
      <c r="DT13" s="47">
        <v>45909</v>
      </c>
      <c r="DU13" s="56">
        <v>1337.08</v>
      </c>
      <c r="DV13" s="57">
        <v>270.93</v>
      </c>
      <c r="DW13" s="58"/>
      <c r="DX13" s="62"/>
      <c r="DY13" s="27"/>
      <c r="DZ13" s="32">
        <v>53.297580000000039</v>
      </c>
      <c r="EA13" s="32"/>
      <c r="EB13" s="44"/>
      <c r="EC13" s="53">
        <f t="shared" si="11"/>
        <v>53.297580000000039</v>
      </c>
      <c r="EE13" s="47">
        <v>45909</v>
      </c>
      <c r="EF13" s="56">
        <v>6162.62</v>
      </c>
      <c r="EG13" s="57">
        <v>1489.63</v>
      </c>
      <c r="EH13" s="58"/>
      <c r="EI13" s="59">
        <v>151.53</v>
      </c>
      <c r="EJ13" s="27"/>
      <c r="EK13" s="32"/>
      <c r="EL13" s="42">
        <v>16.72590000000001</v>
      </c>
      <c r="EM13" s="52"/>
      <c r="EN13" s="53">
        <f t="shared" si="12"/>
        <v>168.2559</v>
      </c>
      <c r="EP13" s="47">
        <v>45909</v>
      </c>
      <c r="EQ13" s="64">
        <v>1233.3499999999999</v>
      </c>
      <c r="ER13" s="56">
        <v>608.49</v>
      </c>
      <c r="ES13" s="58"/>
      <c r="ET13" s="62"/>
      <c r="EU13" s="27"/>
      <c r="EV13" s="51"/>
      <c r="EW13" s="52"/>
      <c r="EX13" s="52"/>
      <c r="EY13" s="53">
        <f t="shared" si="13"/>
        <v>0</v>
      </c>
    </row>
    <row r="14" spans="2:155" hidden="1" x14ac:dyDescent="0.25">
      <c r="B14" s="47">
        <v>45910</v>
      </c>
      <c r="C14" s="48">
        <v>18287.990000000002</v>
      </c>
      <c r="D14" s="49">
        <v>3571.14</v>
      </c>
      <c r="E14" s="50">
        <v>3109.04</v>
      </c>
      <c r="F14" s="49">
        <v>257.14999999999998</v>
      </c>
      <c r="H14" s="27"/>
      <c r="I14" s="51"/>
      <c r="J14" s="52"/>
      <c r="K14" s="52"/>
      <c r="L14" s="53">
        <f t="shared" si="0"/>
        <v>0</v>
      </c>
      <c r="N14" s="47">
        <v>45910</v>
      </c>
      <c r="O14" s="67">
        <v>2715.56</v>
      </c>
      <c r="P14" s="68">
        <v>321.83999999999997</v>
      </c>
      <c r="Q14" s="55"/>
      <c r="R14" s="55"/>
      <c r="S14" s="27"/>
      <c r="T14" s="32">
        <v>70.138199999999856</v>
      </c>
      <c r="U14" s="32">
        <v>0.73959999999999582</v>
      </c>
      <c r="V14" s="52"/>
      <c r="W14" s="53">
        <f t="shared" si="1"/>
        <v>70.877799999999851</v>
      </c>
      <c r="Y14" s="47">
        <v>45910</v>
      </c>
      <c r="Z14" s="56">
        <v>5228.6899999999996</v>
      </c>
      <c r="AA14" s="57">
        <v>1556.19</v>
      </c>
      <c r="AB14" s="58"/>
      <c r="AC14" s="59">
        <v>87.9</v>
      </c>
      <c r="AD14" s="27"/>
      <c r="AE14" s="32">
        <v>19.5</v>
      </c>
      <c r="AF14" s="52"/>
      <c r="AG14" s="52"/>
      <c r="AH14" s="53">
        <f t="shared" si="2"/>
        <v>107.4</v>
      </c>
      <c r="AJ14" s="47">
        <v>45910</v>
      </c>
      <c r="AK14" s="56">
        <v>3885.57</v>
      </c>
      <c r="AL14" s="57">
        <v>549</v>
      </c>
      <c r="AM14" s="58"/>
      <c r="AN14" s="60"/>
      <c r="AO14" s="27"/>
      <c r="AP14" s="51"/>
      <c r="AQ14" s="52"/>
      <c r="AR14" s="52"/>
      <c r="AS14" s="53">
        <f t="shared" si="3"/>
        <v>0</v>
      </c>
      <c r="AU14" s="47">
        <v>45910</v>
      </c>
      <c r="AV14" s="57">
        <v>492.05</v>
      </c>
      <c r="AW14" s="57">
        <v>126</v>
      </c>
      <c r="AX14" s="58"/>
      <c r="AY14" s="59">
        <v>117</v>
      </c>
      <c r="AZ14" s="27"/>
      <c r="BA14" s="32">
        <v>98.461335999999918</v>
      </c>
      <c r="BB14" s="52"/>
      <c r="BC14" s="52"/>
      <c r="BD14" s="53">
        <f t="shared" si="4"/>
        <v>215.4613359999999</v>
      </c>
      <c r="BF14" s="47">
        <v>45910</v>
      </c>
      <c r="BG14" s="56">
        <v>4854.3</v>
      </c>
      <c r="BH14" s="57">
        <v>1014.87</v>
      </c>
      <c r="BI14" s="58"/>
      <c r="BJ14" s="59">
        <v>18.88</v>
      </c>
      <c r="BK14" s="27"/>
      <c r="BL14" s="32">
        <v>233.38370999999989</v>
      </c>
      <c r="BM14" s="33"/>
      <c r="BN14" s="52"/>
      <c r="BO14" s="53">
        <f t="shared" si="5"/>
        <v>252.26370999999989</v>
      </c>
      <c r="BQ14" s="47">
        <v>45910</v>
      </c>
      <c r="BR14" s="57">
        <v>701.3</v>
      </c>
      <c r="BS14" s="57">
        <v>603.73</v>
      </c>
      <c r="BT14" s="58"/>
      <c r="BU14" s="61"/>
      <c r="BV14" s="27"/>
      <c r="BW14" s="51"/>
      <c r="BX14" s="52"/>
      <c r="BY14" s="52"/>
      <c r="BZ14" s="53">
        <f t="shared" si="6"/>
        <v>0</v>
      </c>
      <c r="CB14" s="47">
        <v>45910</v>
      </c>
      <c r="CC14" s="56">
        <v>21033.27</v>
      </c>
      <c r="CD14" s="57">
        <v>2444.9499999999998</v>
      </c>
      <c r="CE14" s="58"/>
      <c r="CF14" s="60"/>
      <c r="CG14" s="27"/>
      <c r="CH14" s="51"/>
      <c r="CI14" s="52"/>
      <c r="CJ14" s="52"/>
      <c r="CK14" s="53">
        <f t="shared" si="7"/>
        <v>0</v>
      </c>
      <c r="CM14" s="47">
        <v>45910</v>
      </c>
      <c r="CN14" s="56">
        <v>10563.01</v>
      </c>
      <c r="CO14" s="57">
        <v>2661.33</v>
      </c>
      <c r="CP14" s="58"/>
      <c r="CQ14" s="62"/>
      <c r="CR14" s="27"/>
      <c r="CS14" s="32">
        <v>187.85553999999996</v>
      </c>
      <c r="CT14" s="42">
        <v>164.76699999999994</v>
      </c>
      <c r="CU14" s="52"/>
      <c r="CV14" s="53">
        <f t="shared" si="8"/>
        <v>352.6225399999999</v>
      </c>
      <c r="CX14" s="47">
        <v>45910</v>
      </c>
      <c r="CY14" s="56">
        <v>4237.3100000000004</v>
      </c>
      <c r="CZ14" s="57">
        <v>1444.22</v>
      </c>
      <c r="DA14" s="58"/>
      <c r="DB14" s="59">
        <v>11.89</v>
      </c>
      <c r="DC14" s="27"/>
      <c r="DD14" s="32">
        <v>39.556459999999987</v>
      </c>
      <c r="DE14" s="32"/>
      <c r="DF14" s="52"/>
      <c r="DG14" s="53">
        <f t="shared" si="9"/>
        <v>51.446459999999988</v>
      </c>
      <c r="DI14" s="47">
        <v>45910</v>
      </c>
      <c r="DJ14" s="56">
        <v>1269.79</v>
      </c>
      <c r="DK14" s="63"/>
      <c r="DL14" s="58"/>
      <c r="DM14" s="62"/>
      <c r="DN14" s="27"/>
      <c r="DO14" s="51"/>
      <c r="DP14" s="52"/>
      <c r="DQ14" s="52"/>
      <c r="DR14" s="53">
        <f t="shared" si="10"/>
        <v>0</v>
      </c>
      <c r="DT14" s="47">
        <v>45910</v>
      </c>
      <c r="DU14" s="56">
        <v>1374.64</v>
      </c>
      <c r="DV14" s="57">
        <v>359.18</v>
      </c>
      <c r="DW14" s="58"/>
      <c r="DX14" s="62"/>
      <c r="DY14" s="27"/>
      <c r="DZ14" s="32">
        <v>58.260230000000064</v>
      </c>
      <c r="EA14" s="32">
        <v>417.11210000000017</v>
      </c>
      <c r="EB14" s="44"/>
      <c r="EC14" s="53">
        <f t="shared" si="11"/>
        <v>475.37233000000026</v>
      </c>
      <c r="EE14" s="47">
        <v>45910</v>
      </c>
      <c r="EF14" s="56">
        <v>5081.07</v>
      </c>
      <c r="EG14" s="57">
        <v>1320.55</v>
      </c>
      <c r="EH14" s="58"/>
      <c r="EI14" s="59">
        <v>131.36000000000001</v>
      </c>
      <c r="EJ14" s="27"/>
      <c r="EK14" s="32"/>
      <c r="EL14" s="42"/>
      <c r="EM14" s="52"/>
      <c r="EN14" s="53">
        <f t="shared" si="12"/>
        <v>131.36000000000001</v>
      </c>
      <c r="EP14" s="47">
        <v>45910</v>
      </c>
      <c r="EQ14" s="64">
        <v>775.07</v>
      </c>
      <c r="ER14" s="56">
        <v>642.79</v>
      </c>
      <c r="ES14" s="58"/>
      <c r="ET14" s="62"/>
      <c r="EU14" s="27"/>
      <c r="EV14" s="51"/>
      <c r="EW14" s="52"/>
      <c r="EX14" s="52"/>
      <c r="EY14" s="53">
        <f t="shared" si="13"/>
        <v>0</v>
      </c>
    </row>
    <row r="15" spans="2:155" hidden="1" x14ac:dyDescent="0.25">
      <c r="B15" s="47">
        <v>45911</v>
      </c>
      <c r="C15" s="48">
        <v>15264.12</v>
      </c>
      <c r="D15" s="49">
        <v>2836.13</v>
      </c>
      <c r="E15" s="50">
        <v>4852.29</v>
      </c>
      <c r="F15" s="49">
        <v>118.4</v>
      </c>
      <c r="H15" s="27"/>
      <c r="I15" s="51"/>
      <c r="J15" s="52"/>
      <c r="K15" s="52"/>
      <c r="L15" s="53">
        <f t="shared" si="0"/>
        <v>0</v>
      </c>
      <c r="N15" s="47">
        <v>45911</v>
      </c>
      <c r="O15" s="54">
        <v>2257.9699999999998</v>
      </c>
      <c r="P15" s="54">
        <v>542.04999999999995</v>
      </c>
      <c r="Q15" s="55"/>
      <c r="R15" s="55"/>
      <c r="S15" s="27"/>
      <c r="T15" s="32">
        <v>46.0642899999999</v>
      </c>
      <c r="U15" s="32"/>
      <c r="V15" s="52"/>
      <c r="W15" s="53">
        <f t="shared" si="1"/>
        <v>46.0642899999999</v>
      </c>
      <c r="Y15" s="47">
        <v>45911</v>
      </c>
      <c r="Z15" s="56">
        <v>4981.01</v>
      </c>
      <c r="AA15" s="57">
        <v>1491.12</v>
      </c>
      <c r="AB15" s="58"/>
      <c r="AC15" s="59">
        <v>93.13</v>
      </c>
      <c r="AD15" s="27"/>
      <c r="AE15" s="32">
        <v>106.05269999999993</v>
      </c>
      <c r="AF15" s="52"/>
      <c r="AG15" s="52"/>
      <c r="AH15" s="53">
        <f t="shared" si="2"/>
        <v>199.18269999999993</v>
      </c>
      <c r="AJ15" s="47">
        <v>45911</v>
      </c>
      <c r="AK15" s="56">
        <v>3204.51</v>
      </c>
      <c r="AL15" s="57">
        <v>450.27</v>
      </c>
      <c r="AM15" s="58"/>
      <c r="AN15" s="60"/>
      <c r="AO15" s="27"/>
      <c r="AP15" s="51"/>
      <c r="AQ15" s="52"/>
      <c r="AR15" s="52"/>
      <c r="AS15" s="53">
        <f t="shared" si="3"/>
        <v>0</v>
      </c>
      <c r="AU15" s="47">
        <v>45911</v>
      </c>
      <c r="AV15" s="57">
        <v>675</v>
      </c>
      <c r="AW15" s="57">
        <v>0</v>
      </c>
      <c r="AX15" s="58"/>
      <c r="AY15" s="59"/>
      <c r="AZ15" s="27"/>
      <c r="BA15" s="32">
        <v>236.56040600000028</v>
      </c>
      <c r="BB15" s="52"/>
      <c r="BC15" s="52"/>
      <c r="BD15" s="53">
        <f t="shared" si="4"/>
        <v>236.56040600000028</v>
      </c>
      <c r="BF15" s="47">
        <v>45911</v>
      </c>
      <c r="BG15" s="56">
        <v>4713.7700000000004</v>
      </c>
      <c r="BH15" s="57">
        <v>1366.24</v>
      </c>
      <c r="BI15" s="58"/>
      <c r="BJ15" s="59"/>
      <c r="BK15" s="27"/>
      <c r="BL15" s="32">
        <v>138.08176999999998</v>
      </c>
      <c r="BM15" s="33">
        <v>16.894200000000012</v>
      </c>
      <c r="BN15" s="52"/>
      <c r="BO15" s="53">
        <f t="shared" si="5"/>
        <v>154.97596999999999</v>
      </c>
      <c r="BQ15" s="47">
        <v>45911</v>
      </c>
      <c r="BR15" s="57">
        <v>465.53</v>
      </c>
      <c r="BS15" s="57">
        <v>307.07</v>
      </c>
      <c r="BT15" s="58"/>
      <c r="BU15" s="61"/>
      <c r="BV15" s="27"/>
      <c r="BW15" s="51"/>
      <c r="BX15" s="52"/>
      <c r="BY15" s="52"/>
      <c r="BZ15" s="53">
        <f t="shared" si="6"/>
        <v>0</v>
      </c>
      <c r="CB15" s="47">
        <v>45911</v>
      </c>
      <c r="CC15" s="56">
        <v>19750.849999999999</v>
      </c>
      <c r="CD15" s="57">
        <v>2697.04</v>
      </c>
      <c r="CE15" s="58"/>
      <c r="CF15" s="60"/>
      <c r="CG15" s="27"/>
      <c r="CH15" s="51"/>
      <c r="CI15" s="52"/>
      <c r="CJ15" s="52"/>
      <c r="CK15" s="53">
        <f t="shared" si="7"/>
        <v>0</v>
      </c>
      <c r="CM15" s="47">
        <v>45911</v>
      </c>
      <c r="CN15" s="56">
        <v>10302.01</v>
      </c>
      <c r="CO15" s="57">
        <v>2473.08</v>
      </c>
      <c r="CP15" s="58"/>
      <c r="CQ15" s="62"/>
      <c r="CR15" s="27"/>
      <c r="CS15" s="32">
        <v>31.135679999999994</v>
      </c>
      <c r="CT15" s="42">
        <v>253.88329999999988</v>
      </c>
      <c r="CU15" s="52"/>
      <c r="CV15" s="53">
        <f t="shared" si="8"/>
        <v>285.01897999999989</v>
      </c>
      <c r="CX15" s="47">
        <v>45911</v>
      </c>
      <c r="CY15" s="56">
        <v>5087.88</v>
      </c>
      <c r="CZ15" s="57">
        <v>920.96</v>
      </c>
      <c r="DA15" s="58"/>
      <c r="DB15" s="59">
        <v>15.8</v>
      </c>
      <c r="DC15" s="27"/>
      <c r="DD15" s="32">
        <v>72.522179999999892</v>
      </c>
      <c r="DE15" s="32">
        <v>-8.2257000000000176</v>
      </c>
      <c r="DF15" s="52"/>
      <c r="DG15" s="53">
        <f t="shared" si="9"/>
        <v>80.096479999999872</v>
      </c>
      <c r="DI15" s="47">
        <v>45911</v>
      </c>
      <c r="DJ15" s="56">
        <v>1824.07</v>
      </c>
      <c r="DK15" s="63"/>
      <c r="DL15" s="58"/>
      <c r="DM15" s="62"/>
      <c r="DN15" s="27"/>
      <c r="DO15" s="51"/>
      <c r="DP15" s="52"/>
      <c r="DQ15" s="52"/>
      <c r="DR15" s="53">
        <f t="shared" si="10"/>
        <v>0</v>
      </c>
      <c r="DT15" s="47">
        <v>45911</v>
      </c>
      <c r="DU15" s="56">
        <v>974.06</v>
      </c>
      <c r="DV15" s="57">
        <v>374.65</v>
      </c>
      <c r="DW15" s="58"/>
      <c r="DX15" s="62"/>
      <c r="DY15" s="27"/>
      <c r="DZ15" s="32">
        <v>123.42197000000002</v>
      </c>
      <c r="EA15" s="32"/>
      <c r="EB15" s="44"/>
      <c r="EC15" s="53">
        <f t="shared" si="11"/>
        <v>123.42197000000002</v>
      </c>
      <c r="EE15" s="47">
        <v>45911</v>
      </c>
      <c r="EF15" s="56">
        <v>5804.28</v>
      </c>
      <c r="EG15" s="57">
        <v>1446.46</v>
      </c>
      <c r="EH15" s="58"/>
      <c r="EI15" s="59">
        <v>155.12</v>
      </c>
      <c r="EJ15" s="27"/>
      <c r="EK15" s="32"/>
      <c r="EL15" s="42"/>
      <c r="EM15" s="52"/>
      <c r="EN15" s="53">
        <f t="shared" si="12"/>
        <v>155.12</v>
      </c>
      <c r="EP15" s="47">
        <v>45911</v>
      </c>
      <c r="EQ15" s="64">
        <v>774</v>
      </c>
      <c r="ER15" s="56">
        <v>625.70000000000005</v>
      </c>
      <c r="ES15" s="58"/>
      <c r="ET15" s="62"/>
      <c r="EU15" s="27"/>
      <c r="EV15" s="51"/>
      <c r="EW15" s="52"/>
      <c r="EX15" s="52"/>
      <c r="EY15" s="53">
        <f t="shared" si="13"/>
        <v>0</v>
      </c>
    </row>
    <row r="16" spans="2:155" hidden="1" x14ac:dyDescent="0.25">
      <c r="B16" s="47">
        <v>45912</v>
      </c>
      <c r="C16" s="48">
        <v>19880.54</v>
      </c>
      <c r="D16" s="49">
        <v>4005.8</v>
      </c>
      <c r="E16" s="50">
        <v>3278.81</v>
      </c>
      <c r="F16" s="49">
        <v>312.82</v>
      </c>
      <c r="H16" s="27"/>
      <c r="I16" s="51"/>
      <c r="J16" s="52"/>
      <c r="K16" s="52"/>
      <c r="L16" s="53">
        <f t="shared" si="0"/>
        <v>0</v>
      </c>
      <c r="N16" s="47">
        <v>45912</v>
      </c>
      <c r="O16" s="54">
        <v>4051.76</v>
      </c>
      <c r="P16" s="54">
        <v>372.94</v>
      </c>
      <c r="Q16" s="55"/>
      <c r="R16" s="55">
        <v>14.11</v>
      </c>
      <c r="S16" s="27"/>
      <c r="T16" s="32">
        <v>13.780099999999962</v>
      </c>
      <c r="U16" s="32"/>
      <c r="V16" s="52"/>
      <c r="W16" s="53">
        <f t="shared" si="1"/>
        <v>27.890099999999961</v>
      </c>
      <c r="Y16" s="47">
        <v>45912</v>
      </c>
      <c r="Z16" s="56">
        <v>4465</v>
      </c>
      <c r="AA16" s="57">
        <v>1616.64</v>
      </c>
      <c r="AB16" s="58"/>
      <c r="AC16" s="59">
        <v>167.88</v>
      </c>
      <c r="AD16" s="27"/>
      <c r="AE16" s="32">
        <v>26.011499999999984</v>
      </c>
      <c r="AF16" s="52"/>
      <c r="AG16" s="52"/>
      <c r="AH16" s="53">
        <f t="shared" si="2"/>
        <v>193.89149999999998</v>
      </c>
      <c r="AJ16" s="47">
        <v>45912</v>
      </c>
      <c r="AK16" s="56">
        <v>2927.21</v>
      </c>
      <c r="AL16" s="57">
        <v>449</v>
      </c>
      <c r="AM16" s="58"/>
      <c r="AN16" s="60"/>
      <c r="AO16" s="27"/>
      <c r="AP16" s="51"/>
      <c r="AQ16" s="52"/>
      <c r="AR16" s="52"/>
      <c r="AS16" s="53">
        <f t="shared" si="3"/>
        <v>0</v>
      </c>
      <c r="AU16" s="47">
        <v>45912</v>
      </c>
      <c r="AV16" s="57">
        <v>215.5</v>
      </c>
      <c r="AW16" s="57">
        <v>30</v>
      </c>
      <c r="AX16" s="58"/>
      <c r="AY16" s="59">
        <v>107.9</v>
      </c>
      <c r="AZ16" s="27"/>
      <c r="BA16" s="32">
        <v>706.43415600000003</v>
      </c>
      <c r="BB16" s="52"/>
      <c r="BC16" s="52"/>
      <c r="BD16" s="53">
        <f t="shared" si="4"/>
        <v>814.33415600000001</v>
      </c>
      <c r="BF16" s="47">
        <v>45912</v>
      </c>
      <c r="BG16" s="56">
        <v>5042.82</v>
      </c>
      <c r="BH16" s="57">
        <v>803.8</v>
      </c>
      <c r="BI16" s="58"/>
      <c r="BJ16" s="59">
        <v>19.18</v>
      </c>
      <c r="BK16" s="27"/>
      <c r="BL16" s="32">
        <v>184.70328999999998</v>
      </c>
      <c r="BM16" s="33"/>
      <c r="BN16" s="52"/>
      <c r="BO16" s="53">
        <f t="shared" si="5"/>
        <v>203.88328999999999</v>
      </c>
      <c r="BQ16" s="47">
        <v>45912</v>
      </c>
      <c r="BR16" s="57">
        <v>1066.32</v>
      </c>
      <c r="BS16" s="57">
        <v>303.13</v>
      </c>
      <c r="BT16" s="58"/>
      <c r="BU16" s="61"/>
      <c r="BV16" s="27"/>
      <c r="BW16" s="51"/>
      <c r="BX16" s="52"/>
      <c r="BY16" s="52"/>
      <c r="BZ16" s="53">
        <f t="shared" si="6"/>
        <v>0</v>
      </c>
      <c r="CB16" s="47">
        <v>45912</v>
      </c>
      <c r="CC16" s="56">
        <v>19404.7</v>
      </c>
      <c r="CD16" s="57">
        <v>2714.16</v>
      </c>
      <c r="CE16" s="58"/>
      <c r="CF16" s="60"/>
      <c r="CG16" s="27"/>
      <c r="CH16" s="51"/>
      <c r="CI16" s="52"/>
      <c r="CJ16" s="52"/>
      <c r="CK16" s="53">
        <f t="shared" si="7"/>
        <v>0</v>
      </c>
      <c r="CM16" s="47">
        <v>45912</v>
      </c>
      <c r="CN16" s="56">
        <v>8430.81</v>
      </c>
      <c r="CO16" s="57">
        <v>1680.98</v>
      </c>
      <c r="CP16" s="58"/>
      <c r="CQ16" s="62"/>
      <c r="CR16" s="27"/>
      <c r="CS16" s="32"/>
      <c r="CT16" s="42">
        <v>476.90779999999978</v>
      </c>
      <c r="CU16" s="52"/>
      <c r="CV16" s="53">
        <f t="shared" si="8"/>
        <v>476.90779999999978</v>
      </c>
      <c r="CX16" s="47">
        <v>45912</v>
      </c>
      <c r="CY16" s="56">
        <v>4098.43</v>
      </c>
      <c r="CZ16" s="57">
        <v>1265.6400000000001</v>
      </c>
      <c r="DA16" s="58"/>
      <c r="DB16" s="59"/>
      <c r="DC16" s="27"/>
      <c r="DD16" s="32">
        <v>152.83723999999987</v>
      </c>
      <c r="DE16" s="32">
        <v>-3.0713000000000079</v>
      </c>
      <c r="DF16" s="52"/>
      <c r="DG16" s="53">
        <f t="shared" si="9"/>
        <v>149.76593999999986</v>
      </c>
      <c r="DI16" s="47">
        <v>45912</v>
      </c>
      <c r="DJ16" s="56">
        <v>1699.5</v>
      </c>
      <c r="DK16" s="63"/>
      <c r="DL16" s="58"/>
      <c r="DM16" s="62"/>
      <c r="DN16" s="27"/>
      <c r="DO16" s="51"/>
      <c r="DP16" s="52"/>
      <c r="DQ16" s="52"/>
      <c r="DR16" s="53">
        <f t="shared" si="10"/>
        <v>0</v>
      </c>
      <c r="DT16" s="47">
        <v>45912</v>
      </c>
      <c r="DU16" s="56">
        <v>1047.3900000000001</v>
      </c>
      <c r="DV16" s="57">
        <v>271.24</v>
      </c>
      <c r="DW16" s="58"/>
      <c r="DX16" s="62"/>
      <c r="DY16" s="27"/>
      <c r="DZ16" s="32">
        <v>161.7537100000001</v>
      </c>
      <c r="EA16" s="32"/>
      <c r="EB16" s="44"/>
      <c r="EC16" s="53">
        <f t="shared" si="11"/>
        <v>161.7537100000001</v>
      </c>
      <c r="EE16" s="47">
        <v>45912</v>
      </c>
      <c r="EF16" s="56">
        <v>5589.03</v>
      </c>
      <c r="EG16" s="57">
        <v>1093.5999999999999</v>
      </c>
      <c r="EH16" s="58"/>
      <c r="EI16" s="59">
        <v>120.08</v>
      </c>
      <c r="EJ16" s="27"/>
      <c r="EK16" s="32"/>
      <c r="EL16" s="42"/>
      <c r="EM16" s="52"/>
      <c r="EN16" s="53">
        <f t="shared" si="12"/>
        <v>120.08</v>
      </c>
      <c r="EP16" s="47">
        <v>45912</v>
      </c>
      <c r="EQ16" s="64">
        <v>709.28</v>
      </c>
      <c r="ER16" s="56">
        <v>597.05999999999995</v>
      </c>
      <c r="ES16" s="58"/>
      <c r="ET16" s="62"/>
      <c r="EU16" s="27"/>
      <c r="EV16" s="51"/>
      <c r="EW16" s="52"/>
      <c r="EX16" s="52"/>
      <c r="EY16" s="53">
        <f t="shared" si="13"/>
        <v>0</v>
      </c>
    </row>
    <row r="17" spans="2:155" hidden="1" x14ac:dyDescent="0.25">
      <c r="B17" s="47">
        <v>45913</v>
      </c>
      <c r="C17" s="48">
        <v>20307.87</v>
      </c>
      <c r="D17" s="49">
        <v>3604.18</v>
      </c>
      <c r="E17" s="50">
        <v>2874.46</v>
      </c>
      <c r="F17" s="49">
        <v>214.21</v>
      </c>
      <c r="H17" s="27"/>
      <c r="I17" s="51"/>
      <c r="J17" s="52"/>
      <c r="K17" s="52"/>
      <c r="L17" s="53">
        <f t="shared" si="0"/>
        <v>0</v>
      </c>
      <c r="N17" s="47">
        <v>45913</v>
      </c>
      <c r="O17" s="54">
        <v>3839.17</v>
      </c>
      <c r="P17" s="54">
        <v>504.11</v>
      </c>
      <c r="Q17" s="69"/>
      <c r="R17" s="69"/>
      <c r="S17" s="27"/>
      <c r="T17" s="32">
        <v>150.68729000000008</v>
      </c>
      <c r="U17" s="32"/>
      <c r="V17" s="52"/>
      <c r="W17" s="53">
        <f t="shared" si="1"/>
        <v>150.68729000000008</v>
      </c>
      <c r="Y17" s="47">
        <v>45913</v>
      </c>
      <c r="Z17" s="56">
        <v>7801.55</v>
      </c>
      <c r="AA17" s="57">
        <v>2043.92</v>
      </c>
      <c r="AB17" s="58"/>
      <c r="AC17" s="59">
        <v>39.17</v>
      </c>
      <c r="AD17" s="27"/>
      <c r="AE17" s="32">
        <v>43.341026999999997</v>
      </c>
      <c r="AF17" s="52"/>
      <c r="AG17" s="52"/>
      <c r="AH17" s="53">
        <f t="shared" si="2"/>
        <v>82.511026999999999</v>
      </c>
      <c r="AJ17" s="47">
        <v>45913</v>
      </c>
      <c r="AK17" s="56">
        <v>2475.13</v>
      </c>
      <c r="AL17" s="57">
        <v>398.45</v>
      </c>
      <c r="AM17" s="58"/>
      <c r="AN17" s="60"/>
      <c r="AO17" s="27"/>
      <c r="AP17" s="51"/>
      <c r="AQ17" s="52"/>
      <c r="AR17" s="52"/>
      <c r="AS17" s="53">
        <f t="shared" si="3"/>
        <v>0</v>
      </c>
      <c r="AU17" s="47">
        <v>45913</v>
      </c>
      <c r="AV17" s="57">
        <v>385</v>
      </c>
      <c r="AW17" s="57">
        <v>39.049999999999997</v>
      </c>
      <c r="AX17" s="58"/>
      <c r="AY17" s="59"/>
      <c r="AZ17" s="27"/>
      <c r="BA17" s="32">
        <v>38.635395000000017</v>
      </c>
      <c r="BB17" s="52"/>
      <c r="BC17" s="52"/>
      <c r="BD17" s="53">
        <f t="shared" si="4"/>
        <v>38.635395000000017</v>
      </c>
      <c r="BF17" s="47">
        <v>45913</v>
      </c>
      <c r="BG17" s="56">
        <v>4919.87</v>
      </c>
      <c r="BH17" s="57">
        <v>1130.6199999999999</v>
      </c>
      <c r="BI17" s="58"/>
      <c r="BJ17" s="59"/>
      <c r="BK17" s="27"/>
      <c r="BL17" s="32">
        <v>212.74084999999988</v>
      </c>
      <c r="BM17" s="33">
        <v>49.010399999999976</v>
      </c>
      <c r="BN17" s="52"/>
      <c r="BO17" s="53">
        <f t="shared" si="5"/>
        <v>261.75124999999986</v>
      </c>
      <c r="BQ17" s="47">
        <v>45913</v>
      </c>
      <c r="BR17" s="57">
        <v>335.5</v>
      </c>
      <c r="BS17" s="57">
        <v>449.57</v>
      </c>
      <c r="BT17" s="58"/>
      <c r="BU17" s="61"/>
      <c r="BV17" s="27"/>
      <c r="BW17" s="51"/>
      <c r="BX17" s="52"/>
      <c r="BY17" s="52"/>
      <c r="BZ17" s="53">
        <f t="shared" si="6"/>
        <v>0</v>
      </c>
      <c r="CB17" s="47">
        <v>45913</v>
      </c>
      <c r="CC17" s="56">
        <v>20825.3</v>
      </c>
      <c r="CD17" s="57">
        <v>2086.88</v>
      </c>
      <c r="CE17" s="58"/>
      <c r="CF17" s="60"/>
      <c r="CG17" s="27"/>
      <c r="CH17" s="51"/>
      <c r="CI17" s="52"/>
      <c r="CJ17" s="52"/>
      <c r="CK17" s="53">
        <f t="shared" si="7"/>
        <v>0</v>
      </c>
      <c r="CM17" s="47">
        <v>45913</v>
      </c>
      <c r="CN17" s="56">
        <v>7802.03</v>
      </c>
      <c r="CO17" s="57">
        <v>1545.41</v>
      </c>
      <c r="CP17" s="58"/>
      <c r="CQ17" s="62"/>
      <c r="CR17" s="27"/>
      <c r="CS17" s="32">
        <v>172.61004999999994</v>
      </c>
      <c r="CT17" s="42">
        <v>102.65109999999999</v>
      </c>
      <c r="CU17" s="52"/>
      <c r="CV17" s="53">
        <f t="shared" si="8"/>
        <v>275.26114999999993</v>
      </c>
      <c r="CX17" s="47">
        <v>45913</v>
      </c>
      <c r="CY17" s="56">
        <v>4223.4799999999996</v>
      </c>
      <c r="CZ17" s="57">
        <v>1148.18</v>
      </c>
      <c r="DA17" s="58"/>
      <c r="DB17" s="59">
        <v>12.12</v>
      </c>
      <c r="DC17" s="27"/>
      <c r="DD17" s="32">
        <v>114.36039999999991</v>
      </c>
      <c r="DE17" s="32">
        <v>-7.8922999999999774</v>
      </c>
      <c r="DF17" s="52"/>
      <c r="DG17" s="53">
        <f t="shared" si="9"/>
        <v>118.58809999999994</v>
      </c>
      <c r="DI17" s="47">
        <v>45913</v>
      </c>
      <c r="DJ17" s="56">
        <v>1053.4100000000001</v>
      </c>
      <c r="DK17" s="63"/>
      <c r="DL17" s="58"/>
      <c r="DM17" s="62"/>
      <c r="DN17" s="27"/>
      <c r="DO17" s="51"/>
      <c r="DP17" s="52"/>
      <c r="DQ17" s="52"/>
      <c r="DR17" s="53">
        <f t="shared" si="10"/>
        <v>0</v>
      </c>
      <c r="DT17" s="47">
        <v>45913</v>
      </c>
      <c r="DU17" s="56">
        <v>1041.6300000000001</v>
      </c>
      <c r="DV17" s="57">
        <v>430.3</v>
      </c>
      <c r="DW17" s="58"/>
      <c r="DX17" s="62"/>
      <c r="DY17" s="27"/>
      <c r="DZ17" s="32">
        <v>58.295780000000008</v>
      </c>
      <c r="EA17" s="32"/>
      <c r="EB17" s="44"/>
      <c r="EC17" s="53">
        <f t="shared" si="11"/>
        <v>58.295780000000008</v>
      </c>
      <c r="EE17" s="47">
        <v>45913</v>
      </c>
      <c r="EF17" s="56">
        <v>5253.08</v>
      </c>
      <c r="EG17" s="57">
        <v>1562.77</v>
      </c>
      <c r="EH17" s="58"/>
      <c r="EI17" s="59">
        <v>124.4</v>
      </c>
      <c r="EJ17" s="27"/>
      <c r="EK17" s="32"/>
      <c r="EL17" s="42"/>
      <c r="EM17" s="52"/>
      <c r="EN17" s="53">
        <f t="shared" si="12"/>
        <v>124.4</v>
      </c>
      <c r="EP17" s="47">
        <v>45913</v>
      </c>
      <c r="EQ17" s="64">
        <v>959.84</v>
      </c>
      <c r="ER17" s="56">
        <v>474.55</v>
      </c>
      <c r="ES17" s="58"/>
      <c r="ET17" s="62"/>
      <c r="EU17" s="27"/>
      <c r="EV17" s="51"/>
      <c r="EW17" s="52"/>
      <c r="EX17" s="52"/>
      <c r="EY17" s="53">
        <f t="shared" si="13"/>
        <v>0</v>
      </c>
    </row>
    <row r="18" spans="2:155" hidden="1" x14ac:dyDescent="0.25">
      <c r="B18" s="47">
        <v>45914</v>
      </c>
      <c r="C18" s="48">
        <v>15563.51</v>
      </c>
      <c r="D18" s="49">
        <v>3072.24</v>
      </c>
      <c r="E18" s="50">
        <v>1935.37</v>
      </c>
      <c r="F18" s="49">
        <v>163.07</v>
      </c>
      <c r="H18" s="27"/>
      <c r="I18" s="51"/>
      <c r="J18" s="52"/>
      <c r="K18" s="52"/>
      <c r="L18" s="53">
        <f t="shared" si="0"/>
        <v>0</v>
      </c>
      <c r="N18" s="47">
        <v>45914</v>
      </c>
      <c r="O18" s="54">
        <v>1476.38</v>
      </c>
      <c r="P18" s="54">
        <v>580.79999999999995</v>
      </c>
      <c r="Q18" s="55"/>
      <c r="R18" s="55"/>
      <c r="S18" s="27"/>
      <c r="T18" s="32">
        <v>83.031980000000004</v>
      </c>
      <c r="U18" s="32"/>
      <c r="V18" s="52"/>
      <c r="W18" s="53">
        <f t="shared" si="1"/>
        <v>83.031980000000004</v>
      </c>
      <c r="Y18" s="47">
        <v>45914</v>
      </c>
      <c r="Z18" s="56">
        <v>4976.79</v>
      </c>
      <c r="AA18" s="57">
        <v>1382.14</v>
      </c>
      <c r="AB18" s="58"/>
      <c r="AC18" s="59">
        <v>291.18</v>
      </c>
      <c r="AD18" s="27"/>
      <c r="AE18" s="32"/>
      <c r="AF18" s="52"/>
      <c r="AG18" s="52"/>
      <c r="AH18" s="53">
        <f t="shared" si="2"/>
        <v>291.18</v>
      </c>
      <c r="AJ18" s="47">
        <v>45914</v>
      </c>
      <c r="AK18" s="56">
        <v>1690.48</v>
      </c>
      <c r="AL18" s="57">
        <v>328.32</v>
      </c>
      <c r="AM18" s="58"/>
      <c r="AN18" s="60"/>
      <c r="AO18" s="27"/>
      <c r="AP18" s="51"/>
      <c r="AQ18" s="52"/>
      <c r="AR18" s="52"/>
      <c r="AS18" s="53">
        <f t="shared" si="3"/>
        <v>0</v>
      </c>
      <c r="AU18" s="47">
        <v>45914</v>
      </c>
      <c r="AV18" s="57">
        <v>711.9</v>
      </c>
      <c r="AW18" s="57">
        <v>118.01</v>
      </c>
      <c r="AX18" s="58"/>
      <c r="AY18" s="59"/>
      <c r="AZ18" s="27"/>
      <c r="BA18" s="32">
        <v>614.15112500000055</v>
      </c>
      <c r="BB18" s="52"/>
      <c r="BC18" s="52"/>
      <c r="BD18" s="53">
        <f t="shared" si="4"/>
        <v>614.15112500000055</v>
      </c>
      <c r="BF18" s="47">
        <v>45914</v>
      </c>
      <c r="BG18" s="56">
        <v>3792.12</v>
      </c>
      <c r="BH18" s="57">
        <v>769.41</v>
      </c>
      <c r="BI18" s="58"/>
      <c r="BJ18" s="59">
        <v>27.64</v>
      </c>
      <c r="BK18" s="27"/>
      <c r="BL18" s="32">
        <v>180.53115999999994</v>
      </c>
      <c r="BM18" s="33"/>
      <c r="BN18" s="52"/>
      <c r="BO18" s="53">
        <f t="shared" si="5"/>
        <v>208.17115999999993</v>
      </c>
      <c r="BQ18" s="47">
        <v>45914</v>
      </c>
      <c r="BR18" s="57">
        <v>510</v>
      </c>
      <c r="BS18" s="57">
        <v>485.63</v>
      </c>
      <c r="BT18" s="58"/>
      <c r="BU18" s="61"/>
      <c r="BV18" s="27"/>
      <c r="BW18" s="51"/>
      <c r="BX18" s="52"/>
      <c r="BY18" s="52"/>
      <c r="BZ18" s="53">
        <f t="shared" si="6"/>
        <v>0</v>
      </c>
      <c r="CB18" s="47">
        <v>45914</v>
      </c>
      <c r="CC18" s="56">
        <v>16732.419999999998</v>
      </c>
      <c r="CD18" s="57">
        <v>2391.64</v>
      </c>
      <c r="CE18" s="58"/>
      <c r="CF18" s="60"/>
      <c r="CG18" s="27"/>
      <c r="CH18" s="51"/>
      <c r="CI18" s="52"/>
      <c r="CJ18" s="52"/>
      <c r="CK18" s="53">
        <f t="shared" si="7"/>
        <v>0</v>
      </c>
      <c r="CM18" s="47">
        <v>45914</v>
      </c>
      <c r="CN18" s="56">
        <v>4427.2700000000004</v>
      </c>
      <c r="CO18" s="57">
        <v>1603</v>
      </c>
      <c r="CP18" s="58"/>
      <c r="CQ18" s="62"/>
      <c r="CR18" s="27"/>
      <c r="CS18" s="32"/>
      <c r="CT18" s="42"/>
      <c r="CU18" s="52"/>
      <c r="CV18" s="53">
        <f t="shared" si="8"/>
        <v>0</v>
      </c>
      <c r="CX18" s="47">
        <v>45914</v>
      </c>
      <c r="CY18" s="56">
        <v>7500.54</v>
      </c>
      <c r="CZ18" s="57">
        <v>1493.67</v>
      </c>
      <c r="DA18" s="58"/>
      <c r="DB18" s="59"/>
      <c r="DC18" s="27"/>
      <c r="DD18" s="32">
        <v>106.70404000000005</v>
      </c>
      <c r="DE18" s="32"/>
      <c r="DF18" s="52"/>
      <c r="DG18" s="53">
        <f t="shared" si="9"/>
        <v>106.70404000000005</v>
      </c>
      <c r="DI18" s="47">
        <v>45914</v>
      </c>
      <c r="DJ18" s="56">
        <v>887.02</v>
      </c>
      <c r="DK18" s="63"/>
      <c r="DL18" s="58"/>
      <c r="DM18" s="62"/>
      <c r="DN18" s="27"/>
      <c r="DO18" s="51"/>
      <c r="DP18" s="52"/>
      <c r="DQ18" s="52"/>
      <c r="DR18" s="53">
        <f t="shared" si="10"/>
        <v>0</v>
      </c>
      <c r="DT18" s="47">
        <v>45914</v>
      </c>
      <c r="DU18" s="56">
        <v>5559.32</v>
      </c>
      <c r="DV18" s="57">
        <v>176.75</v>
      </c>
      <c r="DW18" s="58"/>
      <c r="DX18" s="62"/>
      <c r="DY18" s="27"/>
      <c r="DZ18" s="32">
        <v>13.229310000000012</v>
      </c>
      <c r="EA18" s="32"/>
      <c r="EB18" s="44"/>
      <c r="EC18" s="53">
        <f t="shared" si="11"/>
        <v>13.229310000000012</v>
      </c>
      <c r="EE18" s="47">
        <v>45914</v>
      </c>
      <c r="EF18" s="56">
        <v>3426.1</v>
      </c>
      <c r="EG18" s="57">
        <v>803.21</v>
      </c>
      <c r="EH18" s="58"/>
      <c r="EI18" s="59">
        <v>77.75</v>
      </c>
      <c r="EJ18" s="27"/>
      <c r="EK18" s="32"/>
      <c r="EL18" s="42"/>
      <c r="EM18" s="52"/>
      <c r="EN18" s="53">
        <f t="shared" si="12"/>
        <v>77.75</v>
      </c>
      <c r="EP18" s="47">
        <v>45914</v>
      </c>
      <c r="EQ18" s="64">
        <v>596.74</v>
      </c>
      <c r="ER18" s="56">
        <v>475.84</v>
      </c>
      <c r="ES18" s="58"/>
      <c r="ET18" s="62"/>
      <c r="EU18" s="27"/>
      <c r="EV18" s="51"/>
      <c r="EW18" s="52"/>
      <c r="EX18" s="52"/>
      <c r="EY18" s="53">
        <f t="shared" si="13"/>
        <v>0</v>
      </c>
    </row>
    <row r="19" spans="2:155" hidden="1" x14ac:dyDescent="0.25">
      <c r="B19" s="47">
        <v>45915</v>
      </c>
      <c r="C19" s="48">
        <v>21208.35</v>
      </c>
      <c r="D19" s="49">
        <v>3214.62</v>
      </c>
      <c r="E19" s="50">
        <v>3504.38</v>
      </c>
      <c r="F19" s="49">
        <v>279.64</v>
      </c>
      <c r="H19" s="27"/>
      <c r="I19" s="51"/>
      <c r="J19" s="52"/>
      <c r="K19" s="52"/>
      <c r="L19" s="53">
        <f t="shared" si="0"/>
        <v>0</v>
      </c>
      <c r="N19" s="47">
        <v>45915</v>
      </c>
      <c r="O19" s="54">
        <v>6689.91</v>
      </c>
      <c r="P19" s="54">
        <v>402.83</v>
      </c>
      <c r="Q19" s="55"/>
      <c r="R19" s="55">
        <v>28.92</v>
      </c>
      <c r="S19" s="27"/>
      <c r="T19" s="32">
        <v>129.84367000000003</v>
      </c>
      <c r="U19" s="32"/>
      <c r="V19" s="52"/>
      <c r="W19" s="53">
        <f t="shared" si="1"/>
        <v>158.76367000000005</v>
      </c>
      <c r="Y19" s="47">
        <v>45915</v>
      </c>
      <c r="Z19" s="56">
        <v>5822.94</v>
      </c>
      <c r="AA19" s="57">
        <v>1376.28</v>
      </c>
      <c r="AB19" s="58"/>
      <c r="AC19" s="59">
        <v>382.83</v>
      </c>
      <c r="AD19" s="27"/>
      <c r="AE19" s="32">
        <v>156.67335299999991</v>
      </c>
      <c r="AF19" s="52"/>
      <c r="AG19" s="52"/>
      <c r="AH19" s="53">
        <f t="shared" si="2"/>
        <v>539.50335299999983</v>
      </c>
      <c r="AJ19" s="47">
        <v>45915</v>
      </c>
      <c r="AK19" s="56">
        <v>3008.13</v>
      </c>
      <c r="AL19" s="57">
        <v>786.71</v>
      </c>
      <c r="AM19" s="58"/>
      <c r="AN19" s="60"/>
      <c r="AO19" s="27"/>
      <c r="AP19" s="51"/>
      <c r="AQ19" s="52"/>
      <c r="AR19" s="52"/>
      <c r="AS19" s="53">
        <f t="shared" si="3"/>
        <v>0</v>
      </c>
      <c r="AU19" s="47">
        <v>45915</v>
      </c>
      <c r="AV19" s="57">
        <v>293.22000000000003</v>
      </c>
      <c r="AW19" s="57">
        <v>78.760000000000005</v>
      </c>
      <c r="AX19" s="58"/>
      <c r="AY19" s="59"/>
      <c r="AZ19" s="27"/>
      <c r="BA19" s="32">
        <v>377.93351000000041</v>
      </c>
      <c r="BB19" s="52"/>
      <c r="BC19" s="52"/>
      <c r="BD19" s="53">
        <f t="shared" si="4"/>
        <v>377.93351000000041</v>
      </c>
      <c r="BF19" s="47">
        <v>45915</v>
      </c>
      <c r="BG19" s="56">
        <v>3406.71</v>
      </c>
      <c r="BH19" s="57">
        <v>964.42</v>
      </c>
      <c r="BI19" s="58"/>
      <c r="BJ19" s="59">
        <v>14</v>
      </c>
      <c r="BK19" s="27"/>
      <c r="BL19" s="32">
        <v>366.84309999999994</v>
      </c>
      <c r="BM19" s="33"/>
      <c r="BN19" s="52"/>
      <c r="BO19" s="53">
        <f t="shared" si="5"/>
        <v>380.84309999999994</v>
      </c>
      <c r="BQ19" s="47">
        <v>45915</v>
      </c>
      <c r="BR19" s="57">
        <v>480</v>
      </c>
      <c r="BS19" s="57">
        <v>213.91</v>
      </c>
      <c r="BT19" s="58"/>
      <c r="BU19" s="61">
        <v>78</v>
      </c>
      <c r="BV19" s="27"/>
      <c r="BW19" s="51"/>
      <c r="BX19" s="52"/>
      <c r="BY19" s="52"/>
      <c r="BZ19" s="53">
        <f t="shared" si="6"/>
        <v>78</v>
      </c>
      <c r="CB19" s="47">
        <v>45915</v>
      </c>
      <c r="CC19" s="56">
        <v>19927.25</v>
      </c>
      <c r="CD19" s="57">
        <v>2104.5700000000002</v>
      </c>
      <c r="CE19" s="58"/>
      <c r="CF19" s="60"/>
      <c r="CG19" s="27"/>
      <c r="CH19" s="51"/>
      <c r="CI19" s="52"/>
      <c r="CJ19" s="52"/>
      <c r="CK19" s="53">
        <f t="shared" si="7"/>
        <v>0</v>
      </c>
      <c r="CM19" s="47">
        <v>45915</v>
      </c>
      <c r="CN19" s="56">
        <v>10288.42</v>
      </c>
      <c r="CO19" s="57">
        <v>1449.99</v>
      </c>
      <c r="CP19" s="58"/>
      <c r="CQ19" s="62"/>
      <c r="CR19" s="27"/>
      <c r="CS19" s="32">
        <v>29.275059999999996</v>
      </c>
      <c r="CT19" s="42">
        <v>622.85864999999978</v>
      </c>
      <c r="CU19" s="52"/>
      <c r="CV19" s="53">
        <f t="shared" si="8"/>
        <v>652.13370999999984</v>
      </c>
      <c r="CX19" s="47">
        <v>45915</v>
      </c>
      <c r="CY19" s="56">
        <v>9528.6299999999992</v>
      </c>
      <c r="CZ19" s="57">
        <v>719.61</v>
      </c>
      <c r="DA19" s="58"/>
      <c r="DB19" s="59"/>
      <c r="DC19" s="27"/>
      <c r="DD19" s="32">
        <v>122.18121000000008</v>
      </c>
      <c r="DE19" s="32"/>
      <c r="DF19" s="52"/>
      <c r="DG19" s="53">
        <f t="shared" si="9"/>
        <v>122.18121000000008</v>
      </c>
      <c r="DI19" s="47">
        <v>45915</v>
      </c>
      <c r="DJ19" s="56">
        <v>1753.81</v>
      </c>
      <c r="DK19" s="63"/>
      <c r="DL19" s="58"/>
      <c r="DM19" s="62"/>
      <c r="DN19" s="27"/>
      <c r="DO19" s="51"/>
      <c r="DP19" s="52"/>
      <c r="DQ19" s="52"/>
      <c r="DR19" s="53">
        <f t="shared" si="10"/>
        <v>0</v>
      </c>
      <c r="DT19" s="47">
        <v>45915</v>
      </c>
      <c r="DU19" s="56">
        <v>1236.55</v>
      </c>
      <c r="DV19" s="57">
        <v>414.21</v>
      </c>
      <c r="DW19" s="58"/>
      <c r="DX19" s="62"/>
      <c r="DY19" s="27"/>
      <c r="DZ19" s="32">
        <v>79.366880000000023</v>
      </c>
      <c r="EA19" s="32">
        <v>490.50263999999999</v>
      </c>
      <c r="EB19" s="44"/>
      <c r="EC19" s="53">
        <f t="shared" si="11"/>
        <v>569.86951999999997</v>
      </c>
      <c r="EE19" s="47">
        <v>45915</v>
      </c>
      <c r="EF19" s="56">
        <v>7237.21</v>
      </c>
      <c r="EG19" s="57">
        <v>1480.46</v>
      </c>
      <c r="EH19" s="58"/>
      <c r="EI19" s="59">
        <v>157</v>
      </c>
      <c r="EJ19" s="27"/>
      <c r="EK19" s="32">
        <v>22.594349999999991</v>
      </c>
      <c r="EL19" s="42"/>
      <c r="EM19" s="52"/>
      <c r="EN19" s="53">
        <f t="shared" si="12"/>
        <v>179.59434999999999</v>
      </c>
      <c r="EP19" s="47">
        <v>45915</v>
      </c>
      <c r="EQ19" s="64">
        <v>943.97</v>
      </c>
      <c r="ER19" s="56">
        <v>590.9</v>
      </c>
      <c r="ES19" s="58"/>
      <c r="ET19" s="62"/>
      <c r="EU19" s="27"/>
      <c r="EV19" s="51"/>
      <c r="EW19" s="52"/>
      <c r="EX19" s="52"/>
      <c r="EY19" s="53">
        <f t="shared" si="13"/>
        <v>0</v>
      </c>
    </row>
    <row r="20" spans="2:155" hidden="1" x14ac:dyDescent="0.25">
      <c r="B20" s="47">
        <v>45916</v>
      </c>
      <c r="C20" s="48">
        <v>22876.22</v>
      </c>
      <c r="D20" s="49">
        <v>3931.15</v>
      </c>
      <c r="E20" s="50">
        <v>3865.54</v>
      </c>
      <c r="F20" s="49">
        <v>319.32</v>
      </c>
      <c r="H20" s="27"/>
      <c r="I20" s="51"/>
      <c r="J20" s="52"/>
      <c r="K20" s="52"/>
      <c r="L20" s="53">
        <f t="shared" si="0"/>
        <v>0</v>
      </c>
      <c r="N20" s="47">
        <v>45916</v>
      </c>
      <c r="O20" s="54">
        <v>2602.83</v>
      </c>
      <c r="P20" s="54">
        <v>324.70999999999998</v>
      </c>
      <c r="Q20" s="55"/>
      <c r="R20" s="55"/>
      <c r="S20" s="27"/>
      <c r="T20" s="32">
        <v>126.72256999999996</v>
      </c>
      <c r="U20" s="32"/>
      <c r="V20" s="52"/>
      <c r="W20" s="53">
        <f t="shared" si="1"/>
        <v>126.72256999999996</v>
      </c>
      <c r="Y20" s="47">
        <v>45916</v>
      </c>
      <c r="Z20" s="56">
        <v>4952</v>
      </c>
      <c r="AA20" s="57">
        <v>993.37</v>
      </c>
      <c r="AB20" s="58"/>
      <c r="AC20" s="59">
        <v>203.36</v>
      </c>
      <c r="AD20" s="27"/>
      <c r="AE20" s="32">
        <v>53.61327399999999</v>
      </c>
      <c r="AF20" s="52"/>
      <c r="AG20" s="52"/>
      <c r="AH20" s="53">
        <f t="shared" si="2"/>
        <v>256.973274</v>
      </c>
      <c r="AJ20" s="47">
        <v>45916</v>
      </c>
      <c r="AK20" s="56">
        <v>3305.56</v>
      </c>
      <c r="AL20" s="57">
        <v>658.69</v>
      </c>
      <c r="AM20" s="58"/>
      <c r="AN20" s="60"/>
      <c r="AO20" s="27"/>
      <c r="AP20" s="51"/>
      <c r="AQ20" s="52"/>
      <c r="AR20" s="52"/>
      <c r="AS20" s="53">
        <f t="shared" si="3"/>
        <v>0</v>
      </c>
      <c r="AU20" s="47">
        <v>45916</v>
      </c>
      <c r="AV20" s="57">
        <v>995.1</v>
      </c>
      <c r="AW20" s="57">
        <v>131</v>
      </c>
      <c r="AX20" s="58"/>
      <c r="AY20" s="59"/>
      <c r="AZ20" s="27"/>
      <c r="BA20" s="32">
        <v>472.80839500000059</v>
      </c>
      <c r="BB20" s="52"/>
      <c r="BC20" s="52"/>
      <c r="BD20" s="53">
        <f t="shared" si="4"/>
        <v>472.80839500000059</v>
      </c>
      <c r="BF20" s="47">
        <v>45916</v>
      </c>
      <c r="BG20" s="56">
        <v>4135.33</v>
      </c>
      <c r="BH20" s="57">
        <v>1020.23</v>
      </c>
      <c r="BI20" s="58"/>
      <c r="BJ20" s="59">
        <v>27.02</v>
      </c>
      <c r="BK20" s="27"/>
      <c r="BL20" s="32">
        <v>253.08245999999997</v>
      </c>
      <c r="BM20" s="33">
        <v>159.13000000000011</v>
      </c>
      <c r="BN20" s="52"/>
      <c r="BO20" s="53">
        <f t="shared" si="5"/>
        <v>439.23246000000006</v>
      </c>
      <c r="BQ20" s="47">
        <v>45916</v>
      </c>
      <c r="BR20" s="57">
        <v>445.46</v>
      </c>
      <c r="BS20" s="57">
        <v>547.16999999999996</v>
      </c>
      <c r="BT20" s="58"/>
      <c r="BU20" s="61"/>
      <c r="BV20" s="27"/>
      <c r="BW20" s="51"/>
      <c r="BX20" s="52"/>
      <c r="BY20" s="52"/>
      <c r="BZ20" s="53">
        <f t="shared" si="6"/>
        <v>0</v>
      </c>
      <c r="CB20" s="47">
        <v>45916</v>
      </c>
      <c r="CC20" s="56">
        <v>20390.919999999998</v>
      </c>
      <c r="CD20" s="57">
        <v>1583.29</v>
      </c>
      <c r="CE20" s="58"/>
      <c r="CF20" s="60"/>
      <c r="CG20" s="27"/>
      <c r="CH20" s="51"/>
      <c r="CI20" s="52"/>
      <c r="CJ20" s="52"/>
      <c r="CK20" s="53">
        <f t="shared" si="7"/>
        <v>0</v>
      </c>
      <c r="CM20" s="47">
        <v>45916</v>
      </c>
      <c r="CN20" s="56">
        <v>10457.4</v>
      </c>
      <c r="CO20" s="57">
        <v>1736.34</v>
      </c>
      <c r="CP20" s="58"/>
      <c r="CQ20" s="62"/>
      <c r="CR20" s="27"/>
      <c r="CS20" s="32">
        <v>16.459220000000002</v>
      </c>
      <c r="CT20" s="42">
        <v>159.76367999999994</v>
      </c>
      <c r="CU20" s="52"/>
      <c r="CV20" s="53">
        <f t="shared" si="8"/>
        <v>176.22289999999992</v>
      </c>
      <c r="CX20" s="47">
        <v>45916</v>
      </c>
      <c r="CY20" s="56">
        <v>6434.81</v>
      </c>
      <c r="CZ20" s="57">
        <v>809.84</v>
      </c>
      <c r="DA20" s="58"/>
      <c r="DB20" s="59">
        <v>6.77</v>
      </c>
      <c r="DC20" s="27"/>
      <c r="DD20" s="32">
        <v>136.12233999999995</v>
      </c>
      <c r="DE20" s="32">
        <v>1.6204630000000861</v>
      </c>
      <c r="DF20" s="52"/>
      <c r="DG20" s="53">
        <f t="shared" si="9"/>
        <v>144.51280300000005</v>
      </c>
      <c r="DI20" s="47">
        <v>45916</v>
      </c>
      <c r="DJ20" s="56">
        <v>1426.03</v>
      </c>
      <c r="DK20" s="63"/>
      <c r="DL20" s="58"/>
      <c r="DM20" s="62"/>
      <c r="DN20" s="27"/>
      <c r="DO20" s="51"/>
      <c r="DP20" s="52"/>
      <c r="DQ20" s="52"/>
      <c r="DR20" s="53">
        <f t="shared" si="10"/>
        <v>0</v>
      </c>
      <c r="DT20" s="47">
        <v>45916</v>
      </c>
      <c r="DU20" s="56">
        <v>971.02</v>
      </c>
      <c r="DV20" s="57">
        <v>170</v>
      </c>
      <c r="DW20" s="58"/>
      <c r="DX20" s="62"/>
      <c r="DY20" s="27"/>
      <c r="DZ20" s="32">
        <v>124.04671000000002</v>
      </c>
      <c r="EA20" s="32">
        <v>15.908299999999997</v>
      </c>
      <c r="EB20" s="44"/>
      <c r="EC20" s="53">
        <f t="shared" si="11"/>
        <v>139.95501000000002</v>
      </c>
      <c r="EE20" s="47">
        <v>45916</v>
      </c>
      <c r="EF20" s="56">
        <v>5929.38</v>
      </c>
      <c r="EG20" s="57">
        <v>1300.8399999999999</v>
      </c>
      <c r="EH20" s="58"/>
      <c r="EI20" s="59">
        <v>167.14</v>
      </c>
      <c r="EJ20" s="27"/>
      <c r="EK20" s="32">
        <v>48.009</v>
      </c>
      <c r="EL20" s="42"/>
      <c r="EM20" s="52"/>
      <c r="EN20" s="53">
        <f t="shared" si="12"/>
        <v>215.149</v>
      </c>
      <c r="EP20" s="47">
        <v>45916</v>
      </c>
      <c r="EQ20" s="64">
        <v>981.47</v>
      </c>
      <c r="ER20" s="56">
        <v>380.98</v>
      </c>
      <c r="ES20" s="58"/>
      <c r="ET20" s="62"/>
      <c r="EU20" s="27"/>
      <c r="EV20" s="51"/>
      <c r="EW20" s="52"/>
      <c r="EX20" s="52"/>
      <c r="EY20" s="53">
        <f t="shared" si="13"/>
        <v>0</v>
      </c>
    </row>
    <row r="21" spans="2:155" hidden="1" x14ac:dyDescent="0.25">
      <c r="B21" s="47">
        <v>45917</v>
      </c>
      <c r="C21" s="48">
        <v>17833.66</v>
      </c>
      <c r="D21" s="49">
        <v>3956.33</v>
      </c>
      <c r="E21" s="50">
        <v>3740.71</v>
      </c>
      <c r="F21" s="49">
        <v>305.11</v>
      </c>
      <c r="H21" s="27"/>
      <c r="I21" s="51"/>
      <c r="J21" s="52"/>
      <c r="K21" s="52"/>
      <c r="L21" s="53">
        <f t="shared" si="0"/>
        <v>0</v>
      </c>
      <c r="N21" s="47">
        <v>45917</v>
      </c>
      <c r="O21" s="54">
        <v>3331.95</v>
      </c>
      <c r="P21" s="54">
        <v>509.68</v>
      </c>
      <c r="Q21" s="55"/>
      <c r="R21" s="55">
        <v>24</v>
      </c>
      <c r="S21" s="27"/>
      <c r="T21" s="32">
        <v>92.41794999999999</v>
      </c>
      <c r="U21" s="32"/>
      <c r="V21" s="52"/>
      <c r="W21" s="53">
        <f t="shared" si="1"/>
        <v>116.41794999999999</v>
      </c>
      <c r="Y21" s="47">
        <v>45917</v>
      </c>
      <c r="Z21" s="56">
        <v>5805.96</v>
      </c>
      <c r="AA21" s="57">
        <v>1046.83</v>
      </c>
      <c r="AB21" s="58"/>
      <c r="AC21" s="59">
        <v>187.01</v>
      </c>
      <c r="AD21" s="27"/>
      <c r="AE21" s="32">
        <v>47.082903999999985</v>
      </c>
      <c r="AF21" s="52"/>
      <c r="AG21" s="52"/>
      <c r="AH21" s="53">
        <f t="shared" si="2"/>
        <v>234.09290399999998</v>
      </c>
      <c r="AJ21" s="47">
        <v>45917</v>
      </c>
      <c r="AK21" s="56">
        <v>2830.59</v>
      </c>
      <c r="AL21" s="57">
        <v>629.30999999999995</v>
      </c>
      <c r="AM21" s="58"/>
      <c r="AN21" s="60"/>
      <c r="AO21" s="27"/>
      <c r="AP21" s="51"/>
      <c r="AQ21" s="52"/>
      <c r="AR21" s="52"/>
      <c r="AS21" s="53">
        <f t="shared" si="3"/>
        <v>0</v>
      </c>
      <c r="AU21" s="47">
        <v>45917</v>
      </c>
      <c r="AV21" s="57">
        <v>512.01</v>
      </c>
      <c r="AW21" s="57">
        <v>0</v>
      </c>
      <c r="AX21" s="58"/>
      <c r="AY21" s="59"/>
      <c r="AZ21" s="27"/>
      <c r="BA21" s="32">
        <v>590.9418500000005</v>
      </c>
      <c r="BB21" s="52"/>
      <c r="BC21" s="52"/>
      <c r="BD21" s="53">
        <f t="shared" si="4"/>
        <v>590.9418500000005</v>
      </c>
      <c r="BF21" s="47">
        <v>45917</v>
      </c>
      <c r="BG21" s="56">
        <v>3584.65</v>
      </c>
      <c r="BH21" s="57">
        <v>786.05</v>
      </c>
      <c r="BI21" s="58"/>
      <c r="BJ21" s="59">
        <v>8.08</v>
      </c>
      <c r="BK21" s="27"/>
      <c r="BL21" s="32">
        <v>402.96749999999986</v>
      </c>
      <c r="BM21" s="33">
        <v>78.992829999999998</v>
      </c>
      <c r="BN21" s="52"/>
      <c r="BO21" s="53">
        <f t="shared" si="5"/>
        <v>490.04032999999981</v>
      </c>
      <c r="BQ21" s="47">
        <v>45917</v>
      </c>
      <c r="BR21" s="57">
        <v>551</v>
      </c>
      <c r="BS21" s="57">
        <v>484.45</v>
      </c>
      <c r="BT21" s="58"/>
      <c r="BU21" s="61"/>
      <c r="BV21" s="27"/>
      <c r="BW21" s="51"/>
      <c r="BX21" s="52"/>
      <c r="BY21" s="52"/>
      <c r="BZ21" s="53">
        <f t="shared" si="6"/>
        <v>0</v>
      </c>
      <c r="CB21" s="47">
        <v>45917</v>
      </c>
      <c r="CC21" s="56">
        <v>19026.509999999998</v>
      </c>
      <c r="CD21" s="57">
        <v>2009.19</v>
      </c>
      <c r="CE21" s="58"/>
      <c r="CF21" s="60"/>
      <c r="CG21" s="27"/>
      <c r="CH21" s="51"/>
      <c r="CI21" s="52"/>
      <c r="CJ21" s="52"/>
      <c r="CK21" s="53">
        <f t="shared" si="7"/>
        <v>0</v>
      </c>
      <c r="CM21" s="47">
        <v>45917</v>
      </c>
      <c r="CN21" s="56">
        <v>15423.11</v>
      </c>
      <c r="CO21" s="57">
        <v>2576.84</v>
      </c>
      <c r="CP21" s="58"/>
      <c r="CQ21" s="62"/>
      <c r="CR21" s="27"/>
      <c r="CS21" s="32">
        <v>151.26538999999997</v>
      </c>
      <c r="CT21" s="42">
        <v>232.35189999999994</v>
      </c>
      <c r="CU21" s="52"/>
      <c r="CV21" s="53">
        <f t="shared" si="8"/>
        <v>383.61728999999991</v>
      </c>
      <c r="CX21" s="47">
        <v>45917</v>
      </c>
      <c r="CY21" s="56">
        <v>3259.08</v>
      </c>
      <c r="CZ21" s="57">
        <v>793.73</v>
      </c>
      <c r="DA21" s="58"/>
      <c r="DB21" s="59"/>
      <c r="DC21" s="27"/>
      <c r="DD21" s="32">
        <v>158.93759000000011</v>
      </c>
      <c r="DE21" s="32"/>
      <c r="DF21" s="52"/>
      <c r="DG21" s="53">
        <f t="shared" si="9"/>
        <v>158.93759000000011</v>
      </c>
      <c r="DI21" s="47">
        <v>45917</v>
      </c>
      <c r="DJ21" s="56">
        <v>1625.74</v>
      </c>
      <c r="DK21" s="63"/>
      <c r="DL21" s="58"/>
      <c r="DM21" s="62"/>
      <c r="DN21" s="27"/>
      <c r="DO21" s="51"/>
      <c r="DP21" s="52"/>
      <c r="DQ21" s="52"/>
      <c r="DR21" s="53">
        <f t="shared" si="10"/>
        <v>0</v>
      </c>
      <c r="DT21" s="47">
        <v>45917</v>
      </c>
      <c r="DU21" s="56">
        <v>1404.05</v>
      </c>
      <c r="DV21" s="57">
        <v>317.98</v>
      </c>
      <c r="DW21" s="58"/>
      <c r="DX21" s="62"/>
      <c r="DY21" s="27"/>
      <c r="DZ21" s="32">
        <v>33.681039999999996</v>
      </c>
      <c r="EA21" s="32">
        <v>12.138600000000011</v>
      </c>
      <c r="EB21" s="44"/>
      <c r="EC21" s="53">
        <f t="shared" si="11"/>
        <v>45.819640000000007</v>
      </c>
      <c r="EE21" s="47">
        <v>45917</v>
      </c>
      <c r="EF21" s="56">
        <v>5800.05</v>
      </c>
      <c r="EG21" s="57">
        <v>1683.02</v>
      </c>
      <c r="EH21" s="58"/>
      <c r="EI21" s="59">
        <v>217.61</v>
      </c>
      <c r="EJ21" s="27"/>
      <c r="EK21" s="32">
        <v>6.3248800000000003</v>
      </c>
      <c r="EL21" s="42"/>
      <c r="EM21" s="52"/>
      <c r="EN21" s="53">
        <f t="shared" si="12"/>
        <v>223.93488000000002</v>
      </c>
      <c r="EP21" s="47">
        <v>45917</v>
      </c>
      <c r="EQ21" s="64">
        <v>1344.86</v>
      </c>
      <c r="ER21" s="56">
        <v>701.82</v>
      </c>
      <c r="ES21" s="58"/>
      <c r="ET21" s="62"/>
      <c r="EU21" s="27"/>
      <c r="EV21" s="51"/>
      <c r="EW21" s="52"/>
      <c r="EX21" s="52"/>
      <c r="EY21" s="53">
        <f t="shared" si="13"/>
        <v>0</v>
      </c>
    </row>
    <row r="22" spans="2:155" hidden="1" x14ac:dyDescent="0.25">
      <c r="B22" s="47">
        <v>45918</v>
      </c>
      <c r="C22" s="48">
        <v>18873.77</v>
      </c>
      <c r="D22" s="49">
        <v>3697.01</v>
      </c>
      <c r="E22" s="50">
        <v>3964.86</v>
      </c>
      <c r="F22" s="49">
        <v>312.01</v>
      </c>
      <c r="H22" s="27"/>
      <c r="I22" s="51"/>
      <c r="J22" s="52"/>
      <c r="K22" s="52"/>
      <c r="L22" s="53">
        <f t="shared" si="0"/>
        <v>0</v>
      </c>
      <c r="N22" s="47">
        <v>45918</v>
      </c>
      <c r="O22" s="54">
        <v>4267.1499999999996</v>
      </c>
      <c r="P22" s="54">
        <v>612.24</v>
      </c>
      <c r="Q22" s="69"/>
      <c r="R22" s="69"/>
      <c r="S22" s="27"/>
      <c r="T22" s="32">
        <v>305.51637000000022</v>
      </c>
      <c r="U22" s="32"/>
      <c r="V22" s="52"/>
      <c r="W22" s="53">
        <f t="shared" si="1"/>
        <v>305.51637000000022</v>
      </c>
      <c r="Y22" s="47">
        <v>45918</v>
      </c>
      <c r="Z22" s="56">
        <v>5626.8</v>
      </c>
      <c r="AA22" s="57">
        <v>1786.5</v>
      </c>
      <c r="AB22" s="58"/>
      <c r="AC22" s="59">
        <v>235.84</v>
      </c>
      <c r="AD22" s="27"/>
      <c r="AE22" s="32">
        <v>15.730000000000018</v>
      </c>
      <c r="AF22" s="52"/>
      <c r="AG22" s="52"/>
      <c r="AH22" s="53">
        <f t="shared" si="2"/>
        <v>251.57000000000002</v>
      </c>
      <c r="AJ22" s="47">
        <v>45918</v>
      </c>
      <c r="AK22" s="56">
        <v>3552.41</v>
      </c>
      <c r="AL22" s="57">
        <v>541.04</v>
      </c>
      <c r="AM22" s="58"/>
      <c r="AN22" s="60"/>
      <c r="AO22" s="27"/>
      <c r="AP22" s="51"/>
      <c r="AQ22" s="52"/>
      <c r="AR22" s="52"/>
      <c r="AS22" s="53">
        <f t="shared" si="3"/>
        <v>0</v>
      </c>
      <c r="AU22" s="47">
        <v>45918</v>
      </c>
      <c r="AV22" s="57">
        <v>1738.86</v>
      </c>
      <c r="AW22" s="57">
        <v>108</v>
      </c>
      <c r="AX22" s="58"/>
      <c r="AY22" s="59">
        <v>240.5</v>
      </c>
      <c r="AZ22" s="27"/>
      <c r="BA22" s="32">
        <v>154.14375400000011</v>
      </c>
      <c r="BB22" s="52"/>
      <c r="BC22" s="52"/>
      <c r="BD22" s="53">
        <f t="shared" si="4"/>
        <v>394.64375400000011</v>
      </c>
      <c r="BF22" s="47">
        <v>45918</v>
      </c>
      <c r="BG22" s="56">
        <v>4154.25</v>
      </c>
      <c r="BH22" s="57">
        <v>839.85</v>
      </c>
      <c r="BI22" s="58"/>
      <c r="BJ22" s="59"/>
      <c r="BK22" s="27"/>
      <c r="BL22" s="32">
        <v>210.14323999999993</v>
      </c>
      <c r="BM22" s="33">
        <v>78.600619999999964</v>
      </c>
      <c r="BN22" s="52"/>
      <c r="BO22" s="53">
        <f t="shared" si="5"/>
        <v>288.74385999999993</v>
      </c>
      <c r="BQ22" s="47">
        <v>45918</v>
      </c>
      <c r="BR22" s="57">
        <v>300.3</v>
      </c>
      <c r="BS22" s="57">
        <v>441.54</v>
      </c>
      <c r="BT22" s="58"/>
      <c r="BU22" s="61">
        <v>28</v>
      </c>
      <c r="BV22" s="27"/>
      <c r="BW22" s="51"/>
      <c r="BX22" s="52"/>
      <c r="BY22" s="52"/>
      <c r="BZ22" s="53">
        <f t="shared" si="6"/>
        <v>28</v>
      </c>
      <c r="CB22" s="47">
        <v>45918</v>
      </c>
      <c r="CC22" s="56">
        <v>16753</v>
      </c>
      <c r="CD22" s="57">
        <v>2316.0500000000002</v>
      </c>
      <c r="CE22" s="58"/>
      <c r="CF22" s="60"/>
      <c r="CG22" s="27"/>
      <c r="CH22" s="51"/>
      <c r="CI22" s="52"/>
      <c r="CJ22" s="52"/>
      <c r="CK22" s="53">
        <f t="shared" si="7"/>
        <v>0</v>
      </c>
      <c r="CM22" s="47">
        <v>45918</v>
      </c>
      <c r="CN22" s="56">
        <v>11510.22</v>
      </c>
      <c r="CO22" s="57">
        <v>2364.7399999999998</v>
      </c>
      <c r="CP22" s="58"/>
      <c r="CQ22" s="62"/>
      <c r="CR22" s="27"/>
      <c r="CS22" s="32">
        <v>67.919799999999981</v>
      </c>
      <c r="CT22" s="42">
        <v>1258.3459999999998</v>
      </c>
      <c r="CU22" s="52"/>
      <c r="CV22" s="53">
        <f t="shared" si="8"/>
        <v>1326.2657999999997</v>
      </c>
      <c r="CX22" s="47">
        <v>45918</v>
      </c>
      <c r="CY22" s="56">
        <v>7045.97</v>
      </c>
      <c r="CZ22" s="57">
        <v>1357.04</v>
      </c>
      <c r="DA22" s="58"/>
      <c r="DB22" s="59"/>
      <c r="DC22" s="27"/>
      <c r="DD22" s="32">
        <v>42.565919999999977</v>
      </c>
      <c r="DE22" s="32">
        <v>15.429954999999751</v>
      </c>
      <c r="DF22" s="52"/>
      <c r="DG22" s="53">
        <f t="shared" si="9"/>
        <v>57.995874999999728</v>
      </c>
      <c r="DI22" s="47">
        <v>45918</v>
      </c>
      <c r="DJ22" s="56">
        <v>1666.41</v>
      </c>
      <c r="DK22" s="63"/>
      <c r="DL22" s="58"/>
      <c r="DM22" s="62"/>
      <c r="DN22" s="27"/>
      <c r="DO22" s="51"/>
      <c r="DP22" s="52"/>
      <c r="DQ22" s="52"/>
      <c r="DR22" s="53">
        <f t="shared" si="10"/>
        <v>0</v>
      </c>
      <c r="DT22" s="47">
        <v>45918</v>
      </c>
      <c r="DU22" s="56">
        <v>1040.96</v>
      </c>
      <c r="DV22" s="57">
        <v>298.52</v>
      </c>
      <c r="DW22" s="58"/>
      <c r="DX22" s="62"/>
      <c r="DY22" s="27"/>
      <c r="DZ22" s="32">
        <v>245.34341000000001</v>
      </c>
      <c r="EA22" s="32">
        <v>61.864550000000008</v>
      </c>
      <c r="EB22" s="44"/>
      <c r="EC22" s="53">
        <f t="shared" si="11"/>
        <v>307.20796000000001</v>
      </c>
      <c r="EE22" s="47">
        <v>45918</v>
      </c>
      <c r="EF22" s="56">
        <v>5908.18</v>
      </c>
      <c r="EG22" s="57">
        <v>1559.32</v>
      </c>
      <c r="EH22" s="58"/>
      <c r="EI22" s="59">
        <v>155.65</v>
      </c>
      <c r="EJ22" s="27"/>
      <c r="EK22" s="32">
        <v>38.129999999999967</v>
      </c>
      <c r="EL22" s="42"/>
      <c r="EM22" s="52"/>
      <c r="EN22" s="53">
        <f t="shared" si="12"/>
        <v>193.77999999999997</v>
      </c>
      <c r="EP22" s="47">
        <v>45918</v>
      </c>
      <c r="EQ22" s="64">
        <v>1198.0999999999999</v>
      </c>
      <c r="ER22" s="56">
        <v>302.95999999999998</v>
      </c>
      <c r="ES22" s="58"/>
      <c r="ET22" s="62"/>
      <c r="EU22" s="27"/>
      <c r="EV22" s="51"/>
      <c r="EW22" s="52"/>
      <c r="EX22" s="52"/>
      <c r="EY22" s="53">
        <f t="shared" si="13"/>
        <v>0</v>
      </c>
    </row>
    <row r="23" spans="2:155" hidden="1" x14ac:dyDescent="0.25">
      <c r="B23" s="47">
        <v>45919</v>
      </c>
      <c r="C23" s="48">
        <v>19665.53</v>
      </c>
      <c r="D23" s="49">
        <v>3665.11</v>
      </c>
      <c r="E23" s="50">
        <v>3868.75</v>
      </c>
      <c r="F23" s="49">
        <v>249.72</v>
      </c>
      <c r="H23" s="27"/>
      <c r="I23" s="51"/>
      <c r="J23" s="52"/>
      <c r="K23" s="52"/>
      <c r="L23" s="53">
        <f t="shared" si="0"/>
        <v>0</v>
      </c>
      <c r="N23" s="47">
        <v>45919</v>
      </c>
      <c r="O23" s="54">
        <v>5801.29</v>
      </c>
      <c r="P23" s="54">
        <v>649.71</v>
      </c>
      <c r="Q23" s="55"/>
      <c r="R23" s="55">
        <v>27.9</v>
      </c>
      <c r="S23" s="27"/>
      <c r="T23" s="32">
        <v>178.85306999999992</v>
      </c>
      <c r="U23" s="32"/>
      <c r="V23" s="52"/>
      <c r="W23" s="53">
        <f t="shared" si="1"/>
        <v>206.75306999999992</v>
      </c>
      <c r="Y23" s="47">
        <v>45919</v>
      </c>
      <c r="Z23" s="56">
        <v>5560.59</v>
      </c>
      <c r="AA23" s="57">
        <v>1744.01</v>
      </c>
      <c r="AB23" s="58"/>
      <c r="AC23" s="59">
        <v>40.49</v>
      </c>
      <c r="AD23" s="27"/>
      <c r="AE23" s="32">
        <v>168.88437699999997</v>
      </c>
      <c r="AF23" s="52"/>
      <c r="AG23" s="52"/>
      <c r="AH23" s="53">
        <f t="shared" si="2"/>
        <v>209.37437699999998</v>
      </c>
      <c r="AJ23" s="47">
        <v>45919</v>
      </c>
      <c r="AK23" s="56">
        <v>3265.92</v>
      </c>
      <c r="AL23" s="57">
        <v>305.17</v>
      </c>
      <c r="AM23" s="58"/>
      <c r="AN23" s="60"/>
      <c r="AO23" s="27"/>
      <c r="AP23" s="51"/>
      <c r="AQ23" s="52"/>
      <c r="AR23" s="52"/>
      <c r="AS23" s="53">
        <f t="shared" si="3"/>
        <v>0</v>
      </c>
      <c r="AU23" s="47">
        <v>45919</v>
      </c>
      <c r="AV23" s="57">
        <v>222</v>
      </c>
      <c r="AW23" s="57">
        <v>64.03</v>
      </c>
      <c r="AX23" s="58"/>
      <c r="AY23" s="59"/>
      <c r="AZ23" s="27"/>
      <c r="BA23" s="32">
        <v>434.675299</v>
      </c>
      <c r="BB23" s="52"/>
      <c r="BC23" s="52"/>
      <c r="BD23" s="53">
        <f t="shared" si="4"/>
        <v>434.675299</v>
      </c>
      <c r="BF23" s="47">
        <v>45919</v>
      </c>
      <c r="BG23" s="56">
        <v>4808.75</v>
      </c>
      <c r="BH23" s="57">
        <v>925.8</v>
      </c>
      <c r="BI23" s="58"/>
      <c r="BJ23" s="59"/>
      <c r="BK23" s="27"/>
      <c r="BL23" s="32">
        <v>134.49915999999999</v>
      </c>
      <c r="BM23" s="33"/>
      <c r="BN23" s="52"/>
      <c r="BO23" s="53">
        <f t="shared" si="5"/>
        <v>134.49915999999999</v>
      </c>
      <c r="BQ23" s="47">
        <v>45919</v>
      </c>
      <c r="BR23" s="57">
        <v>1391.98</v>
      </c>
      <c r="BS23" s="57">
        <v>127.58</v>
      </c>
      <c r="BT23" s="58"/>
      <c r="BU23" s="61"/>
      <c r="BV23" s="27"/>
      <c r="BW23" s="51"/>
      <c r="BX23" s="52"/>
      <c r="BY23" s="52"/>
      <c r="BZ23" s="53">
        <f t="shared" si="6"/>
        <v>0</v>
      </c>
      <c r="CB23" s="47">
        <v>45919</v>
      </c>
      <c r="CC23" s="56">
        <v>22097.09</v>
      </c>
      <c r="CD23" s="57">
        <v>2677.45</v>
      </c>
      <c r="CE23" s="58"/>
      <c r="CF23" s="60"/>
      <c r="CG23" s="27"/>
      <c r="CH23" s="51"/>
      <c r="CI23" s="52"/>
      <c r="CJ23" s="52"/>
      <c r="CK23" s="53">
        <f t="shared" si="7"/>
        <v>0</v>
      </c>
      <c r="CM23" s="47">
        <v>45919</v>
      </c>
      <c r="CN23" s="56">
        <v>11307.01</v>
      </c>
      <c r="CO23" s="57">
        <v>1918.08</v>
      </c>
      <c r="CP23" s="58"/>
      <c r="CQ23" s="62"/>
      <c r="CR23" s="27"/>
      <c r="CS23" s="32">
        <v>32.855249999999984</v>
      </c>
      <c r="CT23" s="42">
        <v>134.35938999999996</v>
      </c>
      <c r="CU23" s="52"/>
      <c r="CV23" s="53">
        <f t="shared" si="8"/>
        <v>167.21463999999995</v>
      </c>
      <c r="CX23" s="47">
        <v>45919</v>
      </c>
      <c r="CY23" s="56">
        <v>4067.84</v>
      </c>
      <c r="CZ23" s="57">
        <v>1352.54</v>
      </c>
      <c r="DA23" s="58"/>
      <c r="DB23" s="59"/>
      <c r="DC23" s="27"/>
      <c r="DD23" s="32">
        <v>118.08358999999997</v>
      </c>
      <c r="DE23" s="32">
        <v>0.63076400000001343</v>
      </c>
      <c r="DF23" s="52"/>
      <c r="DG23" s="53">
        <f t="shared" si="9"/>
        <v>118.71435399999999</v>
      </c>
      <c r="DI23" s="47">
        <v>45919</v>
      </c>
      <c r="DJ23" s="56">
        <v>1252.3900000000001</v>
      </c>
      <c r="DK23" s="63"/>
      <c r="DL23" s="58"/>
      <c r="DM23" s="62"/>
      <c r="DN23" s="27"/>
      <c r="DO23" s="51"/>
      <c r="DP23" s="52"/>
      <c r="DQ23" s="52"/>
      <c r="DR23" s="53">
        <f t="shared" si="10"/>
        <v>0</v>
      </c>
      <c r="DT23" s="47">
        <v>45919</v>
      </c>
      <c r="DU23" s="56">
        <v>3252.49</v>
      </c>
      <c r="DV23" s="57">
        <v>161.03</v>
      </c>
      <c r="DW23" s="58"/>
      <c r="DX23" s="62"/>
      <c r="DY23" s="27"/>
      <c r="DZ23" s="32">
        <v>149.83663999999999</v>
      </c>
      <c r="EA23" s="32">
        <v>190.28268999999997</v>
      </c>
      <c r="EB23" s="44"/>
      <c r="EC23" s="53">
        <f t="shared" si="11"/>
        <v>340.11932999999999</v>
      </c>
      <c r="EE23" s="47">
        <v>45919</v>
      </c>
      <c r="EF23" s="56">
        <v>8298.3700000000008</v>
      </c>
      <c r="EG23" s="57">
        <v>1477.15</v>
      </c>
      <c r="EH23" s="58"/>
      <c r="EI23" s="59">
        <v>131.62</v>
      </c>
      <c r="EJ23" s="27"/>
      <c r="EK23" s="32">
        <v>25.460999999999984</v>
      </c>
      <c r="EL23" s="42"/>
      <c r="EM23" s="52"/>
      <c r="EN23" s="53">
        <f t="shared" si="12"/>
        <v>157.08099999999999</v>
      </c>
      <c r="EP23" s="47">
        <v>45919</v>
      </c>
      <c r="EQ23" s="64">
        <v>1095.18</v>
      </c>
      <c r="ER23" s="56">
        <v>456.44</v>
      </c>
      <c r="ES23" s="58"/>
      <c r="ET23" s="62"/>
      <c r="EU23" s="27"/>
      <c r="EV23" s="51"/>
      <c r="EW23" s="52"/>
      <c r="EX23" s="52"/>
      <c r="EY23" s="53">
        <f t="shared" si="13"/>
        <v>0</v>
      </c>
    </row>
    <row r="24" spans="2:155" hidden="1" x14ac:dyDescent="0.25">
      <c r="B24" s="47">
        <v>45920</v>
      </c>
      <c r="C24" s="48">
        <v>21514.86</v>
      </c>
      <c r="D24" s="49">
        <v>3772.03</v>
      </c>
      <c r="E24" s="50">
        <v>2752.27</v>
      </c>
      <c r="F24" s="49">
        <v>26.4</v>
      </c>
      <c r="H24" s="27"/>
      <c r="I24" s="51"/>
      <c r="J24" s="52"/>
      <c r="K24" s="52"/>
      <c r="L24" s="53">
        <f t="shared" si="0"/>
        <v>0</v>
      </c>
      <c r="N24" s="47">
        <v>45920</v>
      </c>
      <c r="O24" s="54">
        <v>2513.7800000000002</v>
      </c>
      <c r="P24" s="54">
        <v>369.06</v>
      </c>
      <c r="Q24" s="55"/>
      <c r="R24" s="55"/>
      <c r="S24" s="27"/>
      <c r="T24" s="32">
        <v>44.294569999999965</v>
      </c>
      <c r="U24" s="32"/>
      <c r="V24" s="52"/>
      <c r="W24" s="53">
        <f t="shared" si="1"/>
        <v>44.294569999999965</v>
      </c>
      <c r="Y24" s="47">
        <v>45920</v>
      </c>
      <c r="Z24" s="56">
        <v>5083.43</v>
      </c>
      <c r="AA24" s="57">
        <v>1303.3800000000001</v>
      </c>
      <c r="AB24" s="58"/>
      <c r="AC24" s="59">
        <v>73</v>
      </c>
      <c r="AD24" s="27"/>
      <c r="AE24" s="32">
        <v>86.414766999999955</v>
      </c>
      <c r="AF24" s="52"/>
      <c r="AG24" s="52"/>
      <c r="AH24" s="53">
        <f t="shared" si="2"/>
        <v>159.41476699999996</v>
      </c>
      <c r="AJ24" s="47">
        <v>45920</v>
      </c>
      <c r="AK24" s="56">
        <v>3408.89</v>
      </c>
      <c r="AL24" s="57">
        <v>622.57000000000005</v>
      </c>
      <c r="AM24" s="58"/>
      <c r="AN24" s="60"/>
      <c r="AO24" s="27"/>
      <c r="AP24" s="51"/>
      <c r="AQ24" s="52"/>
      <c r="AR24" s="52"/>
      <c r="AS24" s="53">
        <f t="shared" si="3"/>
        <v>0</v>
      </c>
      <c r="AU24" s="47">
        <v>45920</v>
      </c>
      <c r="AV24" s="57">
        <v>272.67</v>
      </c>
      <c r="AW24" s="57">
        <v>81.040000000000006</v>
      </c>
      <c r="AX24" s="58"/>
      <c r="AY24" s="59"/>
      <c r="AZ24" s="27"/>
      <c r="BA24" s="32">
        <v>282.54084299999994</v>
      </c>
      <c r="BB24" s="52"/>
      <c r="BC24" s="52"/>
      <c r="BD24" s="53">
        <f t="shared" si="4"/>
        <v>282.54084299999994</v>
      </c>
      <c r="BF24" s="47">
        <v>45920</v>
      </c>
      <c r="BG24" s="56">
        <v>5189.8900000000003</v>
      </c>
      <c r="BH24" s="57">
        <v>760.48</v>
      </c>
      <c r="BI24" s="58"/>
      <c r="BJ24" s="59"/>
      <c r="BK24" s="27"/>
      <c r="BL24" s="32">
        <v>370.6431399999999</v>
      </c>
      <c r="BM24" s="33"/>
      <c r="BN24" s="52"/>
      <c r="BO24" s="53">
        <f t="shared" si="5"/>
        <v>370.6431399999999</v>
      </c>
      <c r="BQ24" s="47">
        <v>45920</v>
      </c>
      <c r="BR24" s="57">
        <v>189.9</v>
      </c>
      <c r="BS24" s="57">
        <v>496.31</v>
      </c>
      <c r="BT24" s="58"/>
      <c r="BU24" s="61"/>
      <c r="BV24" s="27"/>
      <c r="BW24" s="51"/>
      <c r="BX24" s="52"/>
      <c r="BY24" s="52"/>
      <c r="BZ24" s="53">
        <f t="shared" si="6"/>
        <v>0</v>
      </c>
      <c r="CB24" s="47">
        <v>45920</v>
      </c>
      <c r="CC24" s="56">
        <v>21149.7</v>
      </c>
      <c r="CD24" s="57">
        <v>2296.31</v>
      </c>
      <c r="CE24" s="58"/>
      <c r="CF24" s="60"/>
      <c r="CG24" s="27"/>
      <c r="CH24" s="51"/>
      <c r="CI24" s="52"/>
      <c r="CJ24" s="52"/>
      <c r="CK24" s="53">
        <f t="shared" si="7"/>
        <v>0</v>
      </c>
      <c r="CM24" s="47">
        <v>45920</v>
      </c>
      <c r="CN24" s="56">
        <v>7926.77</v>
      </c>
      <c r="CO24" s="57">
        <v>1904.01</v>
      </c>
      <c r="CP24" s="58"/>
      <c r="CQ24" s="62"/>
      <c r="CR24" s="27"/>
      <c r="CS24" s="32">
        <v>18.804349999999999</v>
      </c>
      <c r="CT24" s="42">
        <v>43.818419999999961</v>
      </c>
      <c r="CU24" s="52"/>
      <c r="CV24" s="53">
        <f t="shared" si="8"/>
        <v>62.62276999999996</v>
      </c>
      <c r="CX24" s="47">
        <v>45920</v>
      </c>
      <c r="CY24" s="56">
        <v>7032.7</v>
      </c>
      <c r="CZ24" s="57">
        <v>1100.3499999999999</v>
      </c>
      <c r="DA24" s="58"/>
      <c r="DB24" s="59"/>
      <c r="DC24" s="27"/>
      <c r="DD24" s="32">
        <v>43.863500000000016</v>
      </c>
      <c r="DE24" s="32"/>
      <c r="DF24" s="52"/>
      <c r="DG24" s="53">
        <f t="shared" si="9"/>
        <v>43.863500000000016</v>
      </c>
      <c r="DI24" s="47">
        <v>45920</v>
      </c>
      <c r="DJ24" s="56">
        <v>1688.99</v>
      </c>
      <c r="DK24" s="63"/>
      <c r="DL24" s="58"/>
      <c r="DM24" s="62"/>
      <c r="DN24" s="27"/>
      <c r="DO24" s="51"/>
      <c r="DP24" s="52"/>
      <c r="DQ24" s="52"/>
      <c r="DR24" s="53">
        <f t="shared" si="10"/>
        <v>0</v>
      </c>
      <c r="DT24" s="47">
        <v>45920</v>
      </c>
      <c r="DU24" s="56">
        <v>2273.7600000000002</v>
      </c>
      <c r="DV24" s="57">
        <v>335.48</v>
      </c>
      <c r="DW24" s="58"/>
      <c r="DX24" s="62"/>
      <c r="DY24" s="27"/>
      <c r="DZ24" s="32">
        <v>86.158039999999986</v>
      </c>
      <c r="EA24" s="32">
        <v>111.41040000000001</v>
      </c>
      <c r="EB24" s="44"/>
      <c r="EC24" s="53">
        <f t="shared" si="11"/>
        <v>197.56844000000001</v>
      </c>
      <c r="EE24" s="47">
        <v>45920</v>
      </c>
      <c r="EF24" s="56">
        <v>5052.8</v>
      </c>
      <c r="EG24" s="57">
        <v>2439.9899999999998</v>
      </c>
      <c r="EH24" s="58"/>
      <c r="EI24" s="59">
        <v>159</v>
      </c>
      <c r="EJ24" s="27"/>
      <c r="EK24" s="32"/>
      <c r="EL24" s="42"/>
      <c r="EM24" s="52"/>
      <c r="EN24" s="53">
        <f t="shared" si="12"/>
        <v>159</v>
      </c>
      <c r="EP24" s="47">
        <v>45920</v>
      </c>
      <c r="EQ24" s="64">
        <v>957.15</v>
      </c>
      <c r="ER24" s="56">
        <v>658.99</v>
      </c>
      <c r="ES24" s="58"/>
      <c r="ET24" s="62"/>
      <c r="EU24" s="27"/>
      <c r="EV24" s="51"/>
      <c r="EW24" s="52"/>
      <c r="EX24" s="52"/>
      <c r="EY24" s="53">
        <f t="shared" si="13"/>
        <v>0</v>
      </c>
    </row>
    <row r="25" spans="2:155" hidden="1" x14ac:dyDescent="0.25">
      <c r="B25" s="47">
        <v>45921</v>
      </c>
      <c r="C25" s="48">
        <v>20050.71</v>
      </c>
      <c r="D25" s="49">
        <v>2577.4699999999998</v>
      </c>
      <c r="E25" s="50">
        <v>2334.67</v>
      </c>
      <c r="F25" s="49">
        <v>30.95</v>
      </c>
      <c r="H25" s="27"/>
      <c r="I25" s="51"/>
      <c r="J25" s="52"/>
      <c r="K25" s="52"/>
      <c r="L25" s="53">
        <f t="shared" si="0"/>
        <v>0</v>
      </c>
      <c r="N25" s="47">
        <v>45921</v>
      </c>
      <c r="O25" s="54">
        <v>2973.8</v>
      </c>
      <c r="P25" s="54">
        <v>394.24</v>
      </c>
      <c r="Q25" s="55"/>
      <c r="R25" s="55"/>
      <c r="S25" s="27"/>
      <c r="T25" s="32">
        <v>173.09087999999997</v>
      </c>
      <c r="U25" s="32"/>
      <c r="V25" s="52"/>
      <c r="W25" s="53">
        <f t="shared" si="1"/>
        <v>173.09087999999997</v>
      </c>
      <c r="Y25" s="47">
        <v>45921</v>
      </c>
      <c r="Z25" s="56">
        <v>5916.56</v>
      </c>
      <c r="AA25" s="57">
        <v>1601.42</v>
      </c>
      <c r="AB25" s="58"/>
      <c r="AC25" s="59">
        <v>148.27000000000001</v>
      </c>
      <c r="AD25" s="27"/>
      <c r="AE25" s="32">
        <v>8.5600000000000023</v>
      </c>
      <c r="AF25" s="52"/>
      <c r="AG25" s="52"/>
      <c r="AH25" s="53">
        <f t="shared" si="2"/>
        <v>156.83000000000001</v>
      </c>
      <c r="AJ25" s="47">
        <v>45921</v>
      </c>
      <c r="AK25" s="56">
        <v>2634.56</v>
      </c>
      <c r="AL25" s="57">
        <v>469.47</v>
      </c>
      <c r="AM25" s="58"/>
      <c r="AN25" s="60"/>
      <c r="AO25" s="27"/>
      <c r="AP25" s="51"/>
      <c r="AQ25" s="52"/>
      <c r="AR25" s="52"/>
      <c r="AS25" s="53">
        <f t="shared" si="3"/>
        <v>0</v>
      </c>
      <c r="AU25" s="47">
        <v>45921</v>
      </c>
      <c r="AV25" s="57">
        <v>421.85</v>
      </c>
      <c r="AW25" s="57">
        <v>20</v>
      </c>
      <c r="AX25" s="58"/>
      <c r="AY25" s="59"/>
      <c r="AZ25" s="27"/>
      <c r="BA25" s="32">
        <v>752.7580089999999</v>
      </c>
      <c r="BB25" s="52"/>
      <c r="BC25" s="52"/>
      <c r="BD25" s="53">
        <f t="shared" si="4"/>
        <v>752.7580089999999</v>
      </c>
      <c r="BF25" s="47">
        <v>45921</v>
      </c>
      <c r="BG25" s="56">
        <v>3204.49</v>
      </c>
      <c r="BH25" s="57">
        <v>837.42</v>
      </c>
      <c r="BI25" s="58"/>
      <c r="BJ25" s="59">
        <v>18.37</v>
      </c>
      <c r="BK25" s="27"/>
      <c r="BL25" s="32">
        <v>330.80753999999996</v>
      </c>
      <c r="BM25" s="33">
        <v>19.695479999999996</v>
      </c>
      <c r="BN25" s="52"/>
      <c r="BO25" s="53">
        <f t="shared" si="5"/>
        <v>368.87301999999994</v>
      </c>
      <c r="BQ25" s="47">
        <v>45921</v>
      </c>
      <c r="BR25" s="57">
        <v>489</v>
      </c>
      <c r="BS25" s="57">
        <v>678.07</v>
      </c>
      <c r="BT25" s="58"/>
      <c r="BU25" s="61"/>
      <c r="BV25" s="27"/>
      <c r="BW25" s="51"/>
      <c r="BX25" s="52"/>
      <c r="BY25" s="52"/>
      <c r="BZ25" s="53">
        <f t="shared" si="6"/>
        <v>0</v>
      </c>
      <c r="CB25" s="47">
        <v>45921</v>
      </c>
      <c r="CC25" s="56">
        <v>17331.96</v>
      </c>
      <c r="CD25" s="57">
        <v>1865.36</v>
      </c>
      <c r="CE25" s="58"/>
      <c r="CF25" s="60"/>
      <c r="CG25" s="27"/>
      <c r="CH25" s="51"/>
      <c r="CI25" s="52"/>
      <c r="CJ25" s="52"/>
      <c r="CK25" s="53">
        <f t="shared" si="7"/>
        <v>0</v>
      </c>
      <c r="CM25" s="47">
        <v>45921</v>
      </c>
      <c r="CN25" s="56">
        <v>8314.2999999999993</v>
      </c>
      <c r="CO25" s="57">
        <v>1072.74</v>
      </c>
      <c r="CP25" s="58"/>
      <c r="CQ25" s="62"/>
      <c r="CR25" s="27"/>
      <c r="CS25" s="32"/>
      <c r="CT25" s="42"/>
      <c r="CU25" s="52"/>
      <c r="CV25" s="53">
        <f t="shared" si="8"/>
        <v>0</v>
      </c>
      <c r="CX25" s="47">
        <v>45921</v>
      </c>
      <c r="CY25" s="56">
        <v>8494.18</v>
      </c>
      <c r="CZ25" s="57">
        <v>1671.27</v>
      </c>
      <c r="DA25" s="58"/>
      <c r="DB25" s="59"/>
      <c r="DC25" s="27"/>
      <c r="DD25" s="32">
        <v>85.432069999999982</v>
      </c>
      <c r="DE25" s="32">
        <v>0.85052900000002296</v>
      </c>
      <c r="DF25" s="52"/>
      <c r="DG25" s="53">
        <f t="shared" si="9"/>
        <v>86.282599000000005</v>
      </c>
      <c r="DI25" s="47">
        <v>45921</v>
      </c>
      <c r="DJ25" s="56">
        <v>1960.27</v>
      </c>
      <c r="DK25" s="63"/>
      <c r="DL25" s="58"/>
      <c r="DM25" s="62"/>
      <c r="DN25" s="27"/>
      <c r="DO25" s="51"/>
      <c r="DP25" s="52"/>
      <c r="DQ25" s="52"/>
      <c r="DR25" s="53">
        <f t="shared" si="10"/>
        <v>0</v>
      </c>
      <c r="DT25" s="47">
        <v>45921</v>
      </c>
      <c r="DU25" s="56">
        <v>493.83</v>
      </c>
      <c r="DV25" s="57">
        <v>457.17</v>
      </c>
      <c r="DW25" s="58"/>
      <c r="DX25" s="62"/>
      <c r="DY25" s="27"/>
      <c r="DZ25" s="32">
        <v>61.163750000000007</v>
      </c>
      <c r="EA25" s="32">
        <v>333.31479999999976</v>
      </c>
      <c r="EB25" s="44"/>
      <c r="EC25" s="53">
        <f t="shared" si="11"/>
        <v>394.47854999999976</v>
      </c>
      <c r="EE25" s="47">
        <v>45921</v>
      </c>
      <c r="EF25" s="56">
        <v>4802.53</v>
      </c>
      <c r="EG25" s="57">
        <v>1273.54</v>
      </c>
      <c r="EH25" s="58"/>
      <c r="EI25" s="59">
        <v>105.37</v>
      </c>
      <c r="EJ25" s="27"/>
      <c r="EK25" s="32"/>
      <c r="EL25" s="42"/>
      <c r="EM25" s="52"/>
      <c r="EN25" s="53">
        <f t="shared" si="12"/>
        <v>105.37</v>
      </c>
      <c r="EP25" s="47">
        <v>45921</v>
      </c>
      <c r="EQ25" s="64">
        <v>892.66</v>
      </c>
      <c r="ER25" s="56">
        <v>535.47</v>
      </c>
      <c r="ES25" s="58"/>
      <c r="ET25" s="62"/>
      <c r="EU25" s="27"/>
      <c r="EV25" s="51"/>
      <c r="EW25" s="52"/>
      <c r="EX25" s="52"/>
      <c r="EY25" s="53">
        <f t="shared" si="13"/>
        <v>0</v>
      </c>
    </row>
    <row r="26" spans="2:155" hidden="1" x14ac:dyDescent="0.25">
      <c r="B26" s="47">
        <v>45922</v>
      </c>
      <c r="C26" s="48">
        <v>17941.009999999998</v>
      </c>
      <c r="D26" s="49">
        <v>4074.63</v>
      </c>
      <c r="E26" s="50">
        <v>2786.84</v>
      </c>
      <c r="F26" s="49">
        <v>208.36</v>
      </c>
      <c r="H26" s="27"/>
      <c r="I26" s="51"/>
      <c r="J26" s="52"/>
      <c r="K26" s="52"/>
      <c r="L26" s="53">
        <f t="shared" si="0"/>
        <v>0</v>
      </c>
      <c r="N26" s="47">
        <v>45922</v>
      </c>
      <c r="O26" s="54">
        <v>2781.92</v>
      </c>
      <c r="P26" s="54">
        <v>331.87</v>
      </c>
      <c r="Q26" s="55"/>
      <c r="R26" s="55">
        <v>74.739999999999995</v>
      </c>
      <c r="S26" s="27"/>
      <c r="T26" s="32">
        <v>40.085429999999974</v>
      </c>
      <c r="U26" s="32"/>
      <c r="V26" s="52"/>
      <c r="W26" s="53">
        <f t="shared" si="1"/>
        <v>114.82542999999997</v>
      </c>
      <c r="Y26" s="47">
        <v>45922</v>
      </c>
      <c r="Z26" s="56">
        <v>7342.24</v>
      </c>
      <c r="AA26" s="57">
        <v>1805.4</v>
      </c>
      <c r="AB26" s="70"/>
      <c r="AC26" s="59">
        <v>232.99</v>
      </c>
      <c r="AD26" s="27"/>
      <c r="AE26" s="32">
        <v>214.12006200000002</v>
      </c>
      <c r="AF26" s="52"/>
      <c r="AG26" s="52"/>
      <c r="AH26" s="53">
        <f t="shared" si="2"/>
        <v>447.11006200000003</v>
      </c>
      <c r="AJ26" s="47">
        <v>45922</v>
      </c>
      <c r="AK26" s="56">
        <v>3039.57</v>
      </c>
      <c r="AL26" s="57">
        <v>552.4</v>
      </c>
      <c r="AM26" s="70"/>
      <c r="AN26" s="60"/>
      <c r="AO26" s="27"/>
      <c r="AP26" s="51"/>
      <c r="AQ26" s="52"/>
      <c r="AR26" s="52"/>
      <c r="AS26" s="53">
        <f t="shared" si="3"/>
        <v>0</v>
      </c>
      <c r="AU26" s="47">
        <v>45922</v>
      </c>
      <c r="AV26" s="57">
        <v>412.12</v>
      </c>
      <c r="AW26" s="57">
        <v>47.52</v>
      </c>
      <c r="AX26" s="70"/>
      <c r="AY26" s="59">
        <v>110.5</v>
      </c>
      <c r="AZ26" s="27"/>
      <c r="BA26" s="32">
        <v>342.87348800000001</v>
      </c>
      <c r="BB26" s="52"/>
      <c r="BC26" s="52"/>
      <c r="BD26" s="53">
        <f t="shared" si="4"/>
        <v>453.37348800000001</v>
      </c>
      <c r="BF26" s="47">
        <v>45922</v>
      </c>
      <c r="BG26" s="56">
        <v>5351.42</v>
      </c>
      <c r="BH26" s="57">
        <v>528.78</v>
      </c>
      <c r="BI26" s="70"/>
      <c r="BJ26" s="59">
        <v>27.39</v>
      </c>
      <c r="BK26" s="27"/>
      <c r="BL26" s="32">
        <v>268.65749999999991</v>
      </c>
      <c r="BM26" s="33"/>
      <c r="BN26" s="52"/>
      <c r="BO26" s="53">
        <f t="shared" si="5"/>
        <v>296.0474999999999</v>
      </c>
      <c r="BQ26" s="47">
        <v>45922</v>
      </c>
      <c r="BR26" s="57">
        <v>637.1</v>
      </c>
      <c r="BS26" s="57">
        <v>657.03</v>
      </c>
      <c r="BT26" s="70"/>
      <c r="BU26" s="61"/>
      <c r="BV26" s="27"/>
      <c r="BW26" s="51"/>
      <c r="BX26" s="52"/>
      <c r="BY26" s="52"/>
      <c r="BZ26" s="53">
        <f t="shared" si="6"/>
        <v>0</v>
      </c>
      <c r="CB26" s="47">
        <v>45922</v>
      </c>
      <c r="CC26" s="56">
        <v>19251.349999999999</v>
      </c>
      <c r="CD26" s="57">
        <v>1997.52</v>
      </c>
      <c r="CE26" s="70"/>
      <c r="CF26" s="60"/>
      <c r="CG26" s="27"/>
      <c r="CH26" s="51"/>
      <c r="CI26" s="52"/>
      <c r="CJ26" s="52"/>
      <c r="CK26" s="53">
        <f t="shared" si="7"/>
        <v>0</v>
      </c>
      <c r="CM26" s="47">
        <v>45922</v>
      </c>
      <c r="CN26" s="56">
        <v>9956.81</v>
      </c>
      <c r="CO26" s="57">
        <v>1744.79</v>
      </c>
      <c r="CP26" s="70"/>
      <c r="CQ26" s="62"/>
      <c r="CR26" s="27"/>
      <c r="CS26" s="32">
        <v>78.13069999999999</v>
      </c>
      <c r="CT26" s="42">
        <v>258.25408999999991</v>
      </c>
      <c r="CU26" s="52"/>
      <c r="CV26" s="53">
        <f t="shared" si="8"/>
        <v>336.3847899999999</v>
      </c>
      <c r="CX26" s="47">
        <v>45922</v>
      </c>
      <c r="CY26" s="56">
        <v>7176.83</v>
      </c>
      <c r="CZ26" s="57">
        <v>1258.3399999999999</v>
      </c>
      <c r="DA26" s="70"/>
      <c r="DB26" s="59"/>
      <c r="DC26" s="27"/>
      <c r="DD26" s="32">
        <v>141.91610000000003</v>
      </c>
      <c r="DE26" s="32">
        <v>0.25034200000001761</v>
      </c>
      <c r="DF26" s="52"/>
      <c r="DG26" s="53">
        <f t="shared" si="9"/>
        <v>142.16644200000005</v>
      </c>
      <c r="DI26" s="47">
        <v>45922</v>
      </c>
      <c r="DJ26" s="56">
        <v>1612.66</v>
      </c>
      <c r="DK26" s="71"/>
      <c r="DL26" s="70"/>
      <c r="DM26" s="62"/>
      <c r="DN26" s="27"/>
      <c r="DO26" s="51"/>
      <c r="DP26" s="52"/>
      <c r="DQ26" s="52"/>
      <c r="DR26" s="53">
        <f t="shared" si="10"/>
        <v>0</v>
      </c>
      <c r="DT26" s="47">
        <v>45922</v>
      </c>
      <c r="DU26" s="56">
        <v>680.55</v>
      </c>
      <c r="DV26" s="57">
        <v>96.03</v>
      </c>
      <c r="DW26" s="70"/>
      <c r="DX26" s="62"/>
      <c r="DY26" s="27"/>
      <c r="DZ26" s="32">
        <v>57.455739999999977</v>
      </c>
      <c r="EA26" s="32">
        <v>81.188539999999975</v>
      </c>
      <c r="EB26" s="44"/>
      <c r="EC26" s="53">
        <f t="shared" si="11"/>
        <v>138.64427999999995</v>
      </c>
      <c r="EE26" s="47">
        <v>45922</v>
      </c>
      <c r="EF26" s="56">
        <v>7091.29</v>
      </c>
      <c r="EG26" s="57">
        <v>2539.66</v>
      </c>
      <c r="EH26" s="70"/>
      <c r="EI26" s="59">
        <v>153.03</v>
      </c>
      <c r="EJ26" s="27"/>
      <c r="EK26" s="32"/>
      <c r="EL26" s="42"/>
      <c r="EM26" s="52"/>
      <c r="EN26" s="53">
        <f t="shared" si="12"/>
        <v>153.03</v>
      </c>
      <c r="EP26" s="47">
        <v>45922</v>
      </c>
      <c r="EQ26" s="64">
        <v>1037.8499999999999</v>
      </c>
      <c r="ER26" s="56">
        <v>491.82</v>
      </c>
      <c r="ES26" s="70"/>
      <c r="ET26" s="62"/>
      <c r="EU26" s="27"/>
      <c r="EV26" s="51"/>
      <c r="EW26" s="52"/>
      <c r="EX26" s="52"/>
      <c r="EY26" s="53">
        <f t="shared" si="13"/>
        <v>0</v>
      </c>
    </row>
    <row r="27" spans="2:155" hidden="1" x14ac:dyDescent="0.25">
      <c r="B27" s="47">
        <v>45923</v>
      </c>
      <c r="C27" s="48">
        <v>15975.13</v>
      </c>
      <c r="D27" s="49">
        <v>3263.18</v>
      </c>
      <c r="E27" s="50">
        <v>4364.6000000000004</v>
      </c>
      <c r="F27" s="49">
        <v>427.68</v>
      </c>
      <c r="H27" s="27"/>
      <c r="I27" s="51"/>
      <c r="J27" s="52"/>
      <c r="K27" s="52"/>
      <c r="L27" s="53">
        <f t="shared" si="0"/>
        <v>0</v>
      </c>
      <c r="N27" s="47">
        <v>45923</v>
      </c>
      <c r="O27" s="54">
        <v>2718.73</v>
      </c>
      <c r="P27" s="54">
        <v>331.88</v>
      </c>
      <c r="Q27" s="55"/>
      <c r="R27" s="55">
        <v>28.35</v>
      </c>
      <c r="S27" s="27"/>
      <c r="T27" s="32">
        <v>203.89131999999989</v>
      </c>
      <c r="U27" s="32"/>
      <c r="V27" s="52"/>
      <c r="W27" s="53">
        <f t="shared" si="1"/>
        <v>232.24131999999989</v>
      </c>
      <c r="Y27" s="47">
        <v>45923</v>
      </c>
      <c r="Z27" s="56">
        <v>6104.35</v>
      </c>
      <c r="AA27" s="57">
        <v>1262.73</v>
      </c>
      <c r="AB27" s="70"/>
      <c r="AC27" s="59">
        <v>306.38</v>
      </c>
      <c r="AD27" s="27"/>
      <c r="AE27" s="32">
        <v>314</v>
      </c>
      <c r="AF27" s="52"/>
      <c r="AG27" s="52"/>
      <c r="AH27" s="53">
        <f t="shared" si="2"/>
        <v>620.38</v>
      </c>
      <c r="AJ27" s="47">
        <v>45923</v>
      </c>
      <c r="AK27" s="56">
        <v>2295.7800000000002</v>
      </c>
      <c r="AL27" s="57">
        <v>728.02</v>
      </c>
      <c r="AM27" s="70"/>
      <c r="AN27" s="60"/>
      <c r="AO27" s="27"/>
      <c r="AP27" s="51"/>
      <c r="AQ27" s="52"/>
      <c r="AR27" s="52"/>
      <c r="AS27" s="53">
        <f t="shared" si="3"/>
        <v>0</v>
      </c>
      <c r="AU27" s="47">
        <v>45923</v>
      </c>
      <c r="AV27" s="57">
        <v>705</v>
      </c>
      <c r="AW27" s="57">
        <v>107.97</v>
      </c>
      <c r="AX27" s="70"/>
      <c r="AY27" s="59">
        <v>115.7</v>
      </c>
      <c r="AZ27" s="27"/>
      <c r="BA27" s="32">
        <v>241.60416000000001</v>
      </c>
      <c r="BB27" s="52"/>
      <c r="BC27" s="52"/>
      <c r="BD27" s="53">
        <f t="shared" si="4"/>
        <v>357.30416000000002</v>
      </c>
      <c r="BF27" s="47">
        <v>45923</v>
      </c>
      <c r="BG27" s="56">
        <v>3363.82</v>
      </c>
      <c r="BH27" s="57">
        <v>555.62</v>
      </c>
      <c r="BI27" s="70"/>
      <c r="BJ27" s="59">
        <v>42.62</v>
      </c>
      <c r="BK27" s="27"/>
      <c r="BL27" s="32">
        <v>252.62464999999997</v>
      </c>
      <c r="BM27" s="33">
        <v>87.687349999999995</v>
      </c>
      <c r="BN27" s="52"/>
      <c r="BO27" s="53">
        <f t="shared" si="5"/>
        <v>382.93199999999996</v>
      </c>
      <c r="BQ27" s="47">
        <v>45923</v>
      </c>
      <c r="BR27" s="57">
        <v>882.03</v>
      </c>
      <c r="BS27" s="57">
        <v>334.69</v>
      </c>
      <c r="BT27" s="70"/>
      <c r="BU27" s="61"/>
      <c r="BV27" s="27"/>
      <c r="BW27" s="51"/>
      <c r="BX27" s="52"/>
      <c r="BY27" s="52"/>
      <c r="BZ27" s="53">
        <f t="shared" si="6"/>
        <v>0</v>
      </c>
      <c r="CB27" s="47">
        <v>45923</v>
      </c>
      <c r="CC27" s="56">
        <v>20212.89</v>
      </c>
      <c r="CD27" s="57">
        <v>1862.57</v>
      </c>
      <c r="CE27" s="70"/>
      <c r="CF27" s="60"/>
      <c r="CG27" s="27"/>
      <c r="CH27" s="51"/>
      <c r="CI27" s="52"/>
      <c r="CJ27" s="52"/>
      <c r="CK27" s="53">
        <f t="shared" si="7"/>
        <v>0</v>
      </c>
      <c r="CM27" s="47">
        <v>45923</v>
      </c>
      <c r="CN27" s="56">
        <v>9715.86</v>
      </c>
      <c r="CO27" s="57">
        <v>1763.59</v>
      </c>
      <c r="CP27" s="70"/>
      <c r="CQ27" s="62"/>
      <c r="CR27" s="27"/>
      <c r="CS27" s="32">
        <v>168.34627999999992</v>
      </c>
      <c r="CT27" s="42">
        <v>276.27515000000005</v>
      </c>
      <c r="CU27" s="52"/>
      <c r="CV27" s="53">
        <f t="shared" si="8"/>
        <v>444.62142999999998</v>
      </c>
      <c r="CX27" s="47">
        <v>45923</v>
      </c>
      <c r="CY27" s="56">
        <v>4022.5</v>
      </c>
      <c r="CZ27" s="57">
        <v>1633.3</v>
      </c>
      <c r="DA27" s="70"/>
      <c r="DB27" s="59"/>
      <c r="DC27" s="27"/>
      <c r="DD27" s="32">
        <v>149.37921700000007</v>
      </c>
      <c r="DE27" s="32">
        <v>2.6198090000000605</v>
      </c>
      <c r="DF27" s="52"/>
      <c r="DG27" s="53">
        <f t="shared" si="9"/>
        <v>151.99902600000013</v>
      </c>
      <c r="DI27" s="47">
        <v>45923</v>
      </c>
      <c r="DJ27" s="56">
        <v>809.53</v>
      </c>
      <c r="DK27" s="71"/>
      <c r="DL27" s="70"/>
      <c r="DM27" s="62"/>
      <c r="DN27" s="27"/>
      <c r="DO27" s="51"/>
      <c r="DP27" s="52"/>
      <c r="DQ27" s="52"/>
      <c r="DR27" s="53">
        <f t="shared" si="10"/>
        <v>0</v>
      </c>
      <c r="DT27" s="47">
        <v>45923</v>
      </c>
      <c r="DU27" s="56">
        <v>2438.2600000000002</v>
      </c>
      <c r="DV27" s="57">
        <v>227.75</v>
      </c>
      <c r="DW27" s="70"/>
      <c r="DX27" s="62"/>
      <c r="DY27" s="27"/>
      <c r="DZ27" s="32">
        <v>100.30586999999996</v>
      </c>
      <c r="EA27" s="32">
        <v>49.546789999999959</v>
      </c>
      <c r="EB27" s="44"/>
      <c r="EC27" s="53">
        <f t="shared" si="11"/>
        <v>149.8526599999999</v>
      </c>
      <c r="EE27" s="47">
        <v>45923</v>
      </c>
      <c r="EF27" s="56">
        <v>8261.73</v>
      </c>
      <c r="EG27" s="57">
        <v>1581.4</v>
      </c>
      <c r="EH27" s="70"/>
      <c r="EI27" s="59">
        <v>79.37</v>
      </c>
      <c r="EJ27" s="27"/>
      <c r="EK27" s="32"/>
      <c r="EL27" s="42"/>
      <c r="EM27" s="52"/>
      <c r="EN27" s="53">
        <f t="shared" si="12"/>
        <v>79.37</v>
      </c>
      <c r="EP27" s="47">
        <v>45923</v>
      </c>
      <c r="EQ27" s="64">
        <v>895.38</v>
      </c>
      <c r="ER27" s="56">
        <v>317.56</v>
      </c>
      <c r="ES27" s="70"/>
      <c r="ET27" s="62"/>
      <c r="EU27" s="27"/>
      <c r="EV27" s="51"/>
      <c r="EW27" s="52"/>
      <c r="EX27" s="52"/>
      <c r="EY27" s="53">
        <f t="shared" si="13"/>
        <v>0</v>
      </c>
    </row>
    <row r="28" spans="2:155" hidden="1" x14ac:dyDescent="0.25">
      <c r="B28" s="47">
        <v>45924</v>
      </c>
      <c r="C28" s="48">
        <v>17013.14</v>
      </c>
      <c r="D28" s="49">
        <v>3966.5</v>
      </c>
      <c r="E28" s="50">
        <v>4108.76</v>
      </c>
      <c r="F28" s="49">
        <v>239.18</v>
      </c>
      <c r="H28" s="27"/>
      <c r="I28" s="51"/>
      <c r="J28" s="52"/>
      <c r="K28" s="52"/>
      <c r="L28" s="53">
        <f t="shared" si="0"/>
        <v>0</v>
      </c>
      <c r="N28" s="47">
        <v>45924</v>
      </c>
      <c r="O28" s="54">
        <v>4095.03</v>
      </c>
      <c r="P28" s="54">
        <v>641.78</v>
      </c>
      <c r="Q28" s="55"/>
      <c r="R28" s="55"/>
      <c r="S28" s="27"/>
      <c r="T28" s="32">
        <v>57.623109999999997</v>
      </c>
      <c r="U28" s="32">
        <v>3.3442100000000039</v>
      </c>
      <c r="V28" s="52"/>
      <c r="W28" s="53">
        <f t="shared" si="1"/>
        <v>60.967320000000001</v>
      </c>
      <c r="Y28" s="47">
        <v>45924</v>
      </c>
      <c r="Z28" s="56">
        <v>5660.23</v>
      </c>
      <c r="AA28" s="57">
        <v>1113.19</v>
      </c>
      <c r="AB28" s="70"/>
      <c r="AC28" s="59">
        <v>213.39</v>
      </c>
      <c r="AD28" s="27"/>
      <c r="AE28" s="32">
        <v>105.09140000000005</v>
      </c>
      <c r="AF28" s="52"/>
      <c r="AG28" s="52"/>
      <c r="AH28" s="53">
        <f t="shared" si="2"/>
        <v>318.48140000000001</v>
      </c>
      <c r="AJ28" s="47">
        <v>45924</v>
      </c>
      <c r="AK28" s="56">
        <v>2168.85</v>
      </c>
      <c r="AL28" s="57">
        <v>672.41</v>
      </c>
      <c r="AM28" s="70"/>
      <c r="AN28" s="60"/>
      <c r="AO28" s="27"/>
      <c r="AP28" s="51"/>
      <c r="AQ28" s="52"/>
      <c r="AR28" s="52"/>
      <c r="AS28" s="53">
        <f t="shared" si="3"/>
        <v>0</v>
      </c>
      <c r="AU28" s="47">
        <v>45924</v>
      </c>
      <c r="AV28" s="57">
        <v>94.07</v>
      </c>
      <c r="AW28" s="57">
        <v>109.5</v>
      </c>
      <c r="AX28" s="70"/>
      <c r="AY28" s="59"/>
      <c r="AZ28" s="27"/>
      <c r="BA28" s="32">
        <v>335.47766500000023</v>
      </c>
      <c r="BB28" s="52"/>
      <c r="BC28" s="52"/>
      <c r="BD28" s="53">
        <f t="shared" si="4"/>
        <v>335.47766500000023</v>
      </c>
      <c r="BF28" s="47">
        <v>45924</v>
      </c>
      <c r="BG28" s="56">
        <v>4012.3</v>
      </c>
      <c r="BH28" s="57">
        <v>857.64</v>
      </c>
      <c r="BI28" s="70"/>
      <c r="BJ28" s="59"/>
      <c r="BK28" s="27"/>
      <c r="BL28" s="32">
        <v>501.38729000000012</v>
      </c>
      <c r="BM28" s="33">
        <v>36.84935999999999</v>
      </c>
      <c r="BN28" s="52"/>
      <c r="BO28" s="53">
        <f t="shared" si="5"/>
        <v>538.23665000000005</v>
      </c>
      <c r="BQ28" s="47">
        <v>45924</v>
      </c>
      <c r="BR28" s="57">
        <v>514.14</v>
      </c>
      <c r="BS28" s="57">
        <v>576.57000000000005</v>
      </c>
      <c r="BT28" s="70"/>
      <c r="BU28" s="61"/>
      <c r="BV28" s="27"/>
      <c r="BW28" s="51"/>
      <c r="BX28" s="52"/>
      <c r="BY28" s="52"/>
      <c r="BZ28" s="53">
        <f t="shared" si="6"/>
        <v>0</v>
      </c>
      <c r="CB28" s="47">
        <v>45924</v>
      </c>
      <c r="CC28" s="56">
        <v>21451.15</v>
      </c>
      <c r="CD28" s="57">
        <v>2139.46</v>
      </c>
      <c r="CE28" s="70"/>
      <c r="CF28" s="60"/>
      <c r="CG28" s="27"/>
      <c r="CH28" s="51"/>
      <c r="CI28" s="52"/>
      <c r="CJ28" s="52"/>
      <c r="CK28" s="53">
        <f t="shared" si="7"/>
        <v>0</v>
      </c>
      <c r="CM28" s="47">
        <v>45924</v>
      </c>
      <c r="CN28" s="56">
        <v>7995.01</v>
      </c>
      <c r="CO28" s="57">
        <v>2039.59</v>
      </c>
      <c r="CP28" s="70"/>
      <c r="CQ28" s="62"/>
      <c r="CR28" s="27"/>
      <c r="CS28" s="32">
        <v>33.989649999999997</v>
      </c>
      <c r="CT28" s="42">
        <v>420.75359999999984</v>
      </c>
      <c r="CU28" s="52"/>
      <c r="CV28" s="53">
        <f t="shared" si="8"/>
        <v>454.74324999999982</v>
      </c>
      <c r="CX28" s="47">
        <v>45924</v>
      </c>
      <c r="CY28" s="56">
        <v>7504.17</v>
      </c>
      <c r="CZ28" s="57">
        <v>975.06</v>
      </c>
      <c r="DA28" s="70"/>
      <c r="DB28" s="59"/>
      <c r="DC28" s="27"/>
      <c r="DD28" s="32">
        <v>115.90661499999997</v>
      </c>
      <c r="DE28" s="32">
        <v>3.3899470000000349</v>
      </c>
      <c r="DF28" s="52"/>
      <c r="DG28" s="53">
        <f t="shared" si="9"/>
        <v>119.29656200000001</v>
      </c>
      <c r="DI28" s="47">
        <v>45924</v>
      </c>
      <c r="DJ28" s="56">
        <v>1370.04</v>
      </c>
      <c r="DK28" s="71"/>
      <c r="DL28" s="70"/>
      <c r="DM28" s="62"/>
      <c r="DN28" s="27"/>
      <c r="DO28" s="51"/>
      <c r="DP28" s="52"/>
      <c r="DQ28" s="52"/>
      <c r="DR28" s="53">
        <f t="shared" si="10"/>
        <v>0</v>
      </c>
      <c r="DT28" s="47">
        <v>45924</v>
      </c>
      <c r="DU28" s="56">
        <v>1699.44</v>
      </c>
      <c r="DV28" s="57">
        <v>326.72000000000003</v>
      </c>
      <c r="DW28" s="70"/>
      <c r="DX28" s="62"/>
      <c r="DY28" s="27"/>
      <c r="DZ28" s="32">
        <v>125.74244000000002</v>
      </c>
      <c r="EA28" s="32">
        <v>105.16235999999996</v>
      </c>
      <c r="EB28" s="44"/>
      <c r="EC28" s="53">
        <f t="shared" si="11"/>
        <v>230.90479999999997</v>
      </c>
      <c r="EE28" s="47">
        <v>45924</v>
      </c>
      <c r="EF28" s="56">
        <v>7035.31</v>
      </c>
      <c r="EG28" s="57">
        <v>1978.53</v>
      </c>
      <c r="EH28" s="70"/>
      <c r="EI28" s="59">
        <v>101.4</v>
      </c>
      <c r="EJ28" s="27"/>
      <c r="EK28" s="32">
        <v>41.734079999999977</v>
      </c>
      <c r="EL28" s="42"/>
      <c r="EM28" s="52"/>
      <c r="EN28" s="53">
        <f t="shared" si="12"/>
        <v>143.13407999999998</v>
      </c>
      <c r="EP28" s="47">
        <v>45924</v>
      </c>
      <c r="EQ28" s="64">
        <v>1103.51</v>
      </c>
      <c r="ER28" s="56">
        <v>563.39</v>
      </c>
      <c r="ES28" s="70"/>
      <c r="ET28" s="62"/>
      <c r="EU28" s="27"/>
      <c r="EV28" s="51"/>
      <c r="EW28" s="52"/>
      <c r="EX28" s="52"/>
      <c r="EY28" s="53">
        <f t="shared" si="13"/>
        <v>0</v>
      </c>
    </row>
    <row r="29" spans="2:155" hidden="1" x14ac:dyDescent="0.25">
      <c r="B29" s="47">
        <v>45925</v>
      </c>
      <c r="C29" s="48">
        <v>16064.96</v>
      </c>
      <c r="D29" s="49">
        <v>3075.01</v>
      </c>
      <c r="E29" s="50">
        <v>3005.11</v>
      </c>
      <c r="F29" s="49">
        <v>364.75</v>
      </c>
      <c r="H29" s="27"/>
      <c r="I29" s="51"/>
      <c r="J29" s="52"/>
      <c r="K29" s="52"/>
      <c r="L29" s="53">
        <f t="shared" si="0"/>
        <v>0</v>
      </c>
      <c r="N29" s="47">
        <v>45925</v>
      </c>
      <c r="O29" s="54">
        <v>1953.87</v>
      </c>
      <c r="P29" s="54">
        <v>638.41</v>
      </c>
      <c r="Q29" s="69"/>
      <c r="R29" s="69"/>
      <c r="S29" s="27"/>
      <c r="T29" s="32">
        <v>96.411929999999941</v>
      </c>
      <c r="U29" s="32"/>
      <c r="V29" s="52"/>
      <c r="W29" s="53">
        <f t="shared" si="1"/>
        <v>96.411929999999941</v>
      </c>
      <c r="Y29" s="47">
        <v>45925</v>
      </c>
      <c r="Z29" s="56">
        <v>6239.83</v>
      </c>
      <c r="AA29" s="57">
        <v>1418.69</v>
      </c>
      <c r="AB29" s="70"/>
      <c r="AC29" s="59">
        <v>186.88</v>
      </c>
      <c r="AD29" s="27"/>
      <c r="AE29" s="32">
        <v>67.741887999999932</v>
      </c>
      <c r="AF29" s="52"/>
      <c r="AG29" s="52"/>
      <c r="AH29" s="53">
        <f t="shared" si="2"/>
        <v>254.62188799999993</v>
      </c>
      <c r="AJ29" s="47">
        <v>45925</v>
      </c>
      <c r="AK29" s="56">
        <v>2824.11</v>
      </c>
      <c r="AL29" s="57">
        <v>628.37</v>
      </c>
      <c r="AM29" s="70"/>
      <c r="AN29" s="60"/>
      <c r="AO29" s="27"/>
      <c r="AP29" s="51"/>
      <c r="AQ29" s="52"/>
      <c r="AR29" s="52"/>
      <c r="AS29" s="53">
        <f t="shared" si="3"/>
        <v>0</v>
      </c>
      <c r="AU29" s="47">
        <v>45925</v>
      </c>
      <c r="AV29" s="57">
        <v>371</v>
      </c>
      <c r="AW29" s="57">
        <v>20</v>
      </c>
      <c r="AX29" s="70"/>
      <c r="AY29" s="59">
        <v>130</v>
      </c>
      <c r="AZ29" s="27"/>
      <c r="BA29" s="32">
        <v>95.60261799999995</v>
      </c>
      <c r="BB29" s="52"/>
      <c r="BC29" s="52"/>
      <c r="BD29" s="53">
        <f t="shared" si="4"/>
        <v>225.60261799999995</v>
      </c>
      <c r="BF29" s="47">
        <v>45925</v>
      </c>
      <c r="BG29" s="56">
        <v>5306.56</v>
      </c>
      <c r="BH29" s="57">
        <v>1088.0999999999999</v>
      </c>
      <c r="BI29" s="70"/>
      <c r="BJ29" s="59"/>
      <c r="BK29" s="27"/>
      <c r="BL29" s="32">
        <v>281.34933999999993</v>
      </c>
      <c r="BM29" s="33">
        <v>77.188649999999967</v>
      </c>
      <c r="BN29" s="52"/>
      <c r="BO29" s="53">
        <f t="shared" si="5"/>
        <v>358.53798999999992</v>
      </c>
      <c r="BQ29" s="47">
        <v>45925</v>
      </c>
      <c r="BR29" s="57">
        <v>554.42999999999995</v>
      </c>
      <c r="BS29" s="57">
        <v>275.54000000000002</v>
      </c>
      <c r="BT29" s="70"/>
      <c r="BU29" s="61"/>
      <c r="BV29" s="27"/>
      <c r="BW29" s="51"/>
      <c r="BX29" s="52"/>
      <c r="BY29" s="52"/>
      <c r="BZ29" s="53">
        <f t="shared" si="6"/>
        <v>0</v>
      </c>
      <c r="CB29" s="47">
        <v>45925</v>
      </c>
      <c r="CC29" s="56">
        <v>16619.89</v>
      </c>
      <c r="CD29" s="57">
        <v>2179.0500000000002</v>
      </c>
      <c r="CE29" s="70"/>
      <c r="CF29" s="60"/>
      <c r="CG29" s="27"/>
      <c r="CH29" s="51"/>
      <c r="CI29" s="52"/>
      <c r="CJ29" s="52"/>
      <c r="CK29" s="53">
        <f t="shared" si="7"/>
        <v>0</v>
      </c>
      <c r="CM29" s="47">
        <v>45925</v>
      </c>
      <c r="CN29" s="56">
        <v>9433.5400000000009</v>
      </c>
      <c r="CO29" s="57">
        <v>2126.73</v>
      </c>
      <c r="CP29" s="70"/>
      <c r="CQ29" s="62"/>
      <c r="CR29" s="27"/>
      <c r="CS29" s="32">
        <v>32.095549999999974</v>
      </c>
      <c r="CT29" s="42">
        <v>17.948610000000002</v>
      </c>
      <c r="CU29" s="52"/>
      <c r="CV29" s="53">
        <f t="shared" si="8"/>
        <v>50.044159999999977</v>
      </c>
      <c r="CX29" s="47">
        <v>45925</v>
      </c>
      <c r="CY29" s="56">
        <v>6948.57</v>
      </c>
      <c r="CZ29" s="57">
        <v>1126.1300000000001</v>
      </c>
      <c r="DA29" s="70"/>
      <c r="DB29" s="59"/>
      <c r="DC29" s="27"/>
      <c r="DD29" s="32">
        <v>60.821325999999971</v>
      </c>
      <c r="DE29" s="32">
        <v>2.7898170000000846</v>
      </c>
      <c r="DF29" s="52"/>
      <c r="DG29" s="53">
        <f t="shared" si="9"/>
        <v>63.611143000000055</v>
      </c>
      <c r="DI29" s="47">
        <v>45925</v>
      </c>
      <c r="DJ29" s="56">
        <v>1695.62</v>
      </c>
      <c r="DK29" s="71"/>
      <c r="DL29" s="70"/>
      <c r="DM29" s="62"/>
      <c r="DN29" s="27"/>
      <c r="DO29" s="51"/>
      <c r="DP29" s="52"/>
      <c r="DQ29" s="52"/>
      <c r="DR29" s="53">
        <f t="shared" si="10"/>
        <v>0</v>
      </c>
      <c r="DT29" s="47">
        <v>45925</v>
      </c>
      <c r="DU29" s="56">
        <v>3102.66</v>
      </c>
      <c r="DV29" s="57">
        <v>321.94</v>
      </c>
      <c r="DW29" s="70"/>
      <c r="DX29" s="62"/>
      <c r="DY29" s="27"/>
      <c r="DZ29" s="32">
        <v>59.686639999999997</v>
      </c>
      <c r="EA29" s="32"/>
      <c r="EB29" s="44"/>
      <c r="EC29" s="53">
        <f t="shared" si="11"/>
        <v>59.686639999999997</v>
      </c>
      <c r="EE29" s="47">
        <v>45925</v>
      </c>
      <c r="EF29" s="56">
        <v>5693.14</v>
      </c>
      <c r="EG29" s="57">
        <v>1801.47</v>
      </c>
      <c r="EH29" s="70"/>
      <c r="EI29" s="59">
        <v>148.91999999999999</v>
      </c>
      <c r="EJ29" s="27"/>
      <c r="EK29" s="32"/>
      <c r="EL29" s="42"/>
      <c r="EM29" s="52"/>
      <c r="EN29" s="53">
        <f t="shared" si="12"/>
        <v>148.91999999999999</v>
      </c>
      <c r="EP29" s="47">
        <v>45925</v>
      </c>
      <c r="EQ29" s="64">
        <v>758.01</v>
      </c>
      <c r="ER29" s="56">
        <v>524.16</v>
      </c>
      <c r="ES29" s="70"/>
      <c r="ET29" s="62"/>
      <c r="EU29" s="27"/>
      <c r="EV29" s="51"/>
      <c r="EW29" s="52"/>
      <c r="EX29" s="52"/>
      <c r="EY29" s="53">
        <f t="shared" si="13"/>
        <v>0</v>
      </c>
    </row>
    <row r="30" spans="2:155" hidden="1" x14ac:dyDescent="0.25">
      <c r="B30" s="47">
        <v>45926</v>
      </c>
      <c r="C30" s="48">
        <v>19283.830000000002</v>
      </c>
      <c r="D30" s="49">
        <v>3256.93</v>
      </c>
      <c r="E30" s="50">
        <v>3251.45</v>
      </c>
      <c r="F30" s="49">
        <v>342.04</v>
      </c>
      <c r="H30" s="27"/>
      <c r="I30" s="51"/>
      <c r="J30" s="52"/>
      <c r="K30" s="52"/>
      <c r="L30" s="53">
        <f t="shared" si="0"/>
        <v>0</v>
      </c>
      <c r="N30" s="47">
        <v>45926</v>
      </c>
      <c r="O30" s="54">
        <v>2801.09</v>
      </c>
      <c r="P30" s="54">
        <v>492.75</v>
      </c>
      <c r="Q30" s="69"/>
      <c r="R30" s="69"/>
      <c r="S30" s="27"/>
      <c r="T30" s="32">
        <v>173.80320999999972</v>
      </c>
      <c r="U30" s="32">
        <v>21.743069999999875</v>
      </c>
      <c r="V30" s="52"/>
      <c r="W30" s="53">
        <f t="shared" si="1"/>
        <v>195.5462799999996</v>
      </c>
      <c r="Y30" s="47">
        <v>45926</v>
      </c>
      <c r="Z30" s="56">
        <v>6899.67</v>
      </c>
      <c r="AA30" s="57">
        <v>1144.02</v>
      </c>
      <c r="AB30" s="70"/>
      <c r="AC30" s="59">
        <v>128.57</v>
      </c>
      <c r="AD30" s="27"/>
      <c r="AE30" s="32"/>
      <c r="AF30" s="52"/>
      <c r="AG30" s="52"/>
      <c r="AH30" s="53">
        <f t="shared" si="2"/>
        <v>128.57</v>
      </c>
      <c r="AJ30" s="47">
        <v>45926</v>
      </c>
      <c r="AK30" s="56">
        <v>2173.86</v>
      </c>
      <c r="AL30" s="57">
        <v>459.69</v>
      </c>
      <c r="AM30" s="70"/>
      <c r="AN30" s="60"/>
      <c r="AO30" s="27"/>
      <c r="AP30" s="51"/>
      <c r="AQ30" s="52"/>
      <c r="AR30" s="52"/>
      <c r="AS30" s="53">
        <f t="shared" si="3"/>
        <v>0</v>
      </c>
      <c r="AU30" s="47">
        <v>45926</v>
      </c>
      <c r="AV30" s="57">
        <v>783.64</v>
      </c>
      <c r="AW30" s="57">
        <v>161.02000000000001</v>
      </c>
      <c r="AX30" s="70"/>
      <c r="AY30" s="59"/>
      <c r="AZ30" s="27"/>
      <c r="BA30" s="32">
        <v>291.45097799999979</v>
      </c>
      <c r="BB30" s="52"/>
      <c r="BC30" s="52"/>
      <c r="BD30" s="53">
        <f t="shared" si="4"/>
        <v>291.45097799999979</v>
      </c>
      <c r="BF30" s="47">
        <v>45926</v>
      </c>
      <c r="BG30" s="56">
        <v>5376.71</v>
      </c>
      <c r="BH30" s="57">
        <v>983.76</v>
      </c>
      <c r="BI30" s="70"/>
      <c r="BJ30" s="59">
        <v>25.53</v>
      </c>
      <c r="BK30" s="27"/>
      <c r="BL30" s="32">
        <v>348.09237999999982</v>
      </c>
      <c r="BM30" s="33">
        <v>29.057109999999994</v>
      </c>
      <c r="BN30" s="52"/>
      <c r="BO30" s="53">
        <f t="shared" si="5"/>
        <v>402.67948999999976</v>
      </c>
      <c r="BQ30" s="47">
        <v>45926</v>
      </c>
      <c r="BR30" s="57">
        <v>514</v>
      </c>
      <c r="BS30" s="57">
        <v>558.6</v>
      </c>
      <c r="BT30" s="70"/>
      <c r="BU30" s="61"/>
      <c r="BV30" s="27"/>
      <c r="BW30" s="51"/>
      <c r="BX30" s="52"/>
      <c r="BY30" s="52"/>
      <c r="BZ30" s="53">
        <f t="shared" si="6"/>
        <v>0</v>
      </c>
      <c r="CB30" s="47">
        <v>45926</v>
      </c>
      <c r="CC30" s="56">
        <v>18202.41</v>
      </c>
      <c r="CD30" s="57">
        <v>2721.51</v>
      </c>
      <c r="CE30" s="70"/>
      <c r="CF30" s="60"/>
      <c r="CG30" s="27"/>
      <c r="CH30" s="51"/>
      <c r="CI30" s="52"/>
      <c r="CJ30" s="52"/>
      <c r="CK30" s="53">
        <f t="shared" si="7"/>
        <v>0</v>
      </c>
      <c r="CM30" s="47">
        <v>45926</v>
      </c>
      <c r="CN30" s="56">
        <v>12519.88</v>
      </c>
      <c r="CO30" s="57">
        <v>1721.19</v>
      </c>
      <c r="CP30" s="70"/>
      <c r="CQ30" s="62"/>
      <c r="CR30" s="27"/>
      <c r="CS30" s="32"/>
      <c r="CT30" s="42">
        <v>237.81000999999992</v>
      </c>
      <c r="CU30" s="52"/>
      <c r="CV30" s="53">
        <f t="shared" si="8"/>
        <v>237.81000999999992</v>
      </c>
      <c r="CX30" s="47">
        <v>45926</v>
      </c>
      <c r="CY30" s="56">
        <v>3977.95</v>
      </c>
      <c r="CZ30" s="57">
        <v>1576.15</v>
      </c>
      <c r="DA30" s="70"/>
      <c r="DB30" s="59"/>
      <c r="DC30" s="27"/>
      <c r="DD30" s="32">
        <v>120.20179999999989</v>
      </c>
      <c r="DE30" s="32">
        <v>13.019535999999846</v>
      </c>
      <c r="DF30" s="52"/>
      <c r="DG30" s="53">
        <f t="shared" si="9"/>
        <v>133.22133599999972</v>
      </c>
      <c r="DI30" s="47">
        <v>45926</v>
      </c>
      <c r="DJ30" s="56">
        <v>2180.0500000000002</v>
      </c>
      <c r="DK30" s="71"/>
      <c r="DL30" s="70"/>
      <c r="DM30" s="62"/>
      <c r="DN30" s="27"/>
      <c r="DO30" s="51"/>
      <c r="DP30" s="52"/>
      <c r="DQ30" s="52"/>
      <c r="DR30" s="53">
        <f t="shared" si="10"/>
        <v>0</v>
      </c>
      <c r="DT30" s="47">
        <v>45926</v>
      </c>
      <c r="DU30" s="56">
        <v>882.74</v>
      </c>
      <c r="DV30" s="57">
        <v>214.92</v>
      </c>
      <c r="DW30" s="70"/>
      <c r="DX30" s="62"/>
      <c r="DY30" s="27"/>
      <c r="DZ30" s="32">
        <v>80.984909999999957</v>
      </c>
      <c r="EA30" s="32">
        <v>335.83270999999962</v>
      </c>
      <c r="EB30" s="44"/>
      <c r="EC30" s="53">
        <f t="shared" si="11"/>
        <v>416.81761999999958</v>
      </c>
      <c r="EE30" s="47">
        <v>45926</v>
      </c>
      <c r="EF30" s="56">
        <v>4783.8599999999997</v>
      </c>
      <c r="EG30" s="57">
        <v>2408.38</v>
      </c>
      <c r="EH30" s="70"/>
      <c r="EI30" s="59">
        <v>158.44999999999999</v>
      </c>
      <c r="EJ30" s="27"/>
      <c r="EK30" s="32">
        <v>29.791439999999994</v>
      </c>
      <c r="EL30" s="42"/>
      <c r="EM30" s="52"/>
      <c r="EN30" s="53">
        <f t="shared" si="12"/>
        <v>188.24143999999998</v>
      </c>
      <c r="EP30" s="47">
        <v>45926</v>
      </c>
      <c r="EQ30" s="64">
        <v>1097.3699999999999</v>
      </c>
      <c r="ER30" s="56">
        <v>719</v>
      </c>
      <c r="ES30" s="70"/>
      <c r="ET30" s="62"/>
      <c r="EU30" s="27"/>
      <c r="EV30" s="51"/>
      <c r="EW30" s="52"/>
      <c r="EX30" s="52"/>
      <c r="EY30" s="53">
        <f t="shared" si="13"/>
        <v>0</v>
      </c>
    </row>
    <row r="31" spans="2:155" hidden="1" x14ac:dyDescent="0.25">
      <c r="B31" s="47">
        <v>45927</v>
      </c>
      <c r="C31" s="48">
        <v>20839.240000000002</v>
      </c>
      <c r="D31" s="49">
        <v>3458.97</v>
      </c>
      <c r="E31" s="50">
        <v>3334.05</v>
      </c>
      <c r="F31" s="49">
        <v>246.09</v>
      </c>
      <c r="H31" s="27"/>
      <c r="I31" s="51"/>
      <c r="J31" s="52"/>
      <c r="K31" s="52"/>
      <c r="L31" s="53">
        <f t="shared" si="0"/>
        <v>0</v>
      </c>
      <c r="N31" s="47">
        <v>45927</v>
      </c>
      <c r="O31" s="54">
        <v>2791.09</v>
      </c>
      <c r="P31" s="54">
        <v>844.08</v>
      </c>
      <c r="Q31" s="69"/>
      <c r="R31" s="69"/>
      <c r="S31" s="27"/>
      <c r="T31" s="32">
        <v>248.69380999999973</v>
      </c>
      <c r="U31" s="32"/>
      <c r="V31" s="52"/>
      <c r="W31" s="53">
        <f t="shared" si="1"/>
        <v>248.69380999999973</v>
      </c>
      <c r="Y31" s="47">
        <v>45927</v>
      </c>
      <c r="Z31" s="56">
        <v>4671.59</v>
      </c>
      <c r="AA31" s="72">
        <v>1262.56</v>
      </c>
      <c r="AB31" s="70"/>
      <c r="AC31" s="59">
        <v>71.92</v>
      </c>
      <c r="AD31" s="27"/>
      <c r="AE31" s="32"/>
      <c r="AF31" s="52"/>
      <c r="AG31" s="52"/>
      <c r="AH31" s="53">
        <f t="shared" si="2"/>
        <v>71.92</v>
      </c>
      <c r="AJ31" s="47">
        <v>45927</v>
      </c>
      <c r="AK31" s="56">
        <v>2932.42</v>
      </c>
      <c r="AL31" s="57">
        <v>419.08</v>
      </c>
      <c r="AM31" s="70"/>
      <c r="AN31" s="60"/>
      <c r="AO31" s="27"/>
      <c r="AP31" s="51"/>
      <c r="AQ31" s="52"/>
      <c r="AR31" s="52"/>
      <c r="AS31" s="53">
        <f t="shared" si="3"/>
        <v>0</v>
      </c>
      <c r="AU31" s="47">
        <v>45927</v>
      </c>
      <c r="AV31" s="57">
        <v>25</v>
      </c>
      <c r="AW31" s="57">
        <v>94</v>
      </c>
      <c r="AX31" s="70"/>
      <c r="AY31" s="59"/>
      <c r="AZ31" s="27"/>
      <c r="BA31" s="32"/>
      <c r="BB31" s="52"/>
      <c r="BC31" s="52"/>
      <c r="BD31" s="53">
        <f t="shared" si="4"/>
        <v>0</v>
      </c>
      <c r="BF31" s="47">
        <v>45927</v>
      </c>
      <c r="BG31" s="56">
        <v>4717.58</v>
      </c>
      <c r="BH31" s="57">
        <v>841.87</v>
      </c>
      <c r="BI31" s="70"/>
      <c r="BJ31" s="59">
        <v>93.52</v>
      </c>
      <c r="BK31" s="27"/>
      <c r="BL31" s="32">
        <v>269.22687999999982</v>
      </c>
      <c r="BM31" s="33">
        <v>44.366790000000002</v>
      </c>
      <c r="BN31" s="52"/>
      <c r="BO31" s="53">
        <f t="shared" si="5"/>
        <v>407.11366999999979</v>
      </c>
      <c r="BQ31" s="47">
        <v>45927</v>
      </c>
      <c r="BR31" s="57">
        <v>855.44</v>
      </c>
      <c r="BS31" s="57">
        <v>546.98</v>
      </c>
      <c r="BT31" s="70"/>
      <c r="BU31" s="61"/>
      <c r="BV31" s="27"/>
      <c r="BW31" s="51"/>
      <c r="BX31" s="52"/>
      <c r="BY31" s="52"/>
      <c r="BZ31" s="53">
        <f t="shared" si="6"/>
        <v>0</v>
      </c>
      <c r="CB31" s="47">
        <v>45927</v>
      </c>
      <c r="CC31" s="56">
        <v>22286.92</v>
      </c>
      <c r="CD31" s="57">
        <v>2823.14</v>
      </c>
      <c r="CE31" s="70"/>
      <c r="CF31" s="60"/>
      <c r="CG31" s="27"/>
      <c r="CH31" s="51"/>
      <c r="CI31" s="52"/>
      <c r="CJ31" s="52"/>
      <c r="CK31" s="53">
        <f t="shared" si="7"/>
        <v>0</v>
      </c>
      <c r="CM31" s="47">
        <v>45927</v>
      </c>
      <c r="CN31" s="56">
        <v>7433.56</v>
      </c>
      <c r="CO31" s="57">
        <v>1963.76</v>
      </c>
      <c r="CP31" s="70"/>
      <c r="CQ31" s="62"/>
      <c r="CR31" s="27"/>
      <c r="CS31" s="32">
        <v>5.5999999999999979</v>
      </c>
      <c r="CT31" s="42">
        <v>25.440300000000001</v>
      </c>
      <c r="CU31" s="52"/>
      <c r="CV31" s="53">
        <f t="shared" si="8"/>
        <v>31.040299999999998</v>
      </c>
      <c r="CX31" s="47">
        <v>45927</v>
      </c>
      <c r="CY31" s="56">
        <v>4176.3900000000003</v>
      </c>
      <c r="CZ31" s="57">
        <v>742.71</v>
      </c>
      <c r="DA31" s="70"/>
      <c r="DB31" s="59"/>
      <c r="DC31" s="27"/>
      <c r="DD31" s="32">
        <v>276.27678900000001</v>
      </c>
      <c r="DE31" s="32">
        <v>2.6801179999999931</v>
      </c>
      <c r="DF31" s="52"/>
      <c r="DG31" s="53">
        <f t="shared" si="9"/>
        <v>278.956907</v>
      </c>
      <c r="DI31" s="47">
        <v>45927</v>
      </c>
      <c r="DJ31" s="56">
        <v>1551.23</v>
      </c>
      <c r="DK31" s="71"/>
      <c r="DL31" s="70"/>
      <c r="DM31" s="62"/>
      <c r="DN31" s="27"/>
      <c r="DO31" s="51"/>
      <c r="DP31" s="52"/>
      <c r="DQ31" s="52"/>
      <c r="DR31" s="53">
        <f t="shared" si="10"/>
        <v>0</v>
      </c>
      <c r="DT31" s="47">
        <v>45927</v>
      </c>
      <c r="DU31" s="56">
        <v>2363.81</v>
      </c>
      <c r="DV31" s="57">
        <v>471.81</v>
      </c>
      <c r="DW31" s="70"/>
      <c r="DX31" s="62"/>
      <c r="DY31" s="27"/>
      <c r="DZ31" s="32">
        <v>178.14879000000002</v>
      </c>
      <c r="EA31" s="32">
        <v>31.496339999999975</v>
      </c>
      <c r="EB31" s="44"/>
      <c r="EC31" s="53">
        <f t="shared" si="11"/>
        <v>209.64512999999999</v>
      </c>
      <c r="EE31" s="47">
        <v>45927</v>
      </c>
      <c r="EF31" s="56">
        <v>6589.15</v>
      </c>
      <c r="EG31" s="57">
        <v>1882.45</v>
      </c>
      <c r="EH31" s="70"/>
      <c r="EI31" s="59">
        <v>124.74</v>
      </c>
      <c r="EJ31" s="27"/>
      <c r="EK31" s="32"/>
      <c r="EL31" s="42"/>
      <c r="EM31" s="52"/>
      <c r="EN31" s="53">
        <f t="shared" si="12"/>
        <v>124.74</v>
      </c>
      <c r="EP31" s="47">
        <v>45927</v>
      </c>
      <c r="EQ31" s="64">
        <v>1737.64</v>
      </c>
      <c r="ER31" s="56">
        <v>622.48</v>
      </c>
      <c r="ES31" s="70"/>
      <c r="ET31" s="62"/>
      <c r="EU31" s="27"/>
      <c r="EV31" s="51"/>
      <c r="EW31" s="52"/>
      <c r="EX31" s="52"/>
      <c r="EY31" s="53">
        <f t="shared" si="13"/>
        <v>0</v>
      </c>
    </row>
    <row r="32" spans="2:155" hidden="1" x14ac:dyDescent="0.25">
      <c r="B32" s="47">
        <v>45928</v>
      </c>
      <c r="C32" s="48">
        <v>14430.19</v>
      </c>
      <c r="D32" s="49">
        <v>2345.4699999999998</v>
      </c>
      <c r="E32" s="50">
        <v>2318.67</v>
      </c>
      <c r="F32" s="49">
        <v>136.63</v>
      </c>
      <c r="H32" s="27"/>
      <c r="I32" s="51"/>
      <c r="J32" s="52"/>
      <c r="K32" s="52"/>
      <c r="L32" s="53">
        <f t="shared" si="0"/>
        <v>0</v>
      </c>
      <c r="N32" s="47">
        <v>45928</v>
      </c>
      <c r="O32" s="54">
        <v>2275.6</v>
      </c>
      <c r="P32" s="54">
        <v>299.22000000000003</v>
      </c>
      <c r="Q32" s="55"/>
      <c r="R32" s="55"/>
      <c r="S32" s="27"/>
      <c r="T32" s="32">
        <v>232.16427999999974</v>
      </c>
      <c r="U32" s="32"/>
      <c r="V32" s="52"/>
      <c r="W32" s="53">
        <f t="shared" si="1"/>
        <v>232.16427999999974</v>
      </c>
      <c r="Y32" s="47">
        <v>45928</v>
      </c>
      <c r="Z32" s="56">
        <v>5564.05</v>
      </c>
      <c r="AA32" s="57">
        <v>1159.8</v>
      </c>
      <c r="AB32" s="70"/>
      <c r="AC32" s="59">
        <v>157.81</v>
      </c>
      <c r="AD32" s="27"/>
      <c r="AE32" s="32"/>
      <c r="AF32" s="52"/>
      <c r="AG32" s="52"/>
      <c r="AH32" s="53">
        <f t="shared" si="2"/>
        <v>157.81</v>
      </c>
      <c r="AJ32" s="47">
        <v>45928</v>
      </c>
      <c r="AK32" s="56">
        <v>1938.45</v>
      </c>
      <c r="AL32" s="57">
        <v>698.53</v>
      </c>
      <c r="AM32" s="70"/>
      <c r="AN32" s="60"/>
      <c r="AO32" s="27"/>
      <c r="AP32" s="51"/>
      <c r="AQ32" s="52"/>
      <c r="AR32" s="52"/>
      <c r="AS32" s="53">
        <f t="shared" si="3"/>
        <v>0</v>
      </c>
      <c r="AU32" s="47">
        <v>45928</v>
      </c>
      <c r="AV32" s="57">
        <v>356.5</v>
      </c>
      <c r="AW32" s="57">
        <v>39.35</v>
      </c>
      <c r="AX32" s="70"/>
      <c r="AY32" s="59"/>
      <c r="AZ32" s="27"/>
      <c r="BA32" s="32">
        <v>296.12653199999988</v>
      </c>
      <c r="BB32" s="52"/>
      <c r="BC32" s="52"/>
      <c r="BD32" s="53">
        <f t="shared" si="4"/>
        <v>296.12653199999988</v>
      </c>
      <c r="BF32" s="47">
        <v>45928</v>
      </c>
      <c r="BG32" s="56">
        <v>3304.08</v>
      </c>
      <c r="BH32" s="57">
        <v>498.55</v>
      </c>
      <c r="BI32" s="70"/>
      <c r="BJ32" s="59"/>
      <c r="BK32" s="27"/>
      <c r="BL32" s="32">
        <v>188.30345999999997</v>
      </c>
      <c r="BM32" s="33"/>
      <c r="BN32" s="52"/>
      <c r="BO32" s="53">
        <f t="shared" si="5"/>
        <v>188.30345999999997</v>
      </c>
      <c r="BQ32" s="47">
        <v>45928</v>
      </c>
      <c r="BR32" s="57">
        <v>618.09</v>
      </c>
      <c r="BS32" s="57">
        <v>879.21</v>
      </c>
      <c r="BT32" s="70"/>
      <c r="BU32" s="61"/>
      <c r="BV32" s="27"/>
      <c r="BW32" s="51"/>
      <c r="BX32" s="52"/>
      <c r="BY32" s="52"/>
      <c r="BZ32" s="53">
        <f t="shared" si="6"/>
        <v>0</v>
      </c>
      <c r="CB32" s="47">
        <v>45928</v>
      </c>
      <c r="CC32" s="56">
        <v>19561.28</v>
      </c>
      <c r="CD32" s="57">
        <v>1774.03</v>
      </c>
      <c r="CE32" s="70"/>
      <c r="CF32" s="60"/>
      <c r="CG32" s="27"/>
      <c r="CH32" s="51"/>
      <c r="CI32" s="52"/>
      <c r="CJ32" s="52"/>
      <c r="CK32" s="53">
        <f t="shared" si="7"/>
        <v>0</v>
      </c>
      <c r="CM32" s="47">
        <v>45928</v>
      </c>
      <c r="CN32" s="56">
        <v>6052.76</v>
      </c>
      <c r="CO32" s="57">
        <v>1101.93</v>
      </c>
      <c r="CP32" s="70"/>
      <c r="CQ32" s="62"/>
      <c r="CR32" s="27"/>
      <c r="CS32" s="32">
        <v>66.970349999999996</v>
      </c>
      <c r="CT32" s="42"/>
      <c r="CU32" s="52"/>
      <c r="CV32" s="53">
        <f t="shared" si="8"/>
        <v>66.970349999999996</v>
      </c>
      <c r="CX32" s="47">
        <v>45928</v>
      </c>
      <c r="CY32" s="56">
        <v>5620.8</v>
      </c>
      <c r="CZ32" s="57">
        <v>1030.81</v>
      </c>
      <c r="DA32" s="70"/>
      <c r="DB32" s="59">
        <v>12.42</v>
      </c>
      <c r="DC32" s="27"/>
      <c r="DD32" s="32">
        <v>12.746328000000005</v>
      </c>
      <c r="DE32" s="32"/>
      <c r="DF32" s="52"/>
      <c r="DG32" s="53">
        <f t="shared" si="9"/>
        <v>25.166328000000007</v>
      </c>
      <c r="DI32" s="47">
        <v>45928</v>
      </c>
      <c r="DJ32" s="56">
        <v>1775.96</v>
      </c>
      <c r="DK32" s="71"/>
      <c r="DL32" s="70"/>
      <c r="DM32" s="62"/>
      <c r="DN32" s="27"/>
      <c r="DO32" s="51"/>
      <c r="DP32" s="52"/>
      <c r="DQ32" s="52"/>
      <c r="DR32" s="53">
        <f t="shared" si="10"/>
        <v>0</v>
      </c>
      <c r="DT32" s="47">
        <v>45928</v>
      </c>
      <c r="DU32" s="56">
        <v>607.91999999999996</v>
      </c>
      <c r="DV32" s="57">
        <v>109.7</v>
      </c>
      <c r="DW32" s="70"/>
      <c r="DX32" s="62"/>
      <c r="DY32" s="27"/>
      <c r="DZ32" s="32">
        <v>28.035029999999978</v>
      </c>
      <c r="EA32" s="32">
        <v>232.64599999999996</v>
      </c>
      <c r="EB32" s="44"/>
      <c r="EC32" s="53">
        <f t="shared" si="11"/>
        <v>260.68102999999996</v>
      </c>
      <c r="EE32" s="47">
        <v>45928</v>
      </c>
      <c r="EF32" s="56">
        <v>5540.92</v>
      </c>
      <c r="EG32" s="57">
        <v>804.01</v>
      </c>
      <c r="EH32" s="70"/>
      <c r="EI32" s="59">
        <v>78.8</v>
      </c>
      <c r="EJ32" s="27"/>
      <c r="EK32" s="32"/>
      <c r="EL32" s="42"/>
      <c r="EM32" s="52"/>
      <c r="EN32" s="53">
        <f t="shared" si="12"/>
        <v>78.8</v>
      </c>
      <c r="EP32" s="47">
        <v>45928</v>
      </c>
      <c r="EQ32" s="64">
        <v>525.21</v>
      </c>
      <c r="ER32" s="56">
        <v>605.91</v>
      </c>
      <c r="ES32" s="70"/>
      <c r="ET32" s="62"/>
      <c r="EU32" s="27"/>
      <c r="EV32" s="51"/>
      <c r="EW32" s="52"/>
      <c r="EX32" s="52"/>
      <c r="EY32" s="53">
        <f t="shared" si="13"/>
        <v>0</v>
      </c>
    </row>
    <row r="33" spans="2:157" hidden="1" x14ac:dyDescent="0.25">
      <c r="B33" s="47">
        <v>45929</v>
      </c>
      <c r="C33" s="73">
        <v>19241</v>
      </c>
      <c r="D33" s="74">
        <v>3426.63</v>
      </c>
      <c r="E33" s="50">
        <v>2852.35</v>
      </c>
      <c r="F33" s="74">
        <v>344.96</v>
      </c>
      <c r="H33" s="27"/>
      <c r="I33" s="51"/>
      <c r="J33" s="52"/>
      <c r="K33" s="52"/>
      <c r="L33" s="53">
        <f t="shared" si="0"/>
        <v>0</v>
      </c>
      <c r="N33" s="47">
        <v>45929</v>
      </c>
      <c r="O33" s="54">
        <v>6731.89</v>
      </c>
      <c r="P33" s="54">
        <v>357.84</v>
      </c>
      <c r="Q33" s="55"/>
      <c r="R33" s="55"/>
      <c r="S33" s="27"/>
      <c r="T33" s="32">
        <v>148.77513999999991</v>
      </c>
      <c r="U33" s="32">
        <v>2.4189199999999857</v>
      </c>
      <c r="V33" s="52"/>
      <c r="W33" s="53">
        <f t="shared" si="1"/>
        <v>151.19405999999989</v>
      </c>
      <c r="Y33" s="47">
        <v>45929</v>
      </c>
      <c r="Z33" s="56">
        <v>7196.84</v>
      </c>
      <c r="AA33" s="57">
        <v>1378.67</v>
      </c>
      <c r="AB33" s="70"/>
      <c r="AC33" s="59">
        <v>282.48</v>
      </c>
      <c r="AD33" s="27"/>
      <c r="AE33" s="32">
        <v>135.46550100000005</v>
      </c>
      <c r="AF33" s="52"/>
      <c r="AG33" s="52"/>
      <c r="AH33" s="53">
        <f t="shared" si="2"/>
        <v>417.94550100000004</v>
      </c>
      <c r="AJ33" s="47">
        <v>45929</v>
      </c>
      <c r="AK33" s="56">
        <v>4115.9399999999996</v>
      </c>
      <c r="AL33" s="57">
        <v>785.34</v>
      </c>
      <c r="AM33" s="70"/>
      <c r="AN33" s="60"/>
      <c r="AO33" s="27"/>
      <c r="AP33" s="51"/>
      <c r="AQ33" s="52"/>
      <c r="AR33" s="52"/>
      <c r="AS33" s="53">
        <f t="shared" si="3"/>
        <v>0</v>
      </c>
      <c r="AU33" s="47">
        <v>45929</v>
      </c>
      <c r="AV33" s="57">
        <v>361.01</v>
      </c>
      <c r="AW33" s="57">
        <v>0</v>
      </c>
      <c r="AX33" s="70"/>
      <c r="AY33" s="59"/>
      <c r="AZ33" s="27"/>
      <c r="BA33" s="32">
        <v>542.89930500000014</v>
      </c>
      <c r="BB33" s="52"/>
      <c r="BC33" s="52"/>
      <c r="BD33" s="53">
        <f t="shared" si="4"/>
        <v>542.89930500000014</v>
      </c>
      <c r="BF33" s="47">
        <v>45929</v>
      </c>
      <c r="BG33" s="56">
        <v>4565.16</v>
      </c>
      <c r="BH33" s="57">
        <v>970.29</v>
      </c>
      <c r="BI33" s="70"/>
      <c r="BJ33" s="59">
        <v>12.79</v>
      </c>
      <c r="BK33" s="27"/>
      <c r="BL33" s="32">
        <v>392.83542999999997</v>
      </c>
      <c r="BM33" s="33">
        <v>65.799710000000005</v>
      </c>
      <c r="BN33" s="52"/>
      <c r="BO33" s="53">
        <f t="shared" si="5"/>
        <v>471.42514</v>
      </c>
      <c r="BQ33" s="47">
        <v>45929</v>
      </c>
      <c r="BR33" s="57">
        <v>439.9</v>
      </c>
      <c r="BS33" s="57">
        <v>548.55999999999995</v>
      </c>
      <c r="BT33" s="70"/>
      <c r="BU33" s="61"/>
      <c r="BV33" s="27"/>
      <c r="BW33" s="51"/>
      <c r="BX33" s="52"/>
      <c r="BY33" s="52"/>
      <c r="BZ33" s="53">
        <f t="shared" si="6"/>
        <v>0</v>
      </c>
      <c r="CB33" s="47">
        <v>45929</v>
      </c>
      <c r="CC33" s="56">
        <v>18480.37</v>
      </c>
      <c r="CD33" s="57">
        <v>1923.15</v>
      </c>
      <c r="CE33" s="70"/>
      <c r="CF33" s="60"/>
      <c r="CG33" s="27"/>
      <c r="CH33" s="51"/>
      <c r="CI33" s="52"/>
      <c r="CJ33" s="52"/>
      <c r="CK33" s="53">
        <f t="shared" si="7"/>
        <v>0</v>
      </c>
      <c r="CM33" s="47">
        <v>45929</v>
      </c>
      <c r="CN33" s="56">
        <v>10090.36</v>
      </c>
      <c r="CO33" s="57">
        <v>2021.54</v>
      </c>
      <c r="CP33" s="70"/>
      <c r="CQ33" s="62"/>
      <c r="CR33" s="27"/>
      <c r="CS33" s="32">
        <v>122.18486999999995</v>
      </c>
      <c r="CT33" s="42">
        <v>1347.6600099999994</v>
      </c>
      <c r="CU33" s="52"/>
      <c r="CV33" s="53">
        <f t="shared" si="8"/>
        <v>1469.8448799999994</v>
      </c>
      <c r="CX33" s="47">
        <v>45929</v>
      </c>
      <c r="CY33" s="56">
        <v>3782.9</v>
      </c>
      <c r="CZ33" s="57">
        <v>1262.25</v>
      </c>
      <c r="DA33" s="70"/>
      <c r="DB33" s="59">
        <v>18.8</v>
      </c>
      <c r="DC33" s="27"/>
      <c r="DD33" s="32">
        <v>207.40634499999993</v>
      </c>
      <c r="DE33" s="32">
        <v>3.7695299999999747</v>
      </c>
      <c r="DF33" s="52"/>
      <c r="DG33" s="53">
        <f t="shared" si="9"/>
        <v>229.97587499999992</v>
      </c>
      <c r="DI33" s="47">
        <v>45929</v>
      </c>
      <c r="DJ33" s="56">
        <v>1824.6</v>
      </c>
      <c r="DK33" s="71"/>
      <c r="DL33" s="70"/>
      <c r="DM33" s="62"/>
      <c r="DN33" s="27"/>
      <c r="DO33" s="51"/>
      <c r="DP33" s="52"/>
      <c r="DQ33" s="52"/>
      <c r="DR33" s="53">
        <f t="shared" si="10"/>
        <v>0</v>
      </c>
      <c r="DT33" s="47">
        <v>45929</v>
      </c>
      <c r="DU33" s="56">
        <v>380</v>
      </c>
      <c r="DV33" s="57">
        <v>260</v>
      </c>
      <c r="DW33" s="70"/>
      <c r="DX33" s="62"/>
      <c r="DY33" s="27"/>
      <c r="DZ33" s="32">
        <v>46.775479999999988</v>
      </c>
      <c r="EA33" s="32">
        <v>11.632139999999993</v>
      </c>
      <c r="EB33" s="44"/>
      <c r="EC33" s="53">
        <f t="shared" si="11"/>
        <v>58.40761999999998</v>
      </c>
      <c r="EE33" s="47">
        <v>45929</v>
      </c>
      <c r="EF33" s="56">
        <v>6395.83</v>
      </c>
      <c r="EG33" s="57">
        <v>1917.33</v>
      </c>
      <c r="EH33" s="70"/>
      <c r="EI33" s="59">
        <v>143.53</v>
      </c>
      <c r="EJ33" s="27"/>
      <c r="EK33" s="32"/>
      <c r="EL33" s="42"/>
      <c r="EM33" s="52"/>
      <c r="EN33" s="53">
        <f t="shared" si="12"/>
        <v>143.53</v>
      </c>
      <c r="EP33" s="47">
        <v>45929</v>
      </c>
      <c r="EQ33" s="64">
        <v>1213.6500000000001</v>
      </c>
      <c r="ER33" s="56">
        <v>694.4</v>
      </c>
      <c r="ES33" s="70"/>
      <c r="ET33" s="62"/>
      <c r="EU33" s="27"/>
      <c r="EV33" s="51"/>
      <c r="EW33" s="52"/>
      <c r="EX33" s="52"/>
      <c r="EY33" s="53">
        <f t="shared" si="13"/>
        <v>0</v>
      </c>
    </row>
    <row r="34" spans="2:157" ht="15.75" hidden="1" thickBot="1" x14ac:dyDescent="0.3">
      <c r="B34" s="75">
        <v>45930</v>
      </c>
      <c r="C34" s="73">
        <v>21011.82</v>
      </c>
      <c r="D34" s="74">
        <v>3727.85</v>
      </c>
      <c r="E34" s="50">
        <v>3032.75</v>
      </c>
      <c r="F34" s="74">
        <v>381.4</v>
      </c>
      <c r="H34" s="27"/>
      <c r="I34" s="51"/>
      <c r="J34" s="52"/>
      <c r="K34" s="52"/>
      <c r="L34" s="53">
        <f t="shared" si="0"/>
        <v>0</v>
      </c>
      <c r="N34" s="75">
        <v>45930</v>
      </c>
      <c r="O34" s="54">
        <v>4412.7299999999996</v>
      </c>
      <c r="P34" s="54">
        <v>881.42</v>
      </c>
      <c r="Q34" s="55"/>
      <c r="R34" s="55"/>
      <c r="S34" s="27"/>
      <c r="T34" s="32">
        <v>67.882729999999924</v>
      </c>
      <c r="U34" s="33"/>
      <c r="V34" s="52"/>
      <c r="W34" s="53">
        <f t="shared" si="1"/>
        <v>67.882729999999924</v>
      </c>
      <c r="Y34" s="75">
        <v>45930</v>
      </c>
      <c r="Z34" s="56">
        <v>5210.1099999999997</v>
      </c>
      <c r="AA34" s="57">
        <v>870.35</v>
      </c>
      <c r="AB34" s="70"/>
      <c r="AC34" s="59">
        <v>206.24</v>
      </c>
      <c r="AD34" s="27"/>
      <c r="AE34" s="32">
        <v>291.50998199999992</v>
      </c>
      <c r="AF34" s="52"/>
      <c r="AG34" s="52"/>
      <c r="AH34" s="53">
        <f t="shared" si="2"/>
        <v>497.74998199999993</v>
      </c>
      <c r="AJ34" s="75">
        <v>45930</v>
      </c>
      <c r="AK34" s="56">
        <v>3688.06</v>
      </c>
      <c r="AL34" s="57">
        <v>692.08</v>
      </c>
      <c r="AM34" s="70"/>
      <c r="AN34" s="62"/>
      <c r="AO34" s="27"/>
      <c r="AP34" s="51"/>
      <c r="AQ34" s="52"/>
      <c r="AR34" s="52"/>
      <c r="AS34" s="53">
        <f t="shared" si="3"/>
        <v>0</v>
      </c>
      <c r="AU34" s="75">
        <v>45930</v>
      </c>
      <c r="AV34" s="57">
        <v>719.23</v>
      </c>
      <c r="AW34" s="57">
        <v>88.35</v>
      </c>
      <c r="AX34" s="70"/>
      <c r="AY34" s="59">
        <v>107.9</v>
      </c>
      <c r="AZ34" s="27"/>
      <c r="BA34" s="32">
        <v>275.71959100000004</v>
      </c>
      <c r="BB34" s="52"/>
      <c r="BC34" s="52"/>
      <c r="BD34" s="53">
        <f t="shared" si="4"/>
        <v>383.61959100000001</v>
      </c>
      <c r="BF34" s="75">
        <v>45930</v>
      </c>
      <c r="BG34" s="56">
        <v>4310.93</v>
      </c>
      <c r="BH34" s="57">
        <v>971.13</v>
      </c>
      <c r="BI34" s="70"/>
      <c r="BJ34" s="59"/>
      <c r="BK34" s="27"/>
      <c r="BL34" s="32">
        <v>319.4575999999999</v>
      </c>
      <c r="BM34" s="33"/>
      <c r="BN34" s="52"/>
      <c r="BO34" s="53">
        <f t="shared" si="5"/>
        <v>319.4575999999999</v>
      </c>
      <c r="BQ34" s="75">
        <v>45930</v>
      </c>
      <c r="BR34" s="57">
        <v>496.11</v>
      </c>
      <c r="BS34" s="57">
        <v>809.78</v>
      </c>
      <c r="BT34" s="70"/>
      <c r="BU34" s="61">
        <v>52</v>
      </c>
      <c r="BV34" s="27"/>
      <c r="BW34" s="51"/>
      <c r="BX34" s="52"/>
      <c r="BY34" s="52"/>
      <c r="BZ34" s="53">
        <f t="shared" si="6"/>
        <v>52</v>
      </c>
      <c r="CB34" s="75">
        <v>45930</v>
      </c>
      <c r="CC34" s="56">
        <v>20402</v>
      </c>
      <c r="CD34" s="57">
        <v>1915.67</v>
      </c>
      <c r="CE34" s="70"/>
      <c r="CF34" s="62"/>
      <c r="CG34" s="27"/>
      <c r="CH34" s="51"/>
      <c r="CI34" s="52"/>
      <c r="CJ34" s="52"/>
      <c r="CK34" s="53">
        <f t="shared" si="7"/>
        <v>0</v>
      </c>
      <c r="CM34" s="75">
        <v>45930</v>
      </c>
      <c r="CN34" s="56">
        <v>9712.7800000000007</v>
      </c>
      <c r="CO34" s="57">
        <v>1713.33</v>
      </c>
      <c r="CP34" s="70"/>
      <c r="CQ34" s="62"/>
      <c r="CR34" s="27"/>
      <c r="CS34" s="32">
        <v>47.496509999999965</v>
      </c>
      <c r="CT34" s="42">
        <v>1013.5774199999996</v>
      </c>
      <c r="CU34" s="52"/>
      <c r="CV34" s="53">
        <f t="shared" si="8"/>
        <v>1061.0739299999996</v>
      </c>
      <c r="CX34" s="75">
        <v>45930</v>
      </c>
      <c r="CY34" s="56">
        <v>3513.87</v>
      </c>
      <c r="CZ34" s="57">
        <v>814.31</v>
      </c>
      <c r="DA34" s="70"/>
      <c r="DB34" s="59"/>
      <c r="DC34" s="27"/>
      <c r="DD34" s="32">
        <v>39.557523999999972</v>
      </c>
      <c r="DE34" s="76">
        <v>-6.6107519999999056</v>
      </c>
      <c r="DF34" s="52"/>
      <c r="DG34" s="53">
        <f t="shared" si="9"/>
        <v>32.946772000000067</v>
      </c>
      <c r="DI34" s="75">
        <v>45930</v>
      </c>
      <c r="DJ34" s="56">
        <v>1814.02</v>
      </c>
      <c r="DK34" s="71"/>
      <c r="DL34" s="70"/>
      <c r="DM34" s="62"/>
      <c r="DN34" s="27"/>
      <c r="DO34" s="51"/>
      <c r="DP34" s="52"/>
      <c r="DQ34" s="52"/>
      <c r="DR34" s="53">
        <f t="shared" si="10"/>
        <v>0</v>
      </c>
      <c r="DT34" s="75">
        <v>45930</v>
      </c>
      <c r="DU34" s="56">
        <v>3144.56</v>
      </c>
      <c r="DV34" s="57">
        <v>384.51</v>
      </c>
      <c r="DW34" s="70"/>
      <c r="DX34" s="62"/>
      <c r="DY34" s="27"/>
      <c r="DZ34" s="32">
        <v>57.362780000000015</v>
      </c>
      <c r="EA34" s="33"/>
      <c r="EB34" s="44"/>
      <c r="EC34" s="53">
        <f t="shared" si="11"/>
        <v>57.362780000000015</v>
      </c>
      <c r="EE34" s="75">
        <v>45930</v>
      </c>
      <c r="EF34" s="56">
        <v>7457.28</v>
      </c>
      <c r="EG34" s="57">
        <v>1366.24</v>
      </c>
      <c r="EH34" s="70"/>
      <c r="EI34" s="59">
        <v>124.3</v>
      </c>
      <c r="EJ34" s="27"/>
      <c r="EK34" s="32">
        <v>30.929639999999985</v>
      </c>
      <c r="EL34" s="42"/>
      <c r="EM34" s="52"/>
      <c r="EN34" s="53">
        <f t="shared" si="12"/>
        <v>155.22963999999999</v>
      </c>
      <c r="EP34" s="75">
        <v>45930</v>
      </c>
      <c r="EQ34" s="64">
        <v>1578.73</v>
      </c>
      <c r="ER34" s="56">
        <v>679.32</v>
      </c>
      <c r="ES34" s="70"/>
      <c r="ET34" s="62"/>
      <c r="EU34" s="27"/>
      <c r="EV34" s="51"/>
      <c r="EW34" s="52"/>
      <c r="EX34" s="52"/>
      <c r="EY34" s="53">
        <f t="shared" si="13"/>
        <v>0</v>
      </c>
    </row>
    <row r="35" spans="2:157" ht="16.5" hidden="1" thickBot="1" x14ac:dyDescent="0.3">
      <c r="C35" s="77">
        <f>SUM(C5:C34)</f>
        <v>580261.35</v>
      </c>
      <c r="D35" s="77">
        <f>SUM(D5:D34)</f>
        <v>103940.11</v>
      </c>
      <c r="E35" s="77">
        <f>SUM(E5:E34)</f>
        <v>108361.31</v>
      </c>
      <c r="F35" s="78">
        <f>SUM(F5:F34)</f>
        <v>6777.0400000000009</v>
      </c>
      <c r="H35" s="27"/>
      <c r="I35" s="79"/>
      <c r="J35" s="80"/>
      <c r="K35" s="80"/>
      <c r="L35" s="81">
        <f t="shared" si="0"/>
        <v>0</v>
      </c>
      <c r="O35" s="77">
        <f>SUM(O5:O34)</f>
        <v>105930.77999999998</v>
      </c>
      <c r="P35" s="77">
        <f>SUM(P5:P34)</f>
        <v>13048.260000000002</v>
      </c>
      <c r="Q35" s="77">
        <f>SUM(Q5:Q34)</f>
        <v>0</v>
      </c>
      <c r="R35" s="77">
        <f>SUM(R5:R34)</f>
        <v>319.94</v>
      </c>
      <c r="S35" s="27"/>
      <c r="T35" s="32"/>
      <c r="U35" s="33"/>
      <c r="V35" s="80"/>
      <c r="W35" s="81"/>
      <c r="Z35" s="77">
        <f>SUM(Z5:Z34)</f>
        <v>173377.58999999997</v>
      </c>
      <c r="AA35" s="77">
        <f>SUM(AA5:AA34)</f>
        <v>45391.24</v>
      </c>
      <c r="AB35" s="78">
        <f>SUM(AB5:AB34)</f>
        <v>0</v>
      </c>
      <c r="AC35" s="77">
        <f>SUM(AC5:AC34)</f>
        <v>5592.8900000000012</v>
      </c>
      <c r="AD35" s="27"/>
      <c r="AE35" s="32"/>
      <c r="AF35" s="80"/>
      <c r="AG35" s="80"/>
      <c r="AH35" s="81"/>
      <c r="AK35" s="77">
        <f>SUM(AK5:AK34)</f>
        <v>91001.38</v>
      </c>
      <c r="AL35" s="77">
        <f>SUM(AL5:AL34)</f>
        <v>16406.62</v>
      </c>
      <c r="AM35" s="78">
        <f>SUM(AM5:AM34)</f>
        <v>0</v>
      </c>
      <c r="AN35" s="77">
        <f>SUM(AN5:AN34)</f>
        <v>0</v>
      </c>
      <c r="AO35" s="27"/>
      <c r="AP35" s="79"/>
      <c r="AQ35" s="80"/>
      <c r="AR35" s="80"/>
      <c r="AS35" s="81">
        <f t="shared" si="3"/>
        <v>0</v>
      </c>
      <c r="AV35" s="77">
        <f>SUM(AV5:AV34)</f>
        <v>14564.410000000002</v>
      </c>
      <c r="AW35" s="77">
        <f>SUM(AW5:AW34)</f>
        <v>1797.8599999999997</v>
      </c>
      <c r="AX35" s="78">
        <f>SUM(AX5:AX34)</f>
        <v>0</v>
      </c>
      <c r="AY35" s="77">
        <f>SUM(AY5:AY34)</f>
        <v>1151.8000000000002</v>
      </c>
      <c r="AZ35" s="27"/>
      <c r="BA35" s="32"/>
      <c r="BB35" s="80"/>
      <c r="BC35" s="80"/>
      <c r="BD35" s="81"/>
      <c r="BG35" s="77">
        <f>SUM(BG5:BG34)</f>
        <v>131981.50000000003</v>
      </c>
      <c r="BH35" s="77">
        <f>SUM(BH5:BH34)</f>
        <v>26719.279999999992</v>
      </c>
      <c r="BI35" s="78">
        <f>SUM(BI5:BI34)</f>
        <v>0</v>
      </c>
      <c r="BJ35" s="77">
        <f>SUM(BJ5:BJ34)</f>
        <v>409.56</v>
      </c>
      <c r="BK35" s="27"/>
      <c r="BL35" s="32"/>
      <c r="BM35" s="33"/>
      <c r="BN35" s="80"/>
      <c r="BO35" s="81"/>
      <c r="BR35" s="77">
        <f>SUM(BR5:BR34)</f>
        <v>20641.34</v>
      </c>
      <c r="BS35" s="77">
        <f>SUM(BS5:BS34)</f>
        <v>15111.59</v>
      </c>
      <c r="BT35" s="78">
        <f>SUM(BT5:BT34)</f>
        <v>0</v>
      </c>
      <c r="BU35" s="77">
        <f>SUM(BU5:BU34)</f>
        <v>291.26</v>
      </c>
      <c r="BV35" s="27"/>
      <c r="BW35" s="79"/>
      <c r="BX35" s="80"/>
      <c r="BY35" s="80"/>
      <c r="BZ35" s="81"/>
      <c r="CC35" s="77">
        <f>SUM(CC5:CC34)</f>
        <v>579176.71000000008</v>
      </c>
      <c r="CD35" s="77">
        <f>SUM(CD5:CD34)</f>
        <v>65671.31</v>
      </c>
      <c r="CE35" s="78">
        <f>SUM(CE5:CE34)</f>
        <v>0</v>
      </c>
      <c r="CF35" s="77">
        <f>SUM(CF5:CF34)</f>
        <v>0</v>
      </c>
      <c r="CG35" s="27"/>
      <c r="CH35" s="79"/>
      <c r="CI35" s="80"/>
      <c r="CJ35" s="80"/>
      <c r="CK35" s="81">
        <f t="shared" si="7"/>
        <v>0</v>
      </c>
      <c r="CN35" s="77">
        <f>SUM(CN5:CN34)</f>
        <v>288982.28000000003</v>
      </c>
      <c r="CO35" s="77">
        <f>SUM(CO5:CO34)</f>
        <v>58480.72</v>
      </c>
      <c r="CP35" s="78">
        <f>SUM(CP5:CP34)</f>
        <v>0</v>
      </c>
      <c r="CQ35" s="77">
        <f>SUM(CQ5:CQ34)</f>
        <v>0</v>
      </c>
      <c r="CR35" s="27"/>
      <c r="CS35" s="32"/>
      <c r="CT35" s="42"/>
      <c r="CU35" s="80"/>
      <c r="CV35" s="81">
        <f t="shared" si="8"/>
        <v>0</v>
      </c>
      <c r="CY35" s="77">
        <f>SUM(CY5:CY34)</f>
        <v>167300.66999999998</v>
      </c>
      <c r="CZ35" s="77">
        <f>SUM(CZ5:CZ34)</f>
        <v>35652.1</v>
      </c>
      <c r="DA35" s="78">
        <f>SUM(DA5:DA34)</f>
        <v>0</v>
      </c>
      <c r="DB35" s="77">
        <f>SUM(DB5:DB34)</f>
        <v>173.87</v>
      </c>
      <c r="DC35" s="27"/>
      <c r="DD35" s="32"/>
      <c r="DE35" s="33"/>
      <c r="DF35" s="80"/>
      <c r="DG35" s="81"/>
      <c r="DJ35" s="77">
        <f>SUM(DJ5:DJ34)</f>
        <v>49225.510000000009</v>
      </c>
      <c r="DK35" s="77">
        <f>SUM(DK5:DK34)</f>
        <v>0</v>
      </c>
      <c r="DL35" s="78">
        <f>SUM(DL5:DL34)</f>
        <v>0</v>
      </c>
      <c r="DM35" s="77">
        <f>SUM(DM5:DM34)</f>
        <v>0</v>
      </c>
      <c r="DN35" s="27"/>
      <c r="DO35" s="79"/>
      <c r="DP35" s="80"/>
      <c r="DQ35" s="80"/>
      <c r="DR35" s="81">
        <f t="shared" si="10"/>
        <v>0</v>
      </c>
      <c r="DU35" s="77">
        <f>SUM(DU5:DU34)</f>
        <v>45388.469999999994</v>
      </c>
      <c r="DV35" s="77">
        <f>SUM(DV5:DV34)</f>
        <v>8116.1500000000005</v>
      </c>
      <c r="DW35" s="78">
        <f>SUM(DW5:DW34)</f>
        <v>0</v>
      </c>
      <c r="DX35" s="77">
        <f>SUM(DX5:DX34)</f>
        <v>0</v>
      </c>
      <c r="DY35" s="27"/>
      <c r="DZ35" s="32"/>
      <c r="EA35" s="33"/>
      <c r="EB35" s="82"/>
      <c r="EC35" s="81">
        <f t="shared" si="11"/>
        <v>0</v>
      </c>
      <c r="EF35" s="77">
        <f>SUM(EF5:EF34)</f>
        <v>180731.04</v>
      </c>
      <c r="EG35" s="77">
        <f>SUM(EG5:EG34)</f>
        <v>46995.119999999995</v>
      </c>
      <c r="EH35" s="78">
        <f>SUM(EH5:EH34)</f>
        <v>0</v>
      </c>
      <c r="EI35" s="77">
        <f>SUM(EI5:EI34)</f>
        <v>3993.4900000000002</v>
      </c>
      <c r="EJ35" s="27"/>
      <c r="EK35" s="32"/>
      <c r="EL35" s="42"/>
      <c r="EM35" s="80"/>
      <c r="EN35" s="81"/>
      <c r="EQ35" s="77">
        <f>SUM(EQ5:EQ34)</f>
        <v>30214.589999999993</v>
      </c>
      <c r="ER35" s="77">
        <f>SUM(ER5:ER34)</f>
        <v>17486.629999999994</v>
      </c>
      <c r="ES35" s="78">
        <f>SUM(ES5:ES34)</f>
        <v>0</v>
      </c>
      <c r="ET35" s="77">
        <f>SUM(ET5:ET34)</f>
        <v>0</v>
      </c>
      <c r="EU35" s="27"/>
      <c r="EV35" s="79"/>
      <c r="EW35" s="80"/>
      <c r="EX35" s="80"/>
      <c r="EY35" s="81">
        <f t="shared" si="13"/>
        <v>0</v>
      </c>
    </row>
    <row r="36" spans="2:157" s="86" customFormat="1" ht="16.5" hidden="1" thickBot="1" x14ac:dyDescent="0.3">
      <c r="B36"/>
      <c r="C36"/>
      <c r="D36"/>
      <c r="E36"/>
      <c r="F36"/>
      <c r="G36"/>
      <c r="H36" s="83"/>
      <c r="I36" s="84">
        <f>SUM(I5:I35)</f>
        <v>0</v>
      </c>
      <c r="J36" s="85">
        <f t="shared" ref="J36:L36" si="14">SUM(J5:J35)</f>
        <v>0</v>
      </c>
      <c r="K36" s="85">
        <f t="shared" si="14"/>
        <v>0</v>
      </c>
      <c r="L36" s="85">
        <f t="shared" si="14"/>
        <v>0</v>
      </c>
      <c r="O36"/>
      <c r="P36"/>
      <c r="Q36"/>
      <c r="R36"/>
      <c r="S36" s="83"/>
      <c r="T36" s="84">
        <f t="shared" ref="T36:W36" si="15">SUM(T5:T35)</f>
        <v>2932.9520899999975</v>
      </c>
      <c r="U36" s="85">
        <f t="shared" si="15"/>
        <v>99.585999999999856</v>
      </c>
      <c r="V36" s="85">
        <f t="shared" si="15"/>
        <v>0</v>
      </c>
      <c r="W36" s="85">
        <f t="shared" si="15"/>
        <v>3352.4780899999982</v>
      </c>
      <c r="Y36"/>
      <c r="Z36"/>
      <c r="AA36"/>
      <c r="AB36"/>
      <c r="AC36"/>
      <c r="AD36" s="83"/>
      <c r="AE36" s="84">
        <f t="shared" ref="AE36:AH36" si="16">SUM(AE5:AE35)</f>
        <v>2629.4545689999995</v>
      </c>
      <c r="AF36" s="85">
        <f t="shared" si="16"/>
        <v>0</v>
      </c>
      <c r="AG36" s="85">
        <f t="shared" si="16"/>
        <v>0</v>
      </c>
      <c r="AH36" s="85">
        <f t="shared" si="16"/>
        <v>8222.344568999999</v>
      </c>
      <c r="AJ36"/>
      <c r="AK36"/>
      <c r="AL36"/>
      <c r="AM36"/>
      <c r="AN36"/>
      <c r="AO36" s="83"/>
      <c r="AP36" s="84">
        <f t="shared" ref="AP36:AS36" si="17">SUM(AP5:AP35)</f>
        <v>0</v>
      </c>
      <c r="AQ36" s="85">
        <f t="shared" si="17"/>
        <v>0</v>
      </c>
      <c r="AR36" s="85">
        <f t="shared" si="17"/>
        <v>0</v>
      </c>
      <c r="AS36" s="85">
        <f t="shared" si="17"/>
        <v>0</v>
      </c>
      <c r="AU36"/>
      <c r="AV36"/>
      <c r="AW36"/>
      <c r="AX36"/>
      <c r="AY36"/>
      <c r="AZ36" s="83"/>
      <c r="BA36" s="84">
        <f t="shared" ref="BA36:BD36" si="18">SUM(BA5:BA35)</f>
        <v>8899.3983570000019</v>
      </c>
      <c r="BB36" s="85">
        <f t="shared" si="18"/>
        <v>0</v>
      </c>
      <c r="BC36" s="85">
        <f t="shared" si="18"/>
        <v>0</v>
      </c>
      <c r="BD36" s="85">
        <f t="shared" si="18"/>
        <v>10051.198357000003</v>
      </c>
      <c r="BF36"/>
      <c r="BG36"/>
      <c r="BH36"/>
      <c r="BI36"/>
      <c r="BJ36"/>
      <c r="BK36" s="83"/>
      <c r="BL36" s="84">
        <f t="shared" ref="BL36:BO36" si="19">SUM(BL5:BL35)</f>
        <v>7914.9803599999987</v>
      </c>
      <c r="BM36" s="85">
        <f t="shared" si="19"/>
        <v>1289.6267350000001</v>
      </c>
      <c r="BN36" s="85">
        <f t="shared" si="19"/>
        <v>0</v>
      </c>
      <c r="BO36" s="85">
        <f t="shared" si="19"/>
        <v>9614.1670949999971</v>
      </c>
      <c r="BQ36"/>
      <c r="BR36"/>
      <c r="BS36"/>
      <c r="BT36"/>
      <c r="BU36"/>
      <c r="BV36" s="83"/>
      <c r="BW36" s="84">
        <f t="shared" ref="BW36:BZ36" si="20">SUM(BW5:BW35)</f>
        <v>0</v>
      </c>
      <c r="BX36" s="85">
        <f t="shared" si="20"/>
        <v>0</v>
      </c>
      <c r="BY36" s="85">
        <f t="shared" si="20"/>
        <v>0</v>
      </c>
      <c r="BZ36" s="85">
        <f t="shared" si="20"/>
        <v>291.26</v>
      </c>
      <c r="CB36"/>
      <c r="CC36"/>
      <c r="CD36"/>
      <c r="CE36"/>
      <c r="CF36"/>
      <c r="CG36" s="83"/>
      <c r="CH36" s="84">
        <f t="shared" ref="CH36:CK36" si="21">SUM(CH5:CH35)</f>
        <v>0</v>
      </c>
      <c r="CI36" s="85">
        <f t="shared" si="21"/>
        <v>0</v>
      </c>
      <c r="CJ36" s="85">
        <f t="shared" si="21"/>
        <v>0</v>
      </c>
      <c r="CK36" s="85">
        <f t="shared" si="21"/>
        <v>0</v>
      </c>
      <c r="CM36"/>
      <c r="CN36"/>
      <c r="CO36"/>
      <c r="CP36"/>
      <c r="CQ36"/>
      <c r="CR36" s="83"/>
      <c r="CS36" s="84">
        <f t="shared" ref="CS36:CV36" si="22">SUM(CS5:CS35)</f>
        <v>2006.8949820013268</v>
      </c>
      <c r="CT36" s="85">
        <f t="shared" si="22"/>
        <v>8832.9542600561872</v>
      </c>
      <c r="CU36" s="85">
        <f t="shared" si="22"/>
        <v>0</v>
      </c>
      <c r="CV36" s="85">
        <f t="shared" si="22"/>
        <v>10839.849242057513</v>
      </c>
      <c r="CX36"/>
      <c r="CY36"/>
      <c r="CZ36"/>
      <c r="DA36"/>
      <c r="DB36"/>
      <c r="DC36" s="83"/>
      <c r="DD36" s="84">
        <f t="shared" ref="DD36:DG36" si="23">SUM(DD5:DD35)</f>
        <v>3287.3097639999983</v>
      </c>
      <c r="DE36" s="85">
        <f t="shared" si="23"/>
        <v>28.33160400000024</v>
      </c>
      <c r="DF36" s="85">
        <f t="shared" si="23"/>
        <v>0</v>
      </c>
      <c r="DG36" s="85">
        <f t="shared" si="23"/>
        <v>3489.511367999999</v>
      </c>
      <c r="DI36"/>
      <c r="DJ36"/>
      <c r="DK36"/>
      <c r="DL36"/>
      <c r="DM36"/>
      <c r="DN36" s="83"/>
      <c r="DO36" s="84">
        <f t="shared" ref="DO36:DR36" si="24">SUM(DO5:DO35)</f>
        <v>0</v>
      </c>
      <c r="DP36" s="85">
        <f t="shared" si="24"/>
        <v>0</v>
      </c>
      <c r="DQ36" s="85">
        <f t="shared" si="24"/>
        <v>0</v>
      </c>
      <c r="DR36" s="85">
        <f t="shared" si="24"/>
        <v>0</v>
      </c>
      <c r="DT36"/>
      <c r="DU36"/>
      <c r="DV36"/>
      <c r="DW36"/>
      <c r="DX36"/>
      <c r="DY36" s="83"/>
      <c r="DZ36" s="84">
        <f t="shared" ref="DZ36:EC36" si="25">SUM(DZ5:DZ35)</f>
        <v>2745.8078120000005</v>
      </c>
      <c r="EA36" s="85">
        <f t="shared" si="25"/>
        <v>3276.9240319999994</v>
      </c>
      <c r="EB36" s="85">
        <f t="shared" si="25"/>
        <v>0</v>
      </c>
      <c r="EC36" s="85">
        <f t="shared" si="25"/>
        <v>6022.731843999999</v>
      </c>
      <c r="EE36"/>
      <c r="EF36"/>
      <c r="EG36"/>
      <c r="EH36"/>
      <c r="EI36"/>
      <c r="EJ36" s="83"/>
      <c r="EK36" s="84">
        <f t="shared" ref="EK36:EN36" si="26">SUM(EK5:EK35)</f>
        <v>268.43558999999988</v>
      </c>
      <c r="EL36" s="85">
        <f t="shared" si="26"/>
        <v>16.72590000000001</v>
      </c>
      <c r="EM36" s="85">
        <f t="shared" si="26"/>
        <v>0</v>
      </c>
      <c r="EN36" s="85">
        <f t="shared" si="26"/>
        <v>4278.6514899999993</v>
      </c>
      <c r="EP36"/>
      <c r="EQ36"/>
      <c r="ER36"/>
      <c r="ES36"/>
      <c r="ET36"/>
      <c r="EU36" s="83"/>
      <c r="EV36" s="84">
        <f t="shared" ref="EV36:EY36" si="27">SUM(EV5:EV35)</f>
        <v>0</v>
      </c>
      <c r="EW36" s="85">
        <f t="shared" si="27"/>
        <v>0</v>
      </c>
      <c r="EX36" s="85">
        <f t="shared" si="27"/>
        <v>0</v>
      </c>
      <c r="EY36" s="85">
        <f t="shared" si="27"/>
        <v>0</v>
      </c>
      <c r="FA36" s="441"/>
    </row>
    <row r="37" spans="2:157" hidden="1" x14ac:dyDescent="0.25"/>
    <row r="38" spans="2:157" hidden="1" x14ac:dyDescent="0.25"/>
    <row r="39" spans="2:157" ht="21" hidden="1" x14ac:dyDescent="0.35">
      <c r="C39" s="1" t="s">
        <v>0</v>
      </c>
      <c r="O39" s="1" t="s">
        <v>1</v>
      </c>
      <c r="AA39" s="1" t="s">
        <v>2</v>
      </c>
      <c r="AL39" s="1" t="s">
        <v>3</v>
      </c>
      <c r="AW39" s="1" t="s">
        <v>4</v>
      </c>
      <c r="BH39" s="1" t="s">
        <v>5</v>
      </c>
      <c r="BS39" s="1" t="s">
        <v>6</v>
      </c>
      <c r="CD39" s="1" t="s">
        <v>7</v>
      </c>
      <c r="CO39" s="1" t="s">
        <v>8</v>
      </c>
      <c r="CZ39" s="1" t="s">
        <v>9</v>
      </c>
      <c r="DK39" s="1" t="s">
        <v>10</v>
      </c>
      <c r="DV39" s="1" t="s">
        <v>11</v>
      </c>
      <c r="EG39" s="1" t="s">
        <v>12</v>
      </c>
      <c r="ER39" s="1" t="s">
        <v>13</v>
      </c>
    </row>
    <row r="40" spans="2:157" ht="10.5" hidden="1" customHeight="1" thickBot="1" x14ac:dyDescent="0.3"/>
    <row r="41" spans="2:157" hidden="1" x14ac:dyDescent="0.25">
      <c r="B41" s="2" t="s">
        <v>14</v>
      </c>
      <c r="C41" s="3" t="s">
        <v>15</v>
      </c>
      <c r="D41" s="4" t="s">
        <v>15</v>
      </c>
      <c r="E41" s="4" t="s">
        <v>15</v>
      </c>
      <c r="F41" s="5" t="s">
        <v>16</v>
      </c>
      <c r="G41" s="5" t="s">
        <v>16</v>
      </c>
      <c r="I41" s="7" t="s">
        <v>16</v>
      </c>
      <c r="J41" s="8" t="s">
        <v>16</v>
      </c>
      <c r="K41" s="9" t="s">
        <v>16</v>
      </c>
      <c r="L41" s="10" t="s">
        <v>17</v>
      </c>
      <c r="N41" s="2" t="s">
        <v>14</v>
      </c>
      <c r="O41" s="3" t="s">
        <v>15</v>
      </c>
      <c r="P41" s="4" t="s">
        <v>15</v>
      </c>
      <c r="Q41" s="5" t="s">
        <v>16</v>
      </c>
      <c r="R41" s="11" t="s">
        <v>16</v>
      </c>
      <c r="S41" s="6"/>
      <c r="T41" s="7" t="s">
        <v>16</v>
      </c>
      <c r="U41" s="8" t="s">
        <v>16</v>
      </c>
      <c r="V41" s="9" t="s">
        <v>16</v>
      </c>
      <c r="W41" s="10" t="s">
        <v>17</v>
      </c>
      <c r="Y41" s="2" t="s">
        <v>14</v>
      </c>
      <c r="Z41" s="3" t="s">
        <v>15</v>
      </c>
      <c r="AA41" s="4" t="s">
        <v>15</v>
      </c>
      <c r="AB41" s="5" t="s">
        <v>16</v>
      </c>
      <c r="AC41" s="11" t="s">
        <v>16</v>
      </c>
      <c r="AD41" s="6"/>
      <c r="AE41" s="7" t="s">
        <v>16</v>
      </c>
      <c r="AF41" s="8" t="s">
        <v>16</v>
      </c>
      <c r="AG41" s="9" t="s">
        <v>16</v>
      </c>
      <c r="AH41" s="10" t="s">
        <v>17</v>
      </c>
      <c r="AJ41" s="2" t="s">
        <v>14</v>
      </c>
      <c r="AK41" s="3" t="s">
        <v>15</v>
      </c>
      <c r="AL41" s="4" t="s">
        <v>15</v>
      </c>
      <c r="AM41" s="5" t="s">
        <v>16</v>
      </c>
      <c r="AN41" s="11" t="s">
        <v>16</v>
      </c>
      <c r="AO41" s="6"/>
      <c r="AP41" s="7" t="s">
        <v>16</v>
      </c>
      <c r="AQ41" s="8" t="s">
        <v>16</v>
      </c>
      <c r="AR41" s="9" t="s">
        <v>16</v>
      </c>
      <c r="AS41" s="10" t="s">
        <v>17</v>
      </c>
      <c r="AU41" s="2" t="s">
        <v>14</v>
      </c>
      <c r="AV41" s="3" t="s">
        <v>15</v>
      </c>
      <c r="AW41" s="4" t="s">
        <v>15</v>
      </c>
      <c r="AX41" s="5" t="s">
        <v>16</v>
      </c>
      <c r="AY41" s="11" t="s">
        <v>16</v>
      </c>
      <c r="AZ41" s="6"/>
      <c r="BA41" s="7" t="s">
        <v>16</v>
      </c>
      <c r="BB41" s="8" t="s">
        <v>16</v>
      </c>
      <c r="BC41" s="9" t="s">
        <v>16</v>
      </c>
      <c r="BD41" s="10" t="s">
        <v>17</v>
      </c>
      <c r="BF41" s="2" t="s">
        <v>14</v>
      </c>
      <c r="BG41" s="3" t="s">
        <v>15</v>
      </c>
      <c r="BH41" s="4" t="s">
        <v>15</v>
      </c>
      <c r="BI41" s="5" t="s">
        <v>16</v>
      </c>
      <c r="BJ41" s="11" t="s">
        <v>16</v>
      </c>
      <c r="BK41" s="6"/>
      <c r="BL41" s="7" t="s">
        <v>16</v>
      </c>
      <c r="BM41" s="8" t="s">
        <v>16</v>
      </c>
      <c r="BN41" s="9" t="s">
        <v>16</v>
      </c>
      <c r="BO41" s="10" t="s">
        <v>17</v>
      </c>
      <c r="BQ41" s="2" t="s">
        <v>14</v>
      </c>
      <c r="BR41" s="3" t="s">
        <v>15</v>
      </c>
      <c r="BS41" s="4" t="s">
        <v>15</v>
      </c>
      <c r="BT41" s="5" t="s">
        <v>16</v>
      </c>
      <c r="BU41" s="11" t="s">
        <v>16</v>
      </c>
      <c r="BV41" s="6"/>
      <c r="BW41" s="7" t="s">
        <v>16</v>
      </c>
      <c r="BX41" s="8" t="s">
        <v>16</v>
      </c>
      <c r="BY41" s="9" t="s">
        <v>16</v>
      </c>
      <c r="BZ41" s="10" t="s">
        <v>17</v>
      </c>
      <c r="CB41" s="2" t="s">
        <v>14</v>
      </c>
      <c r="CC41" s="3" t="s">
        <v>15</v>
      </c>
      <c r="CD41" s="4" t="s">
        <v>15</v>
      </c>
      <c r="CE41" s="5" t="s">
        <v>16</v>
      </c>
      <c r="CF41" s="11" t="s">
        <v>16</v>
      </c>
      <c r="CG41" s="6"/>
      <c r="CH41" s="7" t="s">
        <v>16</v>
      </c>
      <c r="CI41" s="8" t="s">
        <v>16</v>
      </c>
      <c r="CJ41" s="9" t="s">
        <v>16</v>
      </c>
      <c r="CK41" s="10" t="s">
        <v>17</v>
      </c>
      <c r="CM41" s="2" t="s">
        <v>14</v>
      </c>
      <c r="CN41" s="3" t="s">
        <v>15</v>
      </c>
      <c r="CO41" s="4" t="s">
        <v>15</v>
      </c>
      <c r="CP41" s="5" t="s">
        <v>16</v>
      </c>
      <c r="CQ41" s="11" t="s">
        <v>16</v>
      </c>
      <c r="CR41" s="6"/>
      <c r="CS41" s="7" t="s">
        <v>16</v>
      </c>
      <c r="CT41" s="8" t="s">
        <v>16</v>
      </c>
      <c r="CU41" s="9" t="s">
        <v>16</v>
      </c>
      <c r="CV41" s="10" t="s">
        <v>17</v>
      </c>
      <c r="CX41" s="2" t="s">
        <v>14</v>
      </c>
      <c r="CY41" s="3" t="s">
        <v>15</v>
      </c>
      <c r="CZ41" s="4" t="s">
        <v>15</v>
      </c>
      <c r="DA41" s="5" t="s">
        <v>16</v>
      </c>
      <c r="DB41" s="11" t="s">
        <v>16</v>
      </c>
      <c r="DC41" s="6"/>
      <c r="DD41" s="7" t="s">
        <v>16</v>
      </c>
      <c r="DE41" s="8" t="s">
        <v>16</v>
      </c>
      <c r="DF41" s="9" t="s">
        <v>16</v>
      </c>
      <c r="DG41" s="10" t="s">
        <v>17</v>
      </c>
      <c r="DI41" s="2" t="s">
        <v>14</v>
      </c>
      <c r="DJ41" s="3" t="s">
        <v>15</v>
      </c>
      <c r="DK41" s="4" t="s">
        <v>15</v>
      </c>
      <c r="DL41" s="5" t="s">
        <v>16</v>
      </c>
      <c r="DM41" s="11" t="s">
        <v>16</v>
      </c>
      <c r="DN41" s="6"/>
      <c r="DO41" s="7" t="s">
        <v>16</v>
      </c>
      <c r="DP41" s="8" t="s">
        <v>16</v>
      </c>
      <c r="DQ41" s="9" t="s">
        <v>16</v>
      </c>
      <c r="DR41" s="10" t="s">
        <v>17</v>
      </c>
      <c r="DT41" s="2" t="s">
        <v>14</v>
      </c>
      <c r="DU41" s="3" t="s">
        <v>15</v>
      </c>
      <c r="DV41" s="4" t="s">
        <v>15</v>
      </c>
      <c r="DW41" s="5" t="s">
        <v>16</v>
      </c>
      <c r="DX41" s="11" t="s">
        <v>16</v>
      </c>
      <c r="DY41" s="6"/>
      <c r="DZ41" s="7" t="s">
        <v>16</v>
      </c>
      <c r="EA41" s="8" t="s">
        <v>16</v>
      </c>
      <c r="EB41" s="9" t="s">
        <v>16</v>
      </c>
      <c r="EC41" s="10" t="s">
        <v>17</v>
      </c>
      <c r="EE41" s="2" t="s">
        <v>14</v>
      </c>
      <c r="EF41" s="3" t="s">
        <v>15</v>
      </c>
      <c r="EG41" s="4" t="s">
        <v>15</v>
      </c>
      <c r="EH41" s="5" t="s">
        <v>16</v>
      </c>
      <c r="EI41" s="11" t="s">
        <v>16</v>
      </c>
      <c r="EJ41" s="6"/>
      <c r="EK41" s="7" t="s">
        <v>16</v>
      </c>
      <c r="EL41" s="8" t="s">
        <v>16</v>
      </c>
      <c r="EM41" s="9" t="s">
        <v>16</v>
      </c>
      <c r="EN41" s="10" t="s">
        <v>17</v>
      </c>
      <c r="EP41" s="2" t="s">
        <v>14</v>
      </c>
      <c r="EQ41" s="3" t="s">
        <v>15</v>
      </c>
      <c r="ER41" s="4" t="s">
        <v>15</v>
      </c>
      <c r="ES41" s="5" t="s">
        <v>16</v>
      </c>
      <c r="ET41" s="11" t="s">
        <v>16</v>
      </c>
      <c r="EU41" s="6"/>
      <c r="EV41" s="7" t="s">
        <v>16</v>
      </c>
      <c r="EW41" s="8" t="s">
        <v>16</v>
      </c>
      <c r="EX41" s="9" t="s">
        <v>16</v>
      </c>
      <c r="EY41" s="10" t="s">
        <v>17</v>
      </c>
    </row>
    <row r="42" spans="2:157" ht="15.75" hidden="1" thickBot="1" x14ac:dyDescent="0.3">
      <c r="B42" s="87"/>
      <c r="C42" s="13" t="s">
        <v>18</v>
      </c>
      <c r="D42" s="14" t="s">
        <v>19</v>
      </c>
      <c r="E42" s="14" t="s">
        <v>20</v>
      </c>
      <c r="F42" s="15" t="s">
        <v>20</v>
      </c>
      <c r="G42" s="15" t="s">
        <v>26</v>
      </c>
      <c r="I42" s="16" t="s">
        <v>21</v>
      </c>
      <c r="J42" s="17" t="s">
        <v>22</v>
      </c>
      <c r="K42" s="18" t="s">
        <v>23</v>
      </c>
      <c r="L42" s="19" t="s">
        <v>24</v>
      </c>
      <c r="N42" s="12"/>
      <c r="O42" s="13" t="s">
        <v>18</v>
      </c>
      <c r="P42" s="14" t="s">
        <v>19</v>
      </c>
      <c r="Q42" s="15" t="s">
        <v>19</v>
      </c>
      <c r="R42" s="20" t="s">
        <v>25</v>
      </c>
      <c r="S42" s="6"/>
      <c r="T42" s="16" t="s">
        <v>21</v>
      </c>
      <c r="U42" s="17" t="s">
        <v>22</v>
      </c>
      <c r="V42" s="18" t="s">
        <v>23</v>
      </c>
      <c r="W42" s="19" t="s">
        <v>24</v>
      </c>
      <c r="Y42" s="12"/>
      <c r="Z42" s="13" t="s">
        <v>18</v>
      </c>
      <c r="AA42" s="14" t="s">
        <v>19</v>
      </c>
      <c r="AB42" s="15" t="s">
        <v>19</v>
      </c>
      <c r="AC42" s="20" t="s">
        <v>25</v>
      </c>
      <c r="AD42" s="6"/>
      <c r="AE42" s="16" t="s">
        <v>21</v>
      </c>
      <c r="AF42" s="17" t="s">
        <v>22</v>
      </c>
      <c r="AG42" s="18" t="s">
        <v>23</v>
      </c>
      <c r="AH42" s="19" t="s">
        <v>24</v>
      </c>
      <c r="AJ42" s="12"/>
      <c r="AK42" s="13" t="s">
        <v>18</v>
      </c>
      <c r="AL42" s="14" t="s">
        <v>19</v>
      </c>
      <c r="AM42" s="15" t="s">
        <v>19</v>
      </c>
      <c r="AN42" s="20" t="s">
        <v>25</v>
      </c>
      <c r="AO42" s="6"/>
      <c r="AP42" s="16" t="s">
        <v>21</v>
      </c>
      <c r="AQ42" s="17" t="s">
        <v>22</v>
      </c>
      <c r="AR42" s="18" t="s">
        <v>23</v>
      </c>
      <c r="AS42" s="19" t="s">
        <v>24</v>
      </c>
      <c r="AU42" s="12"/>
      <c r="AV42" s="13" t="s">
        <v>18</v>
      </c>
      <c r="AW42" s="14" t="s">
        <v>19</v>
      </c>
      <c r="AX42" s="15" t="s">
        <v>19</v>
      </c>
      <c r="AY42" s="20" t="s">
        <v>25</v>
      </c>
      <c r="AZ42" s="6"/>
      <c r="BA42" s="16" t="s">
        <v>21</v>
      </c>
      <c r="BB42" s="17" t="s">
        <v>22</v>
      </c>
      <c r="BC42" s="18" t="s">
        <v>23</v>
      </c>
      <c r="BD42" s="19" t="s">
        <v>24</v>
      </c>
      <c r="BF42" s="12"/>
      <c r="BG42" s="13" t="s">
        <v>18</v>
      </c>
      <c r="BH42" s="14" t="s">
        <v>19</v>
      </c>
      <c r="BI42" s="15" t="s">
        <v>19</v>
      </c>
      <c r="BJ42" s="20" t="s">
        <v>25</v>
      </c>
      <c r="BK42" s="6"/>
      <c r="BL42" s="16" t="s">
        <v>21</v>
      </c>
      <c r="BM42" s="17" t="s">
        <v>22</v>
      </c>
      <c r="BN42" s="18" t="s">
        <v>23</v>
      </c>
      <c r="BO42" s="19" t="s">
        <v>24</v>
      </c>
      <c r="BQ42" s="12"/>
      <c r="BR42" s="13" t="s">
        <v>18</v>
      </c>
      <c r="BS42" s="14" t="s">
        <v>19</v>
      </c>
      <c r="BT42" s="15" t="s">
        <v>19</v>
      </c>
      <c r="BU42" s="20" t="s">
        <v>25</v>
      </c>
      <c r="BV42" s="6"/>
      <c r="BW42" s="16" t="s">
        <v>21</v>
      </c>
      <c r="BX42" s="17" t="s">
        <v>22</v>
      </c>
      <c r="BY42" s="18" t="s">
        <v>23</v>
      </c>
      <c r="BZ42" s="19" t="s">
        <v>24</v>
      </c>
      <c r="CB42" s="12"/>
      <c r="CC42" s="13" t="s">
        <v>18</v>
      </c>
      <c r="CD42" s="14" t="s">
        <v>19</v>
      </c>
      <c r="CE42" s="15" t="s">
        <v>19</v>
      </c>
      <c r="CF42" s="20" t="s">
        <v>25</v>
      </c>
      <c r="CG42" s="6"/>
      <c r="CH42" s="16" t="s">
        <v>21</v>
      </c>
      <c r="CI42" s="17" t="s">
        <v>22</v>
      </c>
      <c r="CJ42" s="18" t="s">
        <v>23</v>
      </c>
      <c r="CK42" s="19" t="s">
        <v>24</v>
      </c>
      <c r="CM42" s="12"/>
      <c r="CN42" s="13" t="s">
        <v>18</v>
      </c>
      <c r="CO42" s="14" t="s">
        <v>19</v>
      </c>
      <c r="CP42" s="15" t="s">
        <v>19</v>
      </c>
      <c r="CQ42" s="20" t="s">
        <v>25</v>
      </c>
      <c r="CR42" s="6"/>
      <c r="CS42" s="16" t="s">
        <v>21</v>
      </c>
      <c r="CT42" s="17" t="s">
        <v>22</v>
      </c>
      <c r="CU42" s="18" t="s">
        <v>23</v>
      </c>
      <c r="CV42" s="19" t="s">
        <v>24</v>
      </c>
      <c r="CX42" s="12"/>
      <c r="CY42" s="13" t="s">
        <v>18</v>
      </c>
      <c r="CZ42" s="14" t="s">
        <v>19</v>
      </c>
      <c r="DA42" s="15" t="s">
        <v>19</v>
      </c>
      <c r="DB42" s="20" t="s">
        <v>25</v>
      </c>
      <c r="DC42" s="6"/>
      <c r="DD42" s="16" t="s">
        <v>21</v>
      </c>
      <c r="DE42" s="17" t="s">
        <v>22</v>
      </c>
      <c r="DF42" s="18" t="s">
        <v>23</v>
      </c>
      <c r="DG42" s="19" t="s">
        <v>24</v>
      </c>
      <c r="DI42" s="12"/>
      <c r="DJ42" s="13" t="s">
        <v>18</v>
      </c>
      <c r="DK42" s="14" t="s">
        <v>19</v>
      </c>
      <c r="DL42" s="15" t="s">
        <v>19</v>
      </c>
      <c r="DM42" s="20" t="s">
        <v>25</v>
      </c>
      <c r="DN42" s="6"/>
      <c r="DO42" s="16" t="s">
        <v>21</v>
      </c>
      <c r="DP42" s="17" t="s">
        <v>22</v>
      </c>
      <c r="DQ42" s="18" t="s">
        <v>23</v>
      </c>
      <c r="DR42" s="19" t="s">
        <v>24</v>
      </c>
      <c r="DT42" s="12"/>
      <c r="DU42" s="13" t="s">
        <v>18</v>
      </c>
      <c r="DV42" s="14" t="s">
        <v>19</v>
      </c>
      <c r="DW42" s="15" t="s">
        <v>19</v>
      </c>
      <c r="DX42" s="20" t="s">
        <v>25</v>
      </c>
      <c r="DY42" s="6"/>
      <c r="DZ42" s="16" t="s">
        <v>21</v>
      </c>
      <c r="EA42" s="17" t="s">
        <v>22</v>
      </c>
      <c r="EB42" s="18" t="s">
        <v>23</v>
      </c>
      <c r="EC42" s="19" t="s">
        <v>24</v>
      </c>
      <c r="EE42" s="12"/>
      <c r="EF42" s="13" t="s">
        <v>18</v>
      </c>
      <c r="EG42" s="14" t="s">
        <v>19</v>
      </c>
      <c r="EH42" s="15" t="s">
        <v>19</v>
      </c>
      <c r="EI42" s="20" t="s">
        <v>25</v>
      </c>
      <c r="EJ42" s="6"/>
      <c r="EK42" s="16" t="s">
        <v>21</v>
      </c>
      <c r="EL42" s="17" t="s">
        <v>22</v>
      </c>
      <c r="EM42" s="18" t="s">
        <v>23</v>
      </c>
      <c r="EN42" s="19" t="s">
        <v>24</v>
      </c>
      <c r="EP42" s="12"/>
      <c r="EQ42" s="13" t="s">
        <v>18</v>
      </c>
      <c r="ER42" s="14" t="s">
        <v>19</v>
      </c>
      <c r="ES42" s="15" t="s">
        <v>19</v>
      </c>
      <c r="ET42" s="20" t="s">
        <v>25</v>
      </c>
      <c r="EU42" s="6"/>
      <c r="EV42" s="16" t="s">
        <v>21</v>
      </c>
      <c r="EW42" s="17" t="s">
        <v>22</v>
      </c>
      <c r="EX42" s="18" t="s">
        <v>23</v>
      </c>
      <c r="EY42" s="19" t="s">
        <v>24</v>
      </c>
    </row>
    <row r="43" spans="2:157" hidden="1" x14ac:dyDescent="0.25">
      <c r="B43" s="22">
        <v>45931</v>
      </c>
      <c r="C43" s="23">
        <v>19109.48</v>
      </c>
      <c r="D43" s="24">
        <v>3793.8</v>
      </c>
      <c r="E43" s="25">
        <v>3125.65</v>
      </c>
      <c r="F43" s="88">
        <v>417.39</v>
      </c>
      <c r="G43" s="88"/>
      <c r="I43" s="28"/>
      <c r="J43" s="29"/>
      <c r="K43" s="29"/>
      <c r="L43" s="30">
        <f>SUM(G43:K43)</f>
        <v>0</v>
      </c>
      <c r="N43" s="22">
        <v>45931</v>
      </c>
      <c r="O43" s="31">
        <v>1851.31</v>
      </c>
      <c r="P43" s="31">
        <v>440.17</v>
      </c>
      <c r="Q43" s="36"/>
      <c r="R43" s="26"/>
      <c r="S43" s="27"/>
      <c r="T43" s="32">
        <v>136.98122999999978</v>
      </c>
      <c r="U43" s="32">
        <v>0.77264999999998452</v>
      </c>
      <c r="V43" s="29"/>
      <c r="W43" s="30">
        <f>SUM(R43:V43)</f>
        <v>137.75387999999975</v>
      </c>
      <c r="Y43" s="22">
        <v>45931</v>
      </c>
      <c r="Z43" s="34">
        <v>6613.89</v>
      </c>
      <c r="AA43" s="35">
        <v>1147.3800000000001</v>
      </c>
      <c r="AB43" s="36"/>
      <c r="AC43" s="37">
        <v>141.94999999999999</v>
      </c>
      <c r="AD43" s="27"/>
      <c r="AE43" s="32">
        <v>26.231858999999986</v>
      </c>
      <c r="AF43" s="29"/>
      <c r="AG43" s="29"/>
      <c r="AH43" s="30">
        <f>SUM(AC43:AG43)</f>
        <v>168.18185899999997</v>
      </c>
      <c r="AJ43" s="22">
        <v>45931</v>
      </c>
      <c r="AK43" s="34">
        <v>5480.75</v>
      </c>
      <c r="AL43" s="35">
        <v>460.28</v>
      </c>
      <c r="AM43" s="36"/>
      <c r="AN43" s="38"/>
      <c r="AO43" s="27"/>
      <c r="AP43" s="28"/>
      <c r="AQ43" s="29"/>
      <c r="AR43" s="29"/>
      <c r="AS43" s="30">
        <f>SUM(AN43:AR43)</f>
        <v>0</v>
      </c>
      <c r="AU43" s="22">
        <v>45931</v>
      </c>
      <c r="AV43" s="39">
        <v>166.21</v>
      </c>
      <c r="AW43" s="39">
        <v>0</v>
      </c>
      <c r="AX43" s="36"/>
      <c r="AY43" s="37">
        <v>227.5</v>
      </c>
      <c r="AZ43" s="27"/>
      <c r="BA43" s="32">
        <v>353.91741899999977</v>
      </c>
      <c r="BB43" s="29"/>
      <c r="BC43" s="29"/>
      <c r="BD43" s="30">
        <f>SUM(AY43:BC43)</f>
        <v>581.41741899999977</v>
      </c>
      <c r="BF43" s="22">
        <v>45931</v>
      </c>
      <c r="BG43" s="34">
        <v>4554.1899999999996</v>
      </c>
      <c r="BH43" s="35">
        <v>758.86</v>
      </c>
      <c r="BI43" s="36"/>
      <c r="BJ43" s="37"/>
      <c r="BK43" s="27"/>
      <c r="BL43" s="32">
        <v>406.17973999999992</v>
      </c>
      <c r="BM43" s="33">
        <v>7.480000000000004</v>
      </c>
      <c r="BN43" s="29"/>
      <c r="BO43" s="30">
        <f>SUM(BJ43:BN43)</f>
        <v>413.65973999999994</v>
      </c>
      <c r="BQ43" s="22">
        <v>45931</v>
      </c>
      <c r="BR43" s="35">
        <v>239.37</v>
      </c>
      <c r="BS43" s="35">
        <v>550.28</v>
      </c>
      <c r="BT43" s="36"/>
      <c r="BU43" s="40">
        <v>90</v>
      </c>
      <c r="BV43" s="27"/>
      <c r="BW43" s="28"/>
      <c r="BX43" s="29"/>
      <c r="BY43" s="29"/>
      <c r="BZ43" s="30">
        <f>SUM(BU43:BY43)</f>
        <v>90</v>
      </c>
      <c r="CB43" s="22">
        <v>45931</v>
      </c>
      <c r="CC43" s="34">
        <v>19300.13</v>
      </c>
      <c r="CD43" s="35">
        <v>2568.06</v>
      </c>
      <c r="CE43" s="36"/>
      <c r="CF43" s="38"/>
      <c r="CG43" s="27"/>
      <c r="CH43" s="28"/>
      <c r="CI43" s="29"/>
      <c r="CJ43" s="29"/>
      <c r="CK43" s="30">
        <f>SUM(CF43:CJ43)</f>
        <v>0</v>
      </c>
      <c r="CM43" s="22">
        <v>45931</v>
      </c>
      <c r="CN43" s="34">
        <v>10767.05</v>
      </c>
      <c r="CO43" s="35">
        <v>2127.21</v>
      </c>
      <c r="CP43" s="36"/>
      <c r="CQ43" s="41"/>
      <c r="CR43" s="27"/>
      <c r="CS43" s="32">
        <v>219.47543999999988</v>
      </c>
      <c r="CT43" s="42">
        <v>142.57492999999994</v>
      </c>
      <c r="CU43" s="29"/>
      <c r="CV43" s="30">
        <f>SUM(CQ43:CU43)</f>
        <v>362.05036999999982</v>
      </c>
      <c r="CX43" s="22">
        <v>45931</v>
      </c>
      <c r="CY43" s="34">
        <v>4836.24</v>
      </c>
      <c r="CZ43" s="35">
        <v>545.55999999999995</v>
      </c>
      <c r="DA43" s="36"/>
      <c r="DB43" s="37">
        <v>14.04</v>
      </c>
      <c r="DC43" s="27"/>
      <c r="DD43" s="32">
        <v>254.66623999999996</v>
      </c>
      <c r="DE43" s="32">
        <v>-5.0106360000000478</v>
      </c>
      <c r="DF43" s="29"/>
      <c r="DG43" s="30">
        <f>SUM(DB43:DF43)</f>
        <v>263.69560399999995</v>
      </c>
      <c r="DI43" s="22">
        <v>45931</v>
      </c>
      <c r="DJ43" s="34">
        <v>3060.42</v>
      </c>
      <c r="DK43" s="43"/>
      <c r="DL43" s="36"/>
      <c r="DM43" s="41"/>
      <c r="DN43" s="27"/>
      <c r="DO43" s="28"/>
      <c r="DP43" s="29"/>
      <c r="DQ43" s="29"/>
      <c r="DR43" s="30">
        <f>SUM(DM43:DQ43)</f>
        <v>0</v>
      </c>
      <c r="DT43" s="22">
        <v>45931</v>
      </c>
      <c r="DU43" s="34">
        <v>2175.42</v>
      </c>
      <c r="DV43" s="35">
        <v>332.19</v>
      </c>
      <c r="DW43" s="36"/>
      <c r="DX43" s="41"/>
      <c r="DY43" s="27"/>
      <c r="DZ43" s="32">
        <v>167.08190999999994</v>
      </c>
      <c r="EA43" s="32"/>
      <c r="EB43" s="89"/>
      <c r="EC43" s="30">
        <f>SUM(DX43:EB43)</f>
        <v>167.08190999999994</v>
      </c>
      <c r="EE43" s="22">
        <v>45931</v>
      </c>
      <c r="EF43" s="34">
        <v>7993.42</v>
      </c>
      <c r="EG43" s="35">
        <v>2447.5300000000002</v>
      </c>
      <c r="EH43" s="36"/>
      <c r="EI43" s="37">
        <v>131.77000000000001</v>
      </c>
      <c r="EJ43" s="27"/>
      <c r="EK43" s="32"/>
      <c r="EL43" s="29">
        <v>8.1554900000000004</v>
      </c>
      <c r="EM43" s="29"/>
      <c r="EN43" s="30">
        <f>SUM(EI43:EM43)</f>
        <v>139.92549000000002</v>
      </c>
      <c r="EP43" s="22">
        <v>45931</v>
      </c>
      <c r="EQ43" s="45">
        <v>968.96</v>
      </c>
      <c r="ER43" s="46">
        <v>744.32</v>
      </c>
      <c r="ES43" s="36"/>
      <c r="ET43" s="41"/>
      <c r="EU43" s="27"/>
      <c r="EV43" s="28"/>
      <c r="EW43" s="29"/>
      <c r="EX43" s="29"/>
      <c r="EY43" s="30">
        <f>SUM(ET43:EX43)</f>
        <v>0</v>
      </c>
    </row>
    <row r="44" spans="2:157" hidden="1" x14ac:dyDescent="0.25">
      <c r="B44" s="47">
        <v>45932</v>
      </c>
      <c r="C44" s="48">
        <v>17938.14</v>
      </c>
      <c r="D44" s="49">
        <v>2607.8000000000002</v>
      </c>
      <c r="E44" s="50">
        <v>2953.24</v>
      </c>
      <c r="F44" s="90">
        <v>294.31</v>
      </c>
      <c r="G44" s="90"/>
      <c r="I44" s="51"/>
      <c r="J44" s="52"/>
      <c r="K44" s="52"/>
      <c r="L44" s="53">
        <f t="shared" ref="L44:L73" si="28">SUM(G44:K44)</f>
        <v>0</v>
      </c>
      <c r="N44" s="47">
        <v>45932</v>
      </c>
      <c r="O44" s="54">
        <v>3152.26</v>
      </c>
      <c r="P44" s="54">
        <v>608.47</v>
      </c>
      <c r="Q44" s="58"/>
      <c r="R44" s="55"/>
      <c r="S44" s="27"/>
      <c r="T44" s="32">
        <v>80.494449999999972</v>
      </c>
      <c r="U44" s="32">
        <v>9.6953300000000979</v>
      </c>
      <c r="V44" s="52"/>
      <c r="W44" s="53">
        <f t="shared" ref="W44:W73" si="29">SUM(R44:V44)</f>
        <v>90.18978000000007</v>
      </c>
      <c r="Y44" s="47">
        <v>45932</v>
      </c>
      <c r="Z44" s="56">
        <v>9043.89</v>
      </c>
      <c r="AA44" s="57">
        <v>1432.71</v>
      </c>
      <c r="AB44" s="58"/>
      <c r="AC44" s="59">
        <v>184.11</v>
      </c>
      <c r="AD44" s="27"/>
      <c r="AE44" s="32">
        <v>118.68</v>
      </c>
      <c r="AF44" s="52"/>
      <c r="AG44" s="52"/>
      <c r="AH44" s="53">
        <f t="shared" ref="AH44:AH73" si="30">SUM(AC44:AG44)</f>
        <v>302.79000000000002</v>
      </c>
      <c r="AJ44" s="47">
        <v>45932</v>
      </c>
      <c r="AK44" s="56">
        <v>2623</v>
      </c>
      <c r="AL44" s="57">
        <v>610.34</v>
      </c>
      <c r="AM44" s="58"/>
      <c r="AN44" s="60"/>
      <c r="AO44" s="27"/>
      <c r="AP44" s="51"/>
      <c r="AQ44" s="52"/>
      <c r="AR44" s="52"/>
      <c r="AS44" s="53">
        <f t="shared" ref="AS44:AS73" si="31">SUM(AN44:AR44)</f>
        <v>0</v>
      </c>
      <c r="AU44" s="47">
        <v>45932</v>
      </c>
      <c r="AV44" s="57">
        <v>742.16</v>
      </c>
      <c r="AW44" s="57">
        <v>81.040000000000006</v>
      </c>
      <c r="AX44" s="58"/>
      <c r="AY44" s="59"/>
      <c r="AZ44" s="27"/>
      <c r="BA44" s="32">
        <v>394.39597000000015</v>
      </c>
      <c r="BB44" s="52"/>
      <c r="BC44" s="52"/>
      <c r="BD44" s="53">
        <f>SUM(AY44:BC44)</f>
        <v>394.39597000000015</v>
      </c>
      <c r="BF44" s="47">
        <v>45932</v>
      </c>
      <c r="BG44" s="56">
        <v>3840.5</v>
      </c>
      <c r="BH44" s="57">
        <v>671.22</v>
      </c>
      <c r="BI44" s="58"/>
      <c r="BJ44" s="59"/>
      <c r="BK44" s="27"/>
      <c r="BL44" s="32">
        <v>353.97699999999986</v>
      </c>
      <c r="BM44" s="33">
        <v>72.01685999999998</v>
      </c>
      <c r="BN44" s="52"/>
      <c r="BO44" s="53">
        <f>SUM(BJ44:BN44)</f>
        <v>425.99385999999981</v>
      </c>
      <c r="BQ44" s="47">
        <v>45932</v>
      </c>
      <c r="BR44" s="57">
        <v>462.78</v>
      </c>
      <c r="BS44" s="57">
        <v>567.61</v>
      </c>
      <c r="BT44" s="58"/>
      <c r="BU44" s="61">
        <v>22</v>
      </c>
      <c r="BV44" s="27"/>
      <c r="BW44" s="51"/>
      <c r="BX44" s="52"/>
      <c r="BY44" s="52"/>
      <c r="BZ44" s="53">
        <f>SUM(BU44:BY44)</f>
        <v>22</v>
      </c>
      <c r="CB44" s="47">
        <v>45932</v>
      </c>
      <c r="CC44" s="56">
        <v>16565.41</v>
      </c>
      <c r="CD44" s="57">
        <v>2448.64</v>
      </c>
      <c r="CE44" s="58"/>
      <c r="CF44" s="60"/>
      <c r="CG44" s="27"/>
      <c r="CH44" s="51"/>
      <c r="CI44" s="52"/>
      <c r="CJ44" s="52"/>
      <c r="CK44" s="53">
        <f>SUM(CF44:CJ44)</f>
        <v>0</v>
      </c>
      <c r="CM44" s="47">
        <v>45932</v>
      </c>
      <c r="CN44" s="56">
        <v>10186.35</v>
      </c>
      <c r="CO44" s="57">
        <v>2332.92</v>
      </c>
      <c r="CP44" s="58"/>
      <c r="CQ44" s="62"/>
      <c r="CR44" s="27"/>
      <c r="CS44" s="32">
        <v>264.66447999999991</v>
      </c>
      <c r="CT44" s="42">
        <v>419.03995999999989</v>
      </c>
      <c r="CU44" s="52"/>
      <c r="CV44" s="53">
        <f>SUM(CQ44:CU44)</f>
        <v>683.70443999999975</v>
      </c>
      <c r="CX44" s="47">
        <v>45932</v>
      </c>
      <c r="CY44" s="56">
        <v>9348.7099999999991</v>
      </c>
      <c r="CZ44" s="57">
        <v>840.38</v>
      </c>
      <c r="DA44" s="58"/>
      <c r="DB44" s="59"/>
      <c r="DC44" s="27"/>
      <c r="DD44" s="32">
        <v>63.154216000000062</v>
      </c>
      <c r="DE44" s="32">
        <v>-10.999327000000051</v>
      </c>
      <c r="DF44" s="52"/>
      <c r="DG44" s="53">
        <f>SUM(DB44:DF44)</f>
        <v>52.154889000000011</v>
      </c>
      <c r="DI44" s="47">
        <v>45932</v>
      </c>
      <c r="DJ44" s="56">
        <v>1368.95</v>
      </c>
      <c r="DK44" s="63"/>
      <c r="DL44" s="58"/>
      <c r="DM44" s="62"/>
      <c r="DN44" s="27"/>
      <c r="DO44" s="51"/>
      <c r="DP44" s="52"/>
      <c r="DQ44" s="52"/>
      <c r="DR44" s="53">
        <f>SUM(DM44:DQ44)</f>
        <v>0</v>
      </c>
      <c r="DT44" s="47">
        <v>45932</v>
      </c>
      <c r="DU44" s="56">
        <v>1749.41</v>
      </c>
      <c r="DV44" s="57">
        <v>799.04</v>
      </c>
      <c r="DW44" s="58"/>
      <c r="DX44" s="62"/>
      <c r="DY44" s="27"/>
      <c r="DZ44" s="32">
        <v>30.236080000000015</v>
      </c>
      <c r="EA44" s="32">
        <v>33.934229999999999</v>
      </c>
      <c r="EB44" s="44"/>
      <c r="EC44" s="53">
        <f>SUM(DX44:EB44)</f>
        <v>64.170310000000015</v>
      </c>
      <c r="EE44" s="47">
        <v>45932</v>
      </c>
      <c r="EF44" s="56">
        <v>6973.59</v>
      </c>
      <c r="EG44" s="57">
        <v>2245.2399999999998</v>
      </c>
      <c r="EH44" s="58"/>
      <c r="EI44" s="59">
        <v>20.51</v>
      </c>
      <c r="EJ44" s="27"/>
      <c r="EK44" s="32">
        <v>23.97</v>
      </c>
      <c r="EL44" s="52"/>
      <c r="EM44" s="52"/>
      <c r="EN44" s="53">
        <f>SUM(EI44:EM44)</f>
        <v>44.480000000000004</v>
      </c>
      <c r="EP44" s="47">
        <v>45932</v>
      </c>
      <c r="EQ44" s="64">
        <v>1114.07</v>
      </c>
      <c r="ER44" s="65">
        <v>848.18</v>
      </c>
      <c r="ES44" s="58"/>
      <c r="ET44" s="62"/>
      <c r="EU44" s="27"/>
      <c r="EV44" s="51"/>
      <c r="EW44" s="52"/>
      <c r="EX44" s="52"/>
      <c r="EY44" s="53">
        <f>SUM(ET44:EX44)</f>
        <v>0</v>
      </c>
    </row>
    <row r="45" spans="2:157" hidden="1" x14ac:dyDescent="0.25">
      <c r="B45" s="47">
        <v>45933</v>
      </c>
      <c r="C45" s="48">
        <v>18248.169999999998</v>
      </c>
      <c r="D45" s="49">
        <v>3732.96</v>
      </c>
      <c r="E45" s="50">
        <v>4814.1499999999996</v>
      </c>
      <c r="F45" s="91">
        <v>291.14</v>
      </c>
      <c r="G45" s="91"/>
      <c r="I45" s="51"/>
      <c r="J45" s="52"/>
      <c r="K45" s="52"/>
      <c r="L45" s="53">
        <f t="shared" si="28"/>
        <v>0</v>
      </c>
      <c r="N45" s="47">
        <v>45933</v>
      </c>
      <c r="O45" s="54">
        <v>4018.98</v>
      </c>
      <c r="P45" s="54">
        <v>594.17999999999995</v>
      </c>
      <c r="Q45" s="58"/>
      <c r="R45" s="55">
        <v>18.2</v>
      </c>
      <c r="S45" s="27"/>
      <c r="T45" s="32">
        <v>163.20473000000027</v>
      </c>
      <c r="U45" s="32"/>
      <c r="V45" s="52"/>
      <c r="W45" s="53">
        <f t="shared" si="29"/>
        <v>181.40473000000026</v>
      </c>
      <c r="Y45" s="47">
        <v>45933</v>
      </c>
      <c r="Z45" s="56">
        <v>4875.82</v>
      </c>
      <c r="AA45" s="57">
        <v>1219.7</v>
      </c>
      <c r="AB45" s="58"/>
      <c r="AC45" s="59">
        <v>186.2</v>
      </c>
      <c r="AD45" s="27"/>
      <c r="AE45" s="32">
        <v>183.42842999999999</v>
      </c>
      <c r="AF45" s="52"/>
      <c r="AG45" s="52"/>
      <c r="AH45" s="53">
        <f t="shared" si="30"/>
        <v>369.62842999999998</v>
      </c>
      <c r="AJ45" s="47">
        <v>45933</v>
      </c>
      <c r="AK45" s="56">
        <v>3023.75</v>
      </c>
      <c r="AL45" s="57">
        <v>681.81</v>
      </c>
      <c r="AM45" s="58"/>
      <c r="AN45" s="60"/>
      <c r="AO45" s="27"/>
      <c r="AP45" s="51"/>
      <c r="AQ45" s="52"/>
      <c r="AR45" s="52"/>
      <c r="AS45" s="53">
        <f t="shared" si="31"/>
        <v>0</v>
      </c>
      <c r="AU45" s="47">
        <v>45933</v>
      </c>
      <c r="AV45" s="57">
        <v>241.01</v>
      </c>
      <c r="AW45" s="57">
        <v>32.049999999999997</v>
      </c>
      <c r="AX45" s="58"/>
      <c r="AY45" s="59"/>
      <c r="AZ45" s="27"/>
      <c r="BA45" s="32">
        <v>458.92299200000036</v>
      </c>
      <c r="BB45" s="52"/>
      <c r="BC45" s="52"/>
      <c r="BD45" s="53">
        <f t="shared" ref="BD45:BD73" si="32">SUM(AY45:BC45)</f>
        <v>458.92299200000036</v>
      </c>
      <c r="BF45" s="47">
        <v>45933</v>
      </c>
      <c r="BG45" s="56">
        <v>4288.2700000000004</v>
      </c>
      <c r="BH45" s="57">
        <v>1061.3800000000001</v>
      </c>
      <c r="BI45" s="58"/>
      <c r="BJ45" s="59">
        <v>11.75</v>
      </c>
      <c r="BK45" s="27"/>
      <c r="BL45" s="32">
        <v>286.03525999999994</v>
      </c>
      <c r="BM45" s="33">
        <v>94.433019999999956</v>
      </c>
      <c r="BN45" s="52"/>
      <c r="BO45" s="53">
        <f t="shared" ref="BO45:BO73" si="33">SUM(BJ45:BN45)</f>
        <v>392.21827999999988</v>
      </c>
      <c r="BQ45" s="47">
        <v>45933</v>
      </c>
      <c r="BR45" s="57">
        <v>1094.73</v>
      </c>
      <c r="BS45" s="57">
        <v>731.83</v>
      </c>
      <c r="BT45" s="58"/>
      <c r="BU45" s="61"/>
      <c r="BV45" s="27"/>
      <c r="BW45" s="51"/>
      <c r="BX45" s="52"/>
      <c r="BY45" s="52"/>
      <c r="BZ45" s="53">
        <f t="shared" ref="BZ45:BZ73" si="34">SUM(BU45:BY45)</f>
        <v>0</v>
      </c>
      <c r="CB45" s="47">
        <v>45933</v>
      </c>
      <c r="CC45" s="56">
        <v>21484.34</v>
      </c>
      <c r="CD45" s="57">
        <v>2509.5100000000002</v>
      </c>
      <c r="CE45" s="58"/>
      <c r="CF45" s="60"/>
      <c r="CG45" s="27"/>
      <c r="CH45" s="51"/>
      <c r="CI45" s="52"/>
      <c r="CJ45" s="52"/>
      <c r="CK45" s="53">
        <f t="shared" ref="CK45:CK73" si="35">SUM(CF45:CJ45)</f>
        <v>0</v>
      </c>
      <c r="CM45" s="47">
        <v>45933</v>
      </c>
      <c r="CN45" s="56">
        <v>11087.41</v>
      </c>
      <c r="CO45" s="57">
        <v>1973.29</v>
      </c>
      <c r="CP45" s="58"/>
      <c r="CQ45" s="62"/>
      <c r="CR45" s="27"/>
      <c r="CS45" s="32">
        <v>112.06807999999998</v>
      </c>
      <c r="CT45" s="42">
        <v>362.21848999999986</v>
      </c>
      <c r="CU45" s="52"/>
      <c r="CV45" s="53">
        <f t="shared" ref="CV45:CV73" si="36">SUM(CQ45:CU45)</f>
        <v>474.28656999999987</v>
      </c>
      <c r="CX45" s="47">
        <v>45933</v>
      </c>
      <c r="CY45" s="56">
        <v>3518.86</v>
      </c>
      <c r="CZ45" s="57">
        <v>890.5</v>
      </c>
      <c r="DA45" s="58"/>
      <c r="DB45" s="59"/>
      <c r="DC45" s="27"/>
      <c r="DD45" s="32">
        <v>125.796694</v>
      </c>
      <c r="DE45" s="32">
        <v>9.2290820000000906</v>
      </c>
      <c r="DF45" s="52"/>
      <c r="DG45" s="53">
        <f t="shared" ref="DG45:DG73" si="37">SUM(DB45:DF45)</f>
        <v>135.02577600000009</v>
      </c>
      <c r="DI45" s="47">
        <v>45933</v>
      </c>
      <c r="DJ45" s="56">
        <v>1541.09</v>
      </c>
      <c r="DK45" s="63"/>
      <c r="DL45" s="58"/>
      <c r="DM45" s="62"/>
      <c r="DN45" s="27"/>
      <c r="DO45" s="51"/>
      <c r="DP45" s="52"/>
      <c r="DQ45" s="52"/>
      <c r="DR45" s="53">
        <f t="shared" ref="DR45:DR73" si="38">SUM(DM45:DQ45)</f>
        <v>0</v>
      </c>
      <c r="DT45" s="47">
        <v>45933</v>
      </c>
      <c r="DU45" s="56">
        <v>1586.53</v>
      </c>
      <c r="DV45" s="57">
        <v>230.23</v>
      </c>
      <c r="DW45" s="58"/>
      <c r="DX45" s="62"/>
      <c r="DY45" s="27"/>
      <c r="DZ45" s="32">
        <v>90.020479999999964</v>
      </c>
      <c r="EA45" s="32"/>
      <c r="EB45" s="44"/>
      <c r="EC45" s="53">
        <f t="shared" ref="EC45:EC73" si="39">SUM(DX45:EB45)</f>
        <v>90.020479999999964</v>
      </c>
      <c r="EE45" s="47">
        <v>45933</v>
      </c>
      <c r="EF45" s="56">
        <v>7643.46</v>
      </c>
      <c r="EG45" s="57">
        <v>1764.45</v>
      </c>
      <c r="EH45" s="58"/>
      <c r="EI45" s="59">
        <v>137.69999999999999</v>
      </c>
      <c r="EJ45" s="27"/>
      <c r="EK45" s="32">
        <v>23.352420000000023</v>
      </c>
      <c r="EL45" s="52"/>
      <c r="EM45" s="52"/>
      <c r="EN45" s="53">
        <f t="shared" ref="EN45:EN73" si="40">SUM(EI45:EM45)</f>
        <v>161.05242000000001</v>
      </c>
      <c r="EP45" s="47">
        <v>45933</v>
      </c>
      <c r="EQ45" s="64">
        <v>977.6</v>
      </c>
      <c r="ER45" s="56">
        <v>823.13</v>
      </c>
      <c r="ES45" s="58"/>
      <c r="ET45" s="62"/>
      <c r="EU45" s="27"/>
      <c r="EV45" s="51"/>
      <c r="EW45" s="52"/>
      <c r="EX45" s="52"/>
      <c r="EY45" s="53">
        <f t="shared" ref="EY45:EY73" si="41">SUM(ET45:EX45)</f>
        <v>0</v>
      </c>
    </row>
    <row r="46" spans="2:157" hidden="1" x14ac:dyDescent="0.25">
      <c r="B46" s="47">
        <v>45934</v>
      </c>
      <c r="C46" s="48">
        <v>18854.46</v>
      </c>
      <c r="D46" s="49">
        <v>3542.79</v>
      </c>
      <c r="E46" s="50">
        <v>3570.33</v>
      </c>
      <c r="F46" s="91">
        <v>230.93</v>
      </c>
      <c r="G46" s="91"/>
      <c r="I46" s="51"/>
      <c r="J46" s="52"/>
      <c r="K46" s="52"/>
      <c r="L46" s="53">
        <f t="shared" si="28"/>
        <v>0</v>
      </c>
      <c r="N46" s="47">
        <v>45934</v>
      </c>
      <c r="O46" s="54">
        <v>3324.92</v>
      </c>
      <c r="P46" s="54">
        <v>453.98</v>
      </c>
      <c r="Q46" s="58"/>
      <c r="R46" s="55"/>
      <c r="S46" s="27"/>
      <c r="T46" s="32">
        <v>43.818710000000038</v>
      </c>
      <c r="U46" s="32"/>
      <c r="V46" s="52"/>
      <c r="W46" s="53">
        <f t="shared" si="29"/>
        <v>43.818710000000038</v>
      </c>
      <c r="Y46" s="47">
        <v>45934</v>
      </c>
      <c r="Z46" s="56">
        <v>8058.5</v>
      </c>
      <c r="AA46" s="57">
        <v>1478.89</v>
      </c>
      <c r="AB46" s="58"/>
      <c r="AC46" s="59">
        <v>107.29</v>
      </c>
      <c r="AD46" s="27"/>
      <c r="AE46" s="32">
        <v>43.698356000000018</v>
      </c>
      <c r="AF46" s="52"/>
      <c r="AG46" s="52"/>
      <c r="AH46" s="53">
        <f t="shared" si="30"/>
        <v>150.98835600000001</v>
      </c>
      <c r="AJ46" s="47">
        <v>45934</v>
      </c>
      <c r="AK46" s="56">
        <v>3393.29</v>
      </c>
      <c r="AL46" s="57">
        <v>440.78</v>
      </c>
      <c r="AM46" s="58"/>
      <c r="AN46" s="60"/>
      <c r="AO46" s="27"/>
      <c r="AP46" s="51"/>
      <c r="AQ46" s="52"/>
      <c r="AR46" s="52"/>
      <c r="AS46" s="53">
        <f t="shared" si="31"/>
        <v>0</v>
      </c>
      <c r="AU46" s="47">
        <v>45934</v>
      </c>
      <c r="AV46" s="57">
        <v>331.43</v>
      </c>
      <c r="AW46" s="57">
        <v>126</v>
      </c>
      <c r="AX46" s="58"/>
      <c r="AY46" s="59"/>
      <c r="AZ46" s="27"/>
      <c r="BA46" s="32">
        <v>162.66829899999999</v>
      </c>
      <c r="BB46" s="52"/>
      <c r="BC46" s="52"/>
      <c r="BD46" s="53">
        <f t="shared" si="32"/>
        <v>162.66829899999999</v>
      </c>
      <c r="BF46" s="47">
        <v>45934</v>
      </c>
      <c r="BG46" s="56">
        <v>5336.24</v>
      </c>
      <c r="BH46" s="57">
        <v>632.91</v>
      </c>
      <c r="BI46" s="58"/>
      <c r="BJ46" s="59">
        <v>33.07</v>
      </c>
      <c r="BK46" s="27"/>
      <c r="BL46" s="32">
        <v>141.09098</v>
      </c>
      <c r="BM46" s="33">
        <v>62.924139999999994</v>
      </c>
      <c r="BN46" s="52"/>
      <c r="BO46" s="53">
        <f t="shared" si="33"/>
        <v>237.08511999999999</v>
      </c>
      <c r="BQ46" s="47">
        <v>45934</v>
      </c>
      <c r="BR46" s="57">
        <v>1075.42</v>
      </c>
      <c r="BS46" s="57">
        <v>775.29</v>
      </c>
      <c r="BT46" s="58"/>
      <c r="BU46" s="61"/>
      <c r="BV46" s="27"/>
      <c r="BW46" s="51"/>
      <c r="BX46" s="52"/>
      <c r="BY46" s="52"/>
      <c r="BZ46" s="53">
        <f t="shared" si="34"/>
        <v>0</v>
      </c>
      <c r="CB46" s="47">
        <v>45934</v>
      </c>
      <c r="CC46" s="56">
        <v>24043.97</v>
      </c>
      <c r="CD46" s="57">
        <v>2810.77</v>
      </c>
      <c r="CE46" s="58"/>
      <c r="CF46" s="60"/>
      <c r="CG46" s="27"/>
      <c r="CH46" s="51"/>
      <c r="CI46" s="52"/>
      <c r="CJ46" s="52"/>
      <c r="CK46" s="53">
        <f t="shared" si="35"/>
        <v>0</v>
      </c>
      <c r="CM46" s="47">
        <v>45934</v>
      </c>
      <c r="CN46" s="56">
        <v>7338.17</v>
      </c>
      <c r="CO46" s="57">
        <v>1802.71</v>
      </c>
      <c r="CP46" s="58"/>
      <c r="CQ46" s="62"/>
      <c r="CR46" s="27"/>
      <c r="CS46" s="32">
        <v>142.74545999999992</v>
      </c>
      <c r="CT46" s="42">
        <v>52.044509999999988</v>
      </c>
      <c r="CU46" s="52"/>
      <c r="CV46" s="53">
        <f t="shared" si="36"/>
        <v>194.78996999999993</v>
      </c>
      <c r="CX46" s="47">
        <v>45934</v>
      </c>
      <c r="CY46" s="56">
        <v>7843.24</v>
      </c>
      <c r="CZ46" s="57">
        <v>559.59</v>
      </c>
      <c r="DA46" s="58"/>
      <c r="DB46" s="59"/>
      <c r="DC46" s="27"/>
      <c r="DD46" s="32">
        <v>246.89842800000002</v>
      </c>
      <c r="DE46" s="32">
        <v>4.550254000000038</v>
      </c>
      <c r="DF46" s="52"/>
      <c r="DG46" s="53">
        <f t="shared" si="37"/>
        <v>251.44868200000008</v>
      </c>
      <c r="DI46" s="47">
        <v>45934</v>
      </c>
      <c r="DJ46" s="56">
        <v>1872.69</v>
      </c>
      <c r="DK46" s="63"/>
      <c r="DL46" s="58"/>
      <c r="DM46" s="62"/>
      <c r="DN46" s="27"/>
      <c r="DO46" s="51"/>
      <c r="DP46" s="52"/>
      <c r="DQ46" s="52"/>
      <c r="DR46" s="53">
        <f t="shared" si="38"/>
        <v>0</v>
      </c>
      <c r="DT46" s="47">
        <v>45934</v>
      </c>
      <c r="DU46" s="56">
        <v>1459.28</v>
      </c>
      <c r="DV46" s="57">
        <v>301.26</v>
      </c>
      <c r="DW46" s="58"/>
      <c r="DX46" s="62"/>
      <c r="DY46" s="27"/>
      <c r="DZ46" s="32">
        <v>53.737959999999958</v>
      </c>
      <c r="EA46" s="32">
        <v>318.14326000000005</v>
      </c>
      <c r="EB46" s="44"/>
      <c r="EC46" s="53">
        <f t="shared" si="39"/>
        <v>371.88121999999998</v>
      </c>
      <c r="EE46" s="47">
        <v>45934</v>
      </c>
      <c r="EF46" s="56">
        <v>6067.62</v>
      </c>
      <c r="EG46" s="57">
        <v>1482.35</v>
      </c>
      <c r="EH46" s="58"/>
      <c r="EI46" s="59">
        <v>89.17</v>
      </c>
      <c r="EJ46" s="27"/>
      <c r="EK46" s="32"/>
      <c r="EL46" s="52"/>
      <c r="EM46" s="52"/>
      <c r="EN46" s="53">
        <f t="shared" si="40"/>
        <v>89.17</v>
      </c>
      <c r="EP46" s="47">
        <v>45934</v>
      </c>
      <c r="EQ46" s="64">
        <v>2005.12</v>
      </c>
      <c r="ER46" s="56">
        <v>873.44</v>
      </c>
      <c r="ES46" s="58"/>
      <c r="ET46" s="62"/>
      <c r="EU46" s="27"/>
      <c r="EV46" s="51"/>
      <c r="EW46" s="52"/>
      <c r="EX46" s="52"/>
      <c r="EY46" s="53">
        <f t="shared" si="41"/>
        <v>0</v>
      </c>
    </row>
    <row r="47" spans="2:157" hidden="1" x14ac:dyDescent="0.25">
      <c r="B47" s="47">
        <v>45935</v>
      </c>
      <c r="C47" s="48">
        <v>15430.42</v>
      </c>
      <c r="D47" s="49">
        <v>3492.85</v>
      </c>
      <c r="E47" s="50">
        <v>2251.7800000000002</v>
      </c>
      <c r="F47" s="91">
        <v>139.19</v>
      </c>
      <c r="G47" s="91"/>
      <c r="I47" s="51"/>
      <c r="J47" s="52"/>
      <c r="K47" s="52"/>
      <c r="L47" s="53">
        <f t="shared" si="28"/>
        <v>0</v>
      </c>
      <c r="N47" s="47">
        <v>45935</v>
      </c>
      <c r="O47" s="54">
        <v>4434.3500000000004</v>
      </c>
      <c r="P47" s="54">
        <v>432.51</v>
      </c>
      <c r="Q47" s="58"/>
      <c r="R47" s="55">
        <v>34.799999999999997</v>
      </c>
      <c r="S47" s="27"/>
      <c r="T47" s="32">
        <v>250.49822000000015</v>
      </c>
      <c r="U47" s="32"/>
      <c r="V47" s="52"/>
      <c r="W47" s="53">
        <f t="shared" si="29"/>
        <v>285.29822000000013</v>
      </c>
      <c r="Y47" s="47">
        <v>45935</v>
      </c>
      <c r="Z47" s="56">
        <v>6567.54</v>
      </c>
      <c r="AA47" s="57">
        <v>1572.74</v>
      </c>
      <c r="AB47" s="58"/>
      <c r="AC47" s="59">
        <v>330.74</v>
      </c>
      <c r="AD47" s="27"/>
      <c r="AE47" s="32"/>
      <c r="AF47" s="52"/>
      <c r="AG47" s="52"/>
      <c r="AH47" s="53">
        <f t="shared" si="30"/>
        <v>330.74</v>
      </c>
      <c r="AJ47" s="47">
        <v>45935</v>
      </c>
      <c r="AK47" s="56">
        <v>2374.0700000000002</v>
      </c>
      <c r="AL47" s="57">
        <v>233.35</v>
      </c>
      <c r="AM47" s="58"/>
      <c r="AN47" s="60"/>
      <c r="AO47" s="27"/>
      <c r="AP47" s="51"/>
      <c r="AQ47" s="52"/>
      <c r="AR47" s="52"/>
      <c r="AS47" s="53">
        <f t="shared" si="31"/>
        <v>0</v>
      </c>
      <c r="AU47" s="47">
        <v>45935</v>
      </c>
      <c r="AV47" s="57">
        <v>478.2</v>
      </c>
      <c r="AW47" s="57">
        <v>52</v>
      </c>
      <c r="AX47" s="58"/>
      <c r="AY47" s="59">
        <v>106.6</v>
      </c>
      <c r="AZ47" s="27"/>
      <c r="BA47" s="32">
        <v>177.91346700000008</v>
      </c>
      <c r="BB47" s="52"/>
      <c r="BC47" s="52"/>
      <c r="BD47" s="53">
        <f t="shared" si="32"/>
        <v>284.51346700000011</v>
      </c>
      <c r="BF47" s="47">
        <v>45935</v>
      </c>
      <c r="BG47" s="56">
        <v>3524.07</v>
      </c>
      <c r="BH47" s="57">
        <v>729.21</v>
      </c>
      <c r="BI47" s="58"/>
      <c r="BJ47" s="59">
        <v>41.48</v>
      </c>
      <c r="BK47" s="27"/>
      <c r="BL47" s="32">
        <v>248.95211999999992</v>
      </c>
      <c r="BM47" s="33"/>
      <c r="BN47" s="52"/>
      <c r="BO47" s="53">
        <f t="shared" si="33"/>
        <v>290.43211999999994</v>
      </c>
      <c r="BQ47" s="47">
        <v>45935</v>
      </c>
      <c r="BR47" s="57">
        <v>651.83000000000004</v>
      </c>
      <c r="BS47" s="57">
        <v>412.37</v>
      </c>
      <c r="BT47" s="58"/>
      <c r="BU47" s="61"/>
      <c r="BV47" s="27"/>
      <c r="BW47" s="51"/>
      <c r="BX47" s="52"/>
      <c r="BY47" s="52"/>
      <c r="BZ47" s="53">
        <f t="shared" si="34"/>
        <v>0</v>
      </c>
      <c r="CB47" s="47">
        <v>45935</v>
      </c>
      <c r="CC47" s="56">
        <v>20399.689999999999</v>
      </c>
      <c r="CD47" s="57">
        <v>2205.5500000000002</v>
      </c>
      <c r="CE47" s="58"/>
      <c r="CF47" s="60"/>
      <c r="CG47" s="27"/>
      <c r="CH47" s="51"/>
      <c r="CI47" s="52"/>
      <c r="CJ47" s="52"/>
      <c r="CK47" s="53">
        <f t="shared" si="35"/>
        <v>0</v>
      </c>
      <c r="CM47" s="47">
        <v>45935</v>
      </c>
      <c r="CN47" s="56">
        <v>3728.8</v>
      </c>
      <c r="CO47" s="57">
        <v>797.11</v>
      </c>
      <c r="CP47" s="58"/>
      <c r="CQ47" s="62"/>
      <c r="CR47" s="27"/>
      <c r="CS47" s="32">
        <v>49.969949999999955</v>
      </c>
      <c r="CT47" s="42"/>
      <c r="CU47" s="52"/>
      <c r="CV47" s="53">
        <f t="shared" si="36"/>
        <v>49.969949999999955</v>
      </c>
      <c r="CX47" s="47">
        <v>45935</v>
      </c>
      <c r="CY47" s="56">
        <v>3070.38</v>
      </c>
      <c r="CZ47" s="57">
        <v>808.54</v>
      </c>
      <c r="DA47" s="58"/>
      <c r="DB47" s="59"/>
      <c r="DC47" s="27"/>
      <c r="DD47" s="32">
        <v>69.060263999999961</v>
      </c>
      <c r="DE47" s="32"/>
      <c r="DF47" s="52"/>
      <c r="DG47" s="53">
        <f t="shared" si="37"/>
        <v>69.060263999999961</v>
      </c>
      <c r="DI47" s="47">
        <v>45935</v>
      </c>
      <c r="DJ47" s="56">
        <v>1357.87</v>
      </c>
      <c r="DK47" s="63"/>
      <c r="DL47" s="58"/>
      <c r="DM47" s="62"/>
      <c r="DN47" s="27"/>
      <c r="DO47" s="51"/>
      <c r="DP47" s="52"/>
      <c r="DQ47" s="52"/>
      <c r="DR47" s="53">
        <f t="shared" si="38"/>
        <v>0</v>
      </c>
      <c r="DT47" s="47">
        <v>45935</v>
      </c>
      <c r="DU47" s="56">
        <v>1119.3</v>
      </c>
      <c r="DV47" s="57">
        <v>411.72</v>
      </c>
      <c r="DW47" s="58"/>
      <c r="DX47" s="62"/>
      <c r="DY47" s="27"/>
      <c r="DZ47" s="32">
        <v>22.239599999999967</v>
      </c>
      <c r="EA47" s="32"/>
      <c r="EB47" s="44"/>
      <c r="EC47" s="53">
        <f t="shared" si="39"/>
        <v>22.239599999999967</v>
      </c>
      <c r="EE47" s="47">
        <v>45935</v>
      </c>
      <c r="EF47" s="56">
        <v>3686.82</v>
      </c>
      <c r="EG47" s="57">
        <v>1069.26</v>
      </c>
      <c r="EH47" s="58"/>
      <c r="EI47" s="59">
        <v>63.54</v>
      </c>
      <c r="EJ47" s="27"/>
      <c r="EK47" s="32"/>
      <c r="EL47" s="52"/>
      <c r="EM47" s="52"/>
      <c r="EN47" s="53">
        <f t="shared" si="40"/>
        <v>63.54</v>
      </c>
      <c r="EP47" s="47">
        <v>45935</v>
      </c>
      <c r="EQ47" s="64">
        <v>262.99</v>
      </c>
      <c r="ER47" s="56">
        <v>892.94</v>
      </c>
      <c r="ES47" s="58"/>
      <c r="ET47" s="62"/>
      <c r="EU47" s="27"/>
      <c r="EV47" s="51"/>
      <c r="EW47" s="52"/>
      <c r="EX47" s="52"/>
      <c r="EY47" s="53">
        <f t="shared" si="41"/>
        <v>0</v>
      </c>
    </row>
    <row r="48" spans="2:157" hidden="1" x14ac:dyDescent="0.25">
      <c r="B48" s="47">
        <v>45936</v>
      </c>
      <c r="C48" s="48">
        <v>15171.95</v>
      </c>
      <c r="D48" s="49">
        <v>2550.38</v>
      </c>
      <c r="E48" s="50">
        <v>3210.22</v>
      </c>
      <c r="F48" s="91">
        <v>271.81</v>
      </c>
      <c r="G48" s="91"/>
      <c r="I48" s="51"/>
      <c r="J48" s="52">
        <v>6.5042000000000009</v>
      </c>
      <c r="K48" s="52"/>
      <c r="L48" s="53">
        <f t="shared" si="28"/>
        <v>6.5042000000000009</v>
      </c>
      <c r="N48" s="47">
        <v>45936</v>
      </c>
      <c r="O48" s="54">
        <v>2881.44</v>
      </c>
      <c r="P48" s="54">
        <v>423.32</v>
      </c>
      <c r="Q48" s="58"/>
      <c r="R48" s="55"/>
      <c r="S48" s="27"/>
      <c r="T48" s="32">
        <v>45.232940000000006</v>
      </c>
      <c r="U48" s="32"/>
      <c r="V48" s="52"/>
      <c r="W48" s="53">
        <f t="shared" si="29"/>
        <v>45.232940000000006</v>
      </c>
      <c r="Y48" s="47">
        <v>45936</v>
      </c>
      <c r="Z48" s="56">
        <v>6439.52</v>
      </c>
      <c r="AA48" s="57">
        <v>1340.46</v>
      </c>
      <c r="AB48" s="58"/>
      <c r="AC48" s="59">
        <v>278.35000000000002</v>
      </c>
      <c r="AD48" s="27"/>
      <c r="AE48" s="32"/>
      <c r="AF48" s="52"/>
      <c r="AG48" s="52"/>
      <c r="AH48" s="53">
        <f t="shared" si="30"/>
        <v>278.35000000000002</v>
      </c>
      <c r="AJ48" s="47">
        <v>45936</v>
      </c>
      <c r="AK48" s="56">
        <v>2214.9699999999998</v>
      </c>
      <c r="AL48" s="57">
        <v>413.06</v>
      </c>
      <c r="AM48" s="58"/>
      <c r="AN48" s="60"/>
      <c r="AO48" s="27"/>
      <c r="AP48" s="51"/>
      <c r="AQ48" s="52"/>
      <c r="AR48" s="52"/>
      <c r="AS48" s="53">
        <f t="shared" si="31"/>
        <v>0</v>
      </c>
      <c r="AU48" s="47">
        <v>45936</v>
      </c>
      <c r="AV48" s="57">
        <v>759</v>
      </c>
      <c r="AW48" s="57">
        <v>48.78</v>
      </c>
      <c r="AX48" s="58"/>
      <c r="AY48" s="59"/>
      <c r="AZ48" s="27"/>
      <c r="BA48" s="32">
        <v>340.5406870000001</v>
      </c>
      <c r="BB48" s="52">
        <v>17.939558000000005</v>
      </c>
      <c r="BC48" s="52"/>
      <c r="BD48" s="53">
        <f t="shared" si="32"/>
        <v>358.48024500000008</v>
      </c>
      <c r="BF48" s="47">
        <v>45936</v>
      </c>
      <c r="BG48" s="56">
        <v>3724.24</v>
      </c>
      <c r="BH48" s="57">
        <v>675.78</v>
      </c>
      <c r="BI48" s="58"/>
      <c r="BJ48" s="59"/>
      <c r="BK48" s="27"/>
      <c r="BL48" s="32">
        <v>350.08971899999995</v>
      </c>
      <c r="BM48" s="33">
        <v>51.681969999999993</v>
      </c>
      <c r="BN48" s="52"/>
      <c r="BO48" s="53">
        <f t="shared" si="33"/>
        <v>401.77168899999992</v>
      </c>
      <c r="BQ48" s="47">
        <v>45936</v>
      </c>
      <c r="BR48" s="57">
        <v>813</v>
      </c>
      <c r="BS48" s="57">
        <v>345.02</v>
      </c>
      <c r="BT48" s="58"/>
      <c r="BU48" s="61">
        <v>40</v>
      </c>
      <c r="BV48" s="27"/>
      <c r="BW48" s="51"/>
      <c r="BX48" s="52"/>
      <c r="BY48" s="52"/>
      <c r="BZ48" s="53">
        <f t="shared" si="34"/>
        <v>40</v>
      </c>
      <c r="CB48" s="47">
        <v>45936</v>
      </c>
      <c r="CC48" s="56">
        <v>15793.42</v>
      </c>
      <c r="CD48" s="57">
        <v>1202.5</v>
      </c>
      <c r="CE48" s="58"/>
      <c r="CF48" s="60"/>
      <c r="CG48" s="27"/>
      <c r="CH48" s="51"/>
      <c r="CI48" s="52"/>
      <c r="CJ48" s="52"/>
      <c r="CK48" s="53">
        <f t="shared" si="35"/>
        <v>0</v>
      </c>
      <c r="CM48" s="47">
        <v>45936</v>
      </c>
      <c r="CN48" s="56">
        <v>9452.9500000000007</v>
      </c>
      <c r="CO48" s="57">
        <v>1853.21</v>
      </c>
      <c r="CP48" s="58"/>
      <c r="CQ48" s="62"/>
      <c r="CR48" s="27"/>
      <c r="CS48" s="32">
        <v>23.58</v>
      </c>
      <c r="CT48" s="42">
        <v>347.14768999999984</v>
      </c>
      <c r="CU48" s="52"/>
      <c r="CV48" s="53">
        <f t="shared" si="36"/>
        <v>370.72768999999982</v>
      </c>
      <c r="CX48" s="47">
        <v>45936</v>
      </c>
      <c r="CY48" s="56">
        <v>7261.5</v>
      </c>
      <c r="CZ48" s="57">
        <v>815.27</v>
      </c>
      <c r="DA48" s="58"/>
      <c r="DB48" s="59"/>
      <c r="DC48" s="27"/>
      <c r="DD48" s="32">
        <v>187.54220099999986</v>
      </c>
      <c r="DE48" s="32">
        <v>6.6996130000000562</v>
      </c>
      <c r="DF48" s="52"/>
      <c r="DG48" s="53">
        <f t="shared" si="37"/>
        <v>194.24181399999992</v>
      </c>
      <c r="DI48" s="47">
        <v>45936</v>
      </c>
      <c r="DJ48" s="56">
        <v>2374.16</v>
      </c>
      <c r="DK48" s="63"/>
      <c r="DL48" s="58"/>
      <c r="DM48" s="62"/>
      <c r="DN48" s="27"/>
      <c r="DO48" s="51"/>
      <c r="DP48" s="52"/>
      <c r="DQ48" s="52"/>
      <c r="DR48" s="53">
        <f t="shared" si="38"/>
        <v>0</v>
      </c>
      <c r="DT48" s="47">
        <v>45936</v>
      </c>
      <c r="DU48" s="56">
        <v>1079.2</v>
      </c>
      <c r="DV48" s="57">
        <v>235</v>
      </c>
      <c r="DW48" s="58"/>
      <c r="DX48" s="62"/>
      <c r="DY48" s="27"/>
      <c r="DZ48" s="32">
        <v>38.997559999999979</v>
      </c>
      <c r="EA48" s="32">
        <v>12.561179999999979</v>
      </c>
      <c r="EB48" s="44"/>
      <c r="EC48" s="53">
        <f t="shared" si="39"/>
        <v>51.558739999999958</v>
      </c>
      <c r="EE48" s="47">
        <v>45936</v>
      </c>
      <c r="EF48" s="56">
        <v>6226.34</v>
      </c>
      <c r="EG48" s="57">
        <v>1487.96</v>
      </c>
      <c r="EH48" s="58"/>
      <c r="EI48" s="59">
        <v>169.44</v>
      </c>
      <c r="EJ48" s="27"/>
      <c r="EK48" s="32"/>
      <c r="EL48" s="52"/>
      <c r="EM48" s="52"/>
      <c r="EN48" s="53">
        <f t="shared" si="40"/>
        <v>169.44</v>
      </c>
      <c r="EP48" s="47">
        <v>45936</v>
      </c>
      <c r="EQ48" s="64">
        <v>768.75</v>
      </c>
      <c r="ER48" s="56">
        <v>552.64</v>
      </c>
      <c r="ES48" s="58"/>
      <c r="ET48" s="62"/>
      <c r="EU48" s="27"/>
      <c r="EV48" s="51"/>
      <c r="EW48" s="52"/>
      <c r="EX48" s="52"/>
      <c r="EY48" s="53">
        <f t="shared" si="41"/>
        <v>0</v>
      </c>
    </row>
    <row r="49" spans="2:155" hidden="1" x14ac:dyDescent="0.25">
      <c r="B49" s="47">
        <v>45937</v>
      </c>
      <c r="C49" s="48">
        <v>16121.21</v>
      </c>
      <c r="D49" s="49">
        <v>2583.29</v>
      </c>
      <c r="E49" s="50">
        <v>2369</v>
      </c>
      <c r="F49" s="91">
        <v>270.94</v>
      </c>
      <c r="G49" s="91"/>
      <c r="I49" s="51"/>
      <c r="J49" s="52"/>
      <c r="K49" s="52"/>
      <c r="L49" s="53">
        <f t="shared" si="28"/>
        <v>0</v>
      </c>
      <c r="N49" s="47">
        <v>45937</v>
      </c>
      <c r="O49" s="54">
        <v>3109.54</v>
      </c>
      <c r="P49" s="54">
        <v>266</v>
      </c>
      <c r="Q49" s="58"/>
      <c r="R49" s="55"/>
      <c r="S49" s="27"/>
      <c r="T49" s="32">
        <v>166.50750999999991</v>
      </c>
      <c r="U49" s="32"/>
      <c r="V49" s="52"/>
      <c r="W49" s="53">
        <f t="shared" si="29"/>
        <v>166.50750999999991</v>
      </c>
      <c r="Y49" s="47">
        <v>45937</v>
      </c>
      <c r="Z49" s="56">
        <v>6003.64</v>
      </c>
      <c r="AA49" s="57">
        <v>1379.16</v>
      </c>
      <c r="AB49" s="58"/>
      <c r="AC49" s="59">
        <v>145.97999999999999</v>
      </c>
      <c r="AD49" s="27"/>
      <c r="AE49" s="32">
        <v>137.39489099999994</v>
      </c>
      <c r="AF49" s="52"/>
      <c r="AG49" s="52"/>
      <c r="AH49" s="53">
        <f t="shared" si="30"/>
        <v>283.37489099999993</v>
      </c>
      <c r="AJ49" s="47">
        <v>45937</v>
      </c>
      <c r="AK49" s="56">
        <v>3769.84</v>
      </c>
      <c r="AL49" s="57">
        <v>644.20000000000005</v>
      </c>
      <c r="AM49" s="58"/>
      <c r="AN49" s="60"/>
      <c r="AO49" s="27"/>
      <c r="AP49" s="51"/>
      <c r="AQ49" s="52"/>
      <c r="AR49" s="52"/>
      <c r="AS49" s="53">
        <f t="shared" si="31"/>
        <v>0</v>
      </c>
      <c r="AU49" s="47">
        <v>45937</v>
      </c>
      <c r="AV49" s="57">
        <v>394</v>
      </c>
      <c r="AW49" s="57">
        <v>38.9</v>
      </c>
      <c r="AX49" s="58"/>
      <c r="AY49" s="59">
        <v>240.5</v>
      </c>
      <c r="AZ49" s="27"/>
      <c r="BA49" s="32">
        <v>200.79509099999984</v>
      </c>
      <c r="BB49" s="52"/>
      <c r="BC49" s="52"/>
      <c r="BD49" s="53">
        <f t="shared" si="32"/>
        <v>441.29509099999984</v>
      </c>
      <c r="BF49" s="47">
        <v>45937</v>
      </c>
      <c r="BG49" s="56">
        <v>3986.25</v>
      </c>
      <c r="BH49" s="57">
        <v>887</v>
      </c>
      <c r="BI49" s="58"/>
      <c r="BJ49" s="59">
        <v>14.69</v>
      </c>
      <c r="BK49" s="27"/>
      <c r="BL49" s="32">
        <v>233.36010099999993</v>
      </c>
      <c r="BM49" s="33">
        <v>67.964929999999967</v>
      </c>
      <c r="BN49" s="52"/>
      <c r="BO49" s="53">
        <f t="shared" si="33"/>
        <v>316.01503099999991</v>
      </c>
      <c r="BQ49" s="47">
        <v>45937</v>
      </c>
      <c r="BR49" s="57">
        <v>1042.8699999999999</v>
      </c>
      <c r="BS49" s="57">
        <v>510.99</v>
      </c>
      <c r="BT49" s="58"/>
      <c r="BU49" s="61"/>
      <c r="BV49" s="27"/>
      <c r="BW49" s="51"/>
      <c r="BX49" s="52"/>
      <c r="BY49" s="52"/>
      <c r="BZ49" s="53">
        <f t="shared" si="34"/>
        <v>0</v>
      </c>
      <c r="CB49" s="47">
        <v>45937</v>
      </c>
      <c r="CC49" s="56">
        <v>17073.16</v>
      </c>
      <c r="CD49" s="57">
        <v>2032.8</v>
      </c>
      <c r="CE49" s="58"/>
      <c r="CF49" s="60"/>
      <c r="CG49" s="27"/>
      <c r="CH49" s="51"/>
      <c r="CI49" s="52"/>
      <c r="CJ49" s="52"/>
      <c r="CK49" s="53">
        <f t="shared" si="35"/>
        <v>0</v>
      </c>
      <c r="CM49" s="47">
        <v>45937</v>
      </c>
      <c r="CN49" s="56">
        <v>9232.6299999999992</v>
      </c>
      <c r="CO49" s="57">
        <v>1844.18</v>
      </c>
      <c r="CP49" s="58"/>
      <c r="CQ49" s="62"/>
      <c r="CR49" s="27"/>
      <c r="CS49" s="32">
        <v>89.716859999999969</v>
      </c>
      <c r="CT49" s="42">
        <v>147.30814999999998</v>
      </c>
      <c r="CU49" s="52"/>
      <c r="CV49" s="53">
        <f t="shared" si="36"/>
        <v>237.02500999999995</v>
      </c>
      <c r="CX49" s="47">
        <v>45937</v>
      </c>
      <c r="CY49" s="56">
        <v>2809.94</v>
      </c>
      <c r="CZ49" s="57">
        <v>879.42</v>
      </c>
      <c r="DA49" s="58"/>
      <c r="DB49" s="59">
        <v>9.0299999999999994</v>
      </c>
      <c r="DC49" s="27"/>
      <c r="DD49" s="32">
        <v>126.98225399999988</v>
      </c>
      <c r="DE49" s="32"/>
      <c r="DF49" s="52"/>
      <c r="DG49" s="53">
        <f t="shared" si="37"/>
        <v>136.01225399999987</v>
      </c>
      <c r="DI49" s="47">
        <v>45937</v>
      </c>
      <c r="DJ49" s="56">
        <v>1432.06</v>
      </c>
      <c r="DK49" s="63"/>
      <c r="DL49" s="58"/>
      <c r="DM49" s="62"/>
      <c r="DN49" s="27"/>
      <c r="DO49" s="51"/>
      <c r="DP49" s="52"/>
      <c r="DQ49" s="52"/>
      <c r="DR49" s="53">
        <f t="shared" si="38"/>
        <v>0</v>
      </c>
      <c r="DT49" s="47">
        <v>45937</v>
      </c>
      <c r="DU49" s="56">
        <v>3128.57</v>
      </c>
      <c r="DV49" s="57">
        <v>196.03</v>
      </c>
      <c r="DW49" s="58"/>
      <c r="DX49" s="62"/>
      <c r="DY49" s="27"/>
      <c r="DZ49" s="32">
        <v>84.706279999999936</v>
      </c>
      <c r="EA49" s="32"/>
      <c r="EB49" s="44"/>
      <c r="EC49" s="53">
        <f t="shared" si="39"/>
        <v>84.706279999999936</v>
      </c>
      <c r="EE49" s="47">
        <v>45937</v>
      </c>
      <c r="EF49" s="56">
        <v>5040.9799999999996</v>
      </c>
      <c r="EG49" s="57">
        <v>1796.39</v>
      </c>
      <c r="EH49" s="58"/>
      <c r="EI49" s="59">
        <v>125.23</v>
      </c>
      <c r="EJ49" s="27"/>
      <c r="EK49" s="32"/>
      <c r="EL49" s="52"/>
      <c r="EM49" s="52"/>
      <c r="EN49" s="53">
        <f t="shared" si="40"/>
        <v>125.23</v>
      </c>
      <c r="EP49" s="47">
        <v>45937</v>
      </c>
      <c r="EQ49" s="64">
        <v>893.63</v>
      </c>
      <c r="ER49" s="56">
        <v>578.19000000000005</v>
      </c>
      <c r="ES49" s="58"/>
      <c r="ET49" s="62"/>
      <c r="EU49" s="27"/>
      <c r="EV49" s="51"/>
      <c r="EW49" s="52"/>
      <c r="EX49" s="52"/>
      <c r="EY49" s="53">
        <f t="shared" si="41"/>
        <v>0</v>
      </c>
    </row>
    <row r="50" spans="2:155" hidden="1" x14ac:dyDescent="0.25">
      <c r="B50" s="47">
        <v>45938</v>
      </c>
      <c r="C50" s="48">
        <v>14957.18</v>
      </c>
      <c r="D50" s="49">
        <v>2092.75</v>
      </c>
      <c r="E50" s="50">
        <v>2037.6</v>
      </c>
      <c r="F50" s="91">
        <v>247.08</v>
      </c>
      <c r="G50" s="91"/>
      <c r="I50" s="51"/>
      <c r="J50" s="52"/>
      <c r="K50" s="52"/>
      <c r="L50" s="53">
        <f t="shared" si="28"/>
        <v>0</v>
      </c>
      <c r="N50" s="47">
        <v>45938</v>
      </c>
      <c r="O50" s="54">
        <v>4331.54</v>
      </c>
      <c r="P50" s="54">
        <v>617.45000000000005</v>
      </c>
      <c r="Q50" s="58"/>
      <c r="R50" s="55">
        <v>35.79</v>
      </c>
      <c r="S50" s="27"/>
      <c r="T50" s="32">
        <v>43.365589999999983</v>
      </c>
      <c r="U50" s="32"/>
      <c r="V50" s="52"/>
      <c r="W50" s="53">
        <f t="shared" si="29"/>
        <v>79.155589999999989</v>
      </c>
      <c r="Y50" s="47">
        <v>45938</v>
      </c>
      <c r="Z50" s="56">
        <v>6315.03</v>
      </c>
      <c r="AA50" s="57">
        <v>1576.31</v>
      </c>
      <c r="AB50" s="58"/>
      <c r="AC50" s="59">
        <v>150.49</v>
      </c>
      <c r="AD50" s="27"/>
      <c r="AE50" s="32">
        <v>71.083655999999991</v>
      </c>
      <c r="AF50" s="52"/>
      <c r="AG50" s="52"/>
      <c r="AH50" s="53">
        <f t="shared" si="30"/>
        <v>221.573656</v>
      </c>
      <c r="AJ50" s="47">
        <v>45938</v>
      </c>
      <c r="AK50" s="56">
        <v>2786.07</v>
      </c>
      <c r="AL50" s="57">
        <v>339.01</v>
      </c>
      <c r="AM50" s="58"/>
      <c r="AN50" s="60"/>
      <c r="AO50" s="27"/>
      <c r="AP50" s="51"/>
      <c r="AQ50" s="52"/>
      <c r="AR50" s="52"/>
      <c r="AS50" s="53">
        <f t="shared" si="31"/>
        <v>0</v>
      </c>
      <c r="AU50" s="47">
        <v>45938</v>
      </c>
      <c r="AV50" s="57">
        <v>230</v>
      </c>
      <c r="AW50" s="57">
        <v>127.9</v>
      </c>
      <c r="AX50" s="58"/>
      <c r="AY50" s="59"/>
      <c r="AZ50" s="27"/>
      <c r="BA50" s="32">
        <v>439.22348600000009</v>
      </c>
      <c r="BB50" s="52">
        <v>16.250073000000015</v>
      </c>
      <c r="BC50" s="52"/>
      <c r="BD50" s="53">
        <f t="shared" si="32"/>
        <v>455.47355900000014</v>
      </c>
      <c r="BF50" s="47">
        <v>45938</v>
      </c>
      <c r="BG50" s="56">
        <v>3231.93</v>
      </c>
      <c r="BH50" s="57">
        <v>700.81</v>
      </c>
      <c r="BI50" s="58"/>
      <c r="BJ50" s="59"/>
      <c r="BK50" s="27"/>
      <c r="BL50" s="32">
        <v>193.02784299999996</v>
      </c>
      <c r="BM50" s="33">
        <v>30.248729999999966</v>
      </c>
      <c r="BN50" s="52"/>
      <c r="BO50" s="53">
        <f t="shared" si="33"/>
        <v>223.27657299999993</v>
      </c>
      <c r="BQ50" s="47">
        <v>45938</v>
      </c>
      <c r="BR50" s="57">
        <v>291.95</v>
      </c>
      <c r="BS50" s="57">
        <v>271.08999999999997</v>
      </c>
      <c r="BT50" s="58"/>
      <c r="BU50" s="61"/>
      <c r="BV50" s="27"/>
      <c r="BW50" s="51"/>
      <c r="BX50" s="52"/>
      <c r="BY50" s="52"/>
      <c r="BZ50" s="53">
        <f t="shared" si="34"/>
        <v>0</v>
      </c>
      <c r="CB50" s="47">
        <v>45938</v>
      </c>
      <c r="CC50" s="56">
        <v>17322.96</v>
      </c>
      <c r="CD50" s="57">
        <v>1868.93</v>
      </c>
      <c r="CE50" s="58"/>
      <c r="CF50" s="60"/>
      <c r="CG50" s="27"/>
      <c r="CH50" s="51"/>
      <c r="CI50" s="52"/>
      <c r="CJ50" s="52"/>
      <c r="CK50" s="53">
        <f t="shared" si="35"/>
        <v>0</v>
      </c>
      <c r="CM50" s="47">
        <v>45938</v>
      </c>
      <c r="CN50" s="56">
        <v>3722.55</v>
      </c>
      <c r="CO50" s="57">
        <v>812.59</v>
      </c>
      <c r="CP50" s="58"/>
      <c r="CQ50" s="62"/>
      <c r="CR50" s="27"/>
      <c r="CS50" s="32">
        <v>44.302889999999962</v>
      </c>
      <c r="CT50" s="42">
        <v>75.227989999999977</v>
      </c>
      <c r="CU50" s="52"/>
      <c r="CV50" s="53">
        <f t="shared" si="36"/>
        <v>119.53087999999994</v>
      </c>
      <c r="CX50" s="47">
        <v>45938</v>
      </c>
      <c r="CY50" s="56">
        <v>3761.04</v>
      </c>
      <c r="CZ50" s="57">
        <v>1330.3</v>
      </c>
      <c r="DA50" s="58"/>
      <c r="DB50" s="59"/>
      <c r="DC50" s="27"/>
      <c r="DD50" s="32">
        <v>192.70107500000012</v>
      </c>
      <c r="DE50" s="32"/>
      <c r="DF50" s="52"/>
      <c r="DG50" s="53">
        <f t="shared" si="37"/>
        <v>192.70107500000012</v>
      </c>
      <c r="DI50" s="47">
        <v>45938</v>
      </c>
      <c r="DJ50" s="56">
        <v>1754.29</v>
      </c>
      <c r="DK50" s="63"/>
      <c r="DL50" s="58"/>
      <c r="DM50" s="62"/>
      <c r="DN50" s="27"/>
      <c r="DO50" s="51"/>
      <c r="DP50" s="52"/>
      <c r="DQ50" s="52"/>
      <c r="DR50" s="53">
        <f t="shared" si="38"/>
        <v>0</v>
      </c>
      <c r="DT50" s="47">
        <v>45938</v>
      </c>
      <c r="DU50" s="56">
        <v>3091.09</v>
      </c>
      <c r="DV50" s="57">
        <v>142.35</v>
      </c>
      <c r="DW50" s="58"/>
      <c r="DX50" s="62"/>
      <c r="DY50" s="27"/>
      <c r="DZ50" s="32"/>
      <c r="EA50" s="32">
        <v>428.21726999999942</v>
      </c>
      <c r="EB50" s="44"/>
      <c r="EC50" s="53">
        <f t="shared" si="39"/>
        <v>428.21726999999942</v>
      </c>
      <c r="EE50" s="47">
        <v>45938</v>
      </c>
      <c r="EF50" s="56">
        <v>7051.1</v>
      </c>
      <c r="EG50" s="57">
        <v>1519.46</v>
      </c>
      <c r="EH50" s="58"/>
      <c r="EI50" s="59">
        <v>114.76</v>
      </c>
      <c r="EJ50" s="27"/>
      <c r="EK50" s="32"/>
      <c r="EL50" s="52"/>
      <c r="EM50" s="52"/>
      <c r="EN50" s="53">
        <f t="shared" si="40"/>
        <v>114.76</v>
      </c>
      <c r="EP50" s="47">
        <v>45938</v>
      </c>
      <c r="EQ50" s="64">
        <v>477.54</v>
      </c>
      <c r="ER50" s="56">
        <v>686.31</v>
      </c>
      <c r="ES50" s="58"/>
      <c r="ET50" s="62"/>
      <c r="EU50" s="27"/>
      <c r="EV50" s="51"/>
      <c r="EW50" s="52"/>
      <c r="EX50" s="52"/>
      <c r="EY50" s="53">
        <f t="shared" si="41"/>
        <v>0</v>
      </c>
    </row>
    <row r="51" spans="2:155" hidden="1" x14ac:dyDescent="0.25">
      <c r="B51" s="47">
        <v>45939</v>
      </c>
      <c r="C51" s="48">
        <v>18927.29</v>
      </c>
      <c r="D51" s="49">
        <v>3259.81</v>
      </c>
      <c r="E51" s="50">
        <v>3945.55</v>
      </c>
      <c r="F51" s="90">
        <v>404.88</v>
      </c>
      <c r="G51" s="90"/>
      <c r="I51" s="51"/>
      <c r="J51" s="52"/>
      <c r="K51" s="52"/>
      <c r="L51" s="53">
        <f t="shared" si="28"/>
        <v>0</v>
      </c>
      <c r="N51" s="47">
        <v>45939</v>
      </c>
      <c r="O51" s="54">
        <v>4825.1400000000003</v>
      </c>
      <c r="P51" s="54">
        <v>536.04</v>
      </c>
      <c r="Q51" s="58"/>
      <c r="R51" s="55"/>
      <c r="S51" s="27"/>
      <c r="T51" s="32">
        <v>182.54079999999999</v>
      </c>
      <c r="U51" s="32">
        <v>6.344789999999989</v>
      </c>
      <c r="V51" s="52"/>
      <c r="W51" s="53">
        <f t="shared" si="29"/>
        <v>188.88558999999998</v>
      </c>
      <c r="Y51" s="47">
        <v>45939</v>
      </c>
      <c r="Z51" s="56">
        <v>5394.39</v>
      </c>
      <c r="AA51" s="57">
        <v>1081.19</v>
      </c>
      <c r="AB51" s="58"/>
      <c r="AC51" s="59">
        <v>136.21</v>
      </c>
      <c r="AD51" s="27"/>
      <c r="AE51" s="32">
        <v>69.217659000000026</v>
      </c>
      <c r="AF51" s="52"/>
      <c r="AG51" s="52"/>
      <c r="AH51" s="53">
        <f t="shared" si="30"/>
        <v>205.42765900000003</v>
      </c>
      <c r="AJ51" s="47">
        <v>45939</v>
      </c>
      <c r="AK51" s="56">
        <v>4501.05</v>
      </c>
      <c r="AL51" s="57">
        <v>622.26</v>
      </c>
      <c r="AM51" s="58"/>
      <c r="AN51" s="60"/>
      <c r="AO51" s="27"/>
      <c r="AP51" s="51"/>
      <c r="AQ51" s="52"/>
      <c r="AR51" s="52"/>
      <c r="AS51" s="53">
        <f t="shared" si="31"/>
        <v>0</v>
      </c>
      <c r="AU51" s="47">
        <v>45939</v>
      </c>
      <c r="AV51" s="57">
        <v>736</v>
      </c>
      <c r="AW51" s="57">
        <v>74.42</v>
      </c>
      <c r="AX51" s="58"/>
      <c r="AY51" s="59"/>
      <c r="AZ51" s="27"/>
      <c r="BA51" s="32">
        <v>414.89979099999994</v>
      </c>
      <c r="BB51" s="52"/>
      <c r="BC51" s="52"/>
      <c r="BD51" s="53">
        <f t="shared" si="32"/>
        <v>414.89979099999994</v>
      </c>
      <c r="BF51" s="47">
        <v>45939</v>
      </c>
      <c r="BG51" s="56">
        <v>3993.37</v>
      </c>
      <c r="BH51" s="57">
        <v>505.4</v>
      </c>
      <c r="BI51" s="58"/>
      <c r="BJ51" s="59">
        <v>11.36</v>
      </c>
      <c r="BK51" s="27"/>
      <c r="BL51" s="32">
        <v>380.18899399999981</v>
      </c>
      <c r="BM51" s="33">
        <v>261.80000000000018</v>
      </c>
      <c r="BN51" s="52"/>
      <c r="BO51" s="53">
        <f t="shared" si="33"/>
        <v>653.34899399999995</v>
      </c>
      <c r="BQ51" s="47">
        <v>45939</v>
      </c>
      <c r="BR51" s="57">
        <v>364</v>
      </c>
      <c r="BS51" s="57">
        <v>539.6</v>
      </c>
      <c r="BT51" s="58"/>
      <c r="BU51" s="61">
        <v>35</v>
      </c>
      <c r="BV51" s="27"/>
      <c r="BW51" s="51"/>
      <c r="BX51" s="52"/>
      <c r="BY51" s="52"/>
      <c r="BZ51" s="53">
        <f t="shared" si="34"/>
        <v>35</v>
      </c>
      <c r="CB51" s="47">
        <v>45939</v>
      </c>
      <c r="CC51" s="56">
        <v>19512.919999999998</v>
      </c>
      <c r="CD51" s="57">
        <v>1829.61</v>
      </c>
      <c r="CE51" s="58"/>
      <c r="CF51" s="60"/>
      <c r="CG51" s="27"/>
      <c r="CH51" s="51"/>
      <c r="CI51" s="52"/>
      <c r="CJ51" s="52"/>
      <c r="CK51" s="53">
        <f t="shared" si="35"/>
        <v>0</v>
      </c>
      <c r="CM51" s="47">
        <v>45939</v>
      </c>
      <c r="CN51" s="56">
        <v>7766.39</v>
      </c>
      <c r="CO51" s="57">
        <v>1752.71</v>
      </c>
      <c r="CP51" s="58"/>
      <c r="CQ51" s="62"/>
      <c r="CR51" s="27"/>
      <c r="CS51" s="32">
        <v>19.065279999999987</v>
      </c>
      <c r="CT51" s="42">
        <v>464.02798999999987</v>
      </c>
      <c r="CU51" s="52"/>
      <c r="CV51" s="53">
        <f t="shared" si="36"/>
        <v>483.09326999999985</v>
      </c>
      <c r="CX51" s="47">
        <v>45939</v>
      </c>
      <c r="CY51" s="56">
        <v>1644</v>
      </c>
      <c r="CZ51" s="57">
        <v>1160.51</v>
      </c>
      <c r="DA51" s="58"/>
      <c r="DB51" s="59"/>
      <c r="DC51" s="27"/>
      <c r="DD51" s="32">
        <v>293.40399599999984</v>
      </c>
      <c r="DE51" s="32"/>
      <c r="DF51" s="52"/>
      <c r="DG51" s="53">
        <f t="shared" si="37"/>
        <v>293.40399599999984</v>
      </c>
      <c r="DI51" s="47">
        <v>45939</v>
      </c>
      <c r="DJ51" s="56">
        <v>1334.55</v>
      </c>
      <c r="DK51" s="63"/>
      <c r="DL51" s="58"/>
      <c r="DM51" s="62"/>
      <c r="DN51" s="27"/>
      <c r="DO51" s="51"/>
      <c r="DP51" s="52"/>
      <c r="DQ51" s="52"/>
      <c r="DR51" s="53">
        <f t="shared" si="38"/>
        <v>0</v>
      </c>
      <c r="DT51" s="47">
        <v>45939</v>
      </c>
      <c r="DU51" s="56">
        <v>1283.27</v>
      </c>
      <c r="DV51" s="57">
        <v>379.86</v>
      </c>
      <c r="DW51" s="58"/>
      <c r="DX51" s="62"/>
      <c r="DY51" s="27"/>
      <c r="DZ51" s="32">
        <v>173.91186699999997</v>
      </c>
      <c r="EA51" s="32">
        <v>12.228409999999997</v>
      </c>
      <c r="EB51" s="44"/>
      <c r="EC51" s="53">
        <f t="shared" si="39"/>
        <v>186.14027699999997</v>
      </c>
      <c r="EE51" s="47">
        <v>45939</v>
      </c>
      <c r="EF51" s="56">
        <v>5547.18</v>
      </c>
      <c r="EG51" s="57">
        <v>1641.96</v>
      </c>
      <c r="EH51" s="58"/>
      <c r="EI51" s="59">
        <v>154</v>
      </c>
      <c r="EJ51" s="27"/>
      <c r="EK51" s="32">
        <v>31.276000000000003</v>
      </c>
      <c r="EL51" s="52"/>
      <c r="EM51" s="52"/>
      <c r="EN51" s="53">
        <f t="shared" si="40"/>
        <v>185.27600000000001</v>
      </c>
      <c r="EP51" s="47">
        <v>45939</v>
      </c>
      <c r="EQ51" s="64">
        <v>767.91</v>
      </c>
      <c r="ER51" s="56">
        <v>488.85</v>
      </c>
      <c r="ES51" s="58"/>
      <c r="ET51" s="62"/>
      <c r="EU51" s="27"/>
      <c r="EV51" s="51"/>
      <c r="EW51" s="52"/>
      <c r="EX51" s="52"/>
      <c r="EY51" s="53">
        <f t="shared" si="41"/>
        <v>0</v>
      </c>
    </row>
    <row r="52" spans="2:155" hidden="1" x14ac:dyDescent="0.25">
      <c r="B52" s="47">
        <v>45940</v>
      </c>
      <c r="C52" s="48">
        <v>17464.54</v>
      </c>
      <c r="D52" s="49">
        <v>3113.56</v>
      </c>
      <c r="E52" s="50">
        <v>4114.66</v>
      </c>
      <c r="F52" s="90">
        <v>375</v>
      </c>
      <c r="G52" s="90"/>
      <c r="I52" s="51"/>
      <c r="J52" s="52"/>
      <c r="K52" s="52"/>
      <c r="L52" s="53">
        <f t="shared" si="28"/>
        <v>0</v>
      </c>
      <c r="N52" s="47">
        <v>45940</v>
      </c>
      <c r="O52" s="54">
        <v>3162.92</v>
      </c>
      <c r="P52" s="54">
        <v>585.12</v>
      </c>
      <c r="Q52" s="58"/>
      <c r="R52" s="55"/>
      <c r="S52" s="27"/>
      <c r="T52" s="32">
        <v>279.73656999999986</v>
      </c>
      <c r="U52" s="32"/>
      <c r="V52" s="52"/>
      <c r="W52" s="53">
        <f t="shared" si="29"/>
        <v>279.73656999999986</v>
      </c>
      <c r="Y52" s="47">
        <v>45940</v>
      </c>
      <c r="Z52" s="56">
        <v>6764.46</v>
      </c>
      <c r="AA52" s="57">
        <v>971.28</v>
      </c>
      <c r="AB52" s="58"/>
      <c r="AC52" s="59">
        <v>261.07</v>
      </c>
      <c r="AD52" s="27"/>
      <c r="AE52" s="32">
        <v>151.41000299999996</v>
      </c>
      <c r="AF52" s="52"/>
      <c r="AG52" s="52"/>
      <c r="AH52" s="53">
        <f t="shared" si="30"/>
        <v>412.48000299999995</v>
      </c>
      <c r="AJ52" s="47">
        <v>45940</v>
      </c>
      <c r="AK52" s="56">
        <v>2890.24</v>
      </c>
      <c r="AL52" s="57">
        <v>575.22</v>
      </c>
      <c r="AM52" s="58"/>
      <c r="AN52" s="60"/>
      <c r="AO52" s="27"/>
      <c r="AP52" s="51"/>
      <c r="AQ52" s="52"/>
      <c r="AR52" s="52"/>
      <c r="AS52" s="53">
        <f t="shared" si="31"/>
        <v>0</v>
      </c>
      <c r="AU52" s="47">
        <v>45940</v>
      </c>
      <c r="AV52" s="57">
        <v>682.58</v>
      </c>
      <c r="AW52" s="57">
        <v>90.91</v>
      </c>
      <c r="AX52" s="58"/>
      <c r="AY52" s="59"/>
      <c r="AZ52" s="27"/>
      <c r="BA52" s="32">
        <v>324.21154400000017</v>
      </c>
      <c r="BB52" s="52"/>
      <c r="BC52" s="52"/>
      <c r="BD52" s="53">
        <f t="shared" si="32"/>
        <v>324.21154400000017</v>
      </c>
      <c r="BF52" s="47">
        <v>45940</v>
      </c>
      <c r="BG52" s="56">
        <v>4007.76</v>
      </c>
      <c r="BH52" s="57">
        <v>766.12</v>
      </c>
      <c r="BI52" s="58"/>
      <c r="BJ52" s="59">
        <v>14.21</v>
      </c>
      <c r="BK52" s="27"/>
      <c r="BL52" s="32">
        <v>275.06232099999994</v>
      </c>
      <c r="BM52" s="33">
        <v>54.392870000000016</v>
      </c>
      <c r="BN52" s="52"/>
      <c r="BO52" s="53">
        <f t="shared" si="33"/>
        <v>343.66519099999994</v>
      </c>
      <c r="BQ52" s="47">
        <v>45940</v>
      </c>
      <c r="BR52" s="57">
        <v>330</v>
      </c>
      <c r="BS52" s="57">
        <v>471.07</v>
      </c>
      <c r="BT52" s="58"/>
      <c r="BU52" s="61"/>
      <c r="BV52" s="27"/>
      <c r="BW52" s="51"/>
      <c r="BX52" s="52"/>
      <c r="BY52" s="52"/>
      <c r="BZ52" s="53">
        <f t="shared" si="34"/>
        <v>0</v>
      </c>
      <c r="CB52" s="47">
        <v>45940</v>
      </c>
      <c r="CC52" s="56">
        <v>20579.7</v>
      </c>
      <c r="CD52" s="57">
        <v>1818.3</v>
      </c>
      <c r="CE52" s="58"/>
      <c r="CF52" s="60"/>
      <c r="CG52" s="27"/>
      <c r="CH52" s="51"/>
      <c r="CI52" s="52"/>
      <c r="CJ52" s="52"/>
      <c r="CK52" s="53">
        <f t="shared" si="35"/>
        <v>0</v>
      </c>
      <c r="CM52" s="47">
        <v>45940</v>
      </c>
      <c r="CN52" s="56">
        <v>8568.56</v>
      </c>
      <c r="CO52" s="57">
        <v>1192.1500000000001</v>
      </c>
      <c r="CP52" s="58"/>
      <c r="CQ52" s="62"/>
      <c r="CR52" s="27"/>
      <c r="CS52" s="32">
        <v>141.74732</v>
      </c>
      <c r="CT52" s="42">
        <v>267.19148999999993</v>
      </c>
      <c r="CU52" s="52"/>
      <c r="CV52" s="53">
        <f t="shared" si="36"/>
        <v>408.93880999999993</v>
      </c>
      <c r="CX52" s="47">
        <v>45940</v>
      </c>
      <c r="CY52" s="56">
        <v>6168.85</v>
      </c>
      <c r="CZ52" s="57">
        <v>1466.81</v>
      </c>
      <c r="DA52" s="58"/>
      <c r="DB52" s="59"/>
      <c r="DC52" s="27"/>
      <c r="DD52" s="32">
        <v>248.29042000000007</v>
      </c>
      <c r="DE52" s="32">
        <v>57.020632000000148</v>
      </c>
      <c r="DF52" s="52"/>
      <c r="DG52" s="53">
        <f t="shared" si="37"/>
        <v>305.31105200000025</v>
      </c>
      <c r="DI52" s="47">
        <v>45940</v>
      </c>
      <c r="DJ52" s="56">
        <v>1487.5</v>
      </c>
      <c r="DK52" s="63"/>
      <c r="DL52" s="58"/>
      <c r="DM52" s="62"/>
      <c r="DN52" s="27"/>
      <c r="DO52" s="51"/>
      <c r="DP52" s="52"/>
      <c r="DQ52" s="52"/>
      <c r="DR52" s="53">
        <f t="shared" si="38"/>
        <v>0</v>
      </c>
      <c r="DT52" s="47">
        <v>45940</v>
      </c>
      <c r="DU52" s="56">
        <v>1698.67</v>
      </c>
      <c r="DV52" s="57">
        <v>260.14</v>
      </c>
      <c r="DW52" s="58"/>
      <c r="DX52" s="62"/>
      <c r="DY52" s="27"/>
      <c r="DZ52" s="32">
        <v>180.76393999999999</v>
      </c>
      <c r="EA52" s="32"/>
      <c r="EB52" s="44"/>
      <c r="EC52" s="53">
        <f t="shared" si="39"/>
        <v>180.76393999999999</v>
      </c>
      <c r="EE52" s="47">
        <v>45940</v>
      </c>
      <c r="EF52" s="56">
        <v>6594.11</v>
      </c>
      <c r="EG52" s="57">
        <v>1907.66</v>
      </c>
      <c r="EH52" s="58"/>
      <c r="EI52" s="59">
        <v>120.29</v>
      </c>
      <c r="EJ52" s="27"/>
      <c r="EK52" s="32"/>
      <c r="EL52" s="52">
        <v>9.6954900000000066</v>
      </c>
      <c r="EM52" s="52"/>
      <c r="EN52" s="53">
        <f t="shared" si="40"/>
        <v>129.98549000000003</v>
      </c>
      <c r="EP52" s="47">
        <v>45940</v>
      </c>
      <c r="EQ52" s="64">
        <v>770.66</v>
      </c>
      <c r="ER52" s="56">
        <v>485.98</v>
      </c>
      <c r="ES52" s="58"/>
      <c r="ET52" s="62"/>
      <c r="EU52" s="27"/>
      <c r="EV52" s="51"/>
      <c r="EW52" s="52"/>
      <c r="EX52" s="52"/>
      <c r="EY52" s="53">
        <f t="shared" si="41"/>
        <v>0</v>
      </c>
    </row>
    <row r="53" spans="2:155" hidden="1" x14ac:dyDescent="0.25">
      <c r="B53" s="47">
        <v>45941</v>
      </c>
      <c r="C53" s="48">
        <v>19771.12</v>
      </c>
      <c r="D53" s="49">
        <v>4023.14</v>
      </c>
      <c r="E53" s="50">
        <v>3307.29</v>
      </c>
      <c r="F53" s="90">
        <v>411.33</v>
      </c>
      <c r="G53" s="90"/>
      <c r="I53" s="51"/>
      <c r="J53" s="52"/>
      <c r="K53" s="52"/>
      <c r="L53" s="53">
        <f t="shared" si="28"/>
        <v>0</v>
      </c>
      <c r="N53" s="47">
        <v>45941</v>
      </c>
      <c r="O53" s="54">
        <v>1484.86</v>
      </c>
      <c r="P53" s="54">
        <v>446.28</v>
      </c>
      <c r="Q53" s="58"/>
      <c r="R53" s="55"/>
      <c r="S53" s="27"/>
      <c r="T53" s="32">
        <v>46.057700000000054</v>
      </c>
      <c r="U53" s="32"/>
      <c r="V53" s="52"/>
      <c r="W53" s="53">
        <f t="shared" si="29"/>
        <v>46.057700000000054</v>
      </c>
      <c r="Y53" s="47">
        <v>45941</v>
      </c>
      <c r="Z53" s="56">
        <v>5802.77</v>
      </c>
      <c r="AA53" s="57">
        <v>1402.17</v>
      </c>
      <c r="AB53" s="58"/>
      <c r="AC53" s="59">
        <v>122.45</v>
      </c>
      <c r="AD53" s="27"/>
      <c r="AE53" s="32">
        <v>435.6</v>
      </c>
      <c r="AF53" s="52"/>
      <c r="AG53" s="52"/>
      <c r="AH53" s="53">
        <f t="shared" si="30"/>
        <v>558.05000000000007</v>
      </c>
      <c r="AJ53" s="47">
        <v>45941</v>
      </c>
      <c r="AK53" s="56">
        <v>3896.94</v>
      </c>
      <c r="AL53" s="57">
        <v>683.5</v>
      </c>
      <c r="AM53" s="58"/>
      <c r="AN53" s="60"/>
      <c r="AO53" s="27"/>
      <c r="AP53" s="51"/>
      <c r="AQ53" s="52"/>
      <c r="AR53" s="52"/>
      <c r="AS53" s="53">
        <f t="shared" si="31"/>
        <v>0</v>
      </c>
      <c r="AU53" s="47">
        <v>45941</v>
      </c>
      <c r="AV53" s="57">
        <v>566.44000000000005</v>
      </c>
      <c r="AW53" s="57">
        <v>47.03</v>
      </c>
      <c r="AX53" s="58"/>
      <c r="AY53" s="59">
        <v>110.5</v>
      </c>
      <c r="AZ53" s="27"/>
      <c r="BA53" s="32">
        <v>244.6162150000001</v>
      </c>
      <c r="BB53" s="52"/>
      <c r="BC53" s="52"/>
      <c r="BD53" s="53">
        <f t="shared" si="32"/>
        <v>355.11621500000012</v>
      </c>
      <c r="BF53" s="47">
        <v>45941</v>
      </c>
      <c r="BG53" s="56">
        <v>4461.8500000000004</v>
      </c>
      <c r="BH53" s="57">
        <v>896.33</v>
      </c>
      <c r="BI53" s="58"/>
      <c r="BJ53" s="59"/>
      <c r="BK53" s="27"/>
      <c r="BL53" s="32">
        <v>78.237167999999954</v>
      </c>
      <c r="BM53" s="33">
        <v>53.776209999999978</v>
      </c>
      <c r="BN53" s="52"/>
      <c r="BO53" s="53">
        <f t="shared" si="33"/>
        <v>132.01337799999993</v>
      </c>
      <c r="BQ53" s="47">
        <v>45941</v>
      </c>
      <c r="BR53" s="57">
        <v>398.96</v>
      </c>
      <c r="BS53" s="57">
        <v>435.26</v>
      </c>
      <c r="BT53" s="58"/>
      <c r="BU53" s="61"/>
      <c r="BV53" s="27"/>
      <c r="BW53" s="51"/>
      <c r="BX53" s="52"/>
      <c r="BY53" s="52"/>
      <c r="BZ53" s="53">
        <f t="shared" si="34"/>
        <v>0</v>
      </c>
      <c r="CB53" s="47">
        <v>45941</v>
      </c>
      <c r="CC53" s="56">
        <v>20217.57</v>
      </c>
      <c r="CD53" s="57">
        <v>1435.75</v>
      </c>
      <c r="CE53" s="58"/>
      <c r="CF53" s="60"/>
      <c r="CG53" s="27"/>
      <c r="CH53" s="51"/>
      <c r="CI53" s="52"/>
      <c r="CJ53" s="52"/>
      <c r="CK53" s="53">
        <f t="shared" si="35"/>
        <v>0</v>
      </c>
      <c r="CM53" s="47">
        <v>45941</v>
      </c>
      <c r="CN53" s="56">
        <v>6707.66</v>
      </c>
      <c r="CO53" s="57">
        <v>1442.49</v>
      </c>
      <c r="CP53" s="58"/>
      <c r="CQ53" s="62"/>
      <c r="CR53" s="27"/>
      <c r="CS53" s="32"/>
      <c r="CT53" s="42">
        <v>166.63209999999998</v>
      </c>
      <c r="CU53" s="52"/>
      <c r="CV53" s="53">
        <f t="shared" si="36"/>
        <v>166.63209999999998</v>
      </c>
      <c r="CX53" s="47">
        <v>45941</v>
      </c>
      <c r="CY53" s="56">
        <v>3763.05</v>
      </c>
      <c r="CZ53" s="57">
        <v>1367.73</v>
      </c>
      <c r="DA53" s="58"/>
      <c r="DB53" s="59">
        <v>14.79</v>
      </c>
      <c r="DC53" s="27"/>
      <c r="DD53" s="32">
        <v>367.78180400000002</v>
      </c>
      <c r="DE53" s="32"/>
      <c r="DF53" s="52"/>
      <c r="DG53" s="53">
        <f t="shared" si="37"/>
        <v>382.57180400000004</v>
      </c>
      <c r="DI53" s="47">
        <v>45941</v>
      </c>
      <c r="DJ53" s="56">
        <v>1917</v>
      </c>
      <c r="DK53" s="63"/>
      <c r="DL53" s="58"/>
      <c r="DM53" s="62"/>
      <c r="DN53" s="27"/>
      <c r="DO53" s="51"/>
      <c r="DP53" s="52"/>
      <c r="DQ53" s="52"/>
      <c r="DR53" s="53">
        <f t="shared" si="38"/>
        <v>0</v>
      </c>
      <c r="DT53" s="47">
        <v>45941</v>
      </c>
      <c r="DU53" s="56">
        <v>1340.48</v>
      </c>
      <c r="DV53" s="57">
        <v>254.84</v>
      </c>
      <c r="DW53" s="58"/>
      <c r="DX53" s="62"/>
      <c r="DY53" s="27"/>
      <c r="DZ53" s="32">
        <v>14.448480000000004</v>
      </c>
      <c r="EA53" s="32">
        <v>9.8282399999999939</v>
      </c>
      <c r="EB53" s="44"/>
      <c r="EC53" s="53">
        <f t="shared" si="39"/>
        <v>24.276719999999997</v>
      </c>
      <c r="EE53" s="47">
        <v>45941</v>
      </c>
      <c r="EF53" s="56">
        <v>6527.32</v>
      </c>
      <c r="EG53" s="57">
        <v>2112.3000000000002</v>
      </c>
      <c r="EH53" s="58"/>
      <c r="EI53" s="59">
        <v>124.86</v>
      </c>
      <c r="EJ53" s="27"/>
      <c r="EK53" s="32">
        <v>21.887249999999995</v>
      </c>
      <c r="EL53" s="52"/>
      <c r="EM53" s="52"/>
      <c r="EN53" s="53">
        <f t="shared" si="40"/>
        <v>146.74725000000001</v>
      </c>
      <c r="EP53" s="47">
        <v>45941</v>
      </c>
      <c r="EQ53" s="64">
        <v>975.34</v>
      </c>
      <c r="ER53" s="56">
        <v>778.73</v>
      </c>
      <c r="ES53" s="58"/>
      <c r="ET53" s="62"/>
      <c r="EU53" s="27"/>
      <c r="EV53" s="51"/>
      <c r="EW53" s="52"/>
      <c r="EX53" s="52"/>
      <c r="EY53" s="53">
        <f t="shared" si="41"/>
        <v>0</v>
      </c>
    </row>
    <row r="54" spans="2:155" hidden="1" x14ac:dyDescent="0.25">
      <c r="B54" s="47">
        <v>45942</v>
      </c>
      <c r="C54" s="48">
        <v>14862.38</v>
      </c>
      <c r="D54" s="49">
        <v>2446.4299999999998</v>
      </c>
      <c r="E54" s="50">
        <v>2347.48</v>
      </c>
      <c r="F54" s="90">
        <v>181.24</v>
      </c>
      <c r="G54" s="90"/>
      <c r="I54" s="51"/>
      <c r="J54" s="52"/>
      <c r="K54" s="52"/>
      <c r="L54" s="53">
        <f t="shared" si="28"/>
        <v>0</v>
      </c>
      <c r="N54" s="47">
        <v>45942</v>
      </c>
      <c r="O54" s="54">
        <v>1309.74</v>
      </c>
      <c r="P54" s="54">
        <v>0</v>
      </c>
      <c r="Q54" s="58"/>
      <c r="R54" s="55"/>
      <c r="S54" s="27"/>
      <c r="T54" s="32">
        <v>133.04395000000017</v>
      </c>
      <c r="U54" s="32"/>
      <c r="V54" s="52"/>
      <c r="W54" s="53">
        <f t="shared" si="29"/>
        <v>133.04395000000017</v>
      </c>
      <c r="Y54" s="47">
        <v>45942</v>
      </c>
      <c r="Z54" s="56">
        <v>9027.41</v>
      </c>
      <c r="AA54" s="57">
        <v>1030.56</v>
      </c>
      <c r="AB54" s="58"/>
      <c r="AC54" s="59">
        <v>222.63</v>
      </c>
      <c r="AD54" s="27"/>
      <c r="AE54" s="32"/>
      <c r="AF54" s="52"/>
      <c r="AG54" s="52"/>
      <c r="AH54" s="53">
        <f t="shared" si="30"/>
        <v>222.63</v>
      </c>
      <c r="AJ54" s="47">
        <v>45942</v>
      </c>
      <c r="AK54" s="56">
        <v>3152.78</v>
      </c>
      <c r="AL54" s="57">
        <v>731.87</v>
      </c>
      <c r="AM54" s="58"/>
      <c r="AN54" s="60"/>
      <c r="AO54" s="27"/>
      <c r="AP54" s="51"/>
      <c r="AQ54" s="52"/>
      <c r="AR54" s="52"/>
      <c r="AS54" s="53">
        <f t="shared" si="31"/>
        <v>0</v>
      </c>
      <c r="AU54" s="47">
        <v>45942</v>
      </c>
      <c r="AV54" s="57">
        <v>716.9</v>
      </c>
      <c r="AW54" s="57">
        <v>0</v>
      </c>
      <c r="AX54" s="58"/>
      <c r="AY54" s="59"/>
      <c r="AZ54" s="27"/>
      <c r="BA54" s="32">
        <v>175.628152</v>
      </c>
      <c r="BB54" s="52"/>
      <c r="BC54" s="52"/>
      <c r="BD54" s="53">
        <f t="shared" si="32"/>
        <v>175.628152</v>
      </c>
      <c r="BF54" s="47">
        <v>45942</v>
      </c>
      <c r="BG54" s="56">
        <v>2805.72</v>
      </c>
      <c r="BH54" s="57">
        <v>417.88</v>
      </c>
      <c r="BI54" s="58"/>
      <c r="BJ54" s="59"/>
      <c r="BK54" s="27"/>
      <c r="BL54" s="32">
        <v>107.18917299999998</v>
      </c>
      <c r="BM54" s="33"/>
      <c r="BN54" s="52"/>
      <c r="BO54" s="53">
        <f t="shared" si="33"/>
        <v>107.18917299999998</v>
      </c>
      <c r="BQ54" s="47">
        <v>45942</v>
      </c>
      <c r="BR54" s="57">
        <v>548.03</v>
      </c>
      <c r="BS54" s="57">
        <v>289.70999999999998</v>
      </c>
      <c r="BT54" s="58"/>
      <c r="BU54" s="61"/>
      <c r="BV54" s="27"/>
      <c r="BW54" s="51"/>
      <c r="BX54" s="52"/>
      <c r="BY54" s="52"/>
      <c r="BZ54" s="53">
        <f t="shared" si="34"/>
        <v>0</v>
      </c>
      <c r="CB54" s="47">
        <v>45942</v>
      </c>
      <c r="CC54" s="56">
        <v>15880.09</v>
      </c>
      <c r="CD54" s="57">
        <v>0</v>
      </c>
      <c r="CE54" s="58"/>
      <c r="CF54" s="60"/>
      <c r="CG54" s="27"/>
      <c r="CH54" s="51"/>
      <c r="CI54" s="52"/>
      <c r="CJ54" s="52"/>
      <c r="CK54" s="53">
        <f t="shared" si="35"/>
        <v>0</v>
      </c>
      <c r="CM54" s="47">
        <v>45942</v>
      </c>
      <c r="CN54" s="56">
        <v>4684.28</v>
      </c>
      <c r="CO54" s="57">
        <v>680.51</v>
      </c>
      <c r="CP54" s="58"/>
      <c r="CQ54" s="62"/>
      <c r="CR54" s="27"/>
      <c r="CS54" s="32"/>
      <c r="CT54" s="42">
        <v>36.379789999999986</v>
      </c>
      <c r="CU54" s="52"/>
      <c r="CV54" s="53">
        <f t="shared" si="36"/>
        <v>36.379789999999986</v>
      </c>
      <c r="CX54" s="47">
        <v>45942</v>
      </c>
      <c r="CY54" s="56">
        <v>6829.08</v>
      </c>
      <c r="CZ54" s="57">
        <v>1039.33</v>
      </c>
      <c r="DA54" s="58"/>
      <c r="DB54" s="59">
        <v>6.77</v>
      </c>
      <c r="DC54" s="27"/>
      <c r="DD54" s="32">
        <v>112.62169599999999</v>
      </c>
      <c r="DE54" s="32"/>
      <c r="DF54" s="52"/>
      <c r="DG54" s="53">
        <f t="shared" si="37"/>
        <v>119.39169599999998</v>
      </c>
      <c r="DI54" s="47">
        <v>45942</v>
      </c>
      <c r="DJ54" s="56">
        <v>1631.57</v>
      </c>
      <c r="DK54" s="63"/>
      <c r="DL54" s="58"/>
      <c r="DM54" s="62"/>
      <c r="DN54" s="27"/>
      <c r="DO54" s="51"/>
      <c r="DP54" s="52"/>
      <c r="DQ54" s="52"/>
      <c r="DR54" s="53">
        <f t="shared" si="38"/>
        <v>0</v>
      </c>
      <c r="DT54" s="47">
        <v>45942</v>
      </c>
      <c r="DU54" s="56">
        <v>2106.5100000000002</v>
      </c>
      <c r="DV54" s="57">
        <v>632.24</v>
      </c>
      <c r="DW54" s="58"/>
      <c r="DX54" s="62"/>
      <c r="DY54" s="27"/>
      <c r="DZ54" s="32"/>
      <c r="EA54" s="32"/>
      <c r="EB54" s="44"/>
      <c r="EC54" s="53">
        <f t="shared" si="39"/>
        <v>0</v>
      </c>
      <c r="EE54" s="47">
        <v>45942</v>
      </c>
      <c r="EF54" s="56">
        <v>3306.97</v>
      </c>
      <c r="EG54" s="57">
        <v>1111.8699999999999</v>
      </c>
      <c r="EH54" s="58"/>
      <c r="EI54" s="59">
        <v>107.16</v>
      </c>
      <c r="EJ54" s="27"/>
      <c r="EK54" s="32"/>
      <c r="EL54" s="52"/>
      <c r="EM54" s="52"/>
      <c r="EN54" s="53">
        <f t="shared" si="40"/>
        <v>107.16</v>
      </c>
      <c r="EP54" s="47">
        <v>45942</v>
      </c>
      <c r="EQ54" s="64">
        <v>468.18</v>
      </c>
      <c r="ER54" s="56">
        <v>766.87</v>
      </c>
      <c r="ES54" s="58"/>
      <c r="ET54" s="62"/>
      <c r="EU54" s="27"/>
      <c r="EV54" s="51"/>
      <c r="EW54" s="52"/>
      <c r="EX54" s="52"/>
      <c r="EY54" s="53">
        <f t="shared" si="41"/>
        <v>0</v>
      </c>
    </row>
    <row r="55" spans="2:155" hidden="1" x14ac:dyDescent="0.25">
      <c r="B55" s="47">
        <v>45943</v>
      </c>
      <c r="C55" s="48">
        <v>19259.12</v>
      </c>
      <c r="D55" s="49">
        <v>3718.88</v>
      </c>
      <c r="E55" s="50">
        <v>3985.6</v>
      </c>
      <c r="F55" s="90">
        <v>284.58999999999997</v>
      </c>
      <c r="G55" s="90"/>
      <c r="I55" s="51"/>
      <c r="J55" s="52"/>
      <c r="K55" s="52"/>
      <c r="L55" s="53">
        <f t="shared" si="28"/>
        <v>0</v>
      </c>
      <c r="N55" s="47">
        <v>45943</v>
      </c>
      <c r="O55" s="54">
        <v>2268.0100000000002</v>
      </c>
      <c r="P55" s="54">
        <v>454.93</v>
      </c>
      <c r="Q55" s="58"/>
      <c r="R55" s="69"/>
      <c r="S55" s="27"/>
      <c r="T55" s="32">
        <v>90.26160000000003</v>
      </c>
      <c r="U55" s="32"/>
      <c r="V55" s="52"/>
      <c r="W55" s="53">
        <f t="shared" si="29"/>
        <v>90.26160000000003</v>
      </c>
      <c r="Y55" s="47">
        <v>45943</v>
      </c>
      <c r="Z55" s="56">
        <v>7396.48</v>
      </c>
      <c r="AA55" s="57">
        <v>1265.8499999999999</v>
      </c>
      <c r="AB55" s="58"/>
      <c r="AC55" s="59">
        <v>318.25</v>
      </c>
      <c r="AD55" s="27"/>
      <c r="AE55" s="32"/>
      <c r="AF55" s="52"/>
      <c r="AG55" s="52"/>
      <c r="AH55" s="53">
        <f t="shared" si="30"/>
        <v>318.25</v>
      </c>
      <c r="AJ55" s="47">
        <v>45943</v>
      </c>
      <c r="AK55" s="56">
        <v>2455.0700000000002</v>
      </c>
      <c r="AL55" s="57">
        <v>542.5</v>
      </c>
      <c r="AM55" s="58"/>
      <c r="AN55" s="60"/>
      <c r="AO55" s="27"/>
      <c r="AP55" s="51"/>
      <c r="AQ55" s="52"/>
      <c r="AR55" s="52"/>
      <c r="AS55" s="53">
        <f t="shared" si="31"/>
        <v>0</v>
      </c>
      <c r="AU55" s="47">
        <v>45943</v>
      </c>
      <c r="AV55" s="57">
        <v>481</v>
      </c>
      <c r="AW55" s="57">
        <v>146.59</v>
      </c>
      <c r="AX55" s="58"/>
      <c r="AY55" s="59">
        <v>107.9</v>
      </c>
      <c r="AZ55" s="27"/>
      <c r="BA55" s="32">
        <v>241.00129600000008</v>
      </c>
      <c r="BB55" s="52"/>
      <c r="BC55" s="52"/>
      <c r="BD55" s="53">
        <f t="shared" si="32"/>
        <v>348.90129600000012</v>
      </c>
      <c r="BF55" s="47">
        <v>45943</v>
      </c>
      <c r="BG55" s="56">
        <v>3235.74</v>
      </c>
      <c r="BH55" s="57">
        <v>641.69000000000005</v>
      </c>
      <c r="BI55" s="58"/>
      <c r="BJ55" s="59">
        <v>17.41</v>
      </c>
      <c r="BK55" s="27"/>
      <c r="BL55" s="32">
        <v>417.27140999999983</v>
      </c>
      <c r="BM55" s="33">
        <v>36.880386999999999</v>
      </c>
      <c r="BN55" s="52"/>
      <c r="BO55" s="53">
        <f t="shared" si="33"/>
        <v>471.56179699999984</v>
      </c>
      <c r="BQ55" s="47">
        <v>45943</v>
      </c>
      <c r="BR55" s="57">
        <v>1005.78</v>
      </c>
      <c r="BS55" s="57">
        <v>397.02</v>
      </c>
      <c r="BT55" s="58"/>
      <c r="BU55" s="61"/>
      <c r="BV55" s="27"/>
      <c r="BW55" s="51"/>
      <c r="BX55" s="52"/>
      <c r="BY55" s="52"/>
      <c r="BZ55" s="53">
        <f t="shared" si="34"/>
        <v>0</v>
      </c>
      <c r="CB55" s="47">
        <v>45943</v>
      </c>
      <c r="CC55" s="56">
        <v>19497.34</v>
      </c>
      <c r="CD55" s="57">
        <v>1468.05</v>
      </c>
      <c r="CE55" s="58"/>
      <c r="CF55" s="60"/>
      <c r="CG55" s="27"/>
      <c r="CH55" s="51"/>
      <c r="CI55" s="52"/>
      <c r="CJ55" s="52"/>
      <c r="CK55" s="53">
        <f t="shared" si="35"/>
        <v>0</v>
      </c>
      <c r="CM55" s="47">
        <v>45943</v>
      </c>
      <c r="CN55" s="56">
        <v>8509.1200000000008</v>
      </c>
      <c r="CO55" s="57">
        <v>1977.99</v>
      </c>
      <c r="CP55" s="58"/>
      <c r="CQ55" s="62"/>
      <c r="CR55" s="27"/>
      <c r="CS55" s="32">
        <v>50.439999999999969</v>
      </c>
      <c r="CT55" s="42">
        <v>132.96025999999995</v>
      </c>
      <c r="CU55" s="52"/>
      <c r="CV55" s="53">
        <f t="shared" si="36"/>
        <v>183.40025999999992</v>
      </c>
      <c r="CX55" s="47">
        <v>45943</v>
      </c>
      <c r="CY55" s="56">
        <v>4032.92</v>
      </c>
      <c r="CZ55" s="57">
        <v>1422.05</v>
      </c>
      <c r="DA55" s="58"/>
      <c r="DB55" s="59">
        <v>9.7100000000000009</v>
      </c>
      <c r="DC55" s="27"/>
      <c r="DD55" s="32">
        <v>355.05716000000001</v>
      </c>
      <c r="DE55" s="32">
        <v>4.7696220000000267</v>
      </c>
      <c r="DF55" s="52"/>
      <c r="DG55" s="53">
        <f t="shared" si="37"/>
        <v>369.53678200000002</v>
      </c>
      <c r="DI55" s="47">
        <v>45943</v>
      </c>
      <c r="DJ55" s="56">
        <v>2828.03</v>
      </c>
      <c r="DK55" s="63"/>
      <c r="DL55" s="58"/>
      <c r="DM55" s="62"/>
      <c r="DN55" s="27"/>
      <c r="DO55" s="51"/>
      <c r="DP55" s="52"/>
      <c r="DQ55" s="52"/>
      <c r="DR55" s="53">
        <f t="shared" si="38"/>
        <v>0</v>
      </c>
      <c r="DT55" s="47">
        <v>45943</v>
      </c>
      <c r="DU55" s="56">
        <v>2912.01</v>
      </c>
      <c r="DV55" s="57">
        <v>458.17</v>
      </c>
      <c r="DW55" s="58"/>
      <c r="DX55" s="62"/>
      <c r="DY55" s="27"/>
      <c r="DZ55" s="32">
        <v>254.36821999999998</v>
      </c>
      <c r="EA55" s="32">
        <v>14.266079999999988</v>
      </c>
      <c r="EB55" s="44"/>
      <c r="EC55" s="53">
        <f t="shared" si="39"/>
        <v>268.63429999999994</v>
      </c>
      <c r="EE55" s="47">
        <v>45943</v>
      </c>
      <c r="EF55" s="56">
        <v>10444.799999999999</v>
      </c>
      <c r="EG55" s="57">
        <v>1417.08</v>
      </c>
      <c r="EH55" s="58"/>
      <c r="EI55" s="59">
        <v>152.22</v>
      </c>
      <c r="EJ55" s="27"/>
      <c r="EK55" s="32">
        <v>27.109250000000003</v>
      </c>
      <c r="EL55" s="52"/>
      <c r="EM55" s="52"/>
      <c r="EN55" s="53">
        <f t="shared" si="40"/>
        <v>179.32925</v>
      </c>
      <c r="EP55" s="47">
        <v>45943</v>
      </c>
      <c r="EQ55" s="64">
        <v>950.03</v>
      </c>
      <c r="ER55" s="56">
        <v>708.65</v>
      </c>
      <c r="ES55" s="58"/>
      <c r="ET55" s="62"/>
      <c r="EU55" s="27"/>
      <c r="EV55" s="51"/>
      <c r="EW55" s="52"/>
      <c r="EX55" s="52"/>
      <c r="EY55" s="53">
        <f t="shared" si="41"/>
        <v>0</v>
      </c>
    </row>
    <row r="56" spans="2:155" hidden="1" x14ac:dyDescent="0.25">
      <c r="B56" s="47">
        <v>45944</v>
      </c>
      <c r="C56" s="48">
        <v>16432.09</v>
      </c>
      <c r="D56" s="49">
        <v>2768.46</v>
      </c>
      <c r="E56" s="50">
        <v>3955.23</v>
      </c>
      <c r="F56" s="90">
        <v>463.33</v>
      </c>
      <c r="G56" s="90"/>
      <c r="I56" s="51"/>
      <c r="J56" s="52"/>
      <c r="K56" s="52"/>
      <c r="L56" s="53">
        <f t="shared" si="28"/>
        <v>0</v>
      </c>
      <c r="N56" s="47">
        <v>45944</v>
      </c>
      <c r="O56" s="54">
        <v>1942.02</v>
      </c>
      <c r="P56" s="54">
        <v>126.71</v>
      </c>
      <c r="Q56" s="58"/>
      <c r="R56" s="55"/>
      <c r="S56" s="27"/>
      <c r="T56" s="32">
        <v>213.11358000000001</v>
      </c>
      <c r="U56" s="32">
        <v>103.41042999999996</v>
      </c>
      <c r="V56" s="52"/>
      <c r="W56" s="53">
        <f t="shared" si="29"/>
        <v>316.52400999999998</v>
      </c>
      <c r="Y56" s="47">
        <v>45944</v>
      </c>
      <c r="Z56" s="56">
        <v>7044.53</v>
      </c>
      <c r="AA56" s="57">
        <v>1771.79</v>
      </c>
      <c r="AB56" s="58"/>
      <c r="AC56" s="59">
        <v>93.21</v>
      </c>
      <c r="AD56" s="27"/>
      <c r="AE56" s="32">
        <v>101.98628099999999</v>
      </c>
      <c r="AF56" s="52"/>
      <c r="AG56" s="52"/>
      <c r="AH56" s="53">
        <f t="shared" si="30"/>
        <v>195.196281</v>
      </c>
      <c r="AJ56" s="47">
        <v>45944</v>
      </c>
      <c r="AK56" s="56">
        <v>2992.58</v>
      </c>
      <c r="AL56" s="57">
        <v>861.64</v>
      </c>
      <c r="AM56" s="58"/>
      <c r="AN56" s="60"/>
      <c r="AO56" s="27"/>
      <c r="AP56" s="51"/>
      <c r="AQ56" s="52"/>
      <c r="AR56" s="52"/>
      <c r="AS56" s="53">
        <f t="shared" si="31"/>
        <v>0</v>
      </c>
      <c r="AU56" s="47">
        <v>45944</v>
      </c>
      <c r="AV56" s="57">
        <v>376.14</v>
      </c>
      <c r="AW56" s="57">
        <v>20</v>
      </c>
      <c r="AX56" s="58"/>
      <c r="AY56" s="59"/>
      <c r="AZ56" s="27"/>
      <c r="BA56" s="32">
        <v>195.10915200000008</v>
      </c>
      <c r="BB56" s="52"/>
      <c r="BC56" s="52"/>
      <c r="BD56" s="53">
        <f t="shared" si="32"/>
        <v>195.10915200000008</v>
      </c>
      <c r="BF56" s="47">
        <v>45944</v>
      </c>
      <c r="BG56" s="56">
        <v>4396.8100000000004</v>
      </c>
      <c r="BH56" s="57">
        <v>716.2</v>
      </c>
      <c r="BI56" s="58"/>
      <c r="BJ56" s="59"/>
      <c r="BK56" s="27"/>
      <c r="BL56" s="32">
        <v>467.92746999999991</v>
      </c>
      <c r="BM56" s="33">
        <v>196.77972799999992</v>
      </c>
      <c r="BN56" s="52"/>
      <c r="BO56" s="53">
        <f t="shared" si="33"/>
        <v>664.70719799999983</v>
      </c>
      <c r="BQ56" s="47">
        <v>45944</v>
      </c>
      <c r="BR56" s="57">
        <v>724.02</v>
      </c>
      <c r="BS56" s="57">
        <v>266.67</v>
      </c>
      <c r="BT56" s="58"/>
      <c r="BU56" s="61"/>
      <c r="BV56" s="27"/>
      <c r="BW56" s="51"/>
      <c r="BX56" s="52"/>
      <c r="BY56" s="52"/>
      <c r="BZ56" s="53">
        <f t="shared" si="34"/>
        <v>0</v>
      </c>
      <c r="CB56" s="47">
        <v>45944</v>
      </c>
      <c r="CC56" s="56">
        <v>18333.61</v>
      </c>
      <c r="CD56" s="57">
        <v>2519.0100000000002</v>
      </c>
      <c r="CE56" s="58"/>
      <c r="CF56" s="60"/>
      <c r="CG56" s="27"/>
      <c r="CH56" s="51"/>
      <c r="CI56" s="52"/>
      <c r="CJ56" s="52"/>
      <c r="CK56" s="53">
        <f t="shared" si="35"/>
        <v>0</v>
      </c>
      <c r="CM56" s="47">
        <v>45944</v>
      </c>
      <c r="CN56" s="56">
        <v>9946.4699999999993</v>
      </c>
      <c r="CO56" s="57">
        <v>1966.15</v>
      </c>
      <c r="CP56" s="58"/>
      <c r="CQ56" s="62"/>
      <c r="CR56" s="27"/>
      <c r="CS56" s="32"/>
      <c r="CT56" s="42">
        <v>192.07939999999996</v>
      </c>
      <c r="CU56" s="52"/>
      <c r="CV56" s="53">
        <f t="shared" si="36"/>
        <v>192.07939999999996</v>
      </c>
      <c r="CX56" s="47">
        <v>45944</v>
      </c>
      <c r="CY56" s="56">
        <v>4706.28</v>
      </c>
      <c r="CZ56" s="57">
        <v>887.79</v>
      </c>
      <c r="DA56" s="58"/>
      <c r="DB56" s="59"/>
      <c r="DC56" s="27"/>
      <c r="DD56" s="32">
        <v>373.70307000000014</v>
      </c>
      <c r="DE56" s="32">
        <v>134.971046</v>
      </c>
      <c r="DF56" s="52"/>
      <c r="DG56" s="53">
        <f t="shared" si="37"/>
        <v>508.67411600000014</v>
      </c>
      <c r="DI56" s="47">
        <v>45944</v>
      </c>
      <c r="DJ56" s="56">
        <v>1821.05</v>
      </c>
      <c r="DK56" s="63"/>
      <c r="DL56" s="58"/>
      <c r="DM56" s="62"/>
      <c r="DN56" s="27"/>
      <c r="DO56" s="51"/>
      <c r="DP56" s="52"/>
      <c r="DQ56" s="52"/>
      <c r="DR56" s="53">
        <f t="shared" si="38"/>
        <v>0</v>
      </c>
      <c r="DT56" s="47">
        <v>45944</v>
      </c>
      <c r="DU56" s="56">
        <v>2195.2600000000002</v>
      </c>
      <c r="DV56" s="57">
        <v>312.51</v>
      </c>
      <c r="DW56" s="58"/>
      <c r="DX56" s="62"/>
      <c r="DY56" s="27"/>
      <c r="DZ56" s="32">
        <v>19.593699999999998</v>
      </c>
      <c r="EA56" s="32">
        <v>121.59482999999994</v>
      </c>
      <c r="EB56" s="44"/>
      <c r="EC56" s="53">
        <f t="shared" si="39"/>
        <v>141.18852999999996</v>
      </c>
      <c r="EE56" s="47">
        <v>45944</v>
      </c>
      <c r="EF56" s="56">
        <v>3836.1</v>
      </c>
      <c r="EG56" s="57">
        <v>1630.25</v>
      </c>
      <c r="EH56" s="58"/>
      <c r="EI56" s="59">
        <v>127.21</v>
      </c>
      <c r="EJ56" s="27"/>
      <c r="EK56" s="32">
        <v>86.914840000000027</v>
      </c>
      <c r="EL56" s="52"/>
      <c r="EM56" s="52"/>
      <c r="EN56" s="53">
        <f t="shared" si="40"/>
        <v>214.12484000000001</v>
      </c>
      <c r="EP56" s="47">
        <v>45944</v>
      </c>
      <c r="EQ56" s="64">
        <v>903.01</v>
      </c>
      <c r="ER56" s="56">
        <v>545.61</v>
      </c>
      <c r="ES56" s="58"/>
      <c r="ET56" s="62"/>
      <c r="EU56" s="27"/>
      <c r="EV56" s="51"/>
      <c r="EW56" s="52"/>
      <c r="EX56" s="52"/>
      <c r="EY56" s="53">
        <f t="shared" si="41"/>
        <v>0</v>
      </c>
    </row>
    <row r="57" spans="2:155" hidden="1" x14ac:dyDescent="0.25">
      <c r="B57" s="47">
        <v>45945</v>
      </c>
      <c r="C57" s="48">
        <v>14473.91</v>
      </c>
      <c r="D57" s="49">
        <v>2809.01</v>
      </c>
      <c r="E57" s="50">
        <v>2837.34</v>
      </c>
      <c r="F57" s="90">
        <v>301</v>
      </c>
      <c r="G57" s="90"/>
      <c r="I57" s="51"/>
      <c r="J57" s="52"/>
      <c r="K57" s="52"/>
      <c r="L57" s="53">
        <f t="shared" si="28"/>
        <v>0</v>
      </c>
      <c r="N57" s="47">
        <v>45945</v>
      </c>
      <c r="O57" s="54">
        <v>3341.6</v>
      </c>
      <c r="P57" s="54">
        <v>642.08000000000004</v>
      </c>
      <c r="Q57" s="58"/>
      <c r="R57" s="55"/>
      <c r="S57" s="27"/>
      <c r="T57" s="32">
        <v>120.08394000000003</v>
      </c>
      <c r="U57" s="32"/>
      <c r="V57" s="52"/>
      <c r="W57" s="53">
        <f t="shared" si="29"/>
        <v>120.08394000000003</v>
      </c>
      <c r="Y57" s="47">
        <v>45945</v>
      </c>
      <c r="Z57" s="56">
        <v>6209.46</v>
      </c>
      <c r="AA57" s="57">
        <v>883.32</v>
      </c>
      <c r="AB57" s="58"/>
      <c r="AC57" s="59">
        <v>161.19999999999999</v>
      </c>
      <c r="AD57" s="27"/>
      <c r="AE57" s="32">
        <v>189.93475299999992</v>
      </c>
      <c r="AF57" s="52"/>
      <c r="AG57" s="52"/>
      <c r="AH57" s="53">
        <f t="shared" si="30"/>
        <v>351.13475299999993</v>
      </c>
      <c r="AJ57" s="47">
        <v>45945</v>
      </c>
      <c r="AK57" s="56">
        <v>2765.8</v>
      </c>
      <c r="AL57" s="57">
        <v>526.83000000000004</v>
      </c>
      <c r="AM57" s="58"/>
      <c r="AN57" s="60"/>
      <c r="AO57" s="27"/>
      <c r="AP57" s="51"/>
      <c r="AQ57" s="52"/>
      <c r="AR57" s="52"/>
      <c r="AS57" s="53">
        <f t="shared" si="31"/>
        <v>0</v>
      </c>
      <c r="AU57" s="47">
        <v>45945</v>
      </c>
      <c r="AV57" s="57">
        <v>205</v>
      </c>
      <c r="AW57" s="57">
        <v>129.97999999999999</v>
      </c>
      <c r="AX57" s="58"/>
      <c r="AY57" s="59">
        <v>117</v>
      </c>
      <c r="AZ57" s="27"/>
      <c r="BA57" s="32">
        <v>363.17727800000034</v>
      </c>
      <c r="BB57" s="52"/>
      <c r="BC57" s="52"/>
      <c r="BD57" s="53">
        <f t="shared" si="32"/>
        <v>480.17727800000034</v>
      </c>
      <c r="BF57" s="47">
        <v>45945</v>
      </c>
      <c r="BG57" s="56">
        <v>3937.14</v>
      </c>
      <c r="BH57" s="57">
        <v>527.01</v>
      </c>
      <c r="BI57" s="58"/>
      <c r="BJ57" s="59">
        <v>14.01</v>
      </c>
      <c r="BK57" s="27"/>
      <c r="BL57" s="32">
        <v>308.71259999999984</v>
      </c>
      <c r="BM57" s="33"/>
      <c r="BN57" s="52"/>
      <c r="BO57" s="53">
        <f t="shared" si="33"/>
        <v>322.72259999999983</v>
      </c>
      <c r="BQ57" s="47">
        <v>45945</v>
      </c>
      <c r="BR57" s="57">
        <v>1365.92</v>
      </c>
      <c r="BS57" s="57">
        <v>383.65</v>
      </c>
      <c r="BT57" s="58"/>
      <c r="BU57" s="61">
        <v>23.6</v>
      </c>
      <c r="BV57" s="27"/>
      <c r="BW57" s="51"/>
      <c r="BX57" s="52"/>
      <c r="BY57" s="52"/>
      <c r="BZ57" s="53">
        <f t="shared" si="34"/>
        <v>23.6</v>
      </c>
      <c r="CB57" s="47">
        <v>45945</v>
      </c>
      <c r="CC57" s="56">
        <v>14958.25</v>
      </c>
      <c r="CD57" s="57">
        <v>1480.7</v>
      </c>
      <c r="CE57" s="58"/>
      <c r="CF57" s="60"/>
      <c r="CG57" s="27"/>
      <c r="CH57" s="51"/>
      <c r="CI57" s="52"/>
      <c r="CJ57" s="52"/>
      <c r="CK57" s="53">
        <f t="shared" si="35"/>
        <v>0</v>
      </c>
      <c r="CM57" s="47">
        <v>45945</v>
      </c>
      <c r="CN57" s="56">
        <v>7776.16</v>
      </c>
      <c r="CO57" s="57">
        <v>1385.63</v>
      </c>
      <c r="CP57" s="58"/>
      <c r="CQ57" s="62"/>
      <c r="CR57" s="27"/>
      <c r="CS57" s="32">
        <v>83.63679999999998</v>
      </c>
      <c r="CT57" s="42">
        <v>158.24308999999997</v>
      </c>
      <c r="CU57" s="52"/>
      <c r="CV57" s="53">
        <f t="shared" si="36"/>
        <v>241.87988999999993</v>
      </c>
      <c r="CX57" s="47">
        <v>45945</v>
      </c>
      <c r="CY57" s="56">
        <v>3258.48</v>
      </c>
      <c r="CZ57" s="57">
        <v>904.05</v>
      </c>
      <c r="DA57" s="58"/>
      <c r="DB57" s="59"/>
      <c r="DC57" s="27"/>
      <c r="DD57" s="32">
        <v>159.56183599999991</v>
      </c>
      <c r="DE57" s="32">
        <v>13.420259000000044</v>
      </c>
      <c r="DF57" s="52"/>
      <c r="DG57" s="53">
        <f t="shared" si="37"/>
        <v>172.98209499999996</v>
      </c>
      <c r="DI57" s="47">
        <v>45945</v>
      </c>
      <c r="DJ57" s="56">
        <v>1278.93</v>
      </c>
      <c r="DK57" s="63"/>
      <c r="DL57" s="58"/>
      <c r="DM57" s="62"/>
      <c r="DN57" s="27"/>
      <c r="DO57" s="51"/>
      <c r="DP57" s="52"/>
      <c r="DQ57" s="52"/>
      <c r="DR57" s="53">
        <f t="shared" si="38"/>
        <v>0</v>
      </c>
      <c r="DT57" s="47">
        <v>45945</v>
      </c>
      <c r="DU57" s="56">
        <v>1600.76</v>
      </c>
      <c r="DV57" s="57">
        <v>334.39</v>
      </c>
      <c r="DW57" s="58"/>
      <c r="DX57" s="62"/>
      <c r="DY57" s="27"/>
      <c r="DZ57" s="32">
        <v>88.395659999999936</v>
      </c>
      <c r="EA57" s="32">
        <v>421.73472999999979</v>
      </c>
      <c r="EB57" s="44"/>
      <c r="EC57" s="53">
        <f t="shared" si="39"/>
        <v>510.13038999999969</v>
      </c>
      <c r="EE57" s="47">
        <v>45945</v>
      </c>
      <c r="EF57" s="56">
        <v>6109.47</v>
      </c>
      <c r="EG57" s="57">
        <v>1555.01</v>
      </c>
      <c r="EH57" s="58"/>
      <c r="EI57" s="59">
        <v>162.47</v>
      </c>
      <c r="EJ57" s="27"/>
      <c r="EK57" s="32">
        <v>28.41704</v>
      </c>
      <c r="EL57" s="52"/>
      <c r="EM57" s="52"/>
      <c r="EN57" s="53">
        <f t="shared" si="40"/>
        <v>190.88704000000001</v>
      </c>
      <c r="EP57" s="47">
        <v>45945</v>
      </c>
      <c r="EQ57" s="64">
        <v>467.9</v>
      </c>
      <c r="ER57" s="56">
        <v>511.48</v>
      </c>
      <c r="ES57" s="58"/>
      <c r="ET57" s="62"/>
      <c r="EU57" s="27"/>
      <c r="EV57" s="51"/>
      <c r="EW57" s="52"/>
      <c r="EX57" s="52"/>
      <c r="EY57" s="53">
        <f t="shared" si="41"/>
        <v>0</v>
      </c>
    </row>
    <row r="58" spans="2:155" hidden="1" x14ac:dyDescent="0.25">
      <c r="B58" s="47">
        <v>45946</v>
      </c>
      <c r="C58" s="48">
        <v>17291.419999999998</v>
      </c>
      <c r="D58" s="49">
        <v>2948.66</v>
      </c>
      <c r="E58" s="50">
        <v>4293.0200000000004</v>
      </c>
      <c r="F58" s="90">
        <v>398.28</v>
      </c>
      <c r="G58" s="90"/>
      <c r="I58" s="51"/>
      <c r="J58" s="52"/>
      <c r="K58" s="52"/>
      <c r="L58" s="53">
        <f t="shared" si="28"/>
        <v>0</v>
      </c>
      <c r="N58" s="47">
        <v>45946</v>
      </c>
      <c r="O58" s="54">
        <v>2830.1</v>
      </c>
      <c r="P58" s="54">
        <v>456.51</v>
      </c>
      <c r="Q58" s="58"/>
      <c r="R58" s="55"/>
      <c r="S58" s="27"/>
      <c r="T58" s="32">
        <v>73.900080000000045</v>
      </c>
      <c r="U58" s="32"/>
      <c r="V58" s="52"/>
      <c r="W58" s="53">
        <f t="shared" si="29"/>
        <v>73.900080000000045</v>
      </c>
      <c r="Y58" s="47">
        <v>45946</v>
      </c>
      <c r="Z58" s="56">
        <v>7280.39</v>
      </c>
      <c r="AA58" s="57">
        <v>1729.84</v>
      </c>
      <c r="AB58" s="58"/>
      <c r="AC58" s="59">
        <v>116.64</v>
      </c>
      <c r="AD58" s="27"/>
      <c r="AE58" s="32">
        <v>72.969240999999954</v>
      </c>
      <c r="AF58" s="52"/>
      <c r="AG58" s="52"/>
      <c r="AH58" s="53">
        <f t="shared" si="30"/>
        <v>189.60924099999994</v>
      </c>
      <c r="AJ58" s="47">
        <v>45946</v>
      </c>
      <c r="AK58" s="56">
        <v>2707.4</v>
      </c>
      <c r="AL58" s="57">
        <v>500.14</v>
      </c>
      <c r="AM58" s="58"/>
      <c r="AN58" s="60"/>
      <c r="AO58" s="27"/>
      <c r="AP58" s="51"/>
      <c r="AQ58" s="52"/>
      <c r="AR58" s="52"/>
      <c r="AS58" s="53">
        <f t="shared" si="31"/>
        <v>0</v>
      </c>
      <c r="AU58" s="47">
        <v>45946</v>
      </c>
      <c r="AV58" s="57">
        <v>285</v>
      </c>
      <c r="AW58" s="57">
        <v>92</v>
      </c>
      <c r="AX58" s="58"/>
      <c r="AY58" s="59"/>
      <c r="AZ58" s="27"/>
      <c r="BA58" s="32">
        <v>492.92788600000051</v>
      </c>
      <c r="BB58" s="52"/>
      <c r="BC58" s="52"/>
      <c r="BD58" s="53">
        <f t="shared" si="32"/>
        <v>492.92788600000051</v>
      </c>
      <c r="BF58" s="47">
        <v>45946</v>
      </c>
      <c r="BG58" s="56">
        <v>3211.39</v>
      </c>
      <c r="BH58" s="57">
        <v>818.13</v>
      </c>
      <c r="BI58" s="58"/>
      <c r="BJ58" s="59"/>
      <c r="BK58" s="27"/>
      <c r="BL58" s="32">
        <v>262.05479999999994</v>
      </c>
      <c r="BM58" s="33">
        <v>31.309419999999989</v>
      </c>
      <c r="BN58" s="52"/>
      <c r="BO58" s="53">
        <f t="shared" si="33"/>
        <v>293.36421999999993</v>
      </c>
      <c r="BQ58" s="47">
        <v>45946</v>
      </c>
      <c r="BR58" s="57">
        <v>675.87</v>
      </c>
      <c r="BS58" s="57">
        <v>366.53</v>
      </c>
      <c r="BT58" s="58"/>
      <c r="BU58" s="61"/>
      <c r="BV58" s="27"/>
      <c r="BW58" s="51"/>
      <c r="BX58" s="52"/>
      <c r="BY58" s="52"/>
      <c r="BZ58" s="53">
        <f t="shared" si="34"/>
        <v>0</v>
      </c>
      <c r="CB58" s="47">
        <v>45946</v>
      </c>
      <c r="CC58" s="56">
        <v>18753.63</v>
      </c>
      <c r="CD58" s="57">
        <v>2502.1999999999998</v>
      </c>
      <c r="CE58" s="58"/>
      <c r="CF58" s="60"/>
      <c r="CG58" s="27"/>
      <c r="CH58" s="51"/>
      <c r="CI58" s="52"/>
      <c r="CJ58" s="52"/>
      <c r="CK58" s="53">
        <f t="shared" si="35"/>
        <v>0</v>
      </c>
      <c r="CM58" s="47">
        <v>45946</v>
      </c>
      <c r="CN58" s="56">
        <v>9566.69</v>
      </c>
      <c r="CO58" s="57">
        <v>1991.36</v>
      </c>
      <c r="CP58" s="58"/>
      <c r="CQ58" s="62"/>
      <c r="CR58" s="27"/>
      <c r="CS58" s="32">
        <v>23.266879999999986</v>
      </c>
      <c r="CT58" s="42">
        <v>100.82312999999999</v>
      </c>
      <c r="CU58" s="52"/>
      <c r="CV58" s="53">
        <f t="shared" si="36"/>
        <v>124.09000999999998</v>
      </c>
      <c r="CX58" s="47">
        <v>45946</v>
      </c>
      <c r="CY58" s="56">
        <v>5798.53</v>
      </c>
      <c r="CZ58" s="57">
        <v>1077.67</v>
      </c>
      <c r="DA58" s="58"/>
      <c r="DB58" s="59"/>
      <c r="DC58" s="27"/>
      <c r="DD58" s="32">
        <v>234.10097999999996</v>
      </c>
      <c r="DE58" s="32"/>
      <c r="DF58" s="52"/>
      <c r="DG58" s="53">
        <f t="shared" si="37"/>
        <v>234.10097999999996</v>
      </c>
      <c r="DI58" s="47">
        <v>45946</v>
      </c>
      <c r="DJ58" s="56">
        <v>2770.72</v>
      </c>
      <c r="DK58" s="63"/>
      <c r="DL58" s="58"/>
      <c r="DM58" s="62"/>
      <c r="DN58" s="27"/>
      <c r="DO58" s="51"/>
      <c r="DP58" s="52"/>
      <c r="DQ58" s="52"/>
      <c r="DR58" s="53">
        <f t="shared" si="38"/>
        <v>0</v>
      </c>
      <c r="DT58" s="47">
        <v>45946</v>
      </c>
      <c r="DU58" s="56">
        <v>2113.08</v>
      </c>
      <c r="DV58" s="57">
        <v>284.77999999999997</v>
      </c>
      <c r="DW58" s="58"/>
      <c r="DX58" s="62"/>
      <c r="DY58" s="27"/>
      <c r="DZ58" s="32">
        <v>9.5455200000000033</v>
      </c>
      <c r="EA58" s="32">
        <v>31.657489999999981</v>
      </c>
      <c r="EB58" s="44"/>
      <c r="EC58" s="53">
        <f t="shared" si="39"/>
        <v>41.203009999999985</v>
      </c>
      <c r="EE58" s="47">
        <v>45946</v>
      </c>
      <c r="EF58" s="56">
        <v>5265.09</v>
      </c>
      <c r="EG58" s="57">
        <v>1852.75</v>
      </c>
      <c r="EH58" s="58"/>
      <c r="EI58" s="59">
        <v>130.74</v>
      </c>
      <c r="EJ58" s="27"/>
      <c r="EK58" s="32"/>
      <c r="EL58" s="52"/>
      <c r="EM58" s="52"/>
      <c r="EN58" s="53">
        <f t="shared" si="40"/>
        <v>130.74</v>
      </c>
      <c r="EP58" s="47">
        <v>45946</v>
      </c>
      <c r="EQ58" s="64">
        <v>938.07</v>
      </c>
      <c r="ER58" s="56">
        <v>528.55999999999995</v>
      </c>
      <c r="ES58" s="58"/>
      <c r="ET58" s="62"/>
      <c r="EU58" s="27"/>
      <c r="EV58" s="51"/>
      <c r="EW58" s="52"/>
      <c r="EX58" s="52"/>
      <c r="EY58" s="53">
        <f t="shared" si="41"/>
        <v>0</v>
      </c>
    </row>
    <row r="59" spans="2:155" hidden="1" x14ac:dyDescent="0.25">
      <c r="B59" s="47">
        <v>45947</v>
      </c>
      <c r="C59" s="48">
        <v>20105.23</v>
      </c>
      <c r="D59" s="49">
        <v>3634.37</v>
      </c>
      <c r="E59" s="50">
        <v>3579.78</v>
      </c>
      <c r="F59" s="90">
        <v>339.64</v>
      </c>
      <c r="G59" s="90"/>
      <c r="I59" s="51"/>
      <c r="J59" s="52"/>
      <c r="K59" s="52"/>
      <c r="L59" s="53">
        <f t="shared" si="28"/>
        <v>0</v>
      </c>
      <c r="N59" s="47">
        <v>45947</v>
      </c>
      <c r="O59" s="54">
        <v>1832.12</v>
      </c>
      <c r="P59" s="54">
        <v>685.64</v>
      </c>
      <c r="Q59" s="58"/>
      <c r="R59" s="55">
        <v>25.5</v>
      </c>
      <c r="S59" s="27"/>
      <c r="T59" s="32">
        <v>158.1706200000001</v>
      </c>
      <c r="U59" s="32"/>
      <c r="V59" s="52"/>
      <c r="W59" s="53">
        <f t="shared" si="29"/>
        <v>183.6706200000001</v>
      </c>
      <c r="Y59" s="47">
        <v>45947</v>
      </c>
      <c r="Z59" s="56">
        <v>6296.47</v>
      </c>
      <c r="AA59" s="57">
        <v>1653.17</v>
      </c>
      <c r="AB59" s="58"/>
      <c r="AC59" s="59">
        <v>171.82</v>
      </c>
      <c r="AD59" s="27"/>
      <c r="AE59" s="32">
        <v>62.119340999999935</v>
      </c>
      <c r="AF59" s="52"/>
      <c r="AG59" s="52"/>
      <c r="AH59" s="53">
        <f t="shared" si="30"/>
        <v>233.93934099999993</v>
      </c>
      <c r="AJ59" s="47">
        <v>45947</v>
      </c>
      <c r="AK59" s="56">
        <v>4435.43</v>
      </c>
      <c r="AL59" s="57">
        <v>502.78</v>
      </c>
      <c r="AM59" s="58"/>
      <c r="AN59" s="60"/>
      <c r="AO59" s="27"/>
      <c r="AP59" s="51"/>
      <c r="AQ59" s="52"/>
      <c r="AR59" s="52"/>
      <c r="AS59" s="53">
        <f t="shared" si="31"/>
        <v>0</v>
      </c>
      <c r="AU59" s="47">
        <v>45947</v>
      </c>
      <c r="AV59" s="57">
        <v>198</v>
      </c>
      <c r="AW59" s="57">
        <v>40.020000000000003</v>
      </c>
      <c r="AX59" s="58"/>
      <c r="AY59" s="59"/>
      <c r="AZ59" s="27"/>
      <c r="BA59" s="32">
        <v>285.9016720000003</v>
      </c>
      <c r="BB59" s="52"/>
      <c r="BC59" s="52"/>
      <c r="BD59" s="53">
        <f t="shared" si="32"/>
        <v>285.9016720000003</v>
      </c>
      <c r="BF59" s="47">
        <v>45947</v>
      </c>
      <c r="BG59" s="56">
        <v>5331.75</v>
      </c>
      <c r="BH59" s="57">
        <v>978.73</v>
      </c>
      <c r="BI59" s="58"/>
      <c r="BJ59" s="59"/>
      <c r="BK59" s="27"/>
      <c r="BL59" s="32">
        <v>236.25003999999987</v>
      </c>
      <c r="BM59" s="33">
        <v>78.040806999999973</v>
      </c>
      <c r="BN59" s="52"/>
      <c r="BO59" s="53">
        <f t="shared" si="33"/>
        <v>314.29084699999987</v>
      </c>
      <c r="BQ59" s="47">
        <v>45947</v>
      </c>
      <c r="BR59" s="57">
        <v>514.05999999999995</v>
      </c>
      <c r="BS59" s="57">
        <v>438.99</v>
      </c>
      <c r="BT59" s="58"/>
      <c r="BU59" s="61"/>
      <c r="BV59" s="27"/>
      <c r="BW59" s="51"/>
      <c r="BX59" s="52"/>
      <c r="BY59" s="52"/>
      <c r="BZ59" s="53">
        <f t="shared" si="34"/>
        <v>0</v>
      </c>
      <c r="CB59" s="47">
        <v>45947</v>
      </c>
      <c r="CC59" s="56">
        <v>20537.5</v>
      </c>
      <c r="CD59" s="57">
        <v>2091.67</v>
      </c>
      <c r="CE59" s="58"/>
      <c r="CF59" s="60"/>
      <c r="CG59" s="27"/>
      <c r="CH59" s="51"/>
      <c r="CI59" s="52"/>
      <c r="CJ59" s="52"/>
      <c r="CK59" s="53">
        <f t="shared" si="35"/>
        <v>0</v>
      </c>
      <c r="CM59" s="47">
        <v>45947</v>
      </c>
      <c r="CN59" s="56">
        <v>13415.4</v>
      </c>
      <c r="CO59" s="57">
        <v>2163.1999999999998</v>
      </c>
      <c r="CP59" s="58"/>
      <c r="CQ59" s="62"/>
      <c r="CR59" s="27"/>
      <c r="CS59" s="32"/>
      <c r="CT59" s="42">
        <v>741.24591999999984</v>
      </c>
      <c r="CU59" s="52"/>
      <c r="CV59" s="53">
        <f t="shared" si="36"/>
        <v>741.24591999999984</v>
      </c>
      <c r="CX59" s="47">
        <v>45947</v>
      </c>
      <c r="CY59" s="56">
        <v>5396.35</v>
      </c>
      <c r="CZ59" s="57">
        <v>972.16</v>
      </c>
      <c r="DA59" s="58"/>
      <c r="DB59" s="59">
        <v>5.12</v>
      </c>
      <c r="DC59" s="27"/>
      <c r="DD59" s="32">
        <v>231.65369399999997</v>
      </c>
      <c r="DE59" s="32">
        <v>25.379567000000065</v>
      </c>
      <c r="DF59" s="52"/>
      <c r="DG59" s="53">
        <f t="shared" si="37"/>
        <v>262.15326100000004</v>
      </c>
      <c r="DI59" s="47">
        <v>45947</v>
      </c>
      <c r="DJ59" s="56">
        <v>1904.4</v>
      </c>
      <c r="DK59" s="63"/>
      <c r="DL59" s="58"/>
      <c r="DM59" s="62"/>
      <c r="DN59" s="27"/>
      <c r="DO59" s="51"/>
      <c r="DP59" s="52"/>
      <c r="DQ59" s="52"/>
      <c r="DR59" s="53">
        <f t="shared" si="38"/>
        <v>0</v>
      </c>
      <c r="DT59" s="47">
        <v>45947</v>
      </c>
      <c r="DU59" s="56">
        <v>1280.18</v>
      </c>
      <c r="DV59" s="57">
        <v>397.29</v>
      </c>
      <c r="DW59" s="58"/>
      <c r="DX59" s="62"/>
      <c r="DY59" s="27"/>
      <c r="DZ59" s="32">
        <v>114.73688999999996</v>
      </c>
      <c r="EA59" s="32"/>
      <c r="EB59" s="44"/>
      <c r="EC59" s="53">
        <f t="shared" si="39"/>
        <v>114.73688999999996</v>
      </c>
      <c r="EE59" s="47">
        <v>45947</v>
      </c>
      <c r="EF59" s="56">
        <v>5603.44</v>
      </c>
      <c r="EG59" s="57">
        <v>2436.81</v>
      </c>
      <c r="EH59" s="58"/>
      <c r="EI59" s="59">
        <v>101.22</v>
      </c>
      <c r="EJ59" s="27"/>
      <c r="EK59" s="32"/>
      <c r="EL59" s="52"/>
      <c r="EM59" s="52"/>
      <c r="EN59" s="53">
        <f t="shared" si="40"/>
        <v>101.22</v>
      </c>
      <c r="EP59" s="47">
        <v>45947</v>
      </c>
      <c r="EQ59" s="64">
        <v>811.92</v>
      </c>
      <c r="ER59" s="56">
        <v>759.09</v>
      </c>
      <c r="ES59" s="58"/>
      <c r="ET59" s="62"/>
      <c r="EU59" s="27"/>
      <c r="EV59" s="51"/>
      <c r="EW59" s="52"/>
      <c r="EX59" s="52"/>
      <c r="EY59" s="53">
        <f t="shared" si="41"/>
        <v>0</v>
      </c>
    </row>
    <row r="60" spans="2:155" hidden="1" x14ac:dyDescent="0.25">
      <c r="B60" s="47">
        <v>45948</v>
      </c>
      <c r="C60" s="48">
        <v>23782.43</v>
      </c>
      <c r="D60" s="49">
        <v>3319.56</v>
      </c>
      <c r="E60" s="50">
        <v>4523.07</v>
      </c>
      <c r="F60" s="90">
        <v>292.37</v>
      </c>
      <c r="G60" s="90"/>
      <c r="I60" s="51"/>
      <c r="J60" s="52"/>
      <c r="K60" s="52"/>
      <c r="L60" s="53">
        <f t="shared" si="28"/>
        <v>0</v>
      </c>
      <c r="N60" s="47">
        <v>45948</v>
      </c>
      <c r="O60" s="54">
        <v>3255.17</v>
      </c>
      <c r="P60" s="54">
        <v>911.84</v>
      </c>
      <c r="Q60" s="58"/>
      <c r="R60" s="69"/>
      <c r="S60" s="27"/>
      <c r="T60" s="32">
        <v>82.759580000000014</v>
      </c>
      <c r="U60" s="32">
        <v>5.1688699999999983</v>
      </c>
      <c r="V60" s="52"/>
      <c r="W60" s="53">
        <f t="shared" si="29"/>
        <v>87.928450000000012</v>
      </c>
      <c r="Y60" s="47">
        <v>45948</v>
      </c>
      <c r="Z60" s="56">
        <v>4669.21</v>
      </c>
      <c r="AA60" s="57">
        <v>1278.9000000000001</v>
      </c>
      <c r="AB60" s="58"/>
      <c r="AC60" s="59">
        <v>263.95999999999998</v>
      </c>
      <c r="AD60" s="27"/>
      <c r="AE60" s="32">
        <v>166.8963609999999</v>
      </c>
      <c r="AF60" s="52"/>
      <c r="AG60" s="52"/>
      <c r="AH60" s="53">
        <f t="shared" si="30"/>
        <v>430.85636099999988</v>
      </c>
      <c r="AJ60" s="47">
        <v>45948</v>
      </c>
      <c r="AK60" s="56">
        <v>3021.04</v>
      </c>
      <c r="AL60" s="57">
        <v>794.37</v>
      </c>
      <c r="AM60" s="58"/>
      <c r="AN60" s="60"/>
      <c r="AO60" s="27"/>
      <c r="AP60" s="51"/>
      <c r="AQ60" s="52"/>
      <c r="AR60" s="52"/>
      <c r="AS60" s="53">
        <f t="shared" si="31"/>
        <v>0</v>
      </c>
      <c r="AU60" s="47">
        <v>45948</v>
      </c>
      <c r="AV60" s="57">
        <v>698.73</v>
      </c>
      <c r="AW60" s="57">
        <v>125.89</v>
      </c>
      <c r="AX60" s="58"/>
      <c r="AY60" s="59">
        <v>107.9</v>
      </c>
      <c r="AZ60" s="27"/>
      <c r="BA60" s="32">
        <v>283.12729000000036</v>
      </c>
      <c r="BB60" s="52"/>
      <c r="BC60" s="52"/>
      <c r="BD60" s="53">
        <f t="shared" si="32"/>
        <v>391.02729000000033</v>
      </c>
      <c r="BF60" s="47">
        <v>45948</v>
      </c>
      <c r="BG60" s="56">
        <v>3383.08</v>
      </c>
      <c r="BH60" s="57">
        <v>592.14</v>
      </c>
      <c r="BI60" s="58"/>
      <c r="BJ60" s="59"/>
      <c r="BK60" s="27"/>
      <c r="BL60" s="32">
        <v>338.89850000000001</v>
      </c>
      <c r="BM60" s="33">
        <v>67.40092199999998</v>
      </c>
      <c r="BN60" s="52"/>
      <c r="BO60" s="53">
        <f t="shared" si="33"/>
        <v>406.29942199999999</v>
      </c>
      <c r="BQ60" s="47">
        <v>45948</v>
      </c>
      <c r="BR60" s="57">
        <v>805</v>
      </c>
      <c r="BS60" s="57">
        <v>416.83</v>
      </c>
      <c r="BT60" s="58"/>
      <c r="BU60" s="61"/>
      <c r="BV60" s="27"/>
      <c r="BW60" s="51"/>
      <c r="BX60" s="52"/>
      <c r="BY60" s="52"/>
      <c r="BZ60" s="53">
        <f t="shared" si="34"/>
        <v>0</v>
      </c>
      <c r="CB60" s="47">
        <v>45948</v>
      </c>
      <c r="CC60" s="56">
        <v>17944.27</v>
      </c>
      <c r="CD60" s="57">
        <v>2406.38</v>
      </c>
      <c r="CE60" s="58"/>
      <c r="CF60" s="60"/>
      <c r="CG60" s="27"/>
      <c r="CH60" s="51"/>
      <c r="CI60" s="52"/>
      <c r="CJ60" s="52"/>
      <c r="CK60" s="53">
        <f t="shared" si="35"/>
        <v>0</v>
      </c>
      <c r="CM60" s="47">
        <v>45948</v>
      </c>
      <c r="CN60" s="56">
        <v>8049.96</v>
      </c>
      <c r="CO60" s="57">
        <v>1538.94</v>
      </c>
      <c r="CP60" s="58"/>
      <c r="CQ60" s="62"/>
      <c r="CR60" s="27"/>
      <c r="CS60" s="32">
        <v>41.907839999999979</v>
      </c>
      <c r="CT60" s="42">
        <v>188.25365999999991</v>
      </c>
      <c r="CU60" s="52"/>
      <c r="CV60" s="53">
        <f t="shared" si="36"/>
        <v>230.16149999999988</v>
      </c>
      <c r="CX60" s="47">
        <v>45948</v>
      </c>
      <c r="CY60" s="56">
        <v>6244.96</v>
      </c>
      <c r="CZ60" s="57">
        <v>1075.1300000000001</v>
      </c>
      <c r="DA60" s="58"/>
      <c r="DB60" s="59"/>
      <c r="DC60" s="27"/>
      <c r="DD60" s="32">
        <v>225.52436799999998</v>
      </c>
      <c r="DE60" s="32"/>
      <c r="DF60" s="52"/>
      <c r="DG60" s="53">
        <f t="shared" si="37"/>
        <v>225.52436799999998</v>
      </c>
      <c r="DI60" s="47">
        <v>45948</v>
      </c>
      <c r="DJ60" s="56">
        <v>2491.62</v>
      </c>
      <c r="DK60" s="63"/>
      <c r="DL60" s="58"/>
      <c r="DM60" s="62"/>
      <c r="DN60" s="27"/>
      <c r="DO60" s="51"/>
      <c r="DP60" s="52"/>
      <c r="DQ60" s="52"/>
      <c r="DR60" s="53">
        <f t="shared" si="38"/>
        <v>0</v>
      </c>
      <c r="DT60" s="47">
        <v>45948</v>
      </c>
      <c r="DU60" s="56">
        <v>1465.12</v>
      </c>
      <c r="DV60" s="57">
        <v>431.93</v>
      </c>
      <c r="DW60" s="58"/>
      <c r="DX60" s="62"/>
      <c r="DY60" s="27"/>
      <c r="DZ60" s="32">
        <v>107.79363999999994</v>
      </c>
      <c r="EA60" s="32"/>
      <c r="EB60" s="44"/>
      <c r="EC60" s="53">
        <f t="shared" si="39"/>
        <v>107.79363999999994</v>
      </c>
      <c r="EE60" s="47">
        <v>45948</v>
      </c>
      <c r="EF60" s="56">
        <v>8409.99</v>
      </c>
      <c r="EG60" s="57">
        <v>2154.06</v>
      </c>
      <c r="EH60" s="58"/>
      <c r="EI60" s="59">
        <v>135.51</v>
      </c>
      <c r="EJ60" s="27"/>
      <c r="EK60" s="32">
        <v>18.943749999999994</v>
      </c>
      <c r="EL60" s="52"/>
      <c r="EM60" s="52"/>
      <c r="EN60" s="53">
        <f t="shared" si="40"/>
        <v>154.45374999999999</v>
      </c>
      <c r="EP60" s="47">
        <v>45948</v>
      </c>
      <c r="EQ60" s="64">
        <v>891.36</v>
      </c>
      <c r="ER60" s="56">
        <v>969.85</v>
      </c>
      <c r="ES60" s="58"/>
      <c r="ET60" s="62"/>
      <c r="EU60" s="27"/>
      <c r="EV60" s="51"/>
      <c r="EW60" s="52"/>
      <c r="EX60" s="52"/>
      <c r="EY60" s="53">
        <f t="shared" si="41"/>
        <v>0</v>
      </c>
    </row>
    <row r="61" spans="2:155" hidden="1" x14ac:dyDescent="0.25">
      <c r="B61" s="47">
        <v>45949</v>
      </c>
      <c r="C61" s="48">
        <v>15812.89</v>
      </c>
      <c r="D61" s="49">
        <v>2581.2800000000002</v>
      </c>
      <c r="E61" s="50">
        <v>3991.21</v>
      </c>
      <c r="F61" s="90">
        <v>144.49</v>
      </c>
      <c r="G61" s="90"/>
      <c r="I61" s="51"/>
      <c r="J61" s="52"/>
      <c r="K61" s="52"/>
      <c r="L61" s="53">
        <f t="shared" si="28"/>
        <v>0</v>
      </c>
      <c r="N61" s="47">
        <v>45949</v>
      </c>
      <c r="O61" s="54">
        <v>2677.21</v>
      </c>
      <c r="P61" s="54">
        <v>474.92</v>
      </c>
      <c r="Q61" s="58"/>
      <c r="R61" s="55">
        <v>32.72</v>
      </c>
      <c r="S61" s="27"/>
      <c r="T61" s="32">
        <v>64.158299999999983</v>
      </c>
      <c r="U61" s="32"/>
      <c r="V61" s="52"/>
      <c r="W61" s="53">
        <f t="shared" si="29"/>
        <v>96.878299999999982</v>
      </c>
      <c r="Y61" s="47">
        <v>45949</v>
      </c>
      <c r="Z61" s="56">
        <v>6329.24</v>
      </c>
      <c r="AA61" s="57">
        <v>1591.32</v>
      </c>
      <c r="AB61" s="58"/>
      <c r="AC61" s="59">
        <v>396.99</v>
      </c>
      <c r="AD61" s="27"/>
      <c r="AE61" s="32"/>
      <c r="AF61" s="52"/>
      <c r="AG61" s="52"/>
      <c r="AH61" s="53">
        <f t="shared" si="30"/>
        <v>396.99</v>
      </c>
      <c r="AJ61" s="47">
        <v>45949</v>
      </c>
      <c r="AK61" s="56">
        <v>1914.26</v>
      </c>
      <c r="AL61" s="57">
        <v>509.93</v>
      </c>
      <c r="AM61" s="58"/>
      <c r="AN61" s="60"/>
      <c r="AO61" s="27"/>
      <c r="AP61" s="51"/>
      <c r="AQ61" s="52"/>
      <c r="AR61" s="52"/>
      <c r="AS61" s="53">
        <f t="shared" si="31"/>
        <v>0</v>
      </c>
      <c r="AU61" s="47">
        <v>45949</v>
      </c>
      <c r="AV61" s="57">
        <v>485.72</v>
      </c>
      <c r="AW61" s="57">
        <v>39</v>
      </c>
      <c r="AX61" s="58"/>
      <c r="AY61" s="59"/>
      <c r="AZ61" s="27"/>
      <c r="BA61" s="32">
        <v>150.09486500000003</v>
      </c>
      <c r="BB61" s="52"/>
      <c r="BC61" s="52"/>
      <c r="BD61" s="53">
        <f t="shared" si="32"/>
        <v>150.09486500000003</v>
      </c>
      <c r="BF61" s="47">
        <v>45949</v>
      </c>
      <c r="BG61" s="56">
        <v>3259.01</v>
      </c>
      <c r="BH61" s="57">
        <v>872.43</v>
      </c>
      <c r="BI61" s="58"/>
      <c r="BJ61" s="59"/>
      <c r="BK61" s="27"/>
      <c r="BL61" s="32">
        <v>85.328219999999973</v>
      </c>
      <c r="BM61" s="33"/>
      <c r="BN61" s="52"/>
      <c r="BO61" s="53">
        <f t="shared" si="33"/>
        <v>85.328219999999973</v>
      </c>
      <c r="BQ61" s="47">
        <v>45949</v>
      </c>
      <c r="BR61" s="57">
        <v>337</v>
      </c>
      <c r="BS61" s="57">
        <v>372.13</v>
      </c>
      <c r="BT61" s="58"/>
      <c r="BU61" s="61"/>
      <c r="BV61" s="27"/>
      <c r="BW61" s="51"/>
      <c r="BX61" s="52"/>
      <c r="BY61" s="52"/>
      <c r="BZ61" s="53">
        <f t="shared" si="34"/>
        <v>0</v>
      </c>
      <c r="CB61" s="47">
        <v>45949</v>
      </c>
      <c r="CC61" s="56">
        <v>20308.560000000001</v>
      </c>
      <c r="CD61" s="57">
        <v>2146.8200000000002</v>
      </c>
      <c r="CE61" s="58"/>
      <c r="CF61" s="60"/>
      <c r="CG61" s="27"/>
      <c r="CH61" s="51"/>
      <c r="CI61" s="52"/>
      <c r="CJ61" s="52"/>
      <c r="CK61" s="53">
        <f t="shared" si="35"/>
        <v>0</v>
      </c>
      <c r="CM61" s="47">
        <v>45949</v>
      </c>
      <c r="CN61" s="56">
        <v>5350.69</v>
      </c>
      <c r="CO61" s="57">
        <v>1134.8399999999999</v>
      </c>
      <c r="CP61" s="58"/>
      <c r="CQ61" s="62"/>
      <c r="CR61" s="27"/>
      <c r="CS61" s="32"/>
      <c r="CT61" s="42">
        <v>84.101419999999976</v>
      </c>
      <c r="CU61" s="52"/>
      <c r="CV61" s="53">
        <f t="shared" si="36"/>
        <v>84.101419999999976</v>
      </c>
      <c r="CX61" s="47">
        <v>45949</v>
      </c>
      <c r="CY61" s="56">
        <v>4442.76</v>
      </c>
      <c r="CZ61" s="57">
        <v>1473.73</v>
      </c>
      <c r="DA61" s="58"/>
      <c r="DB61" s="59">
        <v>14.81</v>
      </c>
      <c r="DC61" s="27"/>
      <c r="DD61" s="32">
        <v>131.72121200000001</v>
      </c>
      <c r="DE61" s="32">
        <v>30.481049000000041</v>
      </c>
      <c r="DF61" s="52"/>
      <c r="DG61" s="53">
        <f t="shared" si="37"/>
        <v>177.01226100000005</v>
      </c>
      <c r="DI61" s="47">
        <v>45949</v>
      </c>
      <c r="DJ61" s="56">
        <v>922.03</v>
      </c>
      <c r="DK61" s="63"/>
      <c r="DL61" s="58"/>
      <c r="DM61" s="62"/>
      <c r="DN61" s="27"/>
      <c r="DO61" s="51"/>
      <c r="DP61" s="52"/>
      <c r="DQ61" s="52"/>
      <c r="DR61" s="53">
        <f t="shared" si="38"/>
        <v>0</v>
      </c>
      <c r="DT61" s="47">
        <v>45949</v>
      </c>
      <c r="DU61" s="56">
        <v>1447.17</v>
      </c>
      <c r="DV61" s="57">
        <v>645.02</v>
      </c>
      <c r="DW61" s="58"/>
      <c r="DX61" s="62"/>
      <c r="DY61" s="27"/>
      <c r="DZ61" s="32">
        <v>28.490559999999988</v>
      </c>
      <c r="EA61" s="32">
        <v>465.55033999999978</v>
      </c>
      <c r="EB61" s="44"/>
      <c r="EC61" s="53">
        <f t="shared" si="39"/>
        <v>494.04089999999974</v>
      </c>
      <c r="EE61" s="47">
        <v>45949</v>
      </c>
      <c r="EF61" s="56">
        <v>4096.2700000000004</v>
      </c>
      <c r="EG61" s="57">
        <v>1427.53</v>
      </c>
      <c r="EH61" s="58"/>
      <c r="EI61" s="59">
        <v>101.9</v>
      </c>
      <c r="EJ61" s="27"/>
      <c r="EK61" s="32"/>
      <c r="EL61" s="52"/>
      <c r="EM61" s="52"/>
      <c r="EN61" s="53">
        <f t="shared" si="40"/>
        <v>101.9</v>
      </c>
      <c r="EP61" s="47">
        <v>45949</v>
      </c>
      <c r="EQ61" s="64">
        <v>933.06</v>
      </c>
      <c r="ER61" s="56">
        <v>649.97</v>
      </c>
      <c r="ES61" s="58"/>
      <c r="ET61" s="62"/>
      <c r="EU61" s="27"/>
      <c r="EV61" s="51"/>
      <c r="EW61" s="52"/>
      <c r="EX61" s="52"/>
      <c r="EY61" s="53">
        <f t="shared" si="41"/>
        <v>0</v>
      </c>
    </row>
    <row r="62" spans="2:155" hidden="1" x14ac:dyDescent="0.25">
      <c r="B62" s="47">
        <v>45950</v>
      </c>
      <c r="C62" s="48">
        <v>21663</v>
      </c>
      <c r="D62" s="49">
        <v>4383.5200000000004</v>
      </c>
      <c r="E62" s="50">
        <v>4064.47</v>
      </c>
      <c r="F62" s="90">
        <v>451.46</v>
      </c>
      <c r="G62" s="90"/>
      <c r="I62" s="51"/>
      <c r="J62" s="52"/>
      <c r="K62" s="52"/>
      <c r="L62" s="53">
        <f t="shared" si="28"/>
        <v>0</v>
      </c>
      <c r="N62" s="47">
        <v>45950</v>
      </c>
      <c r="O62" s="54">
        <v>3934.62</v>
      </c>
      <c r="P62" s="54">
        <v>694.25</v>
      </c>
      <c r="Q62" s="58"/>
      <c r="R62" s="55"/>
      <c r="S62" s="27"/>
      <c r="T62" s="32">
        <v>253.34293000000011</v>
      </c>
      <c r="U62" s="32">
        <v>12.319859999999949</v>
      </c>
      <c r="V62" s="52"/>
      <c r="W62" s="53">
        <f t="shared" si="29"/>
        <v>265.66279000000009</v>
      </c>
      <c r="Y62" s="47">
        <v>45950</v>
      </c>
      <c r="Z62" s="56">
        <v>4833.46</v>
      </c>
      <c r="AA62" s="57">
        <v>1470.67</v>
      </c>
      <c r="AB62" s="58"/>
      <c r="AC62" s="59">
        <v>196.17</v>
      </c>
      <c r="AD62" s="27"/>
      <c r="AE62" s="32">
        <v>81.21999999999997</v>
      </c>
      <c r="AF62" s="52"/>
      <c r="AG62" s="52"/>
      <c r="AH62" s="53">
        <f t="shared" si="30"/>
        <v>277.39</v>
      </c>
      <c r="AJ62" s="47">
        <v>45950</v>
      </c>
      <c r="AK62" s="56">
        <v>3345.16</v>
      </c>
      <c r="AL62" s="57">
        <v>456.52</v>
      </c>
      <c r="AM62" s="58"/>
      <c r="AN62" s="60"/>
      <c r="AO62" s="27"/>
      <c r="AP62" s="51"/>
      <c r="AQ62" s="52"/>
      <c r="AR62" s="52"/>
      <c r="AS62" s="53">
        <f t="shared" si="31"/>
        <v>0</v>
      </c>
      <c r="AU62" s="47">
        <v>45950</v>
      </c>
      <c r="AV62" s="57">
        <v>244</v>
      </c>
      <c r="AW62" s="57">
        <v>30.92</v>
      </c>
      <c r="AX62" s="58"/>
      <c r="AY62" s="59">
        <v>117</v>
      </c>
      <c r="AZ62" s="27"/>
      <c r="BA62" s="32">
        <v>452.4310310000003</v>
      </c>
      <c r="BB62" s="52"/>
      <c r="BC62" s="52"/>
      <c r="BD62" s="53">
        <f t="shared" si="32"/>
        <v>569.4310310000003</v>
      </c>
      <c r="BF62" s="47">
        <v>45950</v>
      </c>
      <c r="BG62" s="56">
        <v>4026.96</v>
      </c>
      <c r="BH62" s="57">
        <v>783.34</v>
      </c>
      <c r="BI62" s="58"/>
      <c r="BJ62" s="59">
        <v>14.48</v>
      </c>
      <c r="BK62" s="27"/>
      <c r="BL62" s="32">
        <v>410.38415999999989</v>
      </c>
      <c r="BM62" s="33">
        <v>29.779727999999984</v>
      </c>
      <c r="BN62" s="52"/>
      <c r="BO62" s="53">
        <f t="shared" si="33"/>
        <v>454.64388799999989</v>
      </c>
      <c r="BQ62" s="47">
        <v>45950</v>
      </c>
      <c r="BR62" s="57">
        <v>434</v>
      </c>
      <c r="BS62" s="57">
        <v>406</v>
      </c>
      <c r="BT62" s="58"/>
      <c r="BU62" s="61"/>
      <c r="BV62" s="27"/>
      <c r="BW62" s="51"/>
      <c r="BX62" s="52"/>
      <c r="BY62" s="52"/>
      <c r="BZ62" s="53">
        <f t="shared" si="34"/>
        <v>0</v>
      </c>
      <c r="CB62" s="47">
        <v>45950</v>
      </c>
      <c r="CC62" s="56">
        <v>20629.37</v>
      </c>
      <c r="CD62" s="57">
        <v>2442.21</v>
      </c>
      <c r="CE62" s="58"/>
      <c r="CF62" s="60"/>
      <c r="CG62" s="27"/>
      <c r="CH62" s="51"/>
      <c r="CI62" s="52"/>
      <c r="CJ62" s="52"/>
      <c r="CK62" s="53">
        <f t="shared" si="35"/>
        <v>0</v>
      </c>
      <c r="CM62" s="47">
        <v>45950</v>
      </c>
      <c r="CN62" s="56">
        <v>9691.81</v>
      </c>
      <c r="CO62" s="57">
        <v>1511.674</v>
      </c>
      <c r="CP62" s="58"/>
      <c r="CQ62" s="62"/>
      <c r="CR62" s="27"/>
      <c r="CS62" s="32">
        <v>119.19049999999996</v>
      </c>
      <c r="CT62" s="42">
        <v>258.8128999999999</v>
      </c>
      <c r="CU62" s="52"/>
      <c r="CV62" s="53">
        <f t="shared" si="36"/>
        <v>378.00339999999983</v>
      </c>
      <c r="CX62" s="47">
        <v>45950</v>
      </c>
      <c r="CY62" s="56">
        <v>3438.53</v>
      </c>
      <c r="CZ62" s="57">
        <v>228.12</v>
      </c>
      <c r="DA62" s="58"/>
      <c r="DB62" s="59"/>
      <c r="DC62" s="27"/>
      <c r="DD62" s="32">
        <v>277.36774000000003</v>
      </c>
      <c r="DE62" s="32"/>
      <c r="DF62" s="52"/>
      <c r="DG62" s="53">
        <f t="shared" si="37"/>
        <v>277.36774000000003</v>
      </c>
      <c r="DI62" s="47">
        <v>45950</v>
      </c>
      <c r="DJ62" s="56">
        <v>1547.04</v>
      </c>
      <c r="DK62" s="63"/>
      <c r="DL62" s="58"/>
      <c r="DM62" s="62"/>
      <c r="DN62" s="27"/>
      <c r="DO62" s="51"/>
      <c r="DP62" s="52"/>
      <c r="DQ62" s="52"/>
      <c r="DR62" s="53">
        <f t="shared" si="38"/>
        <v>0</v>
      </c>
      <c r="DT62" s="47">
        <v>45950</v>
      </c>
      <c r="DU62" s="56">
        <v>1233.6099999999999</v>
      </c>
      <c r="DV62" s="57">
        <v>213.23</v>
      </c>
      <c r="DW62" s="58"/>
      <c r="DX62" s="62"/>
      <c r="DY62" s="27"/>
      <c r="DZ62" s="32">
        <v>66.411020000000008</v>
      </c>
      <c r="EA62" s="32">
        <v>81.522070000000014</v>
      </c>
      <c r="EB62" s="44"/>
      <c r="EC62" s="53">
        <f t="shared" si="39"/>
        <v>147.93309000000002</v>
      </c>
      <c r="EE62" s="47">
        <v>45950</v>
      </c>
      <c r="EF62" s="56">
        <v>4835.72</v>
      </c>
      <c r="EG62" s="57">
        <v>1286.92</v>
      </c>
      <c r="EH62" s="58"/>
      <c r="EI62" s="59">
        <v>154.87</v>
      </c>
      <c r="EJ62" s="27"/>
      <c r="EK62" s="32">
        <v>31.589249999999993</v>
      </c>
      <c r="EL62" s="52"/>
      <c r="EM62" s="52"/>
      <c r="EN62" s="53">
        <f t="shared" si="40"/>
        <v>186.45925</v>
      </c>
      <c r="EP62" s="47">
        <v>45950</v>
      </c>
      <c r="EQ62" s="64">
        <v>1074.52</v>
      </c>
      <c r="ER62" s="56">
        <v>481.62</v>
      </c>
      <c r="ES62" s="58"/>
      <c r="ET62" s="62"/>
      <c r="EU62" s="27"/>
      <c r="EV62" s="51"/>
      <c r="EW62" s="52"/>
      <c r="EX62" s="52"/>
      <c r="EY62" s="53">
        <f t="shared" si="41"/>
        <v>0</v>
      </c>
    </row>
    <row r="63" spans="2:155" hidden="1" x14ac:dyDescent="0.25">
      <c r="B63" s="47">
        <v>45951</v>
      </c>
      <c r="C63" s="48">
        <v>19960.04</v>
      </c>
      <c r="D63" s="49">
        <v>3754.23</v>
      </c>
      <c r="E63" s="50">
        <v>4244.3900000000003</v>
      </c>
      <c r="F63" s="90">
        <v>481.76</v>
      </c>
      <c r="G63" s="90"/>
      <c r="I63" s="51"/>
      <c r="J63" s="52"/>
      <c r="K63" s="52"/>
      <c r="L63" s="53">
        <f t="shared" si="28"/>
        <v>0</v>
      </c>
      <c r="N63" s="47">
        <v>45951</v>
      </c>
      <c r="O63" s="54">
        <v>4666.2</v>
      </c>
      <c r="P63" s="54">
        <v>480.99</v>
      </c>
      <c r="Q63" s="58"/>
      <c r="R63" s="55"/>
      <c r="S63" s="27"/>
      <c r="T63" s="32">
        <v>145.9418399999999</v>
      </c>
      <c r="U63" s="32"/>
      <c r="V63" s="52"/>
      <c r="W63" s="53">
        <f t="shared" si="29"/>
        <v>145.9418399999999</v>
      </c>
      <c r="Y63" s="47">
        <v>45951</v>
      </c>
      <c r="Z63" s="56">
        <v>5945.27</v>
      </c>
      <c r="AA63" s="57">
        <v>1354.06</v>
      </c>
      <c r="AB63" s="58"/>
      <c r="AC63" s="59">
        <v>131.44</v>
      </c>
      <c r="AD63" s="27"/>
      <c r="AE63" s="32">
        <v>86.622967999999958</v>
      </c>
      <c r="AF63" s="52"/>
      <c r="AG63" s="52"/>
      <c r="AH63" s="53">
        <f t="shared" si="30"/>
        <v>218.06296799999996</v>
      </c>
      <c r="AJ63" s="47">
        <v>45951</v>
      </c>
      <c r="AK63" s="56">
        <v>4778.1499999999996</v>
      </c>
      <c r="AL63" s="57">
        <v>566.64</v>
      </c>
      <c r="AM63" s="58"/>
      <c r="AN63" s="60"/>
      <c r="AO63" s="27"/>
      <c r="AP63" s="51"/>
      <c r="AQ63" s="52"/>
      <c r="AR63" s="52"/>
      <c r="AS63" s="53">
        <f t="shared" si="31"/>
        <v>0</v>
      </c>
      <c r="AU63" s="47">
        <v>45951</v>
      </c>
      <c r="AV63" s="57">
        <v>449</v>
      </c>
      <c r="AW63" s="57">
        <v>65.010000000000005</v>
      </c>
      <c r="AX63" s="58"/>
      <c r="AY63" s="59"/>
      <c r="AZ63" s="27"/>
      <c r="BA63" s="32">
        <v>418.8774639999998</v>
      </c>
      <c r="BB63" s="52"/>
      <c r="BC63" s="52"/>
      <c r="BD63" s="53">
        <f t="shared" si="32"/>
        <v>418.8774639999998</v>
      </c>
      <c r="BF63" s="47">
        <v>45951</v>
      </c>
      <c r="BG63" s="56">
        <v>4603.91</v>
      </c>
      <c r="BH63" s="57">
        <v>621.52</v>
      </c>
      <c r="BI63" s="58"/>
      <c r="BJ63" s="59">
        <v>15.4</v>
      </c>
      <c r="BK63" s="27"/>
      <c r="BL63" s="32">
        <v>231.57128</v>
      </c>
      <c r="BM63" s="33">
        <v>18.440017000000005</v>
      </c>
      <c r="BN63" s="52"/>
      <c r="BO63" s="53">
        <f t="shared" si="33"/>
        <v>265.41129699999999</v>
      </c>
      <c r="BQ63" s="47">
        <v>45951</v>
      </c>
      <c r="BR63" s="57">
        <v>354.13</v>
      </c>
      <c r="BS63" s="57">
        <v>557.19000000000005</v>
      </c>
      <c r="BT63" s="58"/>
      <c r="BU63" s="61">
        <v>16</v>
      </c>
      <c r="BV63" s="27"/>
      <c r="BW63" s="51"/>
      <c r="BX63" s="52"/>
      <c r="BY63" s="52"/>
      <c r="BZ63" s="53">
        <f t="shared" si="34"/>
        <v>16</v>
      </c>
      <c r="CB63" s="47">
        <v>45951</v>
      </c>
      <c r="CC63" s="56">
        <v>20950.330000000002</v>
      </c>
      <c r="CD63" s="57">
        <v>2437.06</v>
      </c>
      <c r="CE63" s="58"/>
      <c r="CF63" s="60"/>
      <c r="CG63" s="27"/>
      <c r="CH63" s="51"/>
      <c r="CI63" s="52"/>
      <c r="CJ63" s="52"/>
      <c r="CK63" s="53">
        <f t="shared" si="35"/>
        <v>0</v>
      </c>
      <c r="CM63" s="47">
        <v>45951</v>
      </c>
      <c r="CN63" s="56">
        <v>11595.76</v>
      </c>
      <c r="CO63" s="57">
        <v>2131.27</v>
      </c>
      <c r="CP63" s="58"/>
      <c r="CQ63" s="62"/>
      <c r="CR63" s="27"/>
      <c r="CS63" s="32">
        <v>239.99659999999994</v>
      </c>
      <c r="CT63" s="42">
        <v>243.60136999999992</v>
      </c>
      <c r="CU63" s="52"/>
      <c r="CV63" s="53">
        <f t="shared" si="36"/>
        <v>483.59796999999986</v>
      </c>
      <c r="CX63" s="47">
        <v>45951</v>
      </c>
      <c r="CY63" s="56">
        <v>6043.25</v>
      </c>
      <c r="CZ63" s="57">
        <v>659.87</v>
      </c>
      <c r="DA63" s="58"/>
      <c r="DB63" s="59">
        <v>9</v>
      </c>
      <c r="DC63" s="27"/>
      <c r="DD63" s="32">
        <v>102.63079000000012</v>
      </c>
      <c r="DE63" s="32">
        <v>7.6199640000000386</v>
      </c>
      <c r="DF63" s="52"/>
      <c r="DG63" s="53">
        <f t="shared" si="37"/>
        <v>119.25075400000016</v>
      </c>
      <c r="DI63" s="47">
        <v>45951</v>
      </c>
      <c r="DJ63" s="56">
        <v>1273.52</v>
      </c>
      <c r="DK63" s="63"/>
      <c r="DL63" s="58"/>
      <c r="DM63" s="62"/>
      <c r="DN63" s="27"/>
      <c r="DO63" s="51"/>
      <c r="DP63" s="52"/>
      <c r="DQ63" s="52"/>
      <c r="DR63" s="53">
        <f t="shared" si="38"/>
        <v>0</v>
      </c>
      <c r="DT63" s="47">
        <v>45951</v>
      </c>
      <c r="DU63" s="56">
        <v>1440.99</v>
      </c>
      <c r="DV63" s="57">
        <v>787.43</v>
      </c>
      <c r="DW63" s="58"/>
      <c r="DX63" s="62"/>
      <c r="DY63" s="27"/>
      <c r="DZ63" s="32">
        <v>79.514739999999975</v>
      </c>
      <c r="EA63" s="32">
        <v>325.96985999999993</v>
      </c>
      <c r="EB63" s="44"/>
      <c r="EC63" s="53">
        <f t="shared" si="39"/>
        <v>405.48459999999989</v>
      </c>
      <c r="EE63" s="47">
        <v>45951</v>
      </c>
      <c r="EF63" s="56">
        <v>7328.7</v>
      </c>
      <c r="EG63" s="57">
        <v>1799.26</v>
      </c>
      <c r="EH63" s="58"/>
      <c r="EI63" s="59">
        <v>152.28</v>
      </c>
      <c r="EJ63" s="27"/>
      <c r="EK63" s="32">
        <v>23.639999999999986</v>
      </c>
      <c r="EL63" s="52"/>
      <c r="EM63" s="52"/>
      <c r="EN63" s="53">
        <f t="shared" si="40"/>
        <v>175.92</v>
      </c>
      <c r="EP63" s="47">
        <v>45951</v>
      </c>
      <c r="EQ63" s="64">
        <v>526.01</v>
      </c>
      <c r="ER63" s="56">
        <v>491</v>
      </c>
      <c r="ES63" s="58"/>
      <c r="ET63" s="62"/>
      <c r="EU63" s="27"/>
      <c r="EV63" s="51"/>
      <c r="EW63" s="52"/>
      <c r="EX63" s="52"/>
      <c r="EY63" s="53">
        <f t="shared" si="41"/>
        <v>0</v>
      </c>
    </row>
    <row r="64" spans="2:155" hidden="1" x14ac:dyDescent="0.25">
      <c r="B64" s="47">
        <v>45952</v>
      </c>
      <c r="C64" s="48">
        <v>20345.98</v>
      </c>
      <c r="D64" s="49">
        <v>3086.05</v>
      </c>
      <c r="E64" s="50">
        <v>3649.12</v>
      </c>
      <c r="F64" s="90">
        <v>426.64</v>
      </c>
      <c r="G64" s="90"/>
      <c r="I64" s="51"/>
      <c r="J64" s="52"/>
      <c r="K64" s="52"/>
      <c r="L64" s="53">
        <f t="shared" si="28"/>
        <v>0</v>
      </c>
      <c r="N64" s="47">
        <v>45952</v>
      </c>
      <c r="O64" s="54">
        <v>4254.5600000000004</v>
      </c>
      <c r="P64" s="54">
        <v>700.68</v>
      </c>
      <c r="Q64" s="70"/>
      <c r="R64" s="55">
        <v>104.96</v>
      </c>
      <c r="S64" s="27"/>
      <c r="T64" s="32">
        <v>233.24423999999973</v>
      </c>
      <c r="U64" s="32"/>
      <c r="V64" s="52"/>
      <c r="W64" s="53">
        <f t="shared" si="29"/>
        <v>338.20423999999974</v>
      </c>
      <c r="Y64" s="47">
        <v>45952</v>
      </c>
      <c r="Z64" s="56">
        <v>4118.0600000000004</v>
      </c>
      <c r="AA64" s="57">
        <v>1432.55</v>
      </c>
      <c r="AB64" s="70"/>
      <c r="AC64" s="59">
        <v>168.38</v>
      </c>
      <c r="AD64" s="27"/>
      <c r="AE64" s="32">
        <v>103.96055199999995</v>
      </c>
      <c r="AF64" s="52"/>
      <c r="AG64" s="52"/>
      <c r="AH64" s="53">
        <f t="shared" si="30"/>
        <v>272.34055199999995</v>
      </c>
      <c r="AJ64" s="47">
        <v>45952</v>
      </c>
      <c r="AK64" s="56">
        <v>2154.4699999999998</v>
      </c>
      <c r="AL64" s="57">
        <v>185</v>
      </c>
      <c r="AM64" s="70"/>
      <c r="AN64" s="60"/>
      <c r="AO64" s="27"/>
      <c r="AP64" s="51"/>
      <c r="AQ64" s="52"/>
      <c r="AR64" s="52"/>
      <c r="AS64" s="53">
        <f t="shared" si="31"/>
        <v>0</v>
      </c>
      <c r="AU64" s="47">
        <v>45952</v>
      </c>
      <c r="AV64" s="57">
        <v>245</v>
      </c>
      <c r="AW64" s="57">
        <v>74.25</v>
      </c>
      <c r="AX64" s="70"/>
      <c r="AY64" s="59">
        <v>113.1</v>
      </c>
      <c r="AZ64" s="27"/>
      <c r="BA64" s="32">
        <v>385.0993959999999</v>
      </c>
      <c r="BB64" s="52"/>
      <c r="BC64" s="52"/>
      <c r="BD64" s="53">
        <f t="shared" si="32"/>
        <v>498.19939599999987</v>
      </c>
      <c r="BF64" s="47">
        <v>45952</v>
      </c>
      <c r="BG64" s="56">
        <v>4719.7700000000004</v>
      </c>
      <c r="BH64" s="57">
        <v>539.04</v>
      </c>
      <c r="BI64" s="70"/>
      <c r="BJ64" s="59"/>
      <c r="BK64" s="27"/>
      <c r="BL64" s="32">
        <v>487.06925999999987</v>
      </c>
      <c r="BM64" s="33">
        <v>32.494540000000029</v>
      </c>
      <c r="BN64" s="52"/>
      <c r="BO64" s="53">
        <f t="shared" si="33"/>
        <v>519.5637999999999</v>
      </c>
      <c r="BQ64" s="47">
        <v>45952</v>
      </c>
      <c r="BR64" s="57">
        <v>407.05</v>
      </c>
      <c r="BS64" s="57">
        <v>279.04000000000002</v>
      </c>
      <c r="BT64" s="70"/>
      <c r="BU64" s="61"/>
      <c r="BV64" s="27"/>
      <c r="BW64" s="51"/>
      <c r="BX64" s="52"/>
      <c r="BY64" s="52"/>
      <c r="BZ64" s="53">
        <f t="shared" si="34"/>
        <v>0</v>
      </c>
      <c r="CB64" s="47">
        <v>45952</v>
      </c>
      <c r="CC64" s="56">
        <v>18530.63</v>
      </c>
      <c r="CD64" s="57">
        <v>2293.4499999999998</v>
      </c>
      <c r="CE64" s="70"/>
      <c r="CF64" s="60"/>
      <c r="CG64" s="27"/>
      <c r="CH64" s="51"/>
      <c r="CI64" s="52"/>
      <c r="CJ64" s="52"/>
      <c r="CK64" s="53">
        <f t="shared" si="35"/>
        <v>0</v>
      </c>
      <c r="CM64" s="47">
        <v>45952</v>
      </c>
      <c r="CN64" s="56">
        <v>11824.55</v>
      </c>
      <c r="CO64" s="57">
        <v>1711.28</v>
      </c>
      <c r="CP64" s="70"/>
      <c r="CQ64" s="62"/>
      <c r="CR64" s="27"/>
      <c r="CS64" s="32">
        <v>70.20999999999998</v>
      </c>
      <c r="CT64" s="42">
        <v>427.17885999999987</v>
      </c>
      <c r="CU64" s="52"/>
      <c r="CV64" s="53">
        <f t="shared" si="36"/>
        <v>497.38885999999985</v>
      </c>
      <c r="CX64" s="47">
        <v>45952</v>
      </c>
      <c r="CY64" s="56">
        <v>2953.69</v>
      </c>
      <c r="CZ64" s="57">
        <v>1120.98</v>
      </c>
      <c r="DA64" s="70"/>
      <c r="DB64" s="59"/>
      <c r="DC64" s="27"/>
      <c r="DD64" s="32">
        <v>265.35226600000021</v>
      </c>
      <c r="DE64" s="32">
        <v>11.779734999999903</v>
      </c>
      <c r="DF64" s="52"/>
      <c r="DG64" s="53">
        <f t="shared" si="37"/>
        <v>277.13200100000012</v>
      </c>
      <c r="DI64" s="47">
        <v>45952</v>
      </c>
      <c r="DJ64" s="56">
        <v>1830.37</v>
      </c>
      <c r="DK64" s="71"/>
      <c r="DL64" s="70"/>
      <c r="DM64" s="62"/>
      <c r="DN64" s="27"/>
      <c r="DO64" s="51"/>
      <c r="DP64" s="52"/>
      <c r="DQ64" s="52"/>
      <c r="DR64" s="53">
        <f t="shared" si="38"/>
        <v>0</v>
      </c>
      <c r="DT64" s="47">
        <v>45952</v>
      </c>
      <c r="DU64" s="56">
        <v>1082.53</v>
      </c>
      <c r="DV64" s="57">
        <v>499.85</v>
      </c>
      <c r="DW64" s="70"/>
      <c r="DX64" s="62"/>
      <c r="DY64" s="27"/>
      <c r="DZ64" s="32">
        <v>33.329199999999986</v>
      </c>
      <c r="EA64" s="32"/>
      <c r="EB64" s="44"/>
      <c r="EC64" s="53">
        <f t="shared" si="39"/>
        <v>33.329199999999986</v>
      </c>
      <c r="EE64" s="47">
        <v>45952</v>
      </c>
      <c r="EF64" s="56">
        <v>4007.87</v>
      </c>
      <c r="EG64" s="57">
        <v>2059.0300000000002</v>
      </c>
      <c r="EH64" s="70"/>
      <c r="EI64" s="59">
        <v>153.96</v>
      </c>
      <c r="EJ64" s="27"/>
      <c r="EK64" s="32"/>
      <c r="EL64" s="52"/>
      <c r="EM64" s="52"/>
      <c r="EN64" s="53">
        <f t="shared" si="40"/>
        <v>153.96</v>
      </c>
      <c r="EP64" s="47">
        <v>45952</v>
      </c>
      <c r="EQ64" s="64">
        <v>1017.85</v>
      </c>
      <c r="ER64" s="56">
        <v>696.9</v>
      </c>
      <c r="ES64" s="70"/>
      <c r="ET64" s="62"/>
      <c r="EU64" s="27"/>
      <c r="EV64" s="51"/>
      <c r="EW64" s="52"/>
      <c r="EX64" s="52"/>
      <c r="EY64" s="53">
        <f t="shared" si="41"/>
        <v>0</v>
      </c>
    </row>
    <row r="65" spans="2:157" hidden="1" x14ac:dyDescent="0.25">
      <c r="B65" s="47">
        <v>45953</v>
      </c>
      <c r="C65" s="48">
        <v>19418.650000000001</v>
      </c>
      <c r="D65" s="49">
        <v>3667.88</v>
      </c>
      <c r="E65" s="50">
        <v>4512.13</v>
      </c>
      <c r="F65" s="90">
        <v>477.74</v>
      </c>
      <c r="G65" s="90"/>
      <c r="I65" s="51"/>
      <c r="J65" s="52"/>
      <c r="K65" s="52"/>
      <c r="L65" s="53">
        <f t="shared" si="28"/>
        <v>0</v>
      </c>
      <c r="N65" s="47">
        <v>45953</v>
      </c>
      <c r="O65" s="54">
        <v>1973.91</v>
      </c>
      <c r="P65" s="54">
        <v>533.36</v>
      </c>
      <c r="Q65" s="70"/>
      <c r="R65" s="55">
        <v>88</v>
      </c>
      <c r="S65" s="27"/>
      <c r="T65" s="32">
        <v>243.29183999999989</v>
      </c>
      <c r="U65" s="32"/>
      <c r="V65" s="52"/>
      <c r="W65" s="53">
        <f t="shared" si="29"/>
        <v>331.29183999999987</v>
      </c>
      <c r="Y65" s="47">
        <v>45953</v>
      </c>
      <c r="Z65" s="56">
        <v>8032.61</v>
      </c>
      <c r="AA65" s="57">
        <v>1407.59</v>
      </c>
      <c r="AB65" s="70"/>
      <c r="AC65" s="59">
        <v>220.39</v>
      </c>
      <c r="AD65" s="27"/>
      <c r="AE65" s="32">
        <v>146.49330199999994</v>
      </c>
      <c r="AF65" s="52"/>
      <c r="AG65" s="52"/>
      <c r="AH65" s="53">
        <f t="shared" si="30"/>
        <v>366.88330199999996</v>
      </c>
      <c r="AJ65" s="47">
        <v>45953</v>
      </c>
      <c r="AK65" s="56">
        <v>3079.4</v>
      </c>
      <c r="AL65" s="57">
        <v>618.91</v>
      </c>
      <c r="AM65" s="70"/>
      <c r="AN65" s="60"/>
      <c r="AO65" s="27"/>
      <c r="AP65" s="51"/>
      <c r="AQ65" s="52"/>
      <c r="AR65" s="52"/>
      <c r="AS65" s="53">
        <f t="shared" si="31"/>
        <v>0</v>
      </c>
      <c r="AU65" s="47">
        <v>45953</v>
      </c>
      <c r="AV65" s="57">
        <v>159</v>
      </c>
      <c r="AW65" s="57">
        <v>90.01</v>
      </c>
      <c r="AX65" s="70"/>
      <c r="AY65" s="59"/>
      <c r="AZ65" s="27"/>
      <c r="BA65" s="32">
        <v>551.39186399999994</v>
      </c>
      <c r="BB65" s="52"/>
      <c r="BC65" s="52"/>
      <c r="BD65" s="53">
        <f t="shared" si="32"/>
        <v>551.39186399999994</v>
      </c>
      <c r="BF65" s="47">
        <v>45953</v>
      </c>
      <c r="BG65" s="56">
        <v>4665.9799999999996</v>
      </c>
      <c r="BH65" s="57">
        <v>761.41</v>
      </c>
      <c r="BI65" s="70"/>
      <c r="BJ65" s="59">
        <v>15.99</v>
      </c>
      <c r="BK65" s="27"/>
      <c r="BL65" s="32">
        <v>425.34909999999991</v>
      </c>
      <c r="BM65" s="33"/>
      <c r="BN65" s="52"/>
      <c r="BO65" s="53">
        <f t="shared" si="33"/>
        <v>441.33909999999992</v>
      </c>
      <c r="BQ65" s="47">
        <v>45953</v>
      </c>
      <c r="BR65" s="57">
        <v>233.77</v>
      </c>
      <c r="BS65" s="57">
        <v>704.1</v>
      </c>
      <c r="BT65" s="70"/>
      <c r="BU65" s="61">
        <v>40</v>
      </c>
      <c r="BV65" s="27"/>
      <c r="BW65" s="51"/>
      <c r="BX65" s="52"/>
      <c r="BY65" s="52"/>
      <c r="BZ65" s="53">
        <f t="shared" si="34"/>
        <v>40</v>
      </c>
      <c r="CB65" s="47">
        <v>45953</v>
      </c>
      <c r="CC65" s="56">
        <v>17684.95</v>
      </c>
      <c r="CD65" s="57">
        <v>1764.59</v>
      </c>
      <c r="CE65" s="70"/>
      <c r="CF65" s="60"/>
      <c r="CG65" s="27"/>
      <c r="CH65" s="51"/>
      <c r="CI65" s="52"/>
      <c r="CJ65" s="52"/>
      <c r="CK65" s="53">
        <f t="shared" si="35"/>
        <v>0</v>
      </c>
      <c r="CM65" s="47">
        <v>45953</v>
      </c>
      <c r="CN65" s="56">
        <v>11006.75</v>
      </c>
      <c r="CO65" s="57">
        <v>1674.69</v>
      </c>
      <c r="CP65" s="70"/>
      <c r="CQ65" s="62"/>
      <c r="CR65" s="27"/>
      <c r="CS65" s="32">
        <v>16.184999999999995</v>
      </c>
      <c r="CT65" s="42">
        <v>198.07203999999993</v>
      </c>
      <c r="CU65" s="52"/>
      <c r="CV65" s="53">
        <f t="shared" si="36"/>
        <v>214.25703999999993</v>
      </c>
      <c r="CX65" s="47">
        <v>45953</v>
      </c>
      <c r="CY65" s="56">
        <v>2949.21</v>
      </c>
      <c r="CZ65" s="57">
        <v>910.54</v>
      </c>
      <c r="DA65" s="70"/>
      <c r="DB65" s="59"/>
      <c r="DC65" s="27"/>
      <c r="DD65" s="32">
        <v>91.03824400000012</v>
      </c>
      <c r="DE65" s="32">
        <v>35.750322999999995</v>
      </c>
      <c r="DF65" s="52"/>
      <c r="DG65" s="53">
        <f t="shared" si="37"/>
        <v>126.78856700000011</v>
      </c>
      <c r="DI65" s="47">
        <v>45953</v>
      </c>
      <c r="DJ65" s="56">
        <v>4101.1000000000004</v>
      </c>
      <c r="DK65" s="71"/>
      <c r="DL65" s="70"/>
      <c r="DM65" s="62"/>
      <c r="DN65" s="27"/>
      <c r="DO65" s="51"/>
      <c r="DP65" s="52"/>
      <c r="DQ65" s="52"/>
      <c r="DR65" s="53">
        <f t="shared" si="38"/>
        <v>0</v>
      </c>
      <c r="DT65" s="47">
        <v>45953</v>
      </c>
      <c r="DU65" s="56">
        <v>4084.44</v>
      </c>
      <c r="DV65" s="57">
        <v>76.88</v>
      </c>
      <c r="DW65" s="70"/>
      <c r="DX65" s="62"/>
      <c r="DY65" s="27"/>
      <c r="DZ65" s="32">
        <v>119.20104000000001</v>
      </c>
      <c r="EA65" s="32">
        <v>162.04156999999992</v>
      </c>
      <c r="EB65" s="44"/>
      <c r="EC65" s="53">
        <f t="shared" si="39"/>
        <v>281.2426099999999</v>
      </c>
      <c r="EE65" s="47">
        <v>45953</v>
      </c>
      <c r="EF65" s="56">
        <v>2825.43</v>
      </c>
      <c r="EG65" s="57">
        <v>1686.25</v>
      </c>
      <c r="EH65" s="70"/>
      <c r="EI65" s="59">
        <v>109.42</v>
      </c>
      <c r="EJ65" s="27"/>
      <c r="EK65" s="32"/>
      <c r="EL65" s="52"/>
      <c r="EM65" s="52"/>
      <c r="EN65" s="53">
        <f t="shared" si="40"/>
        <v>109.42</v>
      </c>
      <c r="EP65" s="47">
        <v>45953</v>
      </c>
      <c r="EQ65" s="64">
        <v>507.45</v>
      </c>
      <c r="ER65" s="56">
        <v>526.73</v>
      </c>
      <c r="ES65" s="70"/>
      <c r="ET65" s="62"/>
      <c r="EU65" s="27"/>
      <c r="EV65" s="51"/>
      <c r="EW65" s="52"/>
      <c r="EX65" s="52"/>
      <c r="EY65" s="53">
        <f t="shared" si="41"/>
        <v>0</v>
      </c>
    </row>
    <row r="66" spans="2:157" hidden="1" x14ac:dyDescent="0.25">
      <c r="B66" s="47">
        <v>45954</v>
      </c>
      <c r="C66" s="48">
        <v>20969.14</v>
      </c>
      <c r="D66" s="49">
        <v>3321.29</v>
      </c>
      <c r="E66" s="50">
        <v>3216.35</v>
      </c>
      <c r="F66" s="90">
        <v>371.45</v>
      </c>
      <c r="G66" s="90"/>
      <c r="I66" s="51"/>
      <c r="J66" s="52"/>
      <c r="K66" s="52"/>
      <c r="L66" s="53">
        <f t="shared" si="28"/>
        <v>0</v>
      </c>
      <c r="N66" s="47">
        <v>45954</v>
      </c>
      <c r="O66" s="54">
        <v>5149.09</v>
      </c>
      <c r="P66" s="54">
        <v>596.23</v>
      </c>
      <c r="Q66" s="70"/>
      <c r="R66" s="55"/>
      <c r="S66" s="27"/>
      <c r="T66" s="32">
        <v>147.95159999999987</v>
      </c>
      <c r="U66" s="32"/>
      <c r="V66" s="52"/>
      <c r="W66" s="53">
        <f t="shared" si="29"/>
        <v>147.95159999999987</v>
      </c>
      <c r="Y66" s="47">
        <v>45954</v>
      </c>
      <c r="Z66" s="56">
        <v>3708.65</v>
      </c>
      <c r="AA66" s="57">
        <v>1808.34</v>
      </c>
      <c r="AB66" s="70"/>
      <c r="AC66" s="59">
        <v>49.31</v>
      </c>
      <c r="AD66" s="27"/>
      <c r="AE66" s="32">
        <v>627.385536</v>
      </c>
      <c r="AF66" s="52"/>
      <c r="AG66" s="52"/>
      <c r="AH66" s="53">
        <f t="shared" si="30"/>
        <v>676.69553599999995</v>
      </c>
      <c r="AJ66" s="47">
        <v>45954</v>
      </c>
      <c r="AK66" s="56">
        <v>3650.04</v>
      </c>
      <c r="AL66" s="57">
        <v>948.48</v>
      </c>
      <c r="AM66" s="70"/>
      <c r="AN66" s="60"/>
      <c r="AO66" s="27"/>
      <c r="AP66" s="51"/>
      <c r="AQ66" s="52"/>
      <c r="AR66" s="52"/>
      <c r="AS66" s="53">
        <f t="shared" si="31"/>
        <v>0</v>
      </c>
      <c r="AU66" s="47">
        <v>45954</v>
      </c>
      <c r="AV66" s="57">
        <v>1035.02</v>
      </c>
      <c r="AW66" s="57">
        <v>0</v>
      </c>
      <c r="AX66" s="70"/>
      <c r="AY66" s="59">
        <v>111.8</v>
      </c>
      <c r="AZ66" s="27"/>
      <c r="BA66" s="32">
        <v>484.16368399999999</v>
      </c>
      <c r="BB66" s="52"/>
      <c r="BC66" s="52"/>
      <c r="BD66" s="53">
        <f t="shared" si="32"/>
        <v>595.96368399999994</v>
      </c>
      <c r="BF66" s="47">
        <v>45954</v>
      </c>
      <c r="BG66" s="56">
        <v>3730.29</v>
      </c>
      <c r="BH66" s="57">
        <v>866.18</v>
      </c>
      <c r="BI66" s="70"/>
      <c r="BJ66" s="59"/>
      <c r="BK66" s="27"/>
      <c r="BL66" s="32">
        <v>182.93445999999994</v>
      </c>
      <c r="BM66" s="33">
        <v>21.324010000000015</v>
      </c>
      <c r="BN66" s="52"/>
      <c r="BO66" s="53">
        <f t="shared" si="33"/>
        <v>204.25846999999996</v>
      </c>
      <c r="BQ66" s="47">
        <v>45954</v>
      </c>
      <c r="BR66" s="57">
        <v>554.16</v>
      </c>
      <c r="BS66" s="57">
        <v>634.04999999999995</v>
      </c>
      <c r="BT66" s="70"/>
      <c r="BU66" s="61">
        <v>17.8</v>
      </c>
      <c r="BV66" s="27"/>
      <c r="BW66" s="51"/>
      <c r="BX66" s="52"/>
      <c r="BY66" s="52"/>
      <c r="BZ66" s="53">
        <f t="shared" si="34"/>
        <v>17.8</v>
      </c>
      <c r="CB66" s="47">
        <v>45954</v>
      </c>
      <c r="CC66" s="56">
        <v>23005.23</v>
      </c>
      <c r="CD66" s="57">
        <v>1899.33</v>
      </c>
      <c r="CE66" s="70"/>
      <c r="CF66" s="60"/>
      <c r="CG66" s="27"/>
      <c r="CH66" s="51"/>
      <c r="CI66" s="52"/>
      <c r="CJ66" s="52"/>
      <c r="CK66" s="53">
        <f t="shared" si="35"/>
        <v>0</v>
      </c>
      <c r="CM66" s="47">
        <v>45954</v>
      </c>
      <c r="CN66" s="56">
        <v>11075.7</v>
      </c>
      <c r="CO66" s="57">
        <v>2082.2800000000002</v>
      </c>
      <c r="CP66" s="70"/>
      <c r="CQ66" s="62"/>
      <c r="CR66" s="27"/>
      <c r="CS66" s="32">
        <v>73.247499999999974</v>
      </c>
      <c r="CT66" s="42">
        <v>373.95119999999986</v>
      </c>
      <c r="CU66" s="52"/>
      <c r="CV66" s="53">
        <f t="shared" si="36"/>
        <v>447.1986999999998</v>
      </c>
      <c r="CX66" s="47">
        <v>45954</v>
      </c>
      <c r="CY66" s="56">
        <v>4977.6000000000004</v>
      </c>
      <c r="CZ66" s="57">
        <v>1120.1600000000001</v>
      </c>
      <c r="DA66" s="70"/>
      <c r="DB66" s="59">
        <v>8.9</v>
      </c>
      <c r="DC66" s="27"/>
      <c r="DD66" s="32">
        <v>199.22659500000015</v>
      </c>
      <c r="DE66" s="32">
        <v>17.210655000000116</v>
      </c>
      <c r="DF66" s="52"/>
      <c r="DG66" s="53">
        <f t="shared" si="37"/>
        <v>225.33725000000027</v>
      </c>
      <c r="DI66" s="47">
        <v>45954</v>
      </c>
      <c r="DJ66" s="56">
        <v>1214.97</v>
      </c>
      <c r="DK66" s="71"/>
      <c r="DL66" s="70"/>
      <c r="DM66" s="62"/>
      <c r="DN66" s="27"/>
      <c r="DO66" s="51"/>
      <c r="DP66" s="52"/>
      <c r="DQ66" s="52"/>
      <c r="DR66" s="53">
        <f t="shared" si="38"/>
        <v>0</v>
      </c>
      <c r="DT66" s="47">
        <v>45954</v>
      </c>
      <c r="DU66" s="56">
        <v>1891.04</v>
      </c>
      <c r="DV66" s="57">
        <v>539.38</v>
      </c>
      <c r="DW66" s="70"/>
      <c r="DX66" s="62"/>
      <c r="DY66" s="27"/>
      <c r="DZ66" s="32">
        <v>126.49751999999999</v>
      </c>
      <c r="EA66" s="32">
        <v>26.438719999999989</v>
      </c>
      <c r="EB66" s="44"/>
      <c r="EC66" s="53">
        <f t="shared" si="39"/>
        <v>152.93624</v>
      </c>
      <c r="EE66" s="47">
        <v>45954</v>
      </c>
      <c r="EF66" s="56">
        <v>5896.87</v>
      </c>
      <c r="EG66" s="57">
        <v>1176.58</v>
      </c>
      <c r="EH66" s="70"/>
      <c r="EI66" s="59">
        <v>153.72</v>
      </c>
      <c r="EJ66" s="27"/>
      <c r="EK66" s="32">
        <v>20.491199999999992</v>
      </c>
      <c r="EL66" s="52"/>
      <c r="EM66" s="52"/>
      <c r="EN66" s="53">
        <f t="shared" si="40"/>
        <v>174.21119999999999</v>
      </c>
      <c r="EP66" s="47">
        <v>45954</v>
      </c>
      <c r="EQ66" s="64">
        <v>643.80999999999995</v>
      </c>
      <c r="ER66" s="56">
        <v>345.01</v>
      </c>
      <c r="ES66" s="70"/>
      <c r="ET66" s="62"/>
      <c r="EU66" s="27"/>
      <c r="EV66" s="51"/>
      <c r="EW66" s="52"/>
      <c r="EX66" s="52"/>
      <c r="EY66" s="53">
        <f t="shared" si="41"/>
        <v>0</v>
      </c>
    </row>
    <row r="67" spans="2:157" hidden="1" x14ac:dyDescent="0.25">
      <c r="B67" s="47">
        <v>45955</v>
      </c>
      <c r="C67" s="48">
        <v>19615.39</v>
      </c>
      <c r="D67" s="49">
        <v>3335.33</v>
      </c>
      <c r="E67" s="50">
        <v>2952.9</v>
      </c>
      <c r="F67" s="90">
        <v>318.04000000000002</v>
      </c>
      <c r="G67" s="90"/>
      <c r="I67" s="51"/>
      <c r="J67" s="52"/>
      <c r="K67" s="52"/>
      <c r="L67" s="53">
        <f t="shared" si="28"/>
        <v>0</v>
      </c>
      <c r="N67" s="47">
        <v>45955</v>
      </c>
      <c r="O67" s="54">
        <v>1886.09</v>
      </c>
      <c r="P67" s="54">
        <v>338.79</v>
      </c>
      <c r="Q67" s="70"/>
      <c r="R67" s="69">
        <v>144</v>
      </c>
      <c r="S67" s="27"/>
      <c r="T67" s="32">
        <v>97.10345999999987</v>
      </c>
      <c r="U67" s="32"/>
      <c r="V67" s="52"/>
      <c r="W67" s="53">
        <f t="shared" si="29"/>
        <v>241.10345999999987</v>
      </c>
      <c r="Y67" s="47">
        <v>45955</v>
      </c>
      <c r="Z67" s="56">
        <v>6024.99</v>
      </c>
      <c r="AA67" s="57">
        <v>1199.4100000000001</v>
      </c>
      <c r="AB67" s="70"/>
      <c r="AC67" s="59">
        <v>84.75</v>
      </c>
      <c r="AD67" s="27"/>
      <c r="AE67" s="32">
        <v>120.43245400000001</v>
      </c>
      <c r="AF67" s="52"/>
      <c r="AG67" s="52"/>
      <c r="AH67" s="53">
        <f t="shared" si="30"/>
        <v>205.18245400000001</v>
      </c>
      <c r="AJ67" s="47">
        <v>45955</v>
      </c>
      <c r="AK67" s="56">
        <v>2315.56</v>
      </c>
      <c r="AL67" s="57">
        <v>386.73</v>
      </c>
      <c r="AM67" s="70"/>
      <c r="AN67" s="60"/>
      <c r="AO67" s="27"/>
      <c r="AP67" s="51"/>
      <c r="AQ67" s="52"/>
      <c r="AR67" s="52"/>
      <c r="AS67" s="53">
        <f t="shared" si="31"/>
        <v>0</v>
      </c>
      <c r="AU67" s="47">
        <v>45955</v>
      </c>
      <c r="AV67" s="57">
        <v>873</v>
      </c>
      <c r="AW67" s="57">
        <v>0</v>
      </c>
      <c r="AX67" s="70"/>
      <c r="AY67" s="59">
        <v>117</v>
      </c>
      <c r="AZ67" s="27"/>
      <c r="BA67" s="32">
        <v>328.98500799999988</v>
      </c>
      <c r="BB67" s="52"/>
      <c r="BC67" s="52"/>
      <c r="BD67" s="53">
        <f t="shared" si="32"/>
        <v>445.98500799999988</v>
      </c>
      <c r="BF67" s="47">
        <v>45955</v>
      </c>
      <c r="BG67" s="56">
        <v>4585.1000000000004</v>
      </c>
      <c r="BH67" s="57">
        <v>698.2</v>
      </c>
      <c r="BI67" s="70"/>
      <c r="BJ67" s="59"/>
      <c r="BK67" s="27"/>
      <c r="BL67" s="32">
        <v>134.46912</v>
      </c>
      <c r="BM67" s="33">
        <v>18.278140000000008</v>
      </c>
      <c r="BN67" s="52"/>
      <c r="BO67" s="53">
        <f t="shared" si="33"/>
        <v>152.74726000000001</v>
      </c>
      <c r="BQ67" s="47">
        <v>45955</v>
      </c>
      <c r="BR67" s="57">
        <v>445.02</v>
      </c>
      <c r="BS67" s="57">
        <v>407.53</v>
      </c>
      <c r="BT67" s="70"/>
      <c r="BU67" s="61"/>
      <c r="BV67" s="27"/>
      <c r="BW67" s="51"/>
      <c r="BX67" s="52"/>
      <c r="BY67" s="52"/>
      <c r="BZ67" s="53">
        <f t="shared" si="34"/>
        <v>0</v>
      </c>
      <c r="CB67" s="47">
        <v>45955</v>
      </c>
      <c r="CC67" s="56">
        <v>19449.29</v>
      </c>
      <c r="CD67" s="57">
        <v>2274.62</v>
      </c>
      <c r="CE67" s="70"/>
      <c r="CF67" s="60"/>
      <c r="CG67" s="27"/>
      <c r="CH67" s="51"/>
      <c r="CI67" s="52"/>
      <c r="CJ67" s="52"/>
      <c r="CK67" s="53">
        <f t="shared" si="35"/>
        <v>0</v>
      </c>
      <c r="CM67" s="47">
        <v>45955</v>
      </c>
      <c r="CN67" s="56">
        <v>6336.54</v>
      </c>
      <c r="CO67" s="57">
        <v>1210.1500000000001</v>
      </c>
      <c r="CP67" s="70"/>
      <c r="CQ67" s="62"/>
      <c r="CR67" s="27"/>
      <c r="CS67" s="32">
        <v>41.927449999999979</v>
      </c>
      <c r="CT67" s="42">
        <v>162.42414999999997</v>
      </c>
      <c r="CU67" s="52"/>
      <c r="CV67" s="53">
        <f t="shared" si="36"/>
        <v>204.35159999999996</v>
      </c>
      <c r="CX67" s="47">
        <v>45955</v>
      </c>
      <c r="CY67" s="56">
        <v>6426.79</v>
      </c>
      <c r="CZ67" s="57">
        <v>1065.7</v>
      </c>
      <c r="DA67" s="70"/>
      <c r="DB67" s="59">
        <v>17.11</v>
      </c>
      <c r="DC67" s="27"/>
      <c r="DD67" s="32">
        <v>204.89465600000023</v>
      </c>
      <c r="DE67" s="32">
        <v>5.7105040000000145</v>
      </c>
      <c r="DF67" s="52"/>
      <c r="DG67" s="53">
        <f t="shared" si="37"/>
        <v>227.71516000000025</v>
      </c>
      <c r="DI67" s="47">
        <v>45955</v>
      </c>
      <c r="DJ67" s="56">
        <v>1806</v>
      </c>
      <c r="DK67" s="71"/>
      <c r="DL67" s="70"/>
      <c r="DM67" s="62"/>
      <c r="DN67" s="27"/>
      <c r="DO67" s="51"/>
      <c r="DP67" s="52"/>
      <c r="DQ67" s="52"/>
      <c r="DR67" s="53">
        <f t="shared" si="38"/>
        <v>0</v>
      </c>
      <c r="DT67" s="47">
        <v>45955</v>
      </c>
      <c r="DU67" s="56">
        <v>760.02</v>
      </c>
      <c r="DV67" s="57">
        <v>305.94</v>
      </c>
      <c r="DW67" s="70"/>
      <c r="DX67" s="62"/>
      <c r="DY67" s="27"/>
      <c r="DZ67" s="32">
        <v>87.921080000000018</v>
      </c>
      <c r="EA67" s="32">
        <v>568.40234000000009</v>
      </c>
      <c r="EB67" s="44"/>
      <c r="EC67" s="53">
        <f t="shared" si="39"/>
        <v>656.32342000000017</v>
      </c>
      <c r="EE67" s="47">
        <v>45955</v>
      </c>
      <c r="EF67" s="56">
        <v>6149.81</v>
      </c>
      <c r="EG67" s="57">
        <v>1698.15</v>
      </c>
      <c r="EH67" s="70"/>
      <c r="EI67" s="59">
        <v>140.19999999999999</v>
      </c>
      <c r="EJ67" s="27"/>
      <c r="EK67" s="32"/>
      <c r="EL67" s="52"/>
      <c r="EM67" s="52"/>
      <c r="EN67" s="53">
        <f t="shared" si="40"/>
        <v>140.19999999999999</v>
      </c>
      <c r="EP67" s="47">
        <v>45955</v>
      </c>
      <c r="EQ67" s="64">
        <v>644.64</v>
      </c>
      <c r="ER67" s="56">
        <v>791.86</v>
      </c>
      <c r="ES67" s="70"/>
      <c r="ET67" s="62"/>
      <c r="EU67" s="27"/>
      <c r="EV67" s="51"/>
      <c r="EW67" s="52"/>
      <c r="EX67" s="52"/>
      <c r="EY67" s="53">
        <f t="shared" si="41"/>
        <v>0</v>
      </c>
    </row>
    <row r="68" spans="2:157" hidden="1" x14ac:dyDescent="0.25">
      <c r="B68" s="47">
        <v>45956</v>
      </c>
      <c r="C68" s="48">
        <v>15801.91</v>
      </c>
      <c r="D68" s="49">
        <v>2724.94</v>
      </c>
      <c r="E68" s="50">
        <v>2000.06</v>
      </c>
      <c r="F68" s="90">
        <v>175.86</v>
      </c>
      <c r="G68" s="90"/>
      <c r="I68" s="51"/>
      <c r="J68" s="52"/>
      <c r="K68" s="52"/>
      <c r="L68" s="53">
        <f t="shared" si="28"/>
        <v>0</v>
      </c>
      <c r="N68" s="47">
        <v>45956</v>
      </c>
      <c r="O68" s="54">
        <v>2351.6</v>
      </c>
      <c r="P68" s="54">
        <v>375.84</v>
      </c>
      <c r="Q68" s="70"/>
      <c r="R68" s="69"/>
      <c r="S68" s="27"/>
      <c r="T68" s="32">
        <v>469.75415999999962</v>
      </c>
      <c r="U68" s="32"/>
      <c r="V68" s="52"/>
      <c r="W68" s="53">
        <f t="shared" si="29"/>
        <v>469.75415999999962</v>
      </c>
      <c r="Y68" s="47">
        <v>45956</v>
      </c>
      <c r="Z68" s="56">
        <v>3517.96</v>
      </c>
      <c r="AA68" s="57">
        <v>1470.63</v>
      </c>
      <c r="AB68" s="70"/>
      <c r="AC68" s="59">
        <v>152.87</v>
      </c>
      <c r="AD68" s="27"/>
      <c r="AE68" s="32"/>
      <c r="AF68" s="52"/>
      <c r="AG68" s="52"/>
      <c r="AH68" s="53">
        <f t="shared" si="30"/>
        <v>152.87</v>
      </c>
      <c r="AJ68" s="47">
        <v>45956</v>
      </c>
      <c r="AK68" s="56">
        <v>1630.49</v>
      </c>
      <c r="AL68" s="57">
        <v>197.51</v>
      </c>
      <c r="AM68" s="70"/>
      <c r="AN68" s="60"/>
      <c r="AO68" s="27"/>
      <c r="AP68" s="51"/>
      <c r="AQ68" s="52"/>
      <c r="AR68" s="52"/>
      <c r="AS68" s="53">
        <f t="shared" si="31"/>
        <v>0</v>
      </c>
      <c r="AU68" s="47">
        <v>45956</v>
      </c>
      <c r="AV68" s="57">
        <v>482.56</v>
      </c>
      <c r="AW68" s="57">
        <v>156.88</v>
      </c>
      <c r="AX68" s="70"/>
      <c r="AY68" s="59"/>
      <c r="AZ68" s="27"/>
      <c r="BA68" s="32">
        <v>608.04409600000031</v>
      </c>
      <c r="BB68" s="52"/>
      <c r="BC68" s="52"/>
      <c r="BD68" s="53">
        <f t="shared" si="32"/>
        <v>608.04409600000031</v>
      </c>
      <c r="BF68" s="47">
        <v>45956</v>
      </c>
      <c r="BG68" s="56">
        <v>3098.41</v>
      </c>
      <c r="BH68" s="57">
        <v>703.03</v>
      </c>
      <c r="BI68" s="70"/>
      <c r="BJ68" s="59"/>
      <c r="BK68" s="27"/>
      <c r="BL68" s="32">
        <v>201.46209999999996</v>
      </c>
      <c r="BM68" s="33"/>
      <c r="BN68" s="52"/>
      <c r="BO68" s="53">
        <f t="shared" si="33"/>
        <v>201.46209999999996</v>
      </c>
      <c r="BQ68" s="47">
        <v>45956</v>
      </c>
      <c r="BR68" s="57">
        <v>268.77999999999997</v>
      </c>
      <c r="BS68" s="57">
        <v>583.26</v>
      </c>
      <c r="BT68" s="70"/>
      <c r="BU68" s="61"/>
      <c r="BV68" s="27"/>
      <c r="BW68" s="51"/>
      <c r="BX68" s="52"/>
      <c r="BY68" s="52"/>
      <c r="BZ68" s="53">
        <f t="shared" si="34"/>
        <v>0</v>
      </c>
      <c r="CB68" s="47">
        <v>45956</v>
      </c>
      <c r="CC68" s="56">
        <v>19333.14</v>
      </c>
      <c r="CD68" s="57">
        <v>1705.51</v>
      </c>
      <c r="CE68" s="70"/>
      <c r="CF68" s="60"/>
      <c r="CG68" s="27"/>
      <c r="CH68" s="51"/>
      <c r="CI68" s="52"/>
      <c r="CJ68" s="52"/>
      <c r="CK68" s="53">
        <f t="shared" si="35"/>
        <v>0</v>
      </c>
      <c r="CM68" s="47">
        <v>45956</v>
      </c>
      <c r="CN68" s="56">
        <v>6560.46</v>
      </c>
      <c r="CO68" s="57">
        <v>952.77</v>
      </c>
      <c r="CP68" s="70"/>
      <c r="CQ68" s="62"/>
      <c r="CR68" s="27"/>
      <c r="CS68" s="32">
        <v>52.223599999999976</v>
      </c>
      <c r="CT68" s="42"/>
      <c r="CU68" s="52"/>
      <c r="CV68" s="53">
        <f t="shared" si="36"/>
        <v>52.223599999999976</v>
      </c>
      <c r="CX68" s="47">
        <v>45956</v>
      </c>
      <c r="CY68" s="56">
        <v>4619.47</v>
      </c>
      <c r="CZ68" s="57">
        <v>1974.02</v>
      </c>
      <c r="DA68" s="70"/>
      <c r="DB68" s="59">
        <v>3.61</v>
      </c>
      <c r="DC68" s="27"/>
      <c r="DD68" s="32">
        <v>87.417095000000188</v>
      </c>
      <c r="DE68" s="32"/>
      <c r="DF68" s="52"/>
      <c r="DG68" s="53">
        <f t="shared" si="37"/>
        <v>91.027095000000187</v>
      </c>
      <c r="DI68" s="47">
        <v>45956</v>
      </c>
      <c r="DJ68" s="56">
        <v>1349.96</v>
      </c>
      <c r="DK68" s="71"/>
      <c r="DL68" s="70"/>
      <c r="DM68" s="62"/>
      <c r="DN68" s="27"/>
      <c r="DO68" s="51"/>
      <c r="DP68" s="52"/>
      <c r="DQ68" s="52"/>
      <c r="DR68" s="53">
        <f t="shared" si="38"/>
        <v>0</v>
      </c>
      <c r="DT68" s="47">
        <v>45956</v>
      </c>
      <c r="DU68" s="56">
        <v>545.84</v>
      </c>
      <c r="DV68" s="57">
        <v>211.72</v>
      </c>
      <c r="DW68" s="70"/>
      <c r="DX68" s="62"/>
      <c r="DY68" s="27"/>
      <c r="DZ68" s="32">
        <v>29.48424</v>
      </c>
      <c r="EA68" s="32"/>
      <c r="EB68" s="44"/>
      <c r="EC68" s="53">
        <f t="shared" si="39"/>
        <v>29.48424</v>
      </c>
      <c r="EE68" s="47">
        <v>45956</v>
      </c>
      <c r="EF68" s="56">
        <v>2313.0700000000002</v>
      </c>
      <c r="EG68" s="57">
        <v>705.88</v>
      </c>
      <c r="EH68" s="70"/>
      <c r="EI68" s="59">
        <v>81.14</v>
      </c>
      <c r="EJ68" s="27"/>
      <c r="EK68" s="32"/>
      <c r="EL68" s="52"/>
      <c r="EM68" s="52"/>
      <c r="EN68" s="53">
        <f t="shared" si="40"/>
        <v>81.14</v>
      </c>
      <c r="EP68" s="47">
        <v>45956</v>
      </c>
      <c r="EQ68" s="64">
        <v>559.51</v>
      </c>
      <c r="ER68" s="56">
        <v>435.74</v>
      </c>
      <c r="ES68" s="70"/>
      <c r="ET68" s="62"/>
      <c r="EU68" s="27"/>
      <c r="EV68" s="51"/>
      <c r="EW68" s="52"/>
      <c r="EX68" s="52"/>
      <c r="EY68" s="53">
        <f t="shared" si="41"/>
        <v>0</v>
      </c>
    </row>
    <row r="69" spans="2:157" hidden="1" x14ac:dyDescent="0.25">
      <c r="B69" s="47">
        <v>45957</v>
      </c>
      <c r="C69" s="48">
        <v>20523.23</v>
      </c>
      <c r="D69" s="49">
        <v>3820.06</v>
      </c>
      <c r="E69" s="50">
        <v>3557.17</v>
      </c>
      <c r="F69" s="90">
        <v>410.87</v>
      </c>
      <c r="G69" s="90">
        <v>0.51</v>
      </c>
      <c r="I69" s="51"/>
      <c r="J69" s="52"/>
      <c r="K69" s="52"/>
      <c r="L69" s="53">
        <f t="shared" si="28"/>
        <v>0.51</v>
      </c>
      <c r="N69" s="47">
        <v>45957</v>
      </c>
      <c r="O69" s="54">
        <v>2255.77</v>
      </c>
      <c r="P69" s="54">
        <v>583.98</v>
      </c>
      <c r="Q69" s="70"/>
      <c r="R69" s="69"/>
      <c r="S69" s="27"/>
      <c r="T69" s="32">
        <v>210.48727999999983</v>
      </c>
      <c r="U69" s="32"/>
      <c r="V69" s="52"/>
      <c r="W69" s="53">
        <f t="shared" si="29"/>
        <v>210.48727999999983</v>
      </c>
      <c r="Y69" s="47">
        <v>45957</v>
      </c>
      <c r="Z69" s="56">
        <v>4299.83</v>
      </c>
      <c r="AA69" s="72">
        <v>1145.94</v>
      </c>
      <c r="AB69" s="70"/>
      <c r="AC69" s="59">
        <v>118.74</v>
      </c>
      <c r="AD69" s="27"/>
      <c r="AE69" s="32">
        <v>34.051039999999986</v>
      </c>
      <c r="AF69" s="52">
        <v>18.663209999999992</v>
      </c>
      <c r="AG69" s="52"/>
      <c r="AH69" s="53">
        <f t="shared" si="30"/>
        <v>171.45424999999997</v>
      </c>
      <c r="AJ69" s="47">
        <v>45957</v>
      </c>
      <c r="AK69" s="56">
        <v>3131.91</v>
      </c>
      <c r="AL69" s="57">
        <v>415.05</v>
      </c>
      <c r="AM69" s="70"/>
      <c r="AN69" s="60"/>
      <c r="AO69" s="27"/>
      <c r="AP69" s="51"/>
      <c r="AQ69" s="52"/>
      <c r="AR69" s="52"/>
      <c r="AS69" s="53">
        <f t="shared" si="31"/>
        <v>0</v>
      </c>
      <c r="AU69" s="47">
        <v>45957</v>
      </c>
      <c r="AV69" s="57">
        <v>310</v>
      </c>
      <c r="AW69" s="57">
        <v>0</v>
      </c>
      <c r="AX69" s="70"/>
      <c r="AY69" s="59">
        <v>113.1</v>
      </c>
      <c r="AZ69" s="27"/>
      <c r="BA69" s="32">
        <v>397.34998399999978</v>
      </c>
      <c r="BB69" s="52"/>
      <c r="BC69" s="52"/>
      <c r="BD69" s="53">
        <f t="shared" si="32"/>
        <v>510.44998399999974</v>
      </c>
      <c r="BF69" s="47">
        <v>45957</v>
      </c>
      <c r="BG69" s="56">
        <v>4459.79</v>
      </c>
      <c r="BH69" s="57">
        <v>532.99</v>
      </c>
      <c r="BI69" s="70"/>
      <c r="BJ69" s="59">
        <v>12.53</v>
      </c>
      <c r="BK69" s="27"/>
      <c r="BL69" s="32">
        <v>444.34189999999978</v>
      </c>
      <c r="BM69" s="33">
        <v>129.40512999999996</v>
      </c>
      <c r="BN69" s="52"/>
      <c r="BO69" s="53">
        <f t="shared" si="33"/>
        <v>586.27702999999974</v>
      </c>
      <c r="BQ69" s="47">
        <v>45957</v>
      </c>
      <c r="BR69" s="57">
        <v>1016.7</v>
      </c>
      <c r="BS69" s="57">
        <v>365.9</v>
      </c>
      <c r="BT69" s="70"/>
      <c r="BU69" s="61"/>
      <c r="BV69" s="27"/>
      <c r="BW69" s="51"/>
      <c r="BX69" s="52"/>
      <c r="BY69" s="52"/>
      <c r="BZ69" s="53">
        <f t="shared" si="34"/>
        <v>0</v>
      </c>
      <c r="CB69" s="47">
        <v>45957</v>
      </c>
      <c r="CC69" s="56">
        <v>17446.48</v>
      </c>
      <c r="CD69" s="57">
        <v>2086.41</v>
      </c>
      <c r="CE69" s="70"/>
      <c r="CF69" s="60"/>
      <c r="CG69" s="27"/>
      <c r="CH69" s="51"/>
      <c r="CI69" s="52"/>
      <c r="CJ69" s="52"/>
      <c r="CK69" s="53">
        <f t="shared" si="35"/>
        <v>0</v>
      </c>
      <c r="CM69" s="47">
        <v>45957</v>
      </c>
      <c r="CN69" s="56">
        <v>9192.91</v>
      </c>
      <c r="CO69" s="57">
        <v>1735.04</v>
      </c>
      <c r="CP69" s="70"/>
      <c r="CQ69" s="62"/>
      <c r="CR69" s="27"/>
      <c r="CS69" s="32">
        <v>62.710649999999987</v>
      </c>
      <c r="CT69" s="42">
        <v>297.28465999999992</v>
      </c>
      <c r="CU69" s="52"/>
      <c r="CV69" s="53">
        <f t="shared" si="36"/>
        <v>359.9953099999999</v>
      </c>
      <c r="CX69" s="47">
        <v>45957</v>
      </c>
      <c r="CY69" s="56">
        <v>2852.6</v>
      </c>
      <c r="CZ69" s="57">
        <v>861.27</v>
      </c>
      <c r="DA69" s="70"/>
      <c r="DB69" s="59">
        <v>10.36</v>
      </c>
      <c r="DC69" s="27"/>
      <c r="DD69" s="32">
        <v>201.73548500000012</v>
      </c>
      <c r="DE69" s="32">
        <v>9.0806040000000507</v>
      </c>
      <c r="DF69" s="52"/>
      <c r="DG69" s="53">
        <f t="shared" si="37"/>
        <v>221.17608900000016</v>
      </c>
      <c r="DI69" s="47">
        <v>45957</v>
      </c>
      <c r="DJ69" s="56">
        <v>2946.89</v>
      </c>
      <c r="DK69" s="71"/>
      <c r="DL69" s="70"/>
      <c r="DM69" s="62"/>
      <c r="DN69" s="27"/>
      <c r="DO69" s="51"/>
      <c r="DP69" s="52"/>
      <c r="DQ69" s="52"/>
      <c r="DR69" s="53">
        <f t="shared" si="38"/>
        <v>0</v>
      </c>
      <c r="DT69" s="47">
        <v>45957</v>
      </c>
      <c r="DU69" s="56">
        <v>615.73</v>
      </c>
      <c r="DV69" s="57">
        <v>246.7</v>
      </c>
      <c r="DW69" s="70"/>
      <c r="DX69" s="62"/>
      <c r="DY69" s="27"/>
      <c r="DZ69" s="32">
        <v>307.73757999999998</v>
      </c>
      <c r="EA69" s="32"/>
      <c r="EB69" s="44"/>
      <c r="EC69" s="53">
        <f t="shared" si="39"/>
        <v>307.73757999999998</v>
      </c>
      <c r="EE69" s="47">
        <v>45957</v>
      </c>
      <c r="EF69" s="56">
        <v>8949.1200000000008</v>
      </c>
      <c r="EG69" s="57">
        <v>1863.4</v>
      </c>
      <c r="EH69" s="70"/>
      <c r="EI69" s="59">
        <v>165.74</v>
      </c>
      <c r="EJ69" s="27"/>
      <c r="EK69" s="32"/>
      <c r="EL69" s="52"/>
      <c r="EM69" s="52"/>
      <c r="EN69" s="53">
        <f t="shared" si="40"/>
        <v>165.74</v>
      </c>
      <c r="EP69" s="47">
        <v>45957</v>
      </c>
      <c r="EQ69" s="64">
        <v>760.23</v>
      </c>
      <c r="ER69" s="56">
        <v>599.1</v>
      </c>
      <c r="ES69" s="70"/>
      <c r="ET69" s="62"/>
      <c r="EU69" s="27"/>
      <c r="EV69" s="51"/>
      <c r="EW69" s="52"/>
      <c r="EX69" s="52"/>
      <c r="EY69" s="53">
        <f t="shared" si="41"/>
        <v>0</v>
      </c>
    </row>
    <row r="70" spans="2:157" hidden="1" x14ac:dyDescent="0.25">
      <c r="B70" s="47">
        <v>45958</v>
      </c>
      <c r="C70" s="48">
        <v>16195.03</v>
      </c>
      <c r="D70" s="49">
        <v>2482.3200000000002</v>
      </c>
      <c r="E70" s="50">
        <v>4923.32</v>
      </c>
      <c r="F70" s="90">
        <v>368.86</v>
      </c>
      <c r="G70" s="90"/>
      <c r="I70" s="51"/>
      <c r="J70" s="52"/>
      <c r="K70" s="52"/>
      <c r="L70" s="53">
        <f t="shared" si="28"/>
        <v>0</v>
      </c>
      <c r="N70" s="47">
        <v>45958</v>
      </c>
      <c r="O70" s="54">
        <v>4428.93</v>
      </c>
      <c r="P70" s="54">
        <v>494.27</v>
      </c>
      <c r="Q70" s="70"/>
      <c r="R70" s="55"/>
      <c r="S70" s="27"/>
      <c r="T70" s="32">
        <v>192.57479999999995</v>
      </c>
      <c r="U70" s="32"/>
      <c r="V70" s="52"/>
      <c r="W70" s="53">
        <f t="shared" si="29"/>
        <v>192.57479999999995</v>
      </c>
      <c r="Y70" s="47">
        <v>45958</v>
      </c>
      <c r="Z70" s="56">
        <v>6555.3</v>
      </c>
      <c r="AA70" s="57">
        <v>1423.9</v>
      </c>
      <c r="AB70" s="70"/>
      <c r="AC70" s="59">
        <v>183.18</v>
      </c>
      <c r="AD70" s="27"/>
      <c r="AE70" s="32"/>
      <c r="AF70" s="52"/>
      <c r="AG70" s="52"/>
      <c r="AH70" s="53">
        <f t="shared" si="30"/>
        <v>183.18</v>
      </c>
      <c r="AJ70" s="47">
        <v>45958</v>
      </c>
      <c r="AK70" s="56">
        <v>3227.39</v>
      </c>
      <c r="AL70" s="57">
        <v>684.18</v>
      </c>
      <c r="AM70" s="70"/>
      <c r="AN70" s="60"/>
      <c r="AO70" s="27"/>
      <c r="AP70" s="51"/>
      <c r="AQ70" s="52"/>
      <c r="AR70" s="52"/>
      <c r="AS70" s="53">
        <f t="shared" si="31"/>
        <v>0</v>
      </c>
      <c r="AU70" s="47">
        <v>45958</v>
      </c>
      <c r="AV70" s="57">
        <v>635.01</v>
      </c>
      <c r="AW70" s="57">
        <v>43.28</v>
      </c>
      <c r="AX70" s="70"/>
      <c r="AY70" s="59"/>
      <c r="AZ70" s="27"/>
      <c r="BA70" s="32">
        <v>618.08211600000004</v>
      </c>
      <c r="BB70" s="52"/>
      <c r="BC70" s="52"/>
      <c r="BD70" s="53">
        <f t="shared" si="32"/>
        <v>618.08211600000004</v>
      </c>
      <c r="BF70" s="47">
        <v>45958</v>
      </c>
      <c r="BG70" s="56">
        <v>3239.44</v>
      </c>
      <c r="BH70" s="57">
        <v>756.35</v>
      </c>
      <c r="BI70" s="70"/>
      <c r="BJ70" s="59">
        <v>11.83</v>
      </c>
      <c r="BK70" s="27"/>
      <c r="BL70" s="32">
        <v>215.13795999999996</v>
      </c>
      <c r="BM70" s="33">
        <v>94.966540000000023</v>
      </c>
      <c r="BN70" s="52"/>
      <c r="BO70" s="53">
        <f t="shared" si="33"/>
        <v>321.93450000000001</v>
      </c>
      <c r="BQ70" s="47">
        <v>45958</v>
      </c>
      <c r="BR70" s="57">
        <v>602.97</v>
      </c>
      <c r="BS70" s="57">
        <v>521.87</v>
      </c>
      <c r="BT70" s="70"/>
      <c r="BU70" s="61"/>
      <c r="BV70" s="27"/>
      <c r="BW70" s="51"/>
      <c r="BX70" s="52"/>
      <c r="BY70" s="52"/>
      <c r="BZ70" s="53">
        <f t="shared" si="34"/>
        <v>0</v>
      </c>
      <c r="CB70" s="47">
        <v>45958</v>
      </c>
      <c r="CC70" s="56">
        <v>19412.849999999999</v>
      </c>
      <c r="CD70" s="57">
        <v>1897.68</v>
      </c>
      <c r="CE70" s="70"/>
      <c r="CF70" s="60"/>
      <c r="CG70" s="27"/>
      <c r="CH70" s="51"/>
      <c r="CI70" s="52"/>
      <c r="CJ70" s="52"/>
      <c r="CK70" s="53">
        <f t="shared" si="35"/>
        <v>0</v>
      </c>
      <c r="CM70" s="47">
        <v>45958</v>
      </c>
      <c r="CN70" s="56">
        <v>10499.84</v>
      </c>
      <c r="CO70" s="57">
        <v>1640.54</v>
      </c>
      <c r="CP70" s="70"/>
      <c r="CQ70" s="62"/>
      <c r="CR70" s="27"/>
      <c r="CS70" s="32"/>
      <c r="CT70" s="42">
        <v>163.29945999999995</v>
      </c>
      <c r="CU70" s="52"/>
      <c r="CV70" s="53">
        <f t="shared" si="36"/>
        <v>163.29945999999995</v>
      </c>
      <c r="CX70" s="47">
        <v>45958</v>
      </c>
      <c r="CY70" s="56">
        <v>3604.04</v>
      </c>
      <c r="CZ70" s="57">
        <v>1116.82</v>
      </c>
      <c r="DA70" s="70"/>
      <c r="DB70" s="59">
        <v>14.65</v>
      </c>
      <c r="DC70" s="27"/>
      <c r="DD70" s="32">
        <v>166.80542900000006</v>
      </c>
      <c r="DE70" s="32">
        <v>41.430013000000201</v>
      </c>
      <c r="DF70" s="52"/>
      <c r="DG70" s="53">
        <f t="shared" si="37"/>
        <v>222.88544200000027</v>
      </c>
      <c r="DI70" s="47">
        <v>45958</v>
      </c>
      <c r="DJ70" s="56">
        <v>1606.57</v>
      </c>
      <c r="DK70" s="71"/>
      <c r="DL70" s="70"/>
      <c r="DM70" s="62"/>
      <c r="DN70" s="27"/>
      <c r="DO70" s="51"/>
      <c r="DP70" s="52"/>
      <c r="DQ70" s="52"/>
      <c r="DR70" s="53">
        <f t="shared" si="38"/>
        <v>0</v>
      </c>
      <c r="DT70" s="47">
        <v>45958</v>
      </c>
      <c r="DU70" s="56">
        <v>1029.5899999999999</v>
      </c>
      <c r="DV70" s="57">
        <v>504.96</v>
      </c>
      <c r="DW70" s="70"/>
      <c r="DX70" s="62"/>
      <c r="DY70" s="27"/>
      <c r="DZ70" s="32">
        <v>137.98281999999995</v>
      </c>
      <c r="EA70" s="32"/>
      <c r="EB70" s="44"/>
      <c r="EC70" s="53">
        <f t="shared" si="39"/>
        <v>137.98281999999995</v>
      </c>
      <c r="EE70" s="47">
        <v>45958</v>
      </c>
      <c r="EF70" s="56">
        <v>5514.31</v>
      </c>
      <c r="EG70" s="57">
        <v>1770.14</v>
      </c>
      <c r="EH70" s="70"/>
      <c r="EI70" s="59">
        <v>149.58000000000001</v>
      </c>
      <c r="EJ70" s="27"/>
      <c r="EK70" s="32"/>
      <c r="EL70" s="52"/>
      <c r="EM70" s="52"/>
      <c r="EN70" s="53">
        <f t="shared" si="40"/>
        <v>149.58000000000001</v>
      </c>
      <c r="EP70" s="47">
        <v>45958</v>
      </c>
      <c r="EQ70" s="64">
        <v>874.62</v>
      </c>
      <c r="ER70" s="56">
        <v>554.67999999999995</v>
      </c>
      <c r="ES70" s="70"/>
      <c r="ET70" s="62"/>
      <c r="EU70" s="27"/>
      <c r="EV70" s="51"/>
      <c r="EW70" s="52"/>
      <c r="EX70" s="52"/>
      <c r="EY70" s="53">
        <f t="shared" si="41"/>
        <v>0</v>
      </c>
    </row>
    <row r="71" spans="2:157" hidden="1" x14ac:dyDescent="0.25">
      <c r="B71" s="47">
        <v>45959</v>
      </c>
      <c r="C71" s="73">
        <v>20522.79</v>
      </c>
      <c r="D71" s="74">
        <v>3320.41</v>
      </c>
      <c r="E71" s="50">
        <v>3868.08</v>
      </c>
      <c r="F71" s="90">
        <v>426.93</v>
      </c>
      <c r="G71" s="90"/>
      <c r="I71" s="51"/>
      <c r="J71" s="52"/>
      <c r="K71" s="52"/>
      <c r="L71" s="53">
        <f t="shared" si="28"/>
        <v>0</v>
      </c>
      <c r="N71" s="47">
        <v>45959</v>
      </c>
      <c r="O71" s="54">
        <v>3105.14</v>
      </c>
      <c r="P71" s="54">
        <v>216.66</v>
      </c>
      <c r="Q71" s="70"/>
      <c r="R71" s="55"/>
      <c r="S71" s="27"/>
      <c r="T71" s="32">
        <v>282.77715999999987</v>
      </c>
      <c r="U71" s="32"/>
      <c r="V71" s="52"/>
      <c r="W71" s="53">
        <f t="shared" si="29"/>
        <v>282.77715999999987</v>
      </c>
      <c r="Y71" s="47">
        <v>45959</v>
      </c>
      <c r="Z71" s="56">
        <v>7596.6</v>
      </c>
      <c r="AA71" s="57">
        <v>1363.18</v>
      </c>
      <c r="AB71" s="70"/>
      <c r="AC71" s="59">
        <v>244.97</v>
      </c>
      <c r="AD71" s="27"/>
      <c r="AE71" s="32">
        <v>627.60549999999989</v>
      </c>
      <c r="AF71" s="52"/>
      <c r="AG71" s="52"/>
      <c r="AH71" s="53">
        <f t="shared" si="30"/>
        <v>872.57549999999992</v>
      </c>
      <c r="AJ71" s="47">
        <v>45959</v>
      </c>
      <c r="AK71" s="56">
        <v>2117.69</v>
      </c>
      <c r="AL71" s="57">
        <v>388.03</v>
      </c>
      <c r="AM71" s="70"/>
      <c r="AN71" s="60"/>
      <c r="AO71" s="27"/>
      <c r="AP71" s="51"/>
      <c r="AQ71" s="52"/>
      <c r="AR71" s="52"/>
      <c r="AS71" s="53">
        <f t="shared" si="31"/>
        <v>0</v>
      </c>
      <c r="AU71" s="47">
        <v>45959</v>
      </c>
      <c r="AV71" s="57">
        <v>653.20000000000005</v>
      </c>
      <c r="AW71" s="57">
        <v>0</v>
      </c>
      <c r="AX71" s="70"/>
      <c r="AY71" s="59">
        <v>110.5</v>
      </c>
      <c r="AZ71" s="27"/>
      <c r="BA71" s="32">
        <v>375.75057200000009</v>
      </c>
      <c r="BB71" s="52"/>
      <c r="BC71" s="52"/>
      <c r="BD71" s="53">
        <f t="shared" si="32"/>
        <v>486.25057200000009</v>
      </c>
      <c r="BF71" s="47">
        <v>45959</v>
      </c>
      <c r="BG71" s="56">
        <v>3575.45</v>
      </c>
      <c r="BH71" s="57">
        <v>827.09</v>
      </c>
      <c r="BI71" s="70"/>
      <c r="BJ71" s="59">
        <v>10.34</v>
      </c>
      <c r="BK71" s="27"/>
      <c r="BL71" s="32">
        <v>164.43707999999998</v>
      </c>
      <c r="BM71" s="33"/>
      <c r="BN71" s="52"/>
      <c r="BO71" s="53">
        <f t="shared" si="33"/>
        <v>174.77707999999998</v>
      </c>
      <c r="BQ71" s="47">
        <v>45959</v>
      </c>
      <c r="BR71" s="57">
        <v>366.39</v>
      </c>
      <c r="BS71" s="57">
        <v>391.75</v>
      </c>
      <c r="BT71" s="70"/>
      <c r="BU71" s="61"/>
      <c r="BV71" s="27"/>
      <c r="BW71" s="51"/>
      <c r="BX71" s="52"/>
      <c r="BY71" s="52"/>
      <c r="BZ71" s="53">
        <f t="shared" si="34"/>
        <v>0</v>
      </c>
      <c r="CB71" s="47">
        <v>45959</v>
      </c>
      <c r="CC71" s="56">
        <v>16659.150000000001</v>
      </c>
      <c r="CD71" s="57">
        <v>1906.66</v>
      </c>
      <c r="CE71" s="70"/>
      <c r="CF71" s="60"/>
      <c r="CG71" s="27"/>
      <c r="CH71" s="51"/>
      <c r="CI71" s="52"/>
      <c r="CJ71" s="52"/>
      <c r="CK71" s="53">
        <f t="shared" si="35"/>
        <v>0</v>
      </c>
      <c r="CM71" s="47">
        <v>45959</v>
      </c>
      <c r="CN71" s="56">
        <v>14451.58</v>
      </c>
      <c r="CO71" s="57">
        <v>1290.1400000000001</v>
      </c>
      <c r="CP71" s="70"/>
      <c r="CQ71" s="62"/>
      <c r="CR71" s="27"/>
      <c r="CS71" s="32">
        <v>199.03439999999992</v>
      </c>
      <c r="CT71" s="42">
        <v>280.11978999999997</v>
      </c>
      <c r="CU71" s="52"/>
      <c r="CV71" s="53">
        <f t="shared" si="36"/>
        <v>479.15418999999986</v>
      </c>
      <c r="CX71" s="47">
        <v>45959</v>
      </c>
      <c r="CY71" s="56">
        <v>5111.3900000000003</v>
      </c>
      <c r="CZ71" s="57">
        <v>843.59</v>
      </c>
      <c r="DA71" s="70"/>
      <c r="DB71" s="59">
        <v>11.29</v>
      </c>
      <c r="DC71" s="27"/>
      <c r="DD71" s="32">
        <v>587.39595700000041</v>
      </c>
      <c r="DE71" s="32">
        <v>28.029927000000129</v>
      </c>
      <c r="DF71" s="52"/>
      <c r="DG71" s="53">
        <f t="shared" si="37"/>
        <v>626.71588400000053</v>
      </c>
      <c r="DI71" s="47">
        <v>45959</v>
      </c>
      <c r="DJ71" s="56">
        <v>3293.99</v>
      </c>
      <c r="DK71" s="71"/>
      <c r="DL71" s="70"/>
      <c r="DM71" s="62"/>
      <c r="DN71" s="27"/>
      <c r="DO71" s="51"/>
      <c r="DP71" s="52"/>
      <c r="DQ71" s="52"/>
      <c r="DR71" s="53">
        <f t="shared" si="38"/>
        <v>0</v>
      </c>
      <c r="DT71" s="47">
        <v>45959</v>
      </c>
      <c r="DU71" s="56">
        <v>1601.39</v>
      </c>
      <c r="DV71" s="57">
        <v>434.94</v>
      </c>
      <c r="DW71" s="70"/>
      <c r="DX71" s="62"/>
      <c r="DY71" s="27"/>
      <c r="DZ71" s="32">
        <v>100.14875999999998</v>
      </c>
      <c r="EA71" s="32">
        <v>674.74088999999935</v>
      </c>
      <c r="EB71" s="44"/>
      <c r="EC71" s="53">
        <f t="shared" si="39"/>
        <v>774.88964999999939</v>
      </c>
      <c r="EE71" s="47">
        <v>45959</v>
      </c>
      <c r="EF71" s="56">
        <v>5203.92</v>
      </c>
      <c r="EG71" s="57">
        <v>1047.19</v>
      </c>
      <c r="EH71" s="70"/>
      <c r="EI71" s="59">
        <v>163.32</v>
      </c>
      <c r="EJ71" s="27"/>
      <c r="EK71" s="32"/>
      <c r="EL71" s="52"/>
      <c r="EM71" s="52"/>
      <c r="EN71" s="53">
        <f t="shared" si="40"/>
        <v>163.32</v>
      </c>
      <c r="EP71" s="47">
        <v>45959</v>
      </c>
      <c r="EQ71" s="64">
        <v>499.08</v>
      </c>
      <c r="ER71" s="56">
        <v>595.13</v>
      </c>
      <c r="ES71" s="70"/>
      <c r="ET71" s="62"/>
      <c r="EU71" s="27"/>
      <c r="EV71" s="51"/>
      <c r="EW71" s="52"/>
      <c r="EX71" s="52"/>
      <c r="EY71" s="53">
        <f t="shared" si="41"/>
        <v>0</v>
      </c>
    </row>
    <row r="72" spans="2:157" hidden="1" x14ac:dyDescent="0.25">
      <c r="B72" s="47">
        <v>45960</v>
      </c>
      <c r="C72" s="73">
        <v>17358.77</v>
      </c>
      <c r="D72" s="74">
        <v>3149.12</v>
      </c>
      <c r="E72" s="50">
        <v>3253.92</v>
      </c>
      <c r="F72" s="90">
        <v>381.92</v>
      </c>
      <c r="G72" s="90"/>
      <c r="I72" s="51"/>
      <c r="J72" s="52"/>
      <c r="K72" s="52"/>
      <c r="L72" s="53">
        <f t="shared" si="28"/>
        <v>0</v>
      </c>
      <c r="N72" s="47">
        <v>45960</v>
      </c>
      <c r="O72" s="54">
        <v>2981.89</v>
      </c>
      <c r="P72" s="54">
        <v>625.41999999999996</v>
      </c>
      <c r="Q72" s="70"/>
      <c r="R72" s="55">
        <v>48</v>
      </c>
      <c r="S72" s="27"/>
      <c r="T72" s="32">
        <v>548.90462000000002</v>
      </c>
      <c r="U72" s="32"/>
      <c r="V72" s="52"/>
      <c r="W72" s="53">
        <f t="shared" si="29"/>
        <v>596.90462000000002</v>
      </c>
      <c r="Y72" s="47">
        <v>45960</v>
      </c>
      <c r="Z72" s="56">
        <v>5033.92</v>
      </c>
      <c r="AA72" s="57">
        <v>1631.91</v>
      </c>
      <c r="AB72" s="70"/>
      <c r="AC72" s="59">
        <v>36.049999999999997</v>
      </c>
      <c r="AD72" s="27"/>
      <c r="AE72" s="32">
        <v>59.969030000000018</v>
      </c>
      <c r="AF72" s="52"/>
      <c r="AG72" s="52"/>
      <c r="AH72" s="53">
        <f t="shared" si="30"/>
        <v>96.019030000000015</v>
      </c>
      <c r="AJ72" s="47">
        <v>45960</v>
      </c>
      <c r="AK72" s="56">
        <v>2176.16</v>
      </c>
      <c r="AL72" s="57">
        <v>284.83</v>
      </c>
      <c r="AM72" s="70"/>
      <c r="AN72" s="60"/>
      <c r="AO72" s="27"/>
      <c r="AP72" s="51"/>
      <c r="AQ72" s="52"/>
      <c r="AR72" s="52"/>
      <c r="AS72" s="53">
        <f t="shared" si="31"/>
        <v>0</v>
      </c>
      <c r="AU72" s="47">
        <v>45960</v>
      </c>
      <c r="AV72" s="57">
        <v>1540.71</v>
      </c>
      <c r="AW72" s="57">
        <v>0</v>
      </c>
      <c r="AX72" s="70"/>
      <c r="AY72" s="59"/>
      <c r="AZ72" s="27"/>
      <c r="BA72" s="32">
        <v>322.68005800000003</v>
      </c>
      <c r="BB72" s="52"/>
      <c r="BC72" s="52"/>
      <c r="BD72" s="53">
        <f t="shared" si="32"/>
        <v>322.68005800000003</v>
      </c>
      <c r="BF72" s="47">
        <v>45960</v>
      </c>
      <c r="BG72" s="56">
        <v>4660.51</v>
      </c>
      <c r="BH72" s="57">
        <v>798.27</v>
      </c>
      <c r="BI72" s="70"/>
      <c r="BJ72" s="59">
        <v>10.79</v>
      </c>
      <c r="BK72" s="27"/>
      <c r="BL72" s="32">
        <v>383.96804999999983</v>
      </c>
      <c r="BM72" s="33">
        <v>86.606299999999976</v>
      </c>
      <c r="BN72" s="52"/>
      <c r="BO72" s="53">
        <f t="shared" si="33"/>
        <v>481.36434999999983</v>
      </c>
      <c r="BQ72" s="47">
        <v>45960</v>
      </c>
      <c r="BR72" s="57">
        <v>628.16999999999996</v>
      </c>
      <c r="BS72" s="57">
        <v>388.87</v>
      </c>
      <c r="BT72" s="70"/>
      <c r="BU72" s="61"/>
      <c r="BV72" s="27"/>
      <c r="BW72" s="51"/>
      <c r="BX72" s="52"/>
      <c r="BY72" s="52"/>
      <c r="BZ72" s="53">
        <f t="shared" si="34"/>
        <v>0</v>
      </c>
      <c r="CB72" s="47">
        <v>45960</v>
      </c>
      <c r="CC72" s="56">
        <v>23080.5</v>
      </c>
      <c r="CD72" s="57">
        <v>1947.36</v>
      </c>
      <c r="CE72" s="70"/>
      <c r="CF72" s="60"/>
      <c r="CG72" s="27"/>
      <c r="CH72" s="51"/>
      <c r="CI72" s="52"/>
      <c r="CJ72" s="52"/>
      <c r="CK72" s="53">
        <f t="shared" si="35"/>
        <v>0</v>
      </c>
      <c r="CM72" s="47">
        <v>45960</v>
      </c>
      <c r="CN72" s="56">
        <v>9129.86</v>
      </c>
      <c r="CO72" s="57">
        <v>1513.74</v>
      </c>
      <c r="CP72" s="70"/>
      <c r="CQ72" s="62"/>
      <c r="CR72" s="27"/>
      <c r="CS72" s="32">
        <v>178.24737421469979</v>
      </c>
      <c r="CT72" s="42">
        <v>334.49016999999992</v>
      </c>
      <c r="CU72" s="52"/>
      <c r="CV72" s="53">
        <f t="shared" si="36"/>
        <v>512.73754421469971</v>
      </c>
      <c r="CX72" s="47">
        <v>45960</v>
      </c>
      <c r="CY72" s="56">
        <v>5925.93</v>
      </c>
      <c r="CZ72" s="57">
        <v>829.48</v>
      </c>
      <c r="DA72" s="70"/>
      <c r="DB72" s="59"/>
      <c r="DC72" s="27"/>
      <c r="DD72" s="32">
        <v>540.854829</v>
      </c>
      <c r="DE72" s="32">
        <v>2.7198320000000109</v>
      </c>
      <c r="DF72" s="52"/>
      <c r="DG72" s="53">
        <f t="shared" si="37"/>
        <v>543.57466099999999</v>
      </c>
      <c r="DI72" s="47">
        <v>45960</v>
      </c>
      <c r="DJ72" s="56">
        <v>1944</v>
      </c>
      <c r="DK72" s="71"/>
      <c r="DL72" s="70"/>
      <c r="DM72" s="62"/>
      <c r="DN72" s="27"/>
      <c r="DO72" s="51"/>
      <c r="DP72" s="52"/>
      <c r="DQ72" s="52"/>
      <c r="DR72" s="53">
        <f t="shared" si="38"/>
        <v>0</v>
      </c>
      <c r="DT72" s="47">
        <v>45960</v>
      </c>
      <c r="DU72" s="56">
        <v>934.49</v>
      </c>
      <c r="DV72" s="57">
        <v>486.81</v>
      </c>
      <c r="DW72" s="70"/>
      <c r="DX72" s="62"/>
      <c r="DY72" s="27"/>
      <c r="DZ72" s="32">
        <v>149.07386999999994</v>
      </c>
      <c r="EA72" s="32"/>
      <c r="EB72" s="44"/>
      <c r="EC72" s="53">
        <f t="shared" si="39"/>
        <v>149.07386999999994</v>
      </c>
      <c r="EE72" s="47">
        <v>45960</v>
      </c>
      <c r="EF72" s="56">
        <v>5761.65</v>
      </c>
      <c r="EG72" s="57">
        <v>1932.8</v>
      </c>
      <c r="EH72" s="70"/>
      <c r="EI72" s="59">
        <v>110.31</v>
      </c>
      <c r="EJ72" s="27"/>
      <c r="EK72" s="32"/>
      <c r="EL72" s="52"/>
      <c r="EM72" s="52"/>
      <c r="EN72" s="53">
        <f t="shared" si="40"/>
        <v>110.31</v>
      </c>
      <c r="EP72" s="47">
        <v>45960</v>
      </c>
      <c r="EQ72" s="64">
        <v>334.62</v>
      </c>
      <c r="ER72" s="56">
        <v>444.32</v>
      </c>
      <c r="ES72" s="70"/>
      <c r="ET72" s="62"/>
      <c r="EU72" s="27"/>
      <c r="EV72" s="51"/>
      <c r="EW72" s="52"/>
      <c r="EX72" s="52"/>
      <c r="EY72" s="53">
        <f t="shared" si="41"/>
        <v>0</v>
      </c>
    </row>
    <row r="73" spans="2:157" ht="15.75" hidden="1" thickBot="1" x14ac:dyDescent="0.3">
      <c r="B73" s="75">
        <v>45961</v>
      </c>
      <c r="C73" s="92">
        <v>23958.05</v>
      </c>
      <c r="D73" s="93">
        <v>3736.68</v>
      </c>
      <c r="E73" s="94">
        <v>3584.98</v>
      </c>
      <c r="F73" s="90">
        <v>417.08</v>
      </c>
      <c r="G73" s="90"/>
      <c r="I73" s="79"/>
      <c r="J73" s="80"/>
      <c r="K73" s="80"/>
      <c r="L73" s="81">
        <f t="shared" si="28"/>
        <v>0</v>
      </c>
      <c r="N73" s="75">
        <v>45961</v>
      </c>
      <c r="O73" s="95">
        <v>3729.63</v>
      </c>
      <c r="P73" s="95">
        <v>418.54</v>
      </c>
      <c r="Q73" s="71"/>
      <c r="R73" s="96"/>
      <c r="S73" s="27"/>
      <c r="T73" s="32">
        <v>323.5972799999999</v>
      </c>
      <c r="U73" s="32">
        <v>7.937420000000003</v>
      </c>
      <c r="V73" s="80"/>
      <c r="W73" s="81">
        <f t="shared" si="29"/>
        <v>331.53469999999993</v>
      </c>
      <c r="Y73" s="75">
        <v>45961</v>
      </c>
      <c r="Z73" s="56">
        <v>4906.3500000000004</v>
      </c>
      <c r="AA73" s="57">
        <v>2075.5300000000002</v>
      </c>
      <c r="AB73" s="70"/>
      <c r="AC73" s="59">
        <v>283.04000000000002</v>
      </c>
      <c r="AD73" s="27"/>
      <c r="AE73" s="32">
        <v>212.40116999999989</v>
      </c>
      <c r="AF73" s="80"/>
      <c r="AG73" s="80"/>
      <c r="AH73" s="81">
        <f t="shared" si="30"/>
        <v>495.44116999999994</v>
      </c>
      <c r="AJ73" s="75">
        <v>45961</v>
      </c>
      <c r="AK73" s="56">
        <v>2272.65</v>
      </c>
      <c r="AL73" s="57">
        <v>348.19</v>
      </c>
      <c r="AM73" s="70"/>
      <c r="AN73" s="62"/>
      <c r="AO73" s="27"/>
      <c r="AP73" s="79"/>
      <c r="AQ73" s="80"/>
      <c r="AR73" s="80"/>
      <c r="AS73" s="81">
        <f t="shared" si="31"/>
        <v>0</v>
      </c>
      <c r="AU73" s="75">
        <v>45961</v>
      </c>
      <c r="AV73" s="97">
        <v>590.02</v>
      </c>
      <c r="AW73" s="97">
        <v>0</v>
      </c>
      <c r="AX73" s="70"/>
      <c r="AY73" s="59">
        <v>218.4</v>
      </c>
      <c r="AZ73" s="27"/>
      <c r="BA73" s="32">
        <v>70.150355999999988</v>
      </c>
      <c r="BB73" s="80"/>
      <c r="BC73" s="80"/>
      <c r="BD73" s="81">
        <f t="shared" si="32"/>
        <v>288.55035599999997</v>
      </c>
      <c r="BF73" s="75">
        <v>45961</v>
      </c>
      <c r="BG73" s="56">
        <v>5886.01</v>
      </c>
      <c r="BH73" s="57">
        <v>1054.6500000000001</v>
      </c>
      <c r="BI73" s="70"/>
      <c r="BJ73" s="59">
        <v>24.03</v>
      </c>
      <c r="BK73" s="27"/>
      <c r="BL73" s="32">
        <v>440.20900999999981</v>
      </c>
      <c r="BM73" s="33"/>
      <c r="BN73" s="80"/>
      <c r="BO73" s="81">
        <f t="shared" si="33"/>
        <v>464.23900999999978</v>
      </c>
      <c r="BQ73" s="75">
        <v>45961</v>
      </c>
      <c r="BR73" s="57">
        <v>499.38</v>
      </c>
      <c r="BS73" s="57">
        <v>768.48</v>
      </c>
      <c r="BT73" s="70"/>
      <c r="BU73" s="61"/>
      <c r="BV73" s="27"/>
      <c r="BW73" s="79"/>
      <c r="BX73" s="80"/>
      <c r="BY73" s="80"/>
      <c r="BZ73" s="81">
        <f t="shared" si="34"/>
        <v>0</v>
      </c>
      <c r="CB73" s="75">
        <v>45961</v>
      </c>
      <c r="CC73" s="56">
        <v>21995.72</v>
      </c>
      <c r="CD73" s="57">
        <v>2470.0100000000002</v>
      </c>
      <c r="CE73" s="70"/>
      <c r="CF73" s="62"/>
      <c r="CG73" s="27"/>
      <c r="CH73" s="79"/>
      <c r="CI73" s="80"/>
      <c r="CJ73" s="80"/>
      <c r="CK73" s="81">
        <f t="shared" si="35"/>
        <v>0</v>
      </c>
      <c r="CM73" s="75">
        <v>45961</v>
      </c>
      <c r="CN73" s="56">
        <v>14490.12</v>
      </c>
      <c r="CO73" s="57">
        <v>2314.48</v>
      </c>
      <c r="CP73" s="70"/>
      <c r="CQ73" s="62"/>
      <c r="CR73" s="27"/>
      <c r="CS73" s="32">
        <v>31.019066100667061</v>
      </c>
      <c r="CT73" s="42">
        <v>36.481819999999985</v>
      </c>
      <c r="CU73" s="80"/>
      <c r="CV73" s="81">
        <f t="shared" si="36"/>
        <v>67.500886100667046</v>
      </c>
      <c r="CX73" s="75">
        <v>45961</v>
      </c>
      <c r="CY73" s="56">
        <v>4652.25</v>
      </c>
      <c r="CZ73" s="57">
        <v>1348.31</v>
      </c>
      <c r="DA73" s="70"/>
      <c r="DB73" s="59">
        <v>9.0299999999999994</v>
      </c>
      <c r="DC73" s="27"/>
      <c r="DD73" s="32">
        <v>163.53720299999995</v>
      </c>
      <c r="DE73" s="32">
        <v>29.948545000000109</v>
      </c>
      <c r="DF73" s="80"/>
      <c r="DG73" s="81">
        <f t="shared" si="37"/>
        <v>202.51574800000006</v>
      </c>
      <c r="DI73" s="75">
        <v>45961</v>
      </c>
      <c r="DJ73" s="56">
        <v>2972.23</v>
      </c>
      <c r="DK73" s="71"/>
      <c r="DL73" s="70"/>
      <c r="DM73" s="62"/>
      <c r="DN73" s="27"/>
      <c r="DO73" s="79"/>
      <c r="DP73" s="80"/>
      <c r="DQ73" s="80"/>
      <c r="DR73" s="81">
        <f t="shared" si="38"/>
        <v>0</v>
      </c>
      <c r="DT73" s="75">
        <v>45961</v>
      </c>
      <c r="DU73" s="56">
        <v>1796.85</v>
      </c>
      <c r="DV73" s="57">
        <v>817.01</v>
      </c>
      <c r="DW73" s="70"/>
      <c r="DX73" s="62"/>
      <c r="DY73" s="27"/>
      <c r="DZ73" s="32">
        <v>190.81792999999985</v>
      </c>
      <c r="EA73" s="32">
        <v>21.250599999999991</v>
      </c>
      <c r="EB73" s="82"/>
      <c r="EC73" s="81">
        <f t="shared" si="39"/>
        <v>212.06852999999984</v>
      </c>
      <c r="EE73" s="75">
        <v>45961</v>
      </c>
      <c r="EF73" s="56">
        <v>6995.33</v>
      </c>
      <c r="EG73" s="57">
        <v>2158.19</v>
      </c>
      <c r="EH73" s="70"/>
      <c r="EI73" s="59">
        <v>148.86000000000001</v>
      </c>
      <c r="EJ73" s="27"/>
      <c r="EK73" s="79"/>
      <c r="EL73" s="80"/>
      <c r="EM73" s="80"/>
      <c r="EN73" s="81">
        <f t="shared" si="40"/>
        <v>148.86000000000001</v>
      </c>
      <c r="EP73" s="75">
        <v>45961</v>
      </c>
      <c r="EQ73" s="98">
        <v>946.28</v>
      </c>
      <c r="ER73" s="99">
        <v>642.44000000000005</v>
      </c>
      <c r="ES73" s="70"/>
      <c r="ET73" s="62"/>
      <c r="EU73" s="27"/>
      <c r="EV73" s="79"/>
      <c r="EW73" s="80"/>
      <c r="EX73" s="80"/>
      <c r="EY73" s="81">
        <f t="shared" si="41"/>
        <v>0</v>
      </c>
    </row>
    <row r="74" spans="2:157" s="86" customFormat="1" ht="16.5" hidden="1" thickBot="1" x14ac:dyDescent="0.3">
      <c r="B74"/>
      <c r="C74" s="77">
        <f>SUM(C43:C73)</f>
        <v>570345.41</v>
      </c>
      <c r="D74" s="77">
        <f>SUM(D43:D73)</f>
        <v>99801.61</v>
      </c>
      <c r="E74" s="77">
        <f>SUM(E43:E73)</f>
        <v>109039.08999999998</v>
      </c>
      <c r="F74" s="78">
        <f t="shared" ref="F74:G74" si="42">SUM(F43:F73)</f>
        <v>10467.550000000003</v>
      </c>
      <c r="G74" s="78">
        <f t="shared" si="42"/>
        <v>0.51</v>
      </c>
      <c r="I74" s="84">
        <f t="shared" ref="I74:L74" si="43">SUM(I43:I73)</f>
        <v>0</v>
      </c>
      <c r="J74" s="85">
        <f t="shared" si="43"/>
        <v>6.5042000000000009</v>
      </c>
      <c r="K74" s="85">
        <f t="shared" si="43"/>
        <v>0</v>
      </c>
      <c r="L74" s="85">
        <f t="shared" si="43"/>
        <v>7.0142000000000007</v>
      </c>
      <c r="N74"/>
      <c r="O74" s="77">
        <f>SUM(O43:O73)</f>
        <v>96750.66</v>
      </c>
      <c r="P74" s="77">
        <f>SUM(P43:P73)</f>
        <v>15215.160000000003</v>
      </c>
      <c r="Q74" s="100">
        <f>SUM(Q43:Q73)</f>
        <v>0</v>
      </c>
      <c r="R74" s="77">
        <f>SUM(R43:R73)</f>
        <v>531.97</v>
      </c>
      <c r="S74" s="83"/>
      <c r="T74" s="84">
        <f t="shared" ref="T74:W74" si="44">SUM(T43:T73)</f>
        <v>5522.9013099999993</v>
      </c>
      <c r="U74" s="85">
        <f t="shared" si="44"/>
        <v>145.64935</v>
      </c>
      <c r="V74" s="85">
        <f t="shared" si="44"/>
        <v>0</v>
      </c>
      <c r="W74" s="85">
        <f t="shared" si="44"/>
        <v>6200.5206599999992</v>
      </c>
      <c r="Y74"/>
      <c r="Z74" s="77">
        <f>SUM(Z43:Z73)</f>
        <v>190705.63999999998</v>
      </c>
      <c r="AA74" s="77">
        <f>SUM(AA43:AA73)</f>
        <v>43590.450000000012</v>
      </c>
      <c r="AB74" s="78">
        <f>SUM(AB43:AB73)</f>
        <v>0</v>
      </c>
      <c r="AC74" s="77">
        <f>SUM(AC43:AC73)</f>
        <v>5658.8300000000008</v>
      </c>
      <c r="AD74" s="83"/>
      <c r="AE74" s="84">
        <f t="shared" ref="AE74:AH74" si="45">SUM(AE43:AE73)</f>
        <v>3930.7923829999991</v>
      </c>
      <c r="AF74" s="85">
        <f t="shared" si="45"/>
        <v>18.663209999999992</v>
      </c>
      <c r="AG74" s="85">
        <f t="shared" si="45"/>
        <v>0</v>
      </c>
      <c r="AH74" s="85">
        <f t="shared" si="45"/>
        <v>9608.2855930000005</v>
      </c>
      <c r="AJ74"/>
      <c r="AK74" s="77">
        <f>SUM(AK43:AK73)</f>
        <v>94277.4</v>
      </c>
      <c r="AL74" s="77">
        <f>SUM(AL43:AL73)</f>
        <v>16153.940000000002</v>
      </c>
      <c r="AM74" s="78">
        <f>SUM(AM43:AM73)</f>
        <v>0</v>
      </c>
      <c r="AN74" s="77">
        <f>SUM(AN43:AN73)</f>
        <v>0</v>
      </c>
      <c r="AO74" s="83"/>
      <c r="AP74" s="84">
        <f t="shared" ref="AP74:AS74" si="46">SUM(AP43:AP73)</f>
        <v>0</v>
      </c>
      <c r="AQ74" s="85">
        <f t="shared" si="46"/>
        <v>0</v>
      </c>
      <c r="AR74" s="85">
        <f t="shared" si="46"/>
        <v>0</v>
      </c>
      <c r="AS74" s="85">
        <f t="shared" si="46"/>
        <v>0</v>
      </c>
      <c r="AU74"/>
      <c r="AV74" s="77">
        <f>SUM(AV43:AV73)</f>
        <v>15990.04</v>
      </c>
      <c r="AW74" s="77">
        <f>SUM(AW43:AW73)</f>
        <v>1772.86</v>
      </c>
      <c r="AX74" s="78">
        <f>SUM(AX43:AX73)</f>
        <v>0</v>
      </c>
      <c r="AY74" s="77">
        <f>SUM(AY43:AY73)</f>
        <v>1918.8</v>
      </c>
      <c r="AZ74" s="83"/>
      <c r="BA74" s="84">
        <f t="shared" ref="BA74:BD74" si="47">SUM(BA43:BA73)</f>
        <v>10712.078181000003</v>
      </c>
      <c r="BB74" s="85">
        <f t="shared" si="47"/>
        <v>34.18963100000002</v>
      </c>
      <c r="BC74" s="85">
        <f t="shared" si="47"/>
        <v>0</v>
      </c>
      <c r="BD74" s="85">
        <f t="shared" si="47"/>
        <v>12665.067811999999</v>
      </c>
      <c r="BF74"/>
      <c r="BG74" s="77">
        <f>SUM(BG43:BG73)</f>
        <v>125760.93</v>
      </c>
      <c r="BH74" s="77">
        <f>SUM(BH43:BH73)</f>
        <v>22791.300000000003</v>
      </c>
      <c r="BI74" s="78">
        <f>SUM(BI43:BI73)</f>
        <v>0</v>
      </c>
      <c r="BJ74" s="77">
        <f>SUM(BJ43:BJ73)</f>
        <v>273.37</v>
      </c>
      <c r="BK74" s="83"/>
      <c r="BL74" s="84">
        <f t="shared" ref="BL74:BO74" si="48">SUM(BL43:BL73)</f>
        <v>8891.1669389999988</v>
      </c>
      <c r="BM74" s="85">
        <f t="shared" si="48"/>
        <v>1598.424399</v>
      </c>
      <c r="BN74" s="85">
        <f t="shared" si="48"/>
        <v>0</v>
      </c>
      <c r="BO74" s="85">
        <f t="shared" si="48"/>
        <v>10762.961337999999</v>
      </c>
      <c r="BQ74"/>
      <c r="BR74" s="77">
        <f>SUM(BR43:BR73)</f>
        <v>18551.11</v>
      </c>
      <c r="BS74" s="77">
        <f>SUM(BS43:BS73)</f>
        <v>14549.980000000001</v>
      </c>
      <c r="BT74" s="78">
        <f>SUM(BT43:BT73)</f>
        <v>0</v>
      </c>
      <c r="BU74" s="77">
        <f>SUM(BU43:BU73)</f>
        <v>284.40000000000003</v>
      </c>
      <c r="BV74" s="83"/>
      <c r="BW74" s="84">
        <f t="shared" ref="BW74:BZ74" si="49">SUM(BW43:BW73)</f>
        <v>0</v>
      </c>
      <c r="BX74" s="85">
        <f t="shared" si="49"/>
        <v>0</v>
      </c>
      <c r="BY74" s="85">
        <f t="shared" si="49"/>
        <v>0</v>
      </c>
      <c r="BZ74" s="85">
        <f t="shared" si="49"/>
        <v>284.40000000000003</v>
      </c>
      <c r="CB74"/>
      <c r="CC74" s="77">
        <f>SUM(CC43:CC73)</f>
        <v>596684.16</v>
      </c>
      <c r="CD74" s="77">
        <f>SUM(CD43:CD73)</f>
        <v>62470.14</v>
      </c>
      <c r="CE74" s="78">
        <f>SUM(CE43:CE73)</f>
        <v>0</v>
      </c>
      <c r="CF74" s="77">
        <f>SUM(CF43:CF73)</f>
        <v>0</v>
      </c>
      <c r="CG74" s="83"/>
      <c r="CH74" s="84">
        <f t="shared" ref="CH74:CK74" si="50">SUM(CH43:CH73)</f>
        <v>0</v>
      </c>
      <c r="CI74" s="85">
        <f t="shared" si="50"/>
        <v>0</v>
      </c>
      <c r="CJ74" s="85">
        <f t="shared" si="50"/>
        <v>0</v>
      </c>
      <c r="CK74" s="85">
        <f t="shared" si="50"/>
        <v>0</v>
      </c>
      <c r="CM74"/>
      <c r="CN74" s="77">
        <f>SUM(CN43:CN73)</f>
        <v>281713.17</v>
      </c>
      <c r="CO74" s="77">
        <f>SUM(CO43:CO73)</f>
        <v>50537.244000000006</v>
      </c>
      <c r="CP74" s="78">
        <f>SUM(CP43:CP73)</f>
        <v>0</v>
      </c>
      <c r="CQ74" s="77">
        <f>SUM(CQ43:CQ73)</f>
        <v>0</v>
      </c>
      <c r="CR74" s="83"/>
      <c r="CS74" s="84">
        <f t="shared" ref="CS74:CV74" si="51">SUM(CS43:CS73)</f>
        <v>2390.5794203153664</v>
      </c>
      <c r="CT74" s="85">
        <f t="shared" si="51"/>
        <v>6853.2163899999987</v>
      </c>
      <c r="CU74" s="85">
        <f t="shared" si="51"/>
        <v>0</v>
      </c>
      <c r="CV74" s="85">
        <f t="shared" si="51"/>
        <v>9243.7958103153633</v>
      </c>
      <c r="CX74"/>
      <c r="CY74" s="77">
        <f>SUM(CY43:CY73)</f>
        <v>148289.92000000001</v>
      </c>
      <c r="CZ74" s="77">
        <f>SUM(CZ43:CZ73)</f>
        <v>31595.38</v>
      </c>
      <c r="DA74" s="78">
        <f>SUM(DA43:DA73)</f>
        <v>0</v>
      </c>
      <c r="DB74" s="77">
        <f>SUM(DB43:DB73)</f>
        <v>158.22</v>
      </c>
      <c r="DC74" s="83"/>
      <c r="DD74" s="84">
        <f t="shared" ref="DD74:DG74" si="52">SUM(DD43:DD73)</f>
        <v>6888.4778970000007</v>
      </c>
      <c r="DE74" s="85">
        <f t="shared" si="52"/>
        <v>459.79126300000098</v>
      </c>
      <c r="DF74" s="85">
        <f t="shared" si="52"/>
        <v>0</v>
      </c>
      <c r="DG74" s="85">
        <f t="shared" si="52"/>
        <v>7506.4891600000037</v>
      </c>
      <c r="DI74"/>
      <c r="DJ74" s="77">
        <f>SUM(DJ43:DJ73)</f>
        <v>61035.57</v>
      </c>
      <c r="DK74" s="77">
        <f>SUM(DK43:DK73)</f>
        <v>0</v>
      </c>
      <c r="DL74" s="78">
        <f>SUM(DL43:DL73)</f>
        <v>0</v>
      </c>
      <c r="DM74" s="77">
        <f>SUM(DM43:DM73)</f>
        <v>0</v>
      </c>
      <c r="DN74" s="83"/>
      <c r="DO74" s="84">
        <f t="shared" ref="DO74:DR74" si="53">SUM(DO43:DO73)</f>
        <v>0</v>
      </c>
      <c r="DP74" s="85">
        <f t="shared" si="53"/>
        <v>0</v>
      </c>
      <c r="DQ74" s="85">
        <f t="shared" si="53"/>
        <v>0</v>
      </c>
      <c r="DR74" s="85">
        <f t="shared" si="53"/>
        <v>0</v>
      </c>
      <c r="DT74"/>
      <c r="DU74" s="77">
        <f>SUM(DU43:DU73)</f>
        <v>51847.829999999987</v>
      </c>
      <c r="DV74" s="77">
        <f>SUM(DV43:DV73)</f>
        <v>12163.84</v>
      </c>
      <c r="DW74" s="78">
        <f>SUM(DW43:DW73)</f>
        <v>0</v>
      </c>
      <c r="DX74" s="77">
        <f>SUM(DX43:DX73)</f>
        <v>0</v>
      </c>
      <c r="DY74" s="83"/>
      <c r="DZ74" s="84">
        <f t="shared" ref="DZ74:EC74" si="54">SUM(DZ43:DZ73)</f>
        <v>2907.1881469999994</v>
      </c>
      <c r="EA74" s="85">
        <f t="shared" si="54"/>
        <v>3730.082109999998</v>
      </c>
      <c r="EB74" s="85">
        <f t="shared" si="54"/>
        <v>0</v>
      </c>
      <c r="EC74" s="85">
        <f t="shared" si="54"/>
        <v>6637.2702569999974</v>
      </c>
      <c r="EE74"/>
      <c r="EF74" s="77">
        <f>SUM(EF43:EF73)</f>
        <v>182205.87</v>
      </c>
      <c r="EG74" s="77">
        <f>SUM(EG43:EG73)</f>
        <v>52243.710000000006</v>
      </c>
      <c r="EH74" s="78">
        <f>SUM(EH43:EH73)</f>
        <v>0</v>
      </c>
      <c r="EI74" s="77">
        <f>SUM(EI43:EI73)</f>
        <v>3953.1</v>
      </c>
      <c r="EJ74" s="83"/>
      <c r="EK74" s="84">
        <f t="shared" ref="EK74:EN74" si="55">SUM(EK43:EK73)</f>
        <v>337.59100000000007</v>
      </c>
      <c r="EL74" s="85">
        <f t="shared" si="55"/>
        <v>17.850980000000007</v>
      </c>
      <c r="EM74" s="85">
        <f t="shared" si="55"/>
        <v>0</v>
      </c>
      <c r="EN74" s="85">
        <f t="shared" si="55"/>
        <v>4308.54198</v>
      </c>
      <c r="EP74"/>
      <c r="EQ74" s="77">
        <f>SUM(EQ43:EQ73)</f>
        <v>24734.719999999994</v>
      </c>
      <c r="ER74" s="77">
        <f>SUM(ER43:ER73)</f>
        <v>19797.32</v>
      </c>
      <c r="ES74" s="78">
        <f>SUM(ES43:ES73)</f>
        <v>0</v>
      </c>
      <c r="ET74" s="77">
        <f>SUM(ET43:ET73)</f>
        <v>0</v>
      </c>
      <c r="EU74" s="83"/>
      <c r="EV74" s="84">
        <f t="shared" ref="EV74:EY74" si="56">SUM(EV43:EV73)</f>
        <v>0</v>
      </c>
      <c r="EW74" s="85">
        <f t="shared" si="56"/>
        <v>0</v>
      </c>
      <c r="EX74" s="85">
        <f t="shared" si="56"/>
        <v>0</v>
      </c>
      <c r="EY74" s="85">
        <f t="shared" si="56"/>
        <v>0</v>
      </c>
      <c r="FA74" s="441"/>
    </row>
    <row r="75" spans="2:157" s="111" customFormat="1" ht="15.75" hidden="1" x14ac:dyDescent="0.25">
      <c r="B75"/>
      <c r="C75" s="110"/>
      <c r="D75" s="110"/>
      <c r="E75" s="110"/>
      <c r="F75" s="110"/>
      <c r="G75" s="110"/>
      <c r="I75" s="83"/>
      <c r="J75" s="83"/>
      <c r="K75" s="83"/>
      <c r="L75" s="83"/>
      <c r="N75"/>
      <c r="O75" s="110"/>
      <c r="P75" s="110"/>
      <c r="Q75" s="83"/>
      <c r="R75" s="110"/>
      <c r="S75" s="83"/>
      <c r="T75" s="83"/>
      <c r="U75" s="83"/>
      <c r="V75" s="83"/>
      <c r="W75" s="83"/>
      <c r="Y75"/>
      <c r="Z75" s="110"/>
      <c r="AA75" s="110"/>
      <c r="AB75" s="110"/>
      <c r="AC75" s="110"/>
      <c r="AD75" s="83"/>
      <c r="AE75" s="83"/>
      <c r="AF75" s="83"/>
      <c r="AG75" s="83"/>
      <c r="AH75" s="83"/>
      <c r="AJ75"/>
      <c r="AK75" s="110"/>
      <c r="AL75" s="110"/>
      <c r="AM75" s="110"/>
      <c r="AN75" s="110"/>
      <c r="AO75" s="83"/>
      <c r="AP75" s="83"/>
      <c r="AQ75" s="83"/>
      <c r="AR75" s="83"/>
      <c r="AS75" s="83"/>
      <c r="AU75"/>
      <c r="AV75" s="110"/>
      <c r="AW75" s="110"/>
      <c r="AX75" s="110"/>
      <c r="AY75" s="110"/>
      <c r="AZ75" s="83"/>
      <c r="BA75" s="83"/>
      <c r="BB75" s="83"/>
      <c r="BC75" s="83"/>
      <c r="BD75" s="83"/>
      <c r="BF75"/>
      <c r="BG75" s="110"/>
      <c r="BH75" s="110"/>
      <c r="BI75" s="110"/>
      <c r="BJ75" s="110"/>
      <c r="BK75" s="83"/>
      <c r="BL75" s="83"/>
      <c r="BM75" s="83"/>
      <c r="BN75" s="83"/>
      <c r="BO75" s="83"/>
      <c r="BQ75"/>
      <c r="BR75" s="110"/>
      <c r="BS75" s="110"/>
      <c r="BT75" s="110"/>
      <c r="BU75" s="110"/>
      <c r="BV75" s="83"/>
      <c r="BW75" s="83"/>
      <c r="BX75" s="83"/>
      <c r="BY75" s="83"/>
      <c r="BZ75" s="83"/>
      <c r="CB75"/>
      <c r="CC75" s="110"/>
      <c r="CD75" s="110"/>
      <c r="CE75" s="110"/>
      <c r="CF75" s="110"/>
      <c r="CG75" s="83"/>
      <c r="CH75" s="83"/>
      <c r="CI75" s="83"/>
      <c r="CJ75" s="83"/>
      <c r="CK75" s="83"/>
      <c r="CM75"/>
      <c r="CN75" s="110"/>
      <c r="CO75" s="110"/>
      <c r="CP75" s="110"/>
      <c r="CQ75" s="110"/>
      <c r="CR75" s="83"/>
      <c r="CS75" s="83"/>
      <c r="CT75" s="83"/>
      <c r="CU75" s="83"/>
      <c r="CV75" s="83"/>
      <c r="CX75"/>
      <c r="CY75" s="110"/>
      <c r="CZ75" s="110"/>
      <c r="DA75" s="110"/>
      <c r="DB75" s="110"/>
      <c r="DC75" s="83"/>
      <c r="DD75" s="83"/>
      <c r="DE75" s="83"/>
      <c r="DF75" s="83"/>
      <c r="DG75" s="83"/>
      <c r="DI75"/>
      <c r="DJ75" s="110"/>
      <c r="DK75" s="110"/>
      <c r="DL75" s="110"/>
      <c r="DM75" s="110"/>
      <c r="DN75" s="83"/>
      <c r="DO75" s="83"/>
      <c r="DP75" s="83"/>
      <c r="DQ75" s="83"/>
      <c r="DR75" s="83"/>
      <c r="DT75"/>
      <c r="DU75" s="110"/>
      <c r="DV75" s="110"/>
      <c r="DW75" s="110"/>
      <c r="DX75" s="110"/>
      <c r="DY75" s="83"/>
      <c r="DZ75" s="83"/>
      <c r="EA75" s="83"/>
      <c r="EB75" s="83"/>
      <c r="EC75" s="83"/>
      <c r="EE75"/>
      <c r="EF75" s="110"/>
      <c r="EG75" s="110"/>
      <c r="EH75" s="110"/>
      <c r="EI75" s="110"/>
      <c r="EJ75" s="83"/>
      <c r="EK75" s="83"/>
      <c r="EL75" s="83"/>
      <c r="EM75" s="83"/>
      <c r="EN75" s="83"/>
      <c r="EP75"/>
      <c r="EQ75" s="110"/>
      <c r="ER75" s="110"/>
      <c r="ES75" s="110"/>
      <c r="ET75" s="110"/>
      <c r="EU75" s="83"/>
      <c r="EV75" s="83"/>
      <c r="EW75" s="83"/>
      <c r="EX75" s="83"/>
      <c r="EY75" s="83"/>
      <c r="FA75" s="441"/>
    </row>
    <row r="76" spans="2:157" hidden="1" x14ac:dyDescent="0.25"/>
    <row r="77" spans="2:157" hidden="1" x14ac:dyDescent="0.25"/>
    <row r="78" spans="2:157" ht="21" hidden="1" x14ac:dyDescent="0.35">
      <c r="C78" s="1" t="s">
        <v>0</v>
      </c>
      <c r="O78" s="1" t="s">
        <v>1</v>
      </c>
      <c r="AA78" s="1" t="s">
        <v>2</v>
      </c>
      <c r="AL78" s="1" t="s">
        <v>3</v>
      </c>
      <c r="AW78" s="1" t="s">
        <v>4</v>
      </c>
      <c r="BH78" s="1" t="s">
        <v>5</v>
      </c>
      <c r="BS78" s="1" t="s">
        <v>6</v>
      </c>
      <c r="CD78" s="1" t="s">
        <v>7</v>
      </c>
      <c r="CO78" s="1" t="s">
        <v>8</v>
      </c>
      <c r="CZ78" s="1" t="s">
        <v>9</v>
      </c>
      <c r="DK78" s="1" t="s">
        <v>10</v>
      </c>
      <c r="DV78" s="1" t="s">
        <v>11</v>
      </c>
      <c r="EG78" s="1" t="s">
        <v>12</v>
      </c>
      <c r="ER78" s="1" t="s">
        <v>13</v>
      </c>
    </row>
    <row r="79" spans="2:157" ht="15.75" hidden="1" thickBot="1" x14ac:dyDescent="0.3"/>
    <row r="80" spans="2:157" hidden="1" x14ac:dyDescent="0.25">
      <c r="B80" s="2" t="s">
        <v>14</v>
      </c>
      <c r="C80" s="3" t="s">
        <v>15</v>
      </c>
      <c r="D80" s="4" t="s">
        <v>15</v>
      </c>
      <c r="E80" s="4" t="s">
        <v>15</v>
      </c>
      <c r="F80" s="5" t="s">
        <v>16</v>
      </c>
      <c r="G80" s="5" t="s">
        <v>16</v>
      </c>
      <c r="H80" s="6"/>
      <c r="I80" s="7" t="s">
        <v>16</v>
      </c>
      <c r="J80" s="8" t="s">
        <v>16</v>
      </c>
      <c r="K80" s="9" t="s">
        <v>16</v>
      </c>
      <c r="L80" s="10" t="s">
        <v>17</v>
      </c>
      <c r="N80" s="2" t="s">
        <v>14</v>
      </c>
      <c r="O80" s="3" t="s">
        <v>15</v>
      </c>
      <c r="P80" s="4" t="s">
        <v>15</v>
      </c>
      <c r="Q80" s="5" t="s">
        <v>16</v>
      </c>
      <c r="R80" s="11" t="s">
        <v>16</v>
      </c>
      <c r="S80" s="6"/>
      <c r="T80" s="7" t="s">
        <v>16</v>
      </c>
      <c r="U80" s="8" t="s">
        <v>16</v>
      </c>
      <c r="V80" s="9" t="s">
        <v>16</v>
      </c>
      <c r="W80" s="10" t="s">
        <v>17</v>
      </c>
      <c r="Y80" s="2" t="s">
        <v>14</v>
      </c>
      <c r="Z80" s="3" t="s">
        <v>15</v>
      </c>
      <c r="AA80" s="4" t="s">
        <v>15</v>
      </c>
      <c r="AB80" s="4" t="s">
        <v>16</v>
      </c>
      <c r="AC80" s="11" t="s">
        <v>16</v>
      </c>
      <c r="AD80" s="6"/>
      <c r="AE80" s="7" t="s">
        <v>16</v>
      </c>
      <c r="AF80" s="8" t="s">
        <v>16</v>
      </c>
      <c r="AG80" s="9" t="s">
        <v>16</v>
      </c>
      <c r="AH80" s="10" t="s">
        <v>17</v>
      </c>
      <c r="AJ80" s="2" t="s">
        <v>14</v>
      </c>
      <c r="AK80" s="3" t="s">
        <v>15</v>
      </c>
      <c r="AL80" s="4" t="s">
        <v>15</v>
      </c>
      <c r="AM80" s="5" t="s">
        <v>16</v>
      </c>
      <c r="AN80" s="11" t="s">
        <v>16</v>
      </c>
      <c r="AO80" s="6"/>
      <c r="AP80" s="7" t="s">
        <v>16</v>
      </c>
      <c r="AQ80" s="8" t="s">
        <v>16</v>
      </c>
      <c r="AR80" s="9" t="s">
        <v>16</v>
      </c>
      <c r="AS80" s="10" t="s">
        <v>17</v>
      </c>
      <c r="AU80" s="2" t="s">
        <v>14</v>
      </c>
      <c r="AV80" s="3" t="s">
        <v>15</v>
      </c>
      <c r="AW80" s="4" t="s">
        <v>15</v>
      </c>
      <c r="AX80" s="5" t="s">
        <v>16</v>
      </c>
      <c r="AY80" s="11" t="s">
        <v>16</v>
      </c>
      <c r="AZ80" s="6"/>
      <c r="BA80" s="7" t="s">
        <v>16</v>
      </c>
      <c r="BB80" s="8" t="s">
        <v>16</v>
      </c>
      <c r="BC80" s="9" t="s">
        <v>16</v>
      </c>
      <c r="BD80" s="10" t="s">
        <v>17</v>
      </c>
      <c r="BF80" s="2" t="s">
        <v>14</v>
      </c>
      <c r="BG80" s="3" t="s">
        <v>15</v>
      </c>
      <c r="BH80" s="4" t="s">
        <v>15</v>
      </c>
      <c r="BI80" s="5" t="s">
        <v>16</v>
      </c>
      <c r="BJ80" s="11" t="s">
        <v>16</v>
      </c>
      <c r="BK80" s="6"/>
      <c r="BL80" s="7" t="s">
        <v>16</v>
      </c>
      <c r="BM80" s="8" t="s">
        <v>16</v>
      </c>
      <c r="BN80" s="9" t="s">
        <v>16</v>
      </c>
      <c r="BO80" s="10" t="s">
        <v>17</v>
      </c>
      <c r="BQ80" s="2" t="s">
        <v>14</v>
      </c>
      <c r="BR80" s="3" t="s">
        <v>15</v>
      </c>
      <c r="BS80" s="4" t="s">
        <v>15</v>
      </c>
      <c r="BT80" s="5" t="s">
        <v>16</v>
      </c>
      <c r="BU80" s="11" t="s">
        <v>16</v>
      </c>
      <c r="BV80" s="6"/>
      <c r="BW80" s="7" t="s">
        <v>16</v>
      </c>
      <c r="BX80" s="8" t="s">
        <v>16</v>
      </c>
      <c r="BY80" s="9" t="s">
        <v>16</v>
      </c>
      <c r="BZ80" s="10" t="s">
        <v>17</v>
      </c>
      <c r="CB80" s="2" t="s">
        <v>14</v>
      </c>
      <c r="CC80" s="3" t="s">
        <v>15</v>
      </c>
      <c r="CD80" s="4" t="s">
        <v>15</v>
      </c>
      <c r="CE80" s="5" t="s">
        <v>16</v>
      </c>
      <c r="CF80" s="5" t="s">
        <v>16</v>
      </c>
      <c r="CG80" s="6"/>
      <c r="CH80" s="7" t="s">
        <v>16</v>
      </c>
      <c r="CI80" s="8" t="s">
        <v>16</v>
      </c>
      <c r="CJ80" s="9" t="s">
        <v>16</v>
      </c>
      <c r="CK80" s="10" t="s">
        <v>17</v>
      </c>
      <c r="CM80" s="2" t="s">
        <v>14</v>
      </c>
      <c r="CN80" s="3" t="s">
        <v>15</v>
      </c>
      <c r="CO80" s="4" t="s">
        <v>15</v>
      </c>
      <c r="CP80" s="5" t="s">
        <v>16</v>
      </c>
      <c r="CQ80" s="11" t="s">
        <v>16</v>
      </c>
      <c r="CR80" s="6"/>
      <c r="CS80" s="7" t="s">
        <v>16</v>
      </c>
      <c r="CT80" s="8" t="s">
        <v>16</v>
      </c>
      <c r="CU80" s="9" t="s">
        <v>16</v>
      </c>
      <c r="CV80" s="10" t="s">
        <v>17</v>
      </c>
      <c r="CX80" s="2" t="s">
        <v>14</v>
      </c>
      <c r="CY80" s="3" t="s">
        <v>15</v>
      </c>
      <c r="CZ80" s="4" t="s">
        <v>15</v>
      </c>
      <c r="DA80" s="5" t="s">
        <v>16</v>
      </c>
      <c r="DB80" s="11" t="s">
        <v>16</v>
      </c>
      <c r="DC80" s="6"/>
      <c r="DD80" s="7" t="s">
        <v>16</v>
      </c>
      <c r="DE80" s="8" t="s">
        <v>16</v>
      </c>
      <c r="DF80" s="9" t="s">
        <v>16</v>
      </c>
      <c r="DG80" s="10" t="s">
        <v>17</v>
      </c>
      <c r="DI80" s="2" t="s">
        <v>14</v>
      </c>
      <c r="DJ80" s="3" t="s">
        <v>15</v>
      </c>
      <c r="DK80" s="4" t="s">
        <v>15</v>
      </c>
      <c r="DL80" s="5" t="s">
        <v>16</v>
      </c>
      <c r="DM80" s="11" t="s">
        <v>16</v>
      </c>
      <c r="DN80" s="6"/>
      <c r="DO80" s="7" t="s">
        <v>16</v>
      </c>
      <c r="DP80" s="8" t="s">
        <v>16</v>
      </c>
      <c r="DQ80" s="9" t="s">
        <v>16</v>
      </c>
      <c r="DR80" s="10" t="s">
        <v>17</v>
      </c>
      <c r="DT80" s="2" t="s">
        <v>14</v>
      </c>
      <c r="DU80" s="3" t="s">
        <v>15</v>
      </c>
      <c r="DV80" s="4" t="s">
        <v>15</v>
      </c>
      <c r="DW80" s="5" t="s">
        <v>16</v>
      </c>
      <c r="DX80" s="11" t="s">
        <v>16</v>
      </c>
      <c r="DY80" s="6"/>
      <c r="DZ80" s="7" t="s">
        <v>16</v>
      </c>
      <c r="EA80" s="8" t="s">
        <v>16</v>
      </c>
      <c r="EB80" s="9" t="s">
        <v>16</v>
      </c>
      <c r="EC80" s="10" t="s">
        <v>17</v>
      </c>
      <c r="EE80" s="2" t="s">
        <v>14</v>
      </c>
      <c r="EF80" s="3" t="s">
        <v>15</v>
      </c>
      <c r="EG80" s="4" t="s">
        <v>15</v>
      </c>
      <c r="EH80" s="5" t="s">
        <v>16</v>
      </c>
      <c r="EI80" s="11" t="s">
        <v>16</v>
      </c>
      <c r="EJ80" s="6"/>
      <c r="EK80" s="7" t="s">
        <v>16</v>
      </c>
      <c r="EL80" s="8" t="s">
        <v>16</v>
      </c>
      <c r="EM80" s="9" t="s">
        <v>16</v>
      </c>
      <c r="EN80" s="10" t="s">
        <v>17</v>
      </c>
      <c r="EP80" s="2" t="s">
        <v>14</v>
      </c>
      <c r="EQ80" s="3" t="s">
        <v>15</v>
      </c>
      <c r="ER80" s="4" t="s">
        <v>15</v>
      </c>
      <c r="ES80" s="5" t="s">
        <v>16</v>
      </c>
      <c r="ET80" s="11" t="s">
        <v>16</v>
      </c>
      <c r="EV80" s="7" t="s">
        <v>16</v>
      </c>
      <c r="EW80" s="8" t="s">
        <v>16</v>
      </c>
      <c r="EX80" s="9" t="s">
        <v>16</v>
      </c>
      <c r="EY80" s="10" t="s">
        <v>17</v>
      </c>
    </row>
    <row r="81" spans="2:155" ht="15.75" hidden="1" thickBot="1" x14ac:dyDescent="0.3">
      <c r="B81" s="87"/>
      <c r="C81" s="13" t="s">
        <v>18</v>
      </c>
      <c r="D81" s="14" t="s">
        <v>19</v>
      </c>
      <c r="E81" s="14" t="s">
        <v>20</v>
      </c>
      <c r="F81" s="15" t="s">
        <v>20</v>
      </c>
      <c r="G81" s="15" t="s">
        <v>27</v>
      </c>
      <c r="H81" s="6"/>
      <c r="I81" s="16" t="s">
        <v>21</v>
      </c>
      <c r="J81" s="17" t="s">
        <v>22</v>
      </c>
      <c r="K81" s="18" t="s">
        <v>23</v>
      </c>
      <c r="L81" s="19" t="s">
        <v>24</v>
      </c>
      <c r="N81" s="12"/>
      <c r="O81" s="13" t="s">
        <v>18</v>
      </c>
      <c r="P81" s="14" t="s">
        <v>19</v>
      </c>
      <c r="Q81" s="15" t="s">
        <v>19</v>
      </c>
      <c r="R81" s="20" t="s">
        <v>25</v>
      </c>
      <c r="S81" s="6"/>
      <c r="T81" s="16" t="s">
        <v>21</v>
      </c>
      <c r="U81" s="17" t="s">
        <v>22</v>
      </c>
      <c r="V81" s="18" t="s">
        <v>23</v>
      </c>
      <c r="W81" s="19" t="s">
        <v>24</v>
      </c>
      <c r="Y81" s="12"/>
      <c r="Z81" s="13" t="s">
        <v>18</v>
      </c>
      <c r="AA81" s="14" t="s">
        <v>19</v>
      </c>
      <c r="AB81" s="14" t="s">
        <v>19</v>
      </c>
      <c r="AC81" s="20" t="s">
        <v>25</v>
      </c>
      <c r="AD81" s="6"/>
      <c r="AE81" s="16" t="s">
        <v>21</v>
      </c>
      <c r="AF81" s="17" t="s">
        <v>22</v>
      </c>
      <c r="AG81" s="18" t="s">
        <v>23</v>
      </c>
      <c r="AH81" s="21" t="s">
        <v>24</v>
      </c>
      <c r="AJ81" s="12"/>
      <c r="AK81" s="13" t="s">
        <v>18</v>
      </c>
      <c r="AL81" s="14" t="s">
        <v>19</v>
      </c>
      <c r="AM81" s="15" t="s">
        <v>19</v>
      </c>
      <c r="AN81" s="20" t="s">
        <v>25</v>
      </c>
      <c r="AO81" s="6"/>
      <c r="AP81" s="16" t="s">
        <v>21</v>
      </c>
      <c r="AQ81" s="17" t="s">
        <v>22</v>
      </c>
      <c r="AR81" s="18" t="s">
        <v>23</v>
      </c>
      <c r="AS81" s="21" t="s">
        <v>24</v>
      </c>
      <c r="AU81" s="12"/>
      <c r="AV81" s="13" t="s">
        <v>18</v>
      </c>
      <c r="AW81" s="14" t="s">
        <v>19</v>
      </c>
      <c r="AX81" s="15" t="s">
        <v>19</v>
      </c>
      <c r="AY81" s="20" t="s">
        <v>25</v>
      </c>
      <c r="AZ81" s="6"/>
      <c r="BA81" s="16" t="s">
        <v>21</v>
      </c>
      <c r="BB81" s="17" t="s">
        <v>22</v>
      </c>
      <c r="BC81" s="18" t="s">
        <v>23</v>
      </c>
      <c r="BD81" s="21" t="s">
        <v>24</v>
      </c>
      <c r="BF81" s="12"/>
      <c r="BG81" s="13" t="s">
        <v>18</v>
      </c>
      <c r="BH81" s="14" t="s">
        <v>19</v>
      </c>
      <c r="BI81" s="15" t="s">
        <v>19</v>
      </c>
      <c r="BJ81" s="20" t="s">
        <v>25</v>
      </c>
      <c r="BK81" s="6"/>
      <c r="BL81" s="16" t="s">
        <v>21</v>
      </c>
      <c r="BM81" s="17" t="s">
        <v>22</v>
      </c>
      <c r="BN81" s="18" t="s">
        <v>23</v>
      </c>
      <c r="BO81" s="21" t="s">
        <v>24</v>
      </c>
      <c r="BQ81" s="12"/>
      <c r="BR81" s="13" t="s">
        <v>18</v>
      </c>
      <c r="BS81" s="14" t="s">
        <v>19</v>
      </c>
      <c r="BT81" s="15" t="s">
        <v>19</v>
      </c>
      <c r="BU81" s="20" t="s">
        <v>25</v>
      </c>
      <c r="BV81" s="6"/>
      <c r="BW81" s="16" t="s">
        <v>21</v>
      </c>
      <c r="BX81" s="17" t="s">
        <v>22</v>
      </c>
      <c r="BY81" s="18" t="s">
        <v>23</v>
      </c>
      <c r="BZ81" s="21" t="s">
        <v>24</v>
      </c>
      <c r="CB81" s="12"/>
      <c r="CC81" s="13" t="s">
        <v>18</v>
      </c>
      <c r="CD81" s="14" t="s">
        <v>19</v>
      </c>
      <c r="CE81" s="15" t="s">
        <v>19</v>
      </c>
      <c r="CF81" s="15" t="s">
        <v>25</v>
      </c>
      <c r="CG81" s="6"/>
      <c r="CH81" s="16" t="s">
        <v>21</v>
      </c>
      <c r="CI81" s="17" t="s">
        <v>22</v>
      </c>
      <c r="CJ81" s="18" t="s">
        <v>23</v>
      </c>
      <c r="CK81" s="21" t="s">
        <v>24</v>
      </c>
      <c r="CM81" s="12"/>
      <c r="CN81" s="13" t="s">
        <v>18</v>
      </c>
      <c r="CO81" s="14" t="s">
        <v>19</v>
      </c>
      <c r="CP81" s="15" t="s">
        <v>19</v>
      </c>
      <c r="CQ81" s="20" t="s">
        <v>25</v>
      </c>
      <c r="CR81" s="6"/>
      <c r="CS81" s="16" t="s">
        <v>21</v>
      </c>
      <c r="CT81" s="17" t="s">
        <v>22</v>
      </c>
      <c r="CU81" s="18" t="s">
        <v>23</v>
      </c>
      <c r="CV81" s="21" t="s">
        <v>24</v>
      </c>
      <c r="CX81" s="12"/>
      <c r="CY81" s="13" t="s">
        <v>18</v>
      </c>
      <c r="CZ81" s="14" t="s">
        <v>19</v>
      </c>
      <c r="DA81" s="15" t="s">
        <v>19</v>
      </c>
      <c r="DB81" s="20" t="s">
        <v>25</v>
      </c>
      <c r="DC81" s="6"/>
      <c r="DD81" s="16" t="s">
        <v>21</v>
      </c>
      <c r="DE81" s="17" t="s">
        <v>22</v>
      </c>
      <c r="DF81" s="18" t="s">
        <v>23</v>
      </c>
      <c r="DG81" s="21" t="s">
        <v>24</v>
      </c>
      <c r="DI81" s="12"/>
      <c r="DJ81" s="13" t="s">
        <v>18</v>
      </c>
      <c r="DK81" s="14" t="s">
        <v>19</v>
      </c>
      <c r="DL81" s="15" t="s">
        <v>19</v>
      </c>
      <c r="DM81" s="20" t="s">
        <v>25</v>
      </c>
      <c r="DN81" s="6"/>
      <c r="DO81" s="16" t="s">
        <v>21</v>
      </c>
      <c r="DP81" s="17" t="s">
        <v>22</v>
      </c>
      <c r="DQ81" s="18" t="s">
        <v>23</v>
      </c>
      <c r="DR81" s="21" t="s">
        <v>24</v>
      </c>
      <c r="DT81" s="12"/>
      <c r="DU81" s="13" t="s">
        <v>18</v>
      </c>
      <c r="DV81" s="14" t="s">
        <v>19</v>
      </c>
      <c r="DW81" s="15" t="s">
        <v>19</v>
      </c>
      <c r="DX81" s="20" t="s">
        <v>25</v>
      </c>
      <c r="DY81" s="6"/>
      <c r="DZ81" s="16" t="s">
        <v>21</v>
      </c>
      <c r="EA81" s="17" t="s">
        <v>22</v>
      </c>
      <c r="EB81" s="18" t="s">
        <v>23</v>
      </c>
      <c r="EC81" s="21" t="s">
        <v>24</v>
      </c>
      <c r="EE81" s="12"/>
      <c r="EF81" s="13" t="s">
        <v>18</v>
      </c>
      <c r="EG81" s="14" t="s">
        <v>19</v>
      </c>
      <c r="EH81" s="15" t="s">
        <v>19</v>
      </c>
      <c r="EI81" s="20" t="s">
        <v>25</v>
      </c>
      <c r="EJ81" s="6"/>
      <c r="EK81" s="16" t="s">
        <v>21</v>
      </c>
      <c r="EL81" s="17" t="s">
        <v>22</v>
      </c>
      <c r="EM81" s="18" t="s">
        <v>23</v>
      </c>
      <c r="EN81" s="21" t="s">
        <v>24</v>
      </c>
      <c r="EP81" s="12"/>
      <c r="EQ81" s="13" t="s">
        <v>18</v>
      </c>
      <c r="ER81" s="14" t="s">
        <v>19</v>
      </c>
      <c r="ES81" s="15" t="s">
        <v>19</v>
      </c>
      <c r="ET81" s="20" t="s">
        <v>25</v>
      </c>
      <c r="EV81" s="16" t="s">
        <v>21</v>
      </c>
      <c r="EW81" s="17" t="s">
        <v>22</v>
      </c>
      <c r="EX81" s="18" t="s">
        <v>23</v>
      </c>
      <c r="EY81" s="21" t="s">
        <v>24</v>
      </c>
    </row>
    <row r="82" spans="2:155" hidden="1" x14ac:dyDescent="0.25">
      <c r="B82" s="22">
        <v>45962</v>
      </c>
      <c r="C82" s="23">
        <v>14663.51</v>
      </c>
      <c r="D82" s="24">
        <v>2659.86</v>
      </c>
      <c r="E82" s="25">
        <v>1865.61</v>
      </c>
      <c r="F82" s="26">
        <v>206.97</v>
      </c>
      <c r="G82" s="101"/>
      <c r="H82" s="27"/>
      <c r="I82" s="28"/>
      <c r="J82" s="29"/>
      <c r="K82" s="29"/>
      <c r="L82" s="30">
        <f>SUM(G82:K82)</f>
        <v>0</v>
      </c>
      <c r="N82" s="22">
        <v>45962</v>
      </c>
      <c r="O82" s="31">
        <v>1321</v>
      </c>
      <c r="P82" s="31">
        <v>367.91</v>
      </c>
      <c r="Q82" s="36"/>
      <c r="R82" s="26"/>
      <c r="S82" s="27"/>
      <c r="T82" s="28"/>
      <c r="U82" s="29"/>
      <c r="V82" s="29"/>
      <c r="W82" s="30">
        <f>SUM(R82:V82)</f>
        <v>0</v>
      </c>
      <c r="Y82" s="22">
        <v>45962</v>
      </c>
      <c r="Z82" s="34">
        <v>4193.04</v>
      </c>
      <c r="AA82" s="35">
        <v>1660.6</v>
      </c>
      <c r="AB82" s="43"/>
      <c r="AC82" s="37">
        <v>65.790000000000006</v>
      </c>
      <c r="AD82" s="27"/>
      <c r="AE82" s="28"/>
      <c r="AF82" s="29"/>
      <c r="AG82" s="29"/>
      <c r="AH82" s="30">
        <f>SUM(AC82:AG82)</f>
        <v>65.790000000000006</v>
      </c>
      <c r="AJ82" s="22">
        <v>45962</v>
      </c>
      <c r="AK82" s="34">
        <v>2360.23</v>
      </c>
      <c r="AL82" s="35">
        <v>686.1</v>
      </c>
      <c r="AM82" s="36"/>
      <c r="AN82" s="36"/>
      <c r="AO82" s="27"/>
      <c r="AP82" s="28"/>
      <c r="AQ82" s="29"/>
      <c r="AR82" s="29"/>
      <c r="AS82" s="30">
        <f>SUM(AN82:AR82)</f>
        <v>0</v>
      </c>
      <c r="AU82" s="22">
        <v>45962</v>
      </c>
      <c r="AV82" s="39">
        <v>506.53</v>
      </c>
      <c r="AW82" s="39">
        <v>42.05</v>
      </c>
      <c r="AX82" s="36"/>
      <c r="AY82" s="37"/>
      <c r="AZ82" s="27"/>
      <c r="BA82" s="28"/>
      <c r="BB82" s="29"/>
      <c r="BC82" s="29"/>
      <c r="BD82" s="30">
        <f>SUM(AY82:BC82)</f>
        <v>0</v>
      </c>
      <c r="BF82" s="22">
        <v>45962</v>
      </c>
      <c r="BG82" s="34">
        <v>4294.42</v>
      </c>
      <c r="BH82" s="35">
        <v>805.16</v>
      </c>
      <c r="BI82" s="36"/>
      <c r="BJ82" s="37"/>
      <c r="BK82" s="27"/>
      <c r="BL82" s="28"/>
      <c r="BM82" s="29"/>
      <c r="BN82" s="29"/>
      <c r="BO82" s="30">
        <f>SUM(BJ82:BN82)</f>
        <v>0</v>
      </c>
      <c r="BQ82" s="22">
        <v>45962</v>
      </c>
      <c r="BR82" s="35">
        <v>465</v>
      </c>
      <c r="BS82" s="35">
        <v>304.47000000000003</v>
      </c>
      <c r="BT82" s="36"/>
      <c r="BU82" s="40"/>
      <c r="BV82" s="27"/>
      <c r="BW82" s="28"/>
      <c r="BX82" s="29"/>
      <c r="BY82" s="29"/>
      <c r="BZ82" s="30">
        <f>SUM(BU82:BY82)</f>
        <v>0</v>
      </c>
      <c r="CB82" s="22">
        <v>45962</v>
      </c>
      <c r="CC82" s="34">
        <v>19492.68</v>
      </c>
      <c r="CD82" s="35">
        <v>2254.17</v>
      </c>
      <c r="CE82" s="36"/>
      <c r="CF82" s="36"/>
      <c r="CG82" s="27"/>
      <c r="CH82" s="28"/>
      <c r="CI82" s="29"/>
      <c r="CJ82" s="29"/>
      <c r="CK82" s="30">
        <f>SUM(CF82:CJ82)</f>
        <v>0</v>
      </c>
      <c r="CM82" s="22">
        <v>45962</v>
      </c>
      <c r="CN82" s="34">
        <v>8411.91</v>
      </c>
      <c r="CO82" s="35">
        <v>1782.69</v>
      </c>
      <c r="CP82" s="36"/>
      <c r="CQ82" s="41"/>
      <c r="CR82" s="27"/>
      <c r="CS82" s="28"/>
      <c r="CT82" s="29"/>
      <c r="CU82" s="29"/>
      <c r="CV82" s="30">
        <f>SUM(CQ82:CU82)</f>
        <v>0</v>
      </c>
      <c r="CX82" s="22">
        <v>45962</v>
      </c>
      <c r="CY82" s="34">
        <v>4001.21</v>
      </c>
      <c r="CZ82" s="35">
        <v>962.99</v>
      </c>
      <c r="DA82" s="36"/>
      <c r="DB82" s="37"/>
      <c r="DC82" s="27"/>
      <c r="DD82" s="28"/>
      <c r="DE82" s="29"/>
      <c r="DF82" s="29"/>
      <c r="DG82" s="30">
        <f>SUM(DB82:DF82)</f>
        <v>0</v>
      </c>
      <c r="DI82" s="22">
        <v>45962</v>
      </c>
      <c r="DJ82" s="34">
        <v>1783.54</v>
      </c>
      <c r="DK82" s="43"/>
      <c r="DL82" s="36"/>
      <c r="DM82" s="41"/>
      <c r="DN82" s="27"/>
      <c r="DO82" s="28"/>
      <c r="DP82" s="29"/>
      <c r="DQ82" s="29"/>
      <c r="DR82" s="30">
        <f>SUM(DM82:DQ82)</f>
        <v>0</v>
      </c>
      <c r="DT82" s="22">
        <v>45962</v>
      </c>
      <c r="DU82" s="34">
        <v>2580.3200000000002</v>
      </c>
      <c r="DV82" s="35">
        <v>326.70999999999998</v>
      </c>
      <c r="DW82" s="36"/>
      <c r="DX82" s="41"/>
      <c r="DY82" s="27"/>
      <c r="DZ82" s="28"/>
      <c r="EA82" s="29"/>
      <c r="EB82" s="29"/>
      <c r="EC82" s="30">
        <f>SUM(DX82:EB82)</f>
        <v>0</v>
      </c>
      <c r="EE82" s="22">
        <v>45962</v>
      </c>
      <c r="EF82" s="34">
        <v>2556.42</v>
      </c>
      <c r="EG82" s="35">
        <v>786.99</v>
      </c>
      <c r="EH82" s="36"/>
      <c r="EI82" s="37">
        <v>107.54</v>
      </c>
      <c r="EJ82" s="27"/>
      <c r="EK82" s="28"/>
      <c r="EL82" s="29"/>
      <c r="EM82" s="29"/>
      <c r="EN82" s="30">
        <f>SUM(EI82:EM82)</f>
        <v>107.54</v>
      </c>
      <c r="EP82" s="22">
        <v>45962</v>
      </c>
      <c r="EQ82" s="45">
        <v>663.14</v>
      </c>
      <c r="ER82" s="46">
        <v>568.14</v>
      </c>
      <c r="ES82" s="36"/>
      <c r="ET82" s="41"/>
      <c r="EV82" s="28"/>
      <c r="EW82" s="29"/>
      <c r="EX82" s="29"/>
      <c r="EY82" s="30">
        <f>SUM(ET82:EX82)</f>
        <v>0</v>
      </c>
    </row>
    <row r="83" spans="2:155" hidden="1" x14ac:dyDescent="0.25">
      <c r="B83" s="47">
        <v>45963</v>
      </c>
      <c r="C83" s="48">
        <v>15118.33</v>
      </c>
      <c r="D83" s="49">
        <v>2580.79</v>
      </c>
      <c r="E83" s="50">
        <v>1570.66</v>
      </c>
      <c r="F83" s="49">
        <v>253.63</v>
      </c>
      <c r="G83" s="50"/>
      <c r="H83" s="27"/>
      <c r="I83" s="51"/>
      <c r="J83" s="52"/>
      <c r="K83" s="52"/>
      <c r="L83" s="53">
        <f t="shared" ref="L83:L111" si="57">SUM(G83:K83)</f>
        <v>0</v>
      </c>
      <c r="N83" s="47">
        <v>45963</v>
      </c>
      <c r="O83" s="54">
        <v>2209.69</v>
      </c>
      <c r="P83" s="54">
        <v>318.51</v>
      </c>
      <c r="Q83" s="58"/>
      <c r="R83" s="55"/>
      <c r="S83" s="27"/>
      <c r="T83" s="51"/>
      <c r="U83" s="52"/>
      <c r="V83" s="52"/>
      <c r="W83" s="53">
        <f t="shared" ref="W83:W111" si="58">SUM(R83:V83)</f>
        <v>0</v>
      </c>
      <c r="Y83" s="47">
        <v>45963</v>
      </c>
      <c r="Z83" s="56">
        <v>3730.89</v>
      </c>
      <c r="AA83" s="57">
        <v>1519.38</v>
      </c>
      <c r="AB83" s="63"/>
      <c r="AC83" s="59">
        <v>113.61</v>
      </c>
      <c r="AD83" s="27"/>
      <c r="AE83" s="51"/>
      <c r="AF83" s="52"/>
      <c r="AG83" s="52"/>
      <c r="AH83" s="53">
        <f t="shared" ref="AH83:AH111" si="59">SUM(AC83:AG83)</f>
        <v>113.61</v>
      </c>
      <c r="AJ83" s="47">
        <v>45963</v>
      </c>
      <c r="AK83" s="56">
        <v>2371.46</v>
      </c>
      <c r="AL83" s="57">
        <v>381.49</v>
      </c>
      <c r="AM83" s="58"/>
      <c r="AN83" s="58"/>
      <c r="AO83" s="27"/>
      <c r="AP83" s="51"/>
      <c r="AQ83" s="52"/>
      <c r="AR83" s="52"/>
      <c r="AS83" s="53">
        <f t="shared" ref="AS83:AS111" si="60">SUM(AN83:AR83)</f>
        <v>0</v>
      </c>
      <c r="AU83" s="47">
        <v>45963</v>
      </c>
      <c r="AV83" s="57">
        <v>431.53</v>
      </c>
      <c r="AW83" s="57">
        <v>81.99</v>
      </c>
      <c r="AX83" s="58"/>
      <c r="AY83" s="59"/>
      <c r="AZ83" s="27"/>
      <c r="BA83" s="51"/>
      <c r="BB83" s="52"/>
      <c r="BC83" s="52"/>
      <c r="BD83" s="53">
        <f t="shared" ref="BD83:BD111" si="61">SUM(AY83:BC83)</f>
        <v>0</v>
      </c>
      <c r="BF83" s="47">
        <v>45963</v>
      </c>
      <c r="BG83" s="56">
        <v>3004.3</v>
      </c>
      <c r="BH83" s="57">
        <v>473.78</v>
      </c>
      <c r="BI83" s="58"/>
      <c r="BJ83" s="59"/>
      <c r="BK83" s="27"/>
      <c r="BL83" s="51"/>
      <c r="BM83" s="52"/>
      <c r="BN83" s="52"/>
      <c r="BO83" s="53">
        <f t="shared" ref="BO83:BO111" si="62">SUM(BJ83:BN83)</f>
        <v>0</v>
      </c>
      <c r="BQ83" s="47">
        <v>45963</v>
      </c>
      <c r="BR83" s="57">
        <v>235.03</v>
      </c>
      <c r="BS83" s="57">
        <v>420.81</v>
      </c>
      <c r="BT83" s="58"/>
      <c r="BU83" s="61"/>
      <c r="BV83" s="27"/>
      <c r="BW83" s="51"/>
      <c r="BX83" s="52"/>
      <c r="BY83" s="52"/>
      <c r="BZ83" s="53">
        <f t="shared" ref="BZ83:BZ111" si="63">SUM(BU83:BY83)</f>
        <v>0</v>
      </c>
      <c r="CB83" s="47">
        <v>45963</v>
      </c>
      <c r="CC83" s="56">
        <v>20709.48</v>
      </c>
      <c r="CD83" s="57">
        <v>2046.65</v>
      </c>
      <c r="CE83" s="58"/>
      <c r="CF83" s="58"/>
      <c r="CG83" s="27"/>
      <c r="CH83" s="51"/>
      <c r="CI83" s="52"/>
      <c r="CJ83" s="52"/>
      <c r="CK83" s="53">
        <f t="shared" ref="CK83:CK111" si="64">SUM(CF83:CJ83)</f>
        <v>0</v>
      </c>
      <c r="CM83" s="47">
        <v>45963</v>
      </c>
      <c r="CN83" s="56">
        <v>6588.25</v>
      </c>
      <c r="CO83" s="57">
        <v>1192.9100000000001</v>
      </c>
      <c r="CP83" s="58"/>
      <c r="CQ83" s="62"/>
      <c r="CR83" s="27"/>
      <c r="CS83" s="51"/>
      <c r="CT83" s="52"/>
      <c r="CU83" s="52"/>
      <c r="CV83" s="53">
        <f t="shared" ref="CV83:CV111" si="65">SUM(CQ83:CU83)</f>
        <v>0</v>
      </c>
      <c r="CX83" s="47">
        <v>45963</v>
      </c>
      <c r="CY83" s="56">
        <v>2882.8</v>
      </c>
      <c r="CZ83" s="57">
        <v>1267.32</v>
      </c>
      <c r="DA83" s="58"/>
      <c r="DB83" s="59">
        <v>10.16</v>
      </c>
      <c r="DC83" s="27"/>
      <c r="DD83" s="51"/>
      <c r="DE83" s="52"/>
      <c r="DF83" s="52"/>
      <c r="DG83" s="53">
        <f t="shared" ref="DG83:DG111" si="66">SUM(DB83:DF83)</f>
        <v>10.16</v>
      </c>
      <c r="DI83" s="47">
        <v>45963</v>
      </c>
      <c r="DJ83" s="56">
        <v>1963.18</v>
      </c>
      <c r="DK83" s="63"/>
      <c r="DL83" s="58"/>
      <c r="DM83" s="62"/>
      <c r="DN83" s="27"/>
      <c r="DO83" s="51"/>
      <c r="DP83" s="52"/>
      <c r="DQ83" s="52"/>
      <c r="DR83" s="53">
        <f t="shared" ref="DR83:DR111" si="67">SUM(DM83:DQ83)</f>
        <v>0</v>
      </c>
      <c r="DT83" s="47">
        <v>45963</v>
      </c>
      <c r="DU83" s="56">
        <v>1496.34</v>
      </c>
      <c r="DV83" s="57">
        <v>325.01</v>
      </c>
      <c r="DW83" s="58"/>
      <c r="DX83" s="62"/>
      <c r="DY83" s="27"/>
      <c r="DZ83" s="51"/>
      <c r="EA83" s="52"/>
      <c r="EB83" s="52"/>
      <c r="EC83" s="53">
        <f t="shared" ref="EC83:EC111" si="68">SUM(DX83:EB83)</f>
        <v>0</v>
      </c>
      <c r="EE83" s="47">
        <v>45963</v>
      </c>
      <c r="EF83" s="56">
        <v>4736.8500000000004</v>
      </c>
      <c r="EG83" s="57">
        <v>1262.8</v>
      </c>
      <c r="EH83" s="58"/>
      <c r="EI83" s="59">
        <v>83.71</v>
      </c>
      <c r="EJ83" s="27"/>
      <c r="EK83" s="51"/>
      <c r="EL83" s="52"/>
      <c r="EM83" s="52"/>
      <c r="EN83" s="53">
        <f t="shared" ref="EN83:EN111" si="69">SUM(EI83:EM83)</f>
        <v>83.71</v>
      </c>
      <c r="EP83" s="47">
        <v>45963</v>
      </c>
      <c r="EQ83" s="64">
        <v>401.71</v>
      </c>
      <c r="ER83" s="65">
        <v>602.98</v>
      </c>
      <c r="ES83" s="58"/>
      <c r="ET83" s="62"/>
      <c r="EV83" s="51"/>
      <c r="EW83" s="52"/>
      <c r="EX83" s="52"/>
      <c r="EY83" s="53">
        <f>SUM(ET83:EX83)</f>
        <v>0</v>
      </c>
    </row>
    <row r="84" spans="2:155" hidden="1" x14ac:dyDescent="0.25">
      <c r="B84" s="47">
        <v>45964</v>
      </c>
      <c r="C84" s="48">
        <v>19428.5</v>
      </c>
      <c r="D84" s="49">
        <v>3365.97</v>
      </c>
      <c r="E84" s="50">
        <v>4315.21</v>
      </c>
      <c r="F84" s="55">
        <v>372.43</v>
      </c>
      <c r="G84" s="102"/>
      <c r="H84" s="27"/>
      <c r="I84" s="51"/>
      <c r="J84" s="52"/>
      <c r="K84" s="52"/>
      <c r="L84" s="53">
        <f t="shared" si="57"/>
        <v>0</v>
      </c>
      <c r="N84" s="47">
        <v>45964</v>
      </c>
      <c r="O84" s="54">
        <v>2397.9499999999998</v>
      </c>
      <c r="P84" s="54">
        <v>548.88</v>
      </c>
      <c r="Q84" s="58"/>
      <c r="R84" s="55">
        <v>1.4</v>
      </c>
      <c r="S84" s="27"/>
      <c r="T84" s="51"/>
      <c r="U84" s="52"/>
      <c r="V84" s="52"/>
      <c r="W84" s="53">
        <f t="shared" si="58"/>
        <v>1.4</v>
      </c>
      <c r="Y84" s="47">
        <v>45964</v>
      </c>
      <c r="Z84" s="56">
        <v>4816.13</v>
      </c>
      <c r="AA84" s="57">
        <v>1232.24</v>
      </c>
      <c r="AB84" s="63"/>
      <c r="AC84" s="59">
        <v>171.4</v>
      </c>
      <c r="AD84" s="27"/>
      <c r="AE84" s="51"/>
      <c r="AF84" s="52"/>
      <c r="AG84" s="52"/>
      <c r="AH84" s="53">
        <f t="shared" si="59"/>
        <v>171.4</v>
      </c>
      <c r="AJ84" s="47">
        <v>45964</v>
      </c>
      <c r="AK84" s="56">
        <v>3367.12</v>
      </c>
      <c r="AL84" s="57">
        <v>404.24</v>
      </c>
      <c r="AM84" s="58"/>
      <c r="AN84" s="58"/>
      <c r="AO84" s="27"/>
      <c r="AP84" s="51"/>
      <c r="AQ84" s="52"/>
      <c r="AR84" s="52"/>
      <c r="AS84" s="53">
        <f t="shared" si="60"/>
        <v>0</v>
      </c>
      <c r="AU84" s="47">
        <v>45964</v>
      </c>
      <c r="AV84" s="57">
        <v>900.01</v>
      </c>
      <c r="AW84" s="57">
        <v>91.01</v>
      </c>
      <c r="AX84" s="58"/>
      <c r="AY84" s="59">
        <v>117</v>
      </c>
      <c r="AZ84" s="27"/>
      <c r="BA84" s="51"/>
      <c r="BB84" s="52"/>
      <c r="BC84" s="52"/>
      <c r="BD84" s="53">
        <f t="shared" si="61"/>
        <v>117</v>
      </c>
      <c r="BF84" s="47">
        <v>45964</v>
      </c>
      <c r="BG84" s="56">
        <v>3397.01</v>
      </c>
      <c r="BH84" s="57">
        <v>636.51</v>
      </c>
      <c r="BI84" s="58"/>
      <c r="BJ84" s="59"/>
      <c r="BK84" s="27"/>
      <c r="BL84" s="51"/>
      <c r="BM84" s="52"/>
      <c r="BN84" s="52"/>
      <c r="BO84" s="53">
        <f t="shared" si="62"/>
        <v>0</v>
      </c>
      <c r="BQ84" s="47">
        <v>45964</v>
      </c>
      <c r="BR84" s="57">
        <v>401.3</v>
      </c>
      <c r="BS84" s="57">
        <v>191.85</v>
      </c>
      <c r="BT84" s="58"/>
      <c r="BU84" s="61"/>
      <c r="BV84" s="27"/>
      <c r="BW84" s="51"/>
      <c r="BX84" s="52"/>
      <c r="BY84" s="52"/>
      <c r="BZ84" s="53">
        <f t="shared" si="63"/>
        <v>0</v>
      </c>
      <c r="CB84" s="47">
        <v>45964</v>
      </c>
      <c r="CC84" s="56">
        <v>20186.87</v>
      </c>
      <c r="CD84" s="57">
        <v>2049.9</v>
      </c>
      <c r="CE84" s="58"/>
      <c r="CF84" s="58"/>
      <c r="CG84" s="27"/>
      <c r="CH84" s="51"/>
      <c r="CI84" s="52"/>
      <c r="CJ84" s="52"/>
      <c r="CK84" s="53">
        <f t="shared" si="64"/>
        <v>0</v>
      </c>
      <c r="CM84" s="47">
        <v>45964</v>
      </c>
      <c r="CN84" s="56">
        <v>9846.39</v>
      </c>
      <c r="CO84" s="57">
        <v>1280.76</v>
      </c>
      <c r="CP84" s="58"/>
      <c r="CQ84" s="62"/>
      <c r="CR84" s="27"/>
      <c r="CS84" s="51"/>
      <c r="CT84" s="52"/>
      <c r="CU84" s="52"/>
      <c r="CV84" s="53">
        <f t="shared" si="65"/>
        <v>0</v>
      </c>
      <c r="CX84" s="47">
        <v>45964</v>
      </c>
      <c r="CY84" s="56">
        <v>6582.44</v>
      </c>
      <c r="CZ84" s="57">
        <v>1637.35</v>
      </c>
      <c r="DA84" s="58"/>
      <c r="DB84" s="59"/>
      <c r="DC84" s="27"/>
      <c r="DD84" s="51"/>
      <c r="DE84" s="52"/>
      <c r="DF84" s="52"/>
      <c r="DG84" s="53">
        <f t="shared" si="66"/>
        <v>0</v>
      </c>
      <c r="DI84" s="47">
        <v>45964</v>
      </c>
      <c r="DJ84" s="56">
        <v>1652.96</v>
      </c>
      <c r="DK84" s="63"/>
      <c r="DL84" s="58"/>
      <c r="DM84" s="62"/>
      <c r="DN84" s="27"/>
      <c r="DO84" s="51"/>
      <c r="DP84" s="52"/>
      <c r="DQ84" s="52"/>
      <c r="DR84" s="53">
        <f t="shared" si="67"/>
        <v>0</v>
      </c>
      <c r="DT84" s="47">
        <v>45964</v>
      </c>
      <c r="DU84" s="56">
        <v>1374.99</v>
      </c>
      <c r="DV84" s="57">
        <v>325.83999999999997</v>
      </c>
      <c r="DW84" s="58"/>
      <c r="DX84" s="62"/>
      <c r="DY84" s="27"/>
      <c r="DZ84" s="51"/>
      <c r="EA84" s="52"/>
      <c r="EB84" s="52"/>
      <c r="EC84" s="53">
        <f t="shared" si="68"/>
        <v>0</v>
      </c>
      <c r="EE84" s="47">
        <v>45964</v>
      </c>
      <c r="EF84" s="56">
        <v>5945.4</v>
      </c>
      <c r="EG84" s="57">
        <v>2115.12</v>
      </c>
      <c r="EH84" s="58"/>
      <c r="EI84" s="59">
        <v>199.34</v>
      </c>
      <c r="EJ84" s="27"/>
      <c r="EK84" s="51"/>
      <c r="EL84" s="52"/>
      <c r="EM84" s="52"/>
      <c r="EN84" s="53">
        <f t="shared" si="69"/>
        <v>199.34</v>
      </c>
      <c r="EP84" s="47">
        <v>45964</v>
      </c>
      <c r="EQ84" s="64">
        <v>1370.59</v>
      </c>
      <c r="ER84" s="56">
        <v>590.21</v>
      </c>
      <c r="ES84" s="58"/>
      <c r="ET84" s="62"/>
      <c r="EV84" s="51"/>
      <c r="EW84" s="52"/>
      <c r="EX84" s="52"/>
      <c r="EY84" s="53">
        <f t="shared" ref="EY84:EY111" si="70">SUM(ET84:EX84)</f>
        <v>0</v>
      </c>
    </row>
    <row r="85" spans="2:155" hidden="1" x14ac:dyDescent="0.25">
      <c r="B85" s="47">
        <v>45965</v>
      </c>
      <c r="C85" s="48">
        <v>16127.28</v>
      </c>
      <c r="D85" s="49">
        <v>2412.71</v>
      </c>
      <c r="E85" s="50">
        <v>2592.96</v>
      </c>
      <c r="F85" s="55">
        <v>332.07</v>
      </c>
      <c r="G85" s="102"/>
      <c r="H85" s="27"/>
      <c r="I85" s="51"/>
      <c r="J85" s="52"/>
      <c r="K85" s="52"/>
      <c r="L85" s="53">
        <f t="shared" si="57"/>
        <v>0</v>
      </c>
      <c r="N85" s="47">
        <v>45965</v>
      </c>
      <c r="O85" s="54">
        <v>2911.1</v>
      </c>
      <c r="P85" s="54">
        <v>252.79</v>
      </c>
      <c r="Q85" s="58"/>
      <c r="R85" s="55"/>
      <c r="S85" s="27"/>
      <c r="T85" s="51"/>
      <c r="U85" s="52"/>
      <c r="V85" s="52"/>
      <c r="W85" s="53">
        <f t="shared" si="58"/>
        <v>0</v>
      </c>
      <c r="Y85" s="47">
        <v>45965</v>
      </c>
      <c r="Z85" s="56">
        <v>5821.52</v>
      </c>
      <c r="AA85" s="57">
        <v>1299.5</v>
      </c>
      <c r="AB85" s="63"/>
      <c r="AC85" s="59">
        <v>155.09</v>
      </c>
      <c r="AD85" s="27"/>
      <c r="AE85" s="51"/>
      <c r="AF85" s="52"/>
      <c r="AG85" s="52"/>
      <c r="AH85" s="53">
        <f t="shared" si="59"/>
        <v>155.09</v>
      </c>
      <c r="AJ85" s="47">
        <v>45965</v>
      </c>
      <c r="AK85" s="56">
        <v>2638.31</v>
      </c>
      <c r="AL85" s="57">
        <v>605.33000000000004</v>
      </c>
      <c r="AM85" s="58"/>
      <c r="AN85" s="58"/>
      <c r="AO85" s="27"/>
      <c r="AP85" s="51"/>
      <c r="AQ85" s="52"/>
      <c r="AR85" s="52"/>
      <c r="AS85" s="53">
        <f t="shared" si="60"/>
        <v>0</v>
      </c>
      <c r="AU85" s="47">
        <v>45965</v>
      </c>
      <c r="AV85" s="57">
        <v>606.32000000000005</v>
      </c>
      <c r="AW85" s="57">
        <v>20</v>
      </c>
      <c r="AX85" s="58"/>
      <c r="AY85" s="59"/>
      <c r="AZ85" s="27"/>
      <c r="BA85" s="51"/>
      <c r="BB85" s="52"/>
      <c r="BC85" s="52"/>
      <c r="BD85" s="53">
        <f t="shared" si="61"/>
        <v>0</v>
      </c>
      <c r="BF85" s="47">
        <v>45965</v>
      </c>
      <c r="BG85" s="56">
        <v>4037.03</v>
      </c>
      <c r="BH85" s="57">
        <v>541.65</v>
      </c>
      <c r="BI85" s="58"/>
      <c r="BJ85" s="59"/>
      <c r="BK85" s="27"/>
      <c r="BL85" s="51"/>
      <c r="BM85" s="52"/>
      <c r="BN85" s="52"/>
      <c r="BO85" s="53">
        <f t="shared" si="62"/>
        <v>0</v>
      </c>
      <c r="BQ85" s="47">
        <v>45965</v>
      </c>
      <c r="BR85" s="57">
        <v>346.11</v>
      </c>
      <c r="BS85" s="57">
        <v>602.12</v>
      </c>
      <c r="BT85" s="58"/>
      <c r="BU85" s="61"/>
      <c r="BV85" s="27"/>
      <c r="BW85" s="51"/>
      <c r="BX85" s="52"/>
      <c r="BY85" s="52"/>
      <c r="BZ85" s="53">
        <f t="shared" si="63"/>
        <v>0</v>
      </c>
      <c r="CB85" s="47">
        <v>45965</v>
      </c>
      <c r="CC85" s="56">
        <v>15146.41</v>
      </c>
      <c r="CD85" s="57">
        <v>1037.68</v>
      </c>
      <c r="CE85" s="58"/>
      <c r="CF85" s="58"/>
      <c r="CG85" s="27"/>
      <c r="CH85" s="51"/>
      <c r="CI85" s="52"/>
      <c r="CJ85" s="52"/>
      <c r="CK85" s="53">
        <f t="shared" si="64"/>
        <v>0</v>
      </c>
      <c r="CM85" s="47">
        <v>45965</v>
      </c>
      <c r="CN85" s="56">
        <v>8563.7199999999993</v>
      </c>
      <c r="CO85" s="57">
        <v>1563.65</v>
      </c>
      <c r="CP85" s="58"/>
      <c r="CQ85" s="62"/>
      <c r="CR85" s="27"/>
      <c r="CS85" s="51"/>
      <c r="CT85" s="52"/>
      <c r="CU85" s="52"/>
      <c r="CV85" s="53">
        <f t="shared" si="65"/>
        <v>0</v>
      </c>
      <c r="CX85" s="47">
        <v>45965</v>
      </c>
      <c r="CY85" s="56">
        <v>4127.68</v>
      </c>
      <c r="CZ85" s="57">
        <v>923.55</v>
      </c>
      <c r="DA85" s="58"/>
      <c r="DB85" s="59"/>
      <c r="DC85" s="27"/>
      <c r="DD85" s="51"/>
      <c r="DE85" s="52"/>
      <c r="DF85" s="52"/>
      <c r="DG85" s="53">
        <f t="shared" si="66"/>
        <v>0</v>
      </c>
      <c r="DI85" s="47">
        <v>45965</v>
      </c>
      <c r="DJ85" s="56">
        <v>1973.39</v>
      </c>
      <c r="DK85" s="63"/>
      <c r="DL85" s="58"/>
      <c r="DM85" s="62"/>
      <c r="DN85" s="27"/>
      <c r="DO85" s="51"/>
      <c r="DP85" s="52"/>
      <c r="DQ85" s="52"/>
      <c r="DR85" s="53">
        <f t="shared" si="67"/>
        <v>0</v>
      </c>
      <c r="DT85" s="47">
        <v>45965</v>
      </c>
      <c r="DU85" s="56">
        <v>873.5</v>
      </c>
      <c r="DV85" s="57">
        <v>176.19</v>
      </c>
      <c r="DW85" s="58"/>
      <c r="DX85" s="62"/>
      <c r="DY85" s="27"/>
      <c r="DZ85" s="51"/>
      <c r="EA85" s="52"/>
      <c r="EB85" s="52"/>
      <c r="EC85" s="53">
        <f t="shared" si="68"/>
        <v>0</v>
      </c>
      <c r="EE85" s="47">
        <v>45965</v>
      </c>
      <c r="EF85" s="56">
        <v>7476.97</v>
      </c>
      <c r="EG85" s="57">
        <v>1248.5999999999999</v>
      </c>
      <c r="EH85" s="58"/>
      <c r="EI85" s="59">
        <v>132.88</v>
      </c>
      <c r="EJ85" s="27"/>
      <c r="EK85" s="51"/>
      <c r="EL85" s="52"/>
      <c r="EM85" s="52"/>
      <c r="EN85" s="53">
        <f t="shared" si="69"/>
        <v>132.88</v>
      </c>
      <c r="EP85" s="47">
        <v>45965</v>
      </c>
      <c r="EQ85" s="64">
        <v>1301.44</v>
      </c>
      <c r="ER85" s="56">
        <v>323.95</v>
      </c>
      <c r="ES85" s="58"/>
      <c r="ET85" s="62"/>
      <c r="EV85" s="51"/>
      <c r="EW85" s="52"/>
      <c r="EX85" s="52"/>
      <c r="EY85" s="53">
        <f t="shared" si="70"/>
        <v>0</v>
      </c>
    </row>
    <row r="86" spans="2:155" hidden="1" x14ac:dyDescent="0.25">
      <c r="B86" s="47">
        <v>45966</v>
      </c>
      <c r="C86" s="48">
        <v>17778.39</v>
      </c>
      <c r="D86" s="49">
        <v>3215</v>
      </c>
      <c r="E86" s="50">
        <v>5012.6099999999997</v>
      </c>
      <c r="F86" s="66">
        <v>491.86</v>
      </c>
      <c r="G86" s="50"/>
      <c r="H86" s="27"/>
      <c r="I86" s="51"/>
      <c r="J86" s="52"/>
      <c r="K86" s="52"/>
      <c r="L86" s="53">
        <f t="shared" si="57"/>
        <v>0</v>
      </c>
      <c r="N86" s="47">
        <v>45966</v>
      </c>
      <c r="O86" s="54">
        <v>2808.51</v>
      </c>
      <c r="P86" s="54">
        <v>522.29999999999995</v>
      </c>
      <c r="Q86" s="58"/>
      <c r="R86" s="55"/>
      <c r="S86" s="27"/>
      <c r="T86" s="51"/>
      <c r="U86" s="52"/>
      <c r="V86" s="52"/>
      <c r="W86" s="53">
        <f t="shared" si="58"/>
        <v>0</v>
      </c>
      <c r="Y86" s="47">
        <v>45966</v>
      </c>
      <c r="Z86" s="56">
        <v>5376.45</v>
      </c>
      <c r="AA86" s="57">
        <v>1586.93</v>
      </c>
      <c r="AB86" s="63"/>
      <c r="AC86" s="59">
        <v>85.82</v>
      </c>
      <c r="AD86" s="27"/>
      <c r="AE86" s="51"/>
      <c r="AF86" s="52"/>
      <c r="AG86" s="52"/>
      <c r="AH86" s="53">
        <f t="shared" si="59"/>
        <v>85.82</v>
      </c>
      <c r="AJ86" s="47">
        <v>45966</v>
      </c>
      <c r="AK86" s="56">
        <v>2523.9</v>
      </c>
      <c r="AL86" s="57">
        <v>442.92</v>
      </c>
      <c r="AM86" s="58"/>
      <c r="AN86" s="58"/>
      <c r="AO86" s="27"/>
      <c r="AP86" s="51"/>
      <c r="AQ86" s="52"/>
      <c r="AR86" s="52"/>
      <c r="AS86" s="53">
        <f t="shared" si="60"/>
        <v>0</v>
      </c>
      <c r="AU86" s="47">
        <v>45966</v>
      </c>
      <c r="AV86" s="57">
        <v>495</v>
      </c>
      <c r="AW86" s="57">
        <v>0</v>
      </c>
      <c r="AX86" s="58"/>
      <c r="AY86" s="59">
        <v>117</v>
      </c>
      <c r="AZ86" s="27"/>
      <c r="BA86" s="51"/>
      <c r="BB86" s="52"/>
      <c r="BC86" s="52"/>
      <c r="BD86" s="53">
        <f t="shared" si="61"/>
        <v>117</v>
      </c>
      <c r="BF86" s="47">
        <v>45966</v>
      </c>
      <c r="BG86" s="56">
        <v>4143.74</v>
      </c>
      <c r="BH86" s="57">
        <v>700.04</v>
      </c>
      <c r="BI86" s="58"/>
      <c r="BJ86" s="59">
        <v>17.350000000000001</v>
      </c>
      <c r="BK86" s="27"/>
      <c r="BL86" s="51"/>
      <c r="BM86" s="52"/>
      <c r="BN86" s="52"/>
      <c r="BO86" s="53">
        <f t="shared" si="62"/>
        <v>17.350000000000001</v>
      </c>
      <c r="BQ86" s="47">
        <v>45966</v>
      </c>
      <c r="BR86" s="57">
        <v>786</v>
      </c>
      <c r="BS86" s="57">
        <v>623.15</v>
      </c>
      <c r="BT86" s="58"/>
      <c r="BU86" s="61">
        <v>24</v>
      </c>
      <c r="BV86" s="27"/>
      <c r="BW86" s="51"/>
      <c r="BX86" s="52"/>
      <c r="BY86" s="52"/>
      <c r="BZ86" s="53">
        <f t="shared" si="63"/>
        <v>24</v>
      </c>
      <c r="CB86" s="47">
        <v>45966</v>
      </c>
      <c r="CC86" s="56">
        <v>19982.27</v>
      </c>
      <c r="CD86" s="57">
        <v>2305.9699999999998</v>
      </c>
      <c r="CE86" s="58"/>
      <c r="CF86" s="58"/>
      <c r="CG86" s="27"/>
      <c r="CH86" s="51"/>
      <c r="CI86" s="52"/>
      <c r="CJ86" s="52"/>
      <c r="CK86" s="53">
        <f t="shared" si="64"/>
        <v>0</v>
      </c>
      <c r="CM86" s="47">
        <v>45966</v>
      </c>
      <c r="CN86" s="56">
        <v>10502.91</v>
      </c>
      <c r="CO86" s="57">
        <v>1860.49</v>
      </c>
      <c r="CP86" s="58"/>
      <c r="CQ86" s="62"/>
      <c r="CR86" s="27"/>
      <c r="CS86" s="51"/>
      <c r="CT86" s="52"/>
      <c r="CU86" s="52"/>
      <c r="CV86" s="53">
        <f t="shared" si="65"/>
        <v>0</v>
      </c>
      <c r="CX86" s="47">
        <v>45966</v>
      </c>
      <c r="CY86" s="56">
        <v>4026.07</v>
      </c>
      <c r="CZ86" s="57">
        <v>801.26</v>
      </c>
      <c r="DA86" s="58"/>
      <c r="DB86" s="59"/>
      <c r="DC86" s="27"/>
      <c r="DD86" s="51"/>
      <c r="DE86" s="52"/>
      <c r="DF86" s="52"/>
      <c r="DG86" s="53">
        <f t="shared" si="66"/>
        <v>0</v>
      </c>
      <c r="DI86" s="47">
        <v>45966</v>
      </c>
      <c r="DJ86" s="56">
        <v>1867.11</v>
      </c>
      <c r="DK86" s="63"/>
      <c r="DL86" s="58"/>
      <c r="DM86" s="62"/>
      <c r="DN86" s="27"/>
      <c r="DO86" s="51"/>
      <c r="DP86" s="52"/>
      <c r="DQ86" s="52"/>
      <c r="DR86" s="53">
        <f t="shared" si="67"/>
        <v>0</v>
      </c>
      <c r="DT86" s="47">
        <v>45966</v>
      </c>
      <c r="DU86" s="56">
        <v>1730.87</v>
      </c>
      <c r="DV86" s="57">
        <v>516.45000000000005</v>
      </c>
      <c r="DW86" s="58"/>
      <c r="DX86" s="62"/>
      <c r="DY86" s="27"/>
      <c r="DZ86" s="51"/>
      <c r="EA86" s="52"/>
      <c r="EB86" s="52"/>
      <c r="EC86" s="53">
        <f t="shared" si="68"/>
        <v>0</v>
      </c>
      <c r="EE86" s="47">
        <v>45966</v>
      </c>
      <c r="EF86" s="56">
        <v>5418.66</v>
      </c>
      <c r="EG86" s="57">
        <v>1023.17</v>
      </c>
      <c r="EH86" s="58"/>
      <c r="EI86" s="59">
        <v>149.79</v>
      </c>
      <c r="EJ86" s="27"/>
      <c r="EK86" s="51"/>
      <c r="EL86" s="52"/>
      <c r="EM86" s="52"/>
      <c r="EN86" s="53">
        <f t="shared" si="69"/>
        <v>149.79</v>
      </c>
      <c r="EP86" s="47">
        <v>45966</v>
      </c>
      <c r="EQ86" s="64">
        <v>601.08000000000004</v>
      </c>
      <c r="ER86" s="56">
        <v>489.37</v>
      </c>
      <c r="ES86" s="58"/>
      <c r="ET86" s="62"/>
      <c r="EV86" s="51"/>
      <c r="EW86" s="52"/>
      <c r="EX86" s="52"/>
      <c r="EY86" s="53">
        <f t="shared" si="70"/>
        <v>0</v>
      </c>
    </row>
    <row r="87" spans="2:155" hidden="1" x14ac:dyDescent="0.25">
      <c r="B87" s="47">
        <v>45967</v>
      </c>
      <c r="C87" s="48">
        <v>19634.64</v>
      </c>
      <c r="D87" s="49">
        <v>3718.39</v>
      </c>
      <c r="E87" s="50">
        <v>4310.29</v>
      </c>
      <c r="F87" s="55">
        <v>633.95000000000005</v>
      </c>
      <c r="G87" s="102"/>
      <c r="H87" s="27"/>
      <c r="I87" s="51"/>
      <c r="J87" s="52"/>
      <c r="K87" s="52"/>
      <c r="L87" s="53">
        <f t="shared" si="57"/>
        <v>0</v>
      </c>
      <c r="N87" s="47">
        <v>45967</v>
      </c>
      <c r="O87" s="54">
        <v>2510.39</v>
      </c>
      <c r="P87" s="54">
        <v>296.97000000000003</v>
      </c>
      <c r="Q87" s="58"/>
      <c r="R87" s="55">
        <v>144</v>
      </c>
      <c r="S87" s="27"/>
      <c r="T87" s="51"/>
      <c r="U87" s="52"/>
      <c r="V87" s="52"/>
      <c r="W87" s="53">
        <f t="shared" si="58"/>
        <v>144</v>
      </c>
      <c r="Y87" s="47">
        <v>45967</v>
      </c>
      <c r="Z87" s="56">
        <v>4941.71</v>
      </c>
      <c r="AA87" s="57">
        <v>1409.63</v>
      </c>
      <c r="AB87" s="63"/>
      <c r="AC87" s="59">
        <v>160.68</v>
      </c>
      <c r="AD87" s="27"/>
      <c r="AE87" s="51"/>
      <c r="AF87" s="52"/>
      <c r="AG87" s="52"/>
      <c r="AH87" s="53">
        <f t="shared" si="59"/>
        <v>160.68</v>
      </c>
      <c r="AJ87" s="47">
        <v>45967</v>
      </c>
      <c r="AK87" s="56">
        <v>2172.52</v>
      </c>
      <c r="AL87" s="57">
        <v>460.99</v>
      </c>
      <c r="AM87" s="58"/>
      <c r="AN87" s="58"/>
      <c r="AO87" s="27"/>
      <c r="AP87" s="51"/>
      <c r="AQ87" s="52"/>
      <c r="AR87" s="52"/>
      <c r="AS87" s="53">
        <f t="shared" si="60"/>
        <v>0</v>
      </c>
      <c r="AU87" s="47">
        <v>45967</v>
      </c>
      <c r="AV87" s="57">
        <v>230.16</v>
      </c>
      <c r="AW87" s="57">
        <v>24</v>
      </c>
      <c r="AX87" s="58"/>
      <c r="AY87" s="59"/>
      <c r="AZ87" s="27"/>
      <c r="BA87" s="51"/>
      <c r="BB87" s="52"/>
      <c r="BC87" s="52"/>
      <c r="BD87" s="53">
        <f t="shared" si="61"/>
        <v>0</v>
      </c>
      <c r="BF87" s="47">
        <v>45967</v>
      </c>
      <c r="BG87" s="56">
        <v>4565.08</v>
      </c>
      <c r="BH87" s="57">
        <v>565.98</v>
      </c>
      <c r="BI87" s="58"/>
      <c r="BJ87" s="59">
        <v>7.36</v>
      </c>
      <c r="BK87" s="27"/>
      <c r="BL87" s="51"/>
      <c r="BM87" s="52"/>
      <c r="BN87" s="52"/>
      <c r="BO87" s="53">
        <f t="shared" si="62"/>
        <v>7.36</v>
      </c>
      <c r="BQ87" s="47">
        <v>45967</v>
      </c>
      <c r="BR87" s="57">
        <v>381.5</v>
      </c>
      <c r="BS87" s="57">
        <v>501.43</v>
      </c>
      <c r="BT87" s="58"/>
      <c r="BU87" s="61"/>
      <c r="BV87" s="27"/>
      <c r="BW87" s="51"/>
      <c r="BX87" s="52"/>
      <c r="BY87" s="52"/>
      <c r="BZ87" s="53">
        <f t="shared" si="63"/>
        <v>0</v>
      </c>
      <c r="CB87" s="47">
        <v>45967</v>
      </c>
      <c r="CC87" s="56">
        <v>17685.23</v>
      </c>
      <c r="CD87" s="57">
        <v>1997.64</v>
      </c>
      <c r="CE87" s="58"/>
      <c r="CF87" s="58"/>
      <c r="CG87" s="27"/>
      <c r="CH87" s="51"/>
      <c r="CI87" s="52"/>
      <c r="CJ87" s="52"/>
      <c r="CK87" s="53">
        <f t="shared" si="64"/>
        <v>0</v>
      </c>
      <c r="CM87" s="47">
        <v>45967</v>
      </c>
      <c r="CN87" s="56">
        <v>9841.18</v>
      </c>
      <c r="CO87" s="57">
        <v>1687.69</v>
      </c>
      <c r="CP87" s="58"/>
      <c r="CQ87" s="62"/>
      <c r="CR87" s="27"/>
      <c r="CS87" s="51"/>
      <c r="CT87" s="52"/>
      <c r="CU87" s="52"/>
      <c r="CV87" s="53">
        <f t="shared" si="65"/>
        <v>0</v>
      </c>
      <c r="CX87" s="47">
        <v>45967</v>
      </c>
      <c r="CY87" s="56">
        <v>4963.88</v>
      </c>
      <c r="CZ87" s="57">
        <v>1094.74</v>
      </c>
      <c r="DA87" s="58"/>
      <c r="DB87" s="59"/>
      <c r="DC87" s="27"/>
      <c r="DD87" s="51"/>
      <c r="DE87" s="52"/>
      <c r="DF87" s="52"/>
      <c r="DG87" s="53">
        <f t="shared" si="66"/>
        <v>0</v>
      </c>
      <c r="DI87" s="47">
        <v>45967</v>
      </c>
      <c r="DJ87" s="56">
        <v>1587.53</v>
      </c>
      <c r="DK87" s="63"/>
      <c r="DL87" s="58"/>
      <c r="DM87" s="62"/>
      <c r="DN87" s="27"/>
      <c r="DO87" s="51"/>
      <c r="DP87" s="52"/>
      <c r="DQ87" s="52"/>
      <c r="DR87" s="53">
        <f t="shared" si="67"/>
        <v>0</v>
      </c>
      <c r="DT87" s="47">
        <v>45967</v>
      </c>
      <c r="DU87" s="56">
        <v>1439.07</v>
      </c>
      <c r="DV87" s="57">
        <v>302.60000000000002</v>
      </c>
      <c r="DW87" s="58"/>
      <c r="DX87" s="62"/>
      <c r="DY87" s="27"/>
      <c r="DZ87" s="51"/>
      <c r="EA87" s="52"/>
      <c r="EB87" s="52"/>
      <c r="EC87" s="53">
        <f t="shared" si="68"/>
        <v>0</v>
      </c>
      <c r="EE87" s="47">
        <v>45967</v>
      </c>
      <c r="EF87" s="56">
        <v>6469.82</v>
      </c>
      <c r="EG87" s="57">
        <v>1916.56</v>
      </c>
      <c r="EH87" s="58"/>
      <c r="EI87" s="59">
        <v>131.05000000000001</v>
      </c>
      <c r="EJ87" s="27"/>
      <c r="EK87" s="51"/>
      <c r="EL87" s="52"/>
      <c r="EM87" s="52"/>
      <c r="EN87" s="53">
        <f t="shared" si="69"/>
        <v>131.05000000000001</v>
      </c>
      <c r="EP87" s="47">
        <v>45967</v>
      </c>
      <c r="EQ87" s="64">
        <v>634.22</v>
      </c>
      <c r="ER87" s="56">
        <v>506.07</v>
      </c>
      <c r="ES87" s="58"/>
      <c r="ET87" s="62"/>
      <c r="EV87" s="51"/>
      <c r="EW87" s="52"/>
      <c r="EX87" s="52"/>
      <c r="EY87" s="53">
        <f t="shared" si="70"/>
        <v>0</v>
      </c>
    </row>
    <row r="88" spans="2:155" hidden="1" x14ac:dyDescent="0.25">
      <c r="B88" s="47">
        <v>45968</v>
      </c>
      <c r="C88" s="48">
        <v>17764.57</v>
      </c>
      <c r="D88" s="49">
        <v>3180.13</v>
      </c>
      <c r="E88" s="50">
        <v>4170.07</v>
      </c>
      <c r="F88" s="55">
        <v>518.22</v>
      </c>
      <c r="G88" s="102"/>
      <c r="H88" s="27"/>
      <c r="I88" s="51"/>
      <c r="J88" s="52"/>
      <c r="K88" s="52"/>
      <c r="L88" s="53">
        <f t="shared" si="57"/>
        <v>0</v>
      </c>
      <c r="N88" s="47">
        <v>45968</v>
      </c>
      <c r="O88" s="54">
        <v>3358.98</v>
      </c>
      <c r="P88" s="54">
        <v>467.99</v>
      </c>
      <c r="Q88" s="58"/>
      <c r="R88" s="55"/>
      <c r="S88" s="27"/>
      <c r="T88" s="51"/>
      <c r="U88" s="52"/>
      <c r="V88" s="52"/>
      <c r="W88" s="53">
        <f t="shared" si="58"/>
        <v>0</v>
      </c>
      <c r="Y88" s="47">
        <v>45968</v>
      </c>
      <c r="Z88" s="56">
        <v>4371.4399999999996</v>
      </c>
      <c r="AA88" s="57">
        <v>1597.42</v>
      </c>
      <c r="AB88" s="63"/>
      <c r="AC88" s="59">
        <v>194.39</v>
      </c>
      <c r="AD88" s="27"/>
      <c r="AE88" s="51"/>
      <c r="AF88" s="52"/>
      <c r="AG88" s="52"/>
      <c r="AH88" s="53">
        <f t="shared" si="59"/>
        <v>194.39</v>
      </c>
      <c r="AJ88" s="47">
        <v>45968</v>
      </c>
      <c r="AK88" s="56">
        <v>2705.34</v>
      </c>
      <c r="AL88" s="57">
        <v>285.52</v>
      </c>
      <c r="AM88" s="58"/>
      <c r="AN88" s="58"/>
      <c r="AO88" s="27"/>
      <c r="AP88" s="51"/>
      <c r="AQ88" s="52"/>
      <c r="AR88" s="52"/>
      <c r="AS88" s="53">
        <f t="shared" si="60"/>
        <v>0</v>
      </c>
      <c r="AU88" s="47">
        <v>45968</v>
      </c>
      <c r="AV88" s="57">
        <v>968.62</v>
      </c>
      <c r="AW88" s="57">
        <v>85.14</v>
      </c>
      <c r="AX88" s="58"/>
      <c r="AY88" s="59">
        <v>104</v>
      </c>
      <c r="AZ88" s="27"/>
      <c r="BA88" s="51"/>
      <c r="BB88" s="52"/>
      <c r="BC88" s="52"/>
      <c r="BD88" s="53">
        <f t="shared" si="61"/>
        <v>104</v>
      </c>
      <c r="BF88" s="47">
        <v>45968</v>
      </c>
      <c r="BG88" s="56">
        <v>4301.4399999999996</v>
      </c>
      <c r="BH88" s="57">
        <v>683.71</v>
      </c>
      <c r="BI88" s="58"/>
      <c r="BJ88" s="59">
        <v>23.33</v>
      </c>
      <c r="BK88" s="27"/>
      <c r="BL88" s="51"/>
      <c r="BM88" s="52"/>
      <c r="BN88" s="52"/>
      <c r="BO88" s="53">
        <f t="shared" si="62"/>
        <v>23.33</v>
      </c>
      <c r="BQ88" s="47">
        <v>45968</v>
      </c>
      <c r="BR88" s="57">
        <v>688.81</v>
      </c>
      <c r="BS88" s="57">
        <v>716.01</v>
      </c>
      <c r="BT88" s="58"/>
      <c r="BU88" s="61"/>
      <c r="BV88" s="27"/>
      <c r="BW88" s="51"/>
      <c r="BX88" s="52"/>
      <c r="BY88" s="52"/>
      <c r="BZ88" s="53">
        <f t="shared" si="63"/>
        <v>0</v>
      </c>
      <c r="CB88" s="47">
        <v>45968</v>
      </c>
      <c r="CC88" s="56">
        <v>19735.900000000001</v>
      </c>
      <c r="CD88" s="57">
        <v>2281.9</v>
      </c>
      <c r="CE88" s="58"/>
      <c r="CF88" s="58"/>
      <c r="CG88" s="27"/>
      <c r="CH88" s="51"/>
      <c r="CI88" s="52"/>
      <c r="CJ88" s="52"/>
      <c r="CK88" s="53">
        <f t="shared" si="64"/>
        <v>0</v>
      </c>
      <c r="CM88" s="47">
        <v>45968</v>
      </c>
      <c r="CN88" s="56">
        <v>12110.86</v>
      </c>
      <c r="CO88" s="57">
        <v>2191.56</v>
      </c>
      <c r="CP88" s="58"/>
      <c r="CQ88" s="62"/>
      <c r="CR88" s="27"/>
      <c r="CS88" s="51"/>
      <c r="CT88" s="52"/>
      <c r="CU88" s="52"/>
      <c r="CV88" s="53">
        <f t="shared" si="65"/>
        <v>0</v>
      </c>
      <c r="CX88" s="47">
        <v>45968</v>
      </c>
      <c r="CY88" s="56">
        <v>1199.8599999999999</v>
      </c>
      <c r="CZ88" s="57">
        <v>775.56</v>
      </c>
      <c r="DA88" s="58"/>
      <c r="DB88" s="59"/>
      <c r="DC88" s="27"/>
      <c r="DD88" s="51"/>
      <c r="DE88" s="52"/>
      <c r="DF88" s="52"/>
      <c r="DG88" s="53">
        <f t="shared" si="66"/>
        <v>0</v>
      </c>
      <c r="DI88" s="47">
        <v>45968</v>
      </c>
      <c r="DJ88" s="56">
        <v>1825.98</v>
      </c>
      <c r="DK88" s="63"/>
      <c r="DL88" s="58"/>
      <c r="DM88" s="62"/>
      <c r="DN88" s="27"/>
      <c r="DO88" s="51"/>
      <c r="DP88" s="52"/>
      <c r="DQ88" s="52"/>
      <c r="DR88" s="53">
        <f t="shared" si="67"/>
        <v>0</v>
      </c>
      <c r="DT88" s="47">
        <v>45968</v>
      </c>
      <c r="DU88" s="56">
        <v>2096.4299999999998</v>
      </c>
      <c r="DV88" s="57">
        <v>561.55999999999995</v>
      </c>
      <c r="DW88" s="58"/>
      <c r="DX88" s="62"/>
      <c r="DY88" s="27"/>
      <c r="DZ88" s="51"/>
      <c r="EA88" s="52"/>
      <c r="EB88" s="52"/>
      <c r="EC88" s="53">
        <f t="shared" si="68"/>
        <v>0</v>
      </c>
      <c r="EE88" s="47">
        <v>45968</v>
      </c>
      <c r="EF88" s="56">
        <v>6216.76</v>
      </c>
      <c r="EG88" s="57">
        <v>2419.92</v>
      </c>
      <c r="EH88" s="58"/>
      <c r="EI88" s="59">
        <v>128.63</v>
      </c>
      <c r="EJ88" s="27"/>
      <c r="EK88" s="51"/>
      <c r="EL88" s="52"/>
      <c r="EM88" s="52"/>
      <c r="EN88" s="53">
        <f t="shared" si="69"/>
        <v>128.63</v>
      </c>
      <c r="EP88" s="47">
        <v>45968</v>
      </c>
      <c r="EQ88" s="64">
        <v>605.17999999999995</v>
      </c>
      <c r="ER88" s="56">
        <v>484.46</v>
      </c>
      <c r="ES88" s="58"/>
      <c r="ET88" s="62"/>
      <c r="EV88" s="51"/>
      <c r="EW88" s="52"/>
      <c r="EX88" s="52"/>
      <c r="EY88" s="53">
        <f t="shared" si="70"/>
        <v>0</v>
      </c>
    </row>
    <row r="89" spans="2:155" hidden="1" x14ac:dyDescent="0.25">
      <c r="B89" s="47">
        <v>45969</v>
      </c>
      <c r="C89" s="48">
        <v>18884.05</v>
      </c>
      <c r="D89" s="49">
        <v>3308.52</v>
      </c>
      <c r="E89" s="50">
        <v>3472.46</v>
      </c>
      <c r="F89" s="55">
        <v>388.26</v>
      </c>
      <c r="G89" s="102"/>
      <c r="H89" s="27"/>
      <c r="I89" s="51"/>
      <c r="J89" s="52"/>
      <c r="K89" s="52"/>
      <c r="L89" s="53">
        <f t="shared" si="57"/>
        <v>0</v>
      </c>
      <c r="N89" s="47">
        <v>45969</v>
      </c>
      <c r="O89" s="54">
        <v>2894.1</v>
      </c>
      <c r="P89" s="54">
        <v>334.23</v>
      </c>
      <c r="Q89" s="58"/>
      <c r="R89" s="55">
        <v>32</v>
      </c>
      <c r="S89" s="27"/>
      <c r="T89" s="51"/>
      <c r="U89" s="52"/>
      <c r="V89" s="52"/>
      <c r="W89" s="53">
        <f t="shared" si="58"/>
        <v>32</v>
      </c>
      <c r="Y89" s="47">
        <v>45969</v>
      </c>
      <c r="Z89" s="56">
        <v>3706.62</v>
      </c>
      <c r="AA89" s="57">
        <v>1281.9000000000001</v>
      </c>
      <c r="AB89" s="63"/>
      <c r="AC89" s="59">
        <v>117.89</v>
      </c>
      <c r="AD89" s="27"/>
      <c r="AE89" s="51"/>
      <c r="AF89" s="52"/>
      <c r="AG89" s="52"/>
      <c r="AH89" s="53">
        <f t="shared" si="59"/>
        <v>117.89</v>
      </c>
      <c r="AJ89" s="47">
        <v>45969</v>
      </c>
      <c r="AK89" s="56">
        <v>2653.17</v>
      </c>
      <c r="AL89" s="57">
        <v>442.67</v>
      </c>
      <c r="AM89" s="58"/>
      <c r="AN89" s="58"/>
      <c r="AO89" s="27"/>
      <c r="AP89" s="51"/>
      <c r="AQ89" s="52"/>
      <c r="AR89" s="52"/>
      <c r="AS89" s="53">
        <f t="shared" si="60"/>
        <v>0</v>
      </c>
      <c r="AU89" s="47">
        <v>45969</v>
      </c>
      <c r="AV89" s="57">
        <v>631.59</v>
      </c>
      <c r="AW89" s="57">
        <v>65</v>
      </c>
      <c r="AX89" s="58"/>
      <c r="AY89" s="59"/>
      <c r="AZ89" s="27"/>
      <c r="BA89" s="51"/>
      <c r="BB89" s="52"/>
      <c r="BC89" s="52"/>
      <c r="BD89" s="53">
        <f t="shared" si="61"/>
        <v>0</v>
      </c>
      <c r="BF89" s="47">
        <v>45969</v>
      </c>
      <c r="BG89" s="56">
        <v>3673.63</v>
      </c>
      <c r="BH89" s="57">
        <v>716.13</v>
      </c>
      <c r="BI89" s="58"/>
      <c r="BJ89" s="59"/>
      <c r="BK89" s="27"/>
      <c r="BL89" s="51"/>
      <c r="BM89" s="52"/>
      <c r="BN89" s="52"/>
      <c r="BO89" s="53">
        <f t="shared" si="62"/>
        <v>0</v>
      </c>
      <c r="BQ89" s="47">
        <v>45969</v>
      </c>
      <c r="BR89" s="57">
        <v>841</v>
      </c>
      <c r="BS89" s="57">
        <v>761.09</v>
      </c>
      <c r="BT89" s="58"/>
      <c r="BU89" s="61"/>
      <c r="BV89" s="27"/>
      <c r="BW89" s="51"/>
      <c r="BX89" s="52"/>
      <c r="BY89" s="52"/>
      <c r="BZ89" s="53">
        <f t="shared" si="63"/>
        <v>0</v>
      </c>
      <c r="CB89" s="47">
        <v>45969</v>
      </c>
      <c r="CC89" s="56">
        <v>17853.64</v>
      </c>
      <c r="CD89" s="57">
        <v>2177.38</v>
      </c>
      <c r="CE89" s="58"/>
      <c r="CF89" s="58"/>
      <c r="CG89" s="27"/>
      <c r="CH89" s="51"/>
      <c r="CI89" s="52"/>
      <c r="CJ89" s="52"/>
      <c r="CK89" s="53">
        <f t="shared" si="64"/>
        <v>0</v>
      </c>
      <c r="CM89" s="47">
        <v>45969</v>
      </c>
      <c r="CN89" s="56">
        <v>8907.98</v>
      </c>
      <c r="CO89" s="57">
        <v>1919.77</v>
      </c>
      <c r="CP89" s="58"/>
      <c r="CQ89" s="62"/>
      <c r="CR89" s="27"/>
      <c r="CS89" s="51"/>
      <c r="CT89" s="52"/>
      <c r="CU89" s="52"/>
      <c r="CV89" s="53">
        <f t="shared" si="65"/>
        <v>0</v>
      </c>
      <c r="CX89" s="47">
        <v>45969</v>
      </c>
      <c r="CY89" s="56">
        <v>4394.0600000000004</v>
      </c>
      <c r="CZ89" s="57">
        <v>992.52</v>
      </c>
      <c r="DA89" s="58"/>
      <c r="DB89" s="59">
        <v>7.57</v>
      </c>
      <c r="DC89" s="27"/>
      <c r="DD89" s="51"/>
      <c r="DE89" s="52"/>
      <c r="DF89" s="52"/>
      <c r="DG89" s="53">
        <f t="shared" si="66"/>
        <v>7.57</v>
      </c>
      <c r="DI89" s="47">
        <v>45969</v>
      </c>
      <c r="DJ89" s="56">
        <v>2167.6</v>
      </c>
      <c r="DK89" s="63"/>
      <c r="DL89" s="58"/>
      <c r="DM89" s="62"/>
      <c r="DN89" s="27"/>
      <c r="DO89" s="51"/>
      <c r="DP89" s="52"/>
      <c r="DQ89" s="52"/>
      <c r="DR89" s="53">
        <f t="shared" si="67"/>
        <v>0</v>
      </c>
      <c r="DT89" s="47">
        <v>45969</v>
      </c>
      <c r="DU89" s="56">
        <v>3183.94</v>
      </c>
      <c r="DV89" s="57">
        <v>234.23</v>
      </c>
      <c r="DW89" s="58"/>
      <c r="DX89" s="62"/>
      <c r="DY89" s="27"/>
      <c r="DZ89" s="51"/>
      <c r="EA89" s="52"/>
      <c r="EB89" s="52"/>
      <c r="EC89" s="53">
        <f t="shared" si="68"/>
        <v>0</v>
      </c>
      <c r="EE89" s="47">
        <v>45969</v>
      </c>
      <c r="EF89" s="56">
        <v>5774.83</v>
      </c>
      <c r="EG89" s="57">
        <v>1643.63</v>
      </c>
      <c r="EH89" s="58"/>
      <c r="EI89" s="59">
        <v>141.04</v>
      </c>
      <c r="EJ89" s="27"/>
      <c r="EK89" s="51"/>
      <c r="EL89" s="52"/>
      <c r="EM89" s="52"/>
      <c r="EN89" s="53">
        <f t="shared" si="69"/>
        <v>141.04</v>
      </c>
      <c r="EP89" s="47">
        <v>45969</v>
      </c>
      <c r="EQ89" s="64">
        <v>1036.1600000000001</v>
      </c>
      <c r="ER89" s="56">
        <v>774.02</v>
      </c>
      <c r="ES89" s="58"/>
      <c r="ET89" s="62"/>
      <c r="EV89" s="51"/>
      <c r="EW89" s="52"/>
      <c r="EX89" s="52"/>
      <c r="EY89" s="53">
        <f t="shared" si="70"/>
        <v>0</v>
      </c>
    </row>
    <row r="90" spans="2:155" hidden="1" x14ac:dyDescent="0.25">
      <c r="B90" s="47">
        <v>45970</v>
      </c>
      <c r="C90" s="48">
        <v>12246.8</v>
      </c>
      <c r="D90" s="49">
        <v>2472.44</v>
      </c>
      <c r="E90" s="50">
        <v>2390.89</v>
      </c>
      <c r="F90" s="49">
        <v>323.25</v>
      </c>
      <c r="G90" s="50"/>
      <c r="H90" s="27"/>
      <c r="I90" s="51"/>
      <c r="J90" s="52"/>
      <c r="K90" s="52"/>
      <c r="L90" s="53">
        <f t="shared" si="57"/>
        <v>0</v>
      </c>
      <c r="N90" s="47">
        <v>45970</v>
      </c>
      <c r="O90" s="54">
        <v>3060.38</v>
      </c>
      <c r="P90" s="54">
        <v>529.79</v>
      </c>
      <c r="Q90" s="58"/>
      <c r="R90" s="55"/>
      <c r="S90" s="27"/>
      <c r="T90" s="51"/>
      <c r="U90" s="52"/>
      <c r="V90" s="52"/>
      <c r="W90" s="53">
        <f t="shared" si="58"/>
        <v>0</v>
      </c>
      <c r="Y90" s="47">
        <v>45970</v>
      </c>
      <c r="Z90" s="56">
        <v>3958.98</v>
      </c>
      <c r="AA90" s="57">
        <v>1197.0899999999999</v>
      </c>
      <c r="AB90" s="63"/>
      <c r="AC90" s="59">
        <v>32.21</v>
      </c>
      <c r="AD90" s="27"/>
      <c r="AE90" s="51"/>
      <c r="AF90" s="52"/>
      <c r="AG90" s="52"/>
      <c r="AH90" s="53">
        <f t="shared" si="59"/>
        <v>32.21</v>
      </c>
      <c r="AJ90" s="47">
        <v>45970</v>
      </c>
      <c r="AK90" s="56">
        <v>3039.51</v>
      </c>
      <c r="AL90" s="57">
        <v>619.5</v>
      </c>
      <c r="AM90" s="58"/>
      <c r="AN90" s="58"/>
      <c r="AO90" s="27"/>
      <c r="AP90" s="51"/>
      <c r="AQ90" s="52"/>
      <c r="AR90" s="52"/>
      <c r="AS90" s="53">
        <f t="shared" si="60"/>
        <v>0</v>
      </c>
      <c r="AU90" s="47">
        <v>45970</v>
      </c>
      <c r="AV90" s="57">
        <v>490</v>
      </c>
      <c r="AW90" s="57">
        <v>0</v>
      </c>
      <c r="AX90" s="58"/>
      <c r="AY90" s="59"/>
      <c r="AZ90" s="27"/>
      <c r="BA90" s="51"/>
      <c r="BB90" s="52"/>
      <c r="BC90" s="52"/>
      <c r="BD90" s="53">
        <f t="shared" si="61"/>
        <v>0</v>
      </c>
      <c r="BF90" s="47">
        <v>45970</v>
      </c>
      <c r="BG90" s="56">
        <v>2554.08</v>
      </c>
      <c r="BH90" s="57">
        <v>515.15</v>
      </c>
      <c r="BI90" s="58"/>
      <c r="BJ90" s="59"/>
      <c r="BK90" s="27"/>
      <c r="BL90" s="51"/>
      <c r="BM90" s="52"/>
      <c r="BN90" s="52"/>
      <c r="BO90" s="53">
        <f t="shared" si="62"/>
        <v>0</v>
      </c>
      <c r="BQ90" s="47">
        <v>45970</v>
      </c>
      <c r="BR90" s="57">
        <v>284.02</v>
      </c>
      <c r="BS90" s="57">
        <v>353.5</v>
      </c>
      <c r="BT90" s="58"/>
      <c r="BU90" s="61">
        <v>34</v>
      </c>
      <c r="BV90" s="27"/>
      <c r="BW90" s="51"/>
      <c r="BX90" s="52"/>
      <c r="BY90" s="52"/>
      <c r="BZ90" s="53">
        <f t="shared" si="63"/>
        <v>34</v>
      </c>
      <c r="CB90" s="47">
        <v>45970</v>
      </c>
      <c r="CC90" s="56">
        <v>14783.14</v>
      </c>
      <c r="CD90" s="57">
        <v>1972.83</v>
      </c>
      <c r="CE90" s="58"/>
      <c r="CF90" s="58"/>
      <c r="CG90" s="27"/>
      <c r="CH90" s="51"/>
      <c r="CI90" s="52"/>
      <c r="CJ90" s="52"/>
      <c r="CK90" s="53">
        <f t="shared" si="64"/>
        <v>0</v>
      </c>
      <c r="CM90" s="47">
        <v>45970</v>
      </c>
      <c r="CN90" s="56">
        <v>6042.9</v>
      </c>
      <c r="CO90" s="57">
        <v>1476.8</v>
      </c>
      <c r="CP90" s="58"/>
      <c r="CQ90" s="62"/>
      <c r="CR90" s="27"/>
      <c r="CS90" s="51"/>
      <c r="CT90" s="52"/>
      <c r="CU90" s="52"/>
      <c r="CV90" s="53">
        <f t="shared" si="65"/>
        <v>0</v>
      </c>
      <c r="CX90" s="47">
        <v>45970</v>
      </c>
      <c r="CY90" s="56">
        <v>2990.2</v>
      </c>
      <c r="CZ90" s="57">
        <v>1115.2</v>
      </c>
      <c r="DA90" s="58"/>
      <c r="DB90" s="59"/>
      <c r="DC90" s="27"/>
      <c r="DD90" s="51"/>
      <c r="DE90" s="52"/>
      <c r="DF90" s="52"/>
      <c r="DG90" s="53">
        <f t="shared" si="66"/>
        <v>0</v>
      </c>
      <c r="DI90" s="47">
        <v>45970</v>
      </c>
      <c r="DJ90" s="56">
        <v>1132.05</v>
      </c>
      <c r="DK90" s="63"/>
      <c r="DL90" s="58"/>
      <c r="DM90" s="62"/>
      <c r="DN90" s="27"/>
      <c r="DO90" s="51"/>
      <c r="DP90" s="52"/>
      <c r="DQ90" s="52"/>
      <c r="DR90" s="53">
        <f t="shared" si="67"/>
        <v>0</v>
      </c>
      <c r="DT90" s="47">
        <v>45970</v>
      </c>
      <c r="DU90" s="56">
        <v>2063.52</v>
      </c>
      <c r="DV90" s="57">
        <v>136.19</v>
      </c>
      <c r="DW90" s="58"/>
      <c r="DX90" s="62"/>
      <c r="DY90" s="27"/>
      <c r="DZ90" s="51"/>
      <c r="EA90" s="52"/>
      <c r="EB90" s="52"/>
      <c r="EC90" s="53">
        <f t="shared" si="68"/>
        <v>0</v>
      </c>
      <c r="EE90" s="47">
        <v>45970</v>
      </c>
      <c r="EF90" s="56">
        <v>3454.16</v>
      </c>
      <c r="EG90" s="57">
        <v>1326.42</v>
      </c>
      <c r="EH90" s="58"/>
      <c r="EI90" s="59">
        <v>125.4</v>
      </c>
      <c r="EJ90" s="27"/>
      <c r="EK90" s="51"/>
      <c r="EL90" s="52"/>
      <c r="EM90" s="52"/>
      <c r="EN90" s="53">
        <f t="shared" si="69"/>
        <v>125.4</v>
      </c>
      <c r="EP90" s="47">
        <v>45970</v>
      </c>
      <c r="EQ90" s="64">
        <v>486.75</v>
      </c>
      <c r="ER90" s="56">
        <v>534.19000000000005</v>
      </c>
      <c r="ES90" s="58"/>
      <c r="ET90" s="62"/>
      <c r="EV90" s="51"/>
      <c r="EW90" s="52"/>
      <c r="EX90" s="52"/>
      <c r="EY90" s="53">
        <f t="shared" si="70"/>
        <v>0</v>
      </c>
    </row>
    <row r="91" spans="2:155" hidden="1" x14ac:dyDescent="0.25">
      <c r="B91" s="47">
        <v>45971</v>
      </c>
      <c r="C91" s="48">
        <v>17862.23</v>
      </c>
      <c r="D91" s="49">
        <v>3151.09</v>
      </c>
      <c r="E91" s="50">
        <v>4167.99</v>
      </c>
      <c r="F91" s="49">
        <v>580.74</v>
      </c>
      <c r="G91" s="50"/>
      <c r="H91" s="27"/>
      <c r="I91" s="51"/>
      <c r="J91" s="52"/>
      <c r="K91" s="52"/>
      <c r="L91" s="53">
        <f t="shared" si="57"/>
        <v>0</v>
      </c>
      <c r="N91" s="47">
        <v>45971</v>
      </c>
      <c r="O91" s="54">
        <v>2147.19</v>
      </c>
      <c r="P91" s="54">
        <v>209.96</v>
      </c>
      <c r="Q91" s="58"/>
      <c r="R91" s="55"/>
      <c r="S91" s="27"/>
      <c r="T91" s="51"/>
      <c r="U91" s="52"/>
      <c r="V91" s="52"/>
      <c r="W91" s="53">
        <f t="shared" si="58"/>
        <v>0</v>
      </c>
      <c r="Y91" s="47">
        <v>45971</v>
      </c>
      <c r="Z91" s="56">
        <v>6250.14</v>
      </c>
      <c r="AA91" s="57">
        <v>1605.35</v>
      </c>
      <c r="AB91" s="63"/>
      <c r="AC91" s="59">
        <v>167.82</v>
      </c>
      <c r="AD91" s="27"/>
      <c r="AE91" s="51"/>
      <c r="AF91" s="52"/>
      <c r="AG91" s="52"/>
      <c r="AH91" s="53">
        <f t="shared" si="59"/>
        <v>167.82</v>
      </c>
      <c r="AJ91" s="47">
        <v>45971</v>
      </c>
      <c r="AK91" s="56">
        <v>3636.84</v>
      </c>
      <c r="AL91" s="57">
        <v>520.11</v>
      </c>
      <c r="AM91" s="58"/>
      <c r="AN91" s="58"/>
      <c r="AO91" s="27"/>
      <c r="AP91" s="51"/>
      <c r="AQ91" s="52"/>
      <c r="AR91" s="52"/>
      <c r="AS91" s="53">
        <f t="shared" si="60"/>
        <v>0</v>
      </c>
      <c r="AU91" s="47">
        <v>45971</v>
      </c>
      <c r="AV91" s="57">
        <v>408.65</v>
      </c>
      <c r="AW91" s="57">
        <v>0</v>
      </c>
      <c r="AX91" s="58"/>
      <c r="AY91" s="59">
        <v>218.4</v>
      </c>
      <c r="AZ91" s="27"/>
      <c r="BA91" s="51"/>
      <c r="BB91" s="52"/>
      <c r="BC91" s="52"/>
      <c r="BD91" s="53">
        <f t="shared" si="61"/>
        <v>218.4</v>
      </c>
      <c r="BF91" s="47">
        <v>45971</v>
      </c>
      <c r="BG91" s="56">
        <v>3757.08</v>
      </c>
      <c r="BH91" s="57">
        <v>588.82000000000005</v>
      </c>
      <c r="BI91" s="58"/>
      <c r="BJ91" s="59"/>
      <c r="BK91" s="27"/>
      <c r="BL91" s="51"/>
      <c r="BM91" s="52"/>
      <c r="BN91" s="52"/>
      <c r="BO91" s="53">
        <f t="shared" si="62"/>
        <v>0</v>
      </c>
      <c r="BQ91" s="47">
        <v>45971</v>
      </c>
      <c r="BR91" s="57">
        <v>258.06</v>
      </c>
      <c r="BS91" s="57">
        <v>622.79</v>
      </c>
      <c r="BT91" s="58"/>
      <c r="BU91" s="61">
        <v>30</v>
      </c>
      <c r="BV91" s="27"/>
      <c r="BW91" s="51"/>
      <c r="BX91" s="52"/>
      <c r="BY91" s="52"/>
      <c r="BZ91" s="53">
        <f t="shared" si="63"/>
        <v>30</v>
      </c>
      <c r="CB91" s="47">
        <v>45971</v>
      </c>
      <c r="CC91" s="56">
        <v>18794.18</v>
      </c>
      <c r="CD91" s="57">
        <v>1871.04</v>
      </c>
      <c r="CE91" s="58"/>
      <c r="CF91" s="58"/>
      <c r="CG91" s="27"/>
      <c r="CH91" s="51"/>
      <c r="CI91" s="52"/>
      <c r="CJ91" s="52"/>
      <c r="CK91" s="53">
        <f t="shared" si="64"/>
        <v>0</v>
      </c>
      <c r="CM91" s="47">
        <v>45971</v>
      </c>
      <c r="CN91" s="56">
        <v>10181</v>
      </c>
      <c r="CO91" s="57">
        <v>1279.93</v>
      </c>
      <c r="CP91" s="58"/>
      <c r="CQ91" s="62"/>
      <c r="CR91" s="27"/>
      <c r="CS91" s="51"/>
      <c r="CT91" s="52"/>
      <c r="CU91" s="52"/>
      <c r="CV91" s="53">
        <f t="shared" si="65"/>
        <v>0</v>
      </c>
      <c r="CX91" s="47">
        <v>45971</v>
      </c>
      <c r="CY91" s="56">
        <v>3562.75</v>
      </c>
      <c r="CZ91" s="57">
        <v>1160.8399999999999</v>
      </c>
      <c r="DA91" s="58"/>
      <c r="DB91" s="59">
        <v>8.8000000000000007</v>
      </c>
      <c r="DC91" s="27"/>
      <c r="DD91" s="51"/>
      <c r="DE91" s="52"/>
      <c r="DF91" s="52"/>
      <c r="DG91" s="53">
        <f t="shared" si="66"/>
        <v>8.8000000000000007</v>
      </c>
      <c r="DI91" s="103">
        <v>45971</v>
      </c>
      <c r="DJ91" s="64">
        <v>1805.49</v>
      </c>
      <c r="DK91" s="63"/>
      <c r="DL91" s="58"/>
      <c r="DM91" s="62"/>
      <c r="DN91" s="27"/>
      <c r="DO91" s="51"/>
      <c r="DP91" s="52"/>
      <c r="DQ91" s="52"/>
      <c r="DR91" s="53">
        <f t="shared" si="67"/>
        <v>0</v>
      </c>
      <c r="DT91" s="47">
        <v>45971</v>
      </c>
      <c r="DU91" s="56">
        <v>1865.62</v>
      </c>
      <c r="DV91" s="57">
        <v>204.85</v>
      </c>
      <c r="DW91" s="58"/>
      <c r="DX91" s="62"/>
      <c r="DY91" s="27"/>
      <c r="DZ91" s="51"/>
      <c r="EA91" s="52"/>
      <c r="EB91" s="52"/>
      <c r="EC91" s="53">
        <f t="shared" si="68"/>
        <v>0</v>
      </c>
      <c r="EE91" s="47">
        <v>45971</v>
      </c>
      <c r="EF91" s="56">
        <v>8164.99</v>
      </c>
      <c r="EG91" s="57">
        <v>1692.79</v>
      </c>
      <c r="EH91" s="58"/>
      <c r="EI91" s="59">
        <v>121.17</v>
      </c>
      <c r="EJ91" s="27"/>
      <c r="EK91" s="51"/>
      <c r="EL91" s="52"/>
      <c r="EM91" s="52"/>
      <c r="EN91" s="53">
        <f t="shared" si="69"/>
        <v>121.17</v>
      </c>
      <c r="EP91" s="47">
        <v>45971</v>
      </c>
      <c r="EQ91" s="64">
        <v>642.54999999999995</v>
      </c>
      <c r="ER91" s="56">
        <v>496.94</v>
      </c>
      <c r="ES91" s="58"/>
      <c r="ET91" s="62"/>
      <c r="EV91" s="51"/>
      <c r="EW91" s="52"/>
      <c r="EX91" s="52"/>
      <c r="EY91" s="53">
        <f t="shared" si="70"/>
        <v>0</v>
      </c>
    </row>
    <row r="92" spans="2:155" hidden="1" x14ac:dyDescent="0.25">
      <c r="B92" s="47">
        <v>45972</v>
      </c>
      <c r="C92" s="48">
        <v>16203.4</v>
      </c>
      <c r="D92" s="49">
        <v>3223.35</v>
      </c>
      <c r="E92" s="50">
        <v>3837.6</v>
      </c>
      <c r="F92" s="49">
        <v>498.17</v>
      </c>
      <c r="G92" s="50"/>
      <c r="H92" s="27"/>
      <c r="I92" s="51"/>
      <c r="J92" s="52"/>
      <c r="K92" s="52"/>
      <c r="L92" s="53">
        <f t="shared" si="57"/>
        <v>0</v>
      </c>
      <c r="N92" s="47">
        <v>45972</v>
      </c>
      <c r="O92" s="54">
        <v>871.11</v>
      </c>
      <c r="P92" s="54">
        <v>410.4</v>
      </c>
      <c r="Q92" s="58"/>
      <c r="R92" s="55"/>
      <c r="S92" s="27"/>
      <c r="T92" s="51"/>
      <c r="U92" s="52"/>
      <c r="V92" s="52"/>
      <c r="W92" s="53">
        <f t="shared" si="58"/>
        <v>0</v>
      </c>
      <c r="Y92" s="47">
        <v>45972</v>
      </c>
      <c r="Z92" s="56">
        <v>4742.97</v>
      </c>
      <c r="AA92" s="57">
        <v>1427.59</v>
      </c>
      <c r="AB92" s="63"/>
      <c r="AC92" s="59">
        <v>91.2</v>
      </c>
      <c r="AD92" s="27"/>
      <c r="AE92" s="51"/>
      <c r="AF92" s="52"/>
      <c r="AG92" s="52"/>
      <c r="AH92" s="53">
        <f t="shared" si="59"/>
        <v>91.2</v>
      </c>
      <c r="AJ92" s="47">
        <v>45972</v>
      </c>
      <c r="AK92" s="56">
        <v>4383.1499999999996</v>
      </c>
      <c r="AL92" s="57">
        <v>563.91999999999996</v>
      </c>
      <c r="AM92" s="58"/>
      <c r="AN92" s="58"/>
      <c r="AO92" s="27"/>
      <c r="AP92" s="51"/>
      <c r="AQ92" s="52"/>
      <c r="AR92" s="52"/>
      <c r="AS92" s="53">
        <f t="shared" si="60"/>
        <v>0</v>
      </c>
      <c r="AU92" s="47">
        <v>45972</v>
      </c>
      <c r="AV92" s="57">
        <v>415.3</v>
      </c>
      <c r="AW92" s="57">
        <v>40.020000000000003</v>
      </c>
      <c r="AX92" s="58"/>
      <c r="AY92" s="59"/>
      <c r="AZ92" s="27"/>
      <c r="BA92" s="51"/>
      <c r="BB92" s="52"/>
      <c r="BC92" s="52"/>
      <c r="BD92" s="53">
        <f t="shared" si="61"/>
        <v>0</v>
      </c>
      <c r="BF92" s="47">
        <v>45972</v>
      </c>
      <c r="BG92" s="56">
        <v>5224.96</v>
      </c>
      <c r="BH92" s="57">
        <v>788.06</v>
      </c>
      <c r="BI92" s="58"/>
      <c r="BJ92" s="59">
        <v>8.59</v>
      </c>
      <c r="BK92" s="27"/>
      <c r="BL92" s="51"/>
      <c r="BM92" s="52"/>
      <c r="BN92" s="52"/>
      <c r="BO92" s="53">
        <f t="shared" si="62"/>
        <v>8.59</v>
      </c>
      <c r="BQ92" s="47">
        <v>45972</v>
      </c>
      <c r="BR92" s="57">
        <v>265.98</v>
      </c>
      <c r="BS92" s="57">
        <v>523.17999999999995</v>
      </c>
      <c r="BT92" s="58"/>
      <c r="BU92" s="61"/>
      <c r="BV92" s="27"/>
      <c r="BW92" s="51"/>
      <c r="BX92" s="52"/>
      <c r="BY92" s="52"/>
      <c r="BZ92" s="53">
        <f t="shared" si="63"/>
        <v>0</v>
      </c>
      <c r="CB92" s="47">
        <v>45972</v>
      </c>
      <c r="CC92" s="56">
        <v>17698.599999999999</v>
      </c>
      <c r="CD92" s="57">
        <v>2831.98</v>
      </c>
      <c r="CE92" s="58"/>
      <c r="CF92" s="58"/>
      <c r="CG92" s="27"/>
      <c r="CH92" s="51"/>
      <c r="CI92" s="52"/>
      <c r="CJ92" s="52"/>
      <c r="CK92" s="53">
        <f t="shared" si="64"/>
        <v>0</v>
      </c>
      <c r="CM92" s="47">
        <v>45972</v>
      </c>
      <c r="CN92" s="56">
        <v>11143.06</v>
      </c>
      <c r="CO92" s="57">
        <v>1492.29</v>
      </c>
      <c r="CP92" s="58"/>
      <c r="CQ92" s="62"/>
      <c r="CR92" s="27"/>
      <c r="CS92" s="51"/>
      <c r="CT92" s="52"/>
      <c r="CU92" s="52"/>
      <c r="CV92" s="53">
        <f t="shared" si="65"/>
        <v>0</v>
      </c>
      <c r="CX92" s="47">
        <v>45972</v>
      </c>
      <c r="CY92" s="56">
        <v>3901.64</v>
      </c>
      <c r="CZ92" s="57">
        <v>1218.45</v>
      </c>
      <c r="DA92" s="58"/>
      <c r="DB92" s="59"/>
      <c r="DC92" s="27"/>
      <c r="DD92" s="51"/>
      <c r="DE92" s="52"/>
      <c r="DF92" s="52"/>
      <c r="DG92" s="53">
        <f t="shared" si="66"/>
        <v>0</v>
      </c>
      <c r="DI92" s="103">
        <v>45972</v>
      </c>
      <c r="DJ92" s="64">
        <v>1449.33</v>
      </c>
      <c r="DK92" s="63"/>
      <c r="DL92" s="58"/>
      <c r="DM92" s="62"/>
      <c r="DN92" s="27"/>
      <c r="DO92" s="51"/>
      <c r="DP92" s="52"/>
      <c r="DQ92" s="52"/>
      <c r="DR92" s="53">
        <f t="shared" si="67"/>
        <v>0</v>
      </c>
      <c r="DT92" s="47">
        <v>45972</v>
      </c>
      <c r="DU92" s="56">
        <v>3040.6</v>
      </c>
      <c r="DV92" s="57">
        <v>264.74</v>
      </c>
      <c r="DW92" s="58"/>
      <c r="DX92" s="62"/>
      <c r="DY92" s="27"/>
      <c r="DZ92" s="51"/>
      <c r="EA92" s="52"/>
      <c r="EB92" s="52"/>
      <c r="EC92" s="53">
        <f t="shared" si="68"/>
        <v>0</v>
      </c>
      <c r="EE92" s="47">
        <v>45972</v>
      </c>
      <c r="EF92" s="56">
        <v>7504.87</v>
      </c>
      <c r="EG92" s="57">
        <v>1874.21</v>
      </c>
      <c r="EH92" s="58"/>
      <c r="EI92" s="59">
        <v>139.47999999999999</v>
      </c>
      <c r="EJ92" s="27"/>
      <c r="EK92" s="51"/>
      <c r="EL92" s="52"/>
      <c r="EM92" s="52"/>
      <c r="EN92" s="53">
        <f t="shared" si="69"/>
        <v>139.47999999999999</v>
      </c>
      <c r="EP92" s="47">
        <v>45972</v>
      </c>
      <c r="EQ92" s="64">
        <v>1001.42</v>
      </c>
      <c r="ER92" s="56">
        <v>702.59</v>
      </c>
      <c r="ES92" s="58"/>
      <c r="ET92" s="62"/>
      <c r="EV92" s="51"/>
      <c r="EW92" s="52"/>
      <c r="EX92" s="52"/>
      <c r="EY92" s="53">
        <f t="shared" si="70"/>
        <v>0</v>
      </c>
    </row>
    <row r="93" spans="2:155" hidden="1" x14ac:dyDescent="0.25">
      <c r="B93" s="47">
        <v>45973</v>
      </c>
      <c r="C93" s="48">
        <v>19702.91</v>
      </c>
      <c r="D93" s="49">
        <v>2868.96</v>
      </c>
      <c r="E93" s="50">
        <v>3841.62</v>
      </c>
      <c r="F93" s="49">
        <v>580.15</v>
      </c>
      <c r="G93" s="50"/>
      <c r="H93" s="27"/>
      <c r="I93" s="51"/>
      <c r="J93" s="52"/>
      <c r="K93" s="52"/>
      <c r="L93" s="53">
        <f t="shared" si="57"/>
        <v>0</v>
      </c>
      <c r="N93" s="47">
        <v>45973</v>
      </c>
      <c r="O93" s="54">
        <v>2296.21</v>
      </c>
      <c r="P93" s="54">
        <v>181.04</v>
      </c>
      <c r="Q93" s="58"/>
      <c r="R93" s="55">
        <v>56</v>
      </c>
      <c r="S93" s="27"/>
      <c r="T93" s="51"/>
      <c r="U93" s="52"/>
      <c r="V93" s="52"/>
      <c r="W93" s="53">
        <f t="shared" si="58"/>
        <v>56</v>
      </c>
      <c r="Y93" s="47">
        <v>45973</v>
      </c>
      <c r="Z93" s="56">
        <v>4897.5200000000004</v>
      </c>
      <c r="AA93" s="57">
        <v>1626.6</v>
      </c>
      <c r="AB93" s="63"/>
      <c r="AC93" s="59">
        <v>110.49</v>
      </c>
      <c r="AD93" s="27"/>
      <c r="AE93" s="51"/>
      <c r="AF93" s="52"/>
      <c r="AG93" s="52"/>
      <c r="AH93" s="53">
        <f t="shared" si="59"/>
        <v>110.49</v>
      </c>
      <c r="AJ93" s="47">
        <v>45973</v>
      </c>
      <c r="AK93" s="56">
        <v>3589.92</v>
      </c>
      <c r="AL93" s="57">
        <v>738.21</v>
      </c>
      <c r="AM93" s="58"/>
      <c r="AN93" s="58"/>
      <c r="AO93" s="27"/>
      <c r="AP93" s="51"/>
      <c r="AQ93" s="52"/>
      <c r="AR93" s="52"/>
      <c r="AS93" s="53">
        <f t="shared" si="60"/>
        <v>0</v>
      </c>
      <c r="AU93" s="47">
        <v>45973</v>
      </c>
      <c r="AV93" s="57">
        <v>542.24</v>
      </c>
      <c r="AW93" s="57">
        <v>0</v>
      </c>
      <c r="AX93" s="58"/>
      <c r="AY93" s="59">
        <v>117</v>
      </c>
      <c r="AZ93" s="27"/>
      <c r="BA93" s="51"/>
      <c r="BB93" s="52"/>
      <c r="BC93" s="52"/>
      <c r="BD93" s="53">
        <f t="shared" si="61"/>
        <v>117</v>
      </c>
      <c r="BF93" s="47">
        <v>45973</v>
      </c>
      <c r="BG93" s="56">
        <v>3740.13</v>
      </c>
      <c r="BH93" s="57">
        <v>399.69</v>
      </c>
      <c r="BI93" s="58"/>
      <c r="BJ93" s="59">
        <v>11.34</v>
      </c>
      <c r="BK93" s="27"/>
      <c r="BL93" s="51"/>
      <c r="BM93" s="52"/>
      <c r="BN93" s="52"/>
      <c r="BO93" s="53">
        <f t="shared" si="62"/>
        <v>11.34</v>
      </c>
      <c r="BQ93" s="47">
        <v>45973</v>
      </c>
      <c r="BR93" s="57">
        <v>769.19</v>
      </c>
      <c r="BS93" s="57">
        <v>268.27999999999997</v>
      </c>
      <c r="BT93" s="58"/>
      <c r="BU93" s="61">
        <v>40</v>
      </c>
      <c r="BV93" s="27"/>
      <c r="BW93" s="51"/>
      <c r="BX93" s="52"/>
      <c r="BY93" s="52"/>
      <c r="BZ93" s="53">
        <f t="shared" si="63"/>
        <v>40</v>
      </c>
      <c r="CB93" s="47">
        <v>45973</v>
      </c>
      <c r="CC93" s="56">
        <v>21105.45</v>
      </c>
      <c r="CD93" s="57">
        <v>2131.08</v>
      </c>
      <c r="CE93" s="58"/>
      <c r="CF93" s="58"/>
      <c r="CG93" s="27"/>
      <c r="CH93" s="51"/>
      <c r="CI93" s="52"/>
      <c r="CJ93" s="52"/>
      <c r="CK93" s="53">
        <f t="shared" si="64"/>
        <v>0</v>
      </c>
      <c r="CM93" s="47">
        <v>45973</v>
      </c>
      <c r="CN93" s="56">
        <v>11328.93</v>
      </c>
      <c r="CO93" s="57">
        <v>1604</v>
      </c>
      <c r="CP93" s="58"/>
      <c r="CQ93" s="62"/>
      <c r="CR93" s="27"/>
      <c r="CS93" s="51"/>
      <c r="CT93" s="52"/>
      <c r="CU93" s="52"/>
      <c r="CV93" s="53">
        <f t="shared" si="65"/>
        <v>0</v>
      </c>
      <c r="CX93" s="47">
        <v>45973</v>
      </c>
      <c r="CY93" s="56">
        <v>4786.72</v>
      </c>
      <c r="CZ93" s="57">
        <v>646.54</v>
      </c>
      <c r="DA93" s="58"/>
      <c r="DB93" s="59"/>
      <c r="DC93" s="27"/>
      <c r="DD93" s="51"/>
      <c r="DE93" s="52"/>
      <c r="DF93" s="52"/>
      <c r="DG93" s="53">
        <f t="shared" si="66"/>
        <v>0</v>
      </c>
      <c r="DI93" s="103">
        <v>45973</v>
      </c>
      <c r="DJ93" s="64">
        <v>2343.11</v>
      </c>
      <c r="DK93" s="63"/>
      <c r="DL93" s="58"/>
      <c r="DM93" s="62"/>
      <c r="DN93" s="27"/>
      <c r="DO93" s="51"/>
      <c r="DP93" s="52"/>
      <c r="DQ93" s="52"/>
      <c r="DR93" s="53">
        <f t="shared" si="67"/>
        <v>0</v>
      </c>
      <c r="DT93" s="47">
        <v>45973</v>
      </c>
      <c r="DU93" s="56">
        <v>1743.3</v>
      </c>
      <c r="DV93" s="57">
        <v>250.42</v>
      </c>
      <c r="DW93" s="58"/>
      <c r="DX93" s="62"/>
      <c r="DY93" s="27"/>
      <c r="DZ93" s="51"/>
      <c r="EA93" s="52"/>
      <c r="EB93" s="52"/>
      <c r="EC93" s="53">
        <f t="shared" si="68"/>
        <v>0</v>
      </c>
      <c r="EE93" s="47">
        <v>45973</v>
      </c>
      <c r="EF93" s="56">
        <v>4073.84</v>
      </c>
      <c r="EG93" s="57">
        <v>1530.04</v>
      </c>
      <c r="EH93" s="58"/>
      <c r="EI93" s="59">
        <v>170.4</v>
      </c>
      <c r="EJ93" s="27"/>
      <c r="EK93" s="51"/>
      <c r="EL93" s="52"/>
      <c r="EM93" s="52"/>
      <c r="EN93" s="53">
        <f t="shared" si="69"/>
        <v>170.4</v>
      </c>
      <c r="EP93" s="47">
        <v>45973</v>
      </c>
      <c r="EQ93" s="64">
        <v>746.91</v>
      </c>
      <c r="ER93" s="56">
        <v>290.14</v>
      </c>
      <c r="ES93" s="58"/>
      <c r="ET93" s="62"/>
      <c r="EV93" s="51"/>
      <c r="EW93" s="52"/>
      <c r="EX93" s="52"/>
      <c r="EY93" s="53">
        <f t="shared" si="70"/>
        <v>0</v>
      </c>
    </row>
    <row r="94" spans="2:155" hidden="1" x14ac:dyDescent="0.25">
      <c r="B94" s="47">
        <v>45974</v>
      </c>
      <c r="C94" s="48">
        <v>21258.38</v>
      </c>
      <c r="D94" s="49">
        <v>3431.58</v>
      </c>
      <c r="E94" s="50">
        <v>2727.72</v>
      </c>
      <c r="F94" s="49">
        <v>552.41999999999996</v>
      </c>
      <c r="G94" s="50"/>
      <c r="H94" s="27"/>
      <c r="I94" s="51"/>
      <c r="J94" s="52"/>
      <c r="K94" s="52"/>
      <c r="L94" s="53">
        <f t="shared" si="57"/>
        <v>0</v>
      </c>
      <c r="N94" s="47">
        <v>45974</v>
      </c>
      <c r="O94" s="54">
        <v>4351.3</v>
      </c>
      <c r="P94" s="54">
        <v>523.73</v>
      </c>
      <c r="Q94" s="58"/>
      <c r="R94" s="69"/>
      <c r="S94" s="27"/>
      <c r="T94" s="51"/>
      <c r="U94" s="52"/>
      <c r="V94" s="52"/>
      <c r="W94" s="53">
        <f t="shared" si="58"/>
        <v>0</v>
      </c>
      <c r="Y94" s="47">
        <v>45974</v>
      </c>
      <c r="Z94" s="56">
        <v>4352.47</v>
      </c>
      <c r="AA94" s="57">
        <v>1238.08</v>
      </c>
      <c r="AB94" s="63"/>
      <c r="AC94" s="59">
        <v>62.03</v>
      </c>
      <c r="AD94" s="27"/>
      <c r="AE94" s="51"/>
      <c r="AF94" s="52"/>
      <c r="AG94" s="52"/>
      <c r="AH94" s="53">
        <f t="shared" si="59"/>
        <v>62.03</v>
      </c>
      <c r="AJ94" s="47">
        <v>45974</v>
      </c>
      <c r="AK94" s="56">
        <v>3627.63</v>
      </c>
      <c r="AL94" s="57">
        <v>331.41</v>
      </c>
      <c r="AM94" s="58"/>
      <c r="AN94" s="58"/>
      <c r="AO94" s="27"/>
      <c r="AP94" s="51"/>
      <c r="AQ94" s="52"/>
      <c r="AR94" s="52"/>
      <c r="AS94" s="53">
        <f t="shared" si="60"/>
        <v>0</v>
      </c>
      <c r="AU94" s="47">
        <v>45974</v>
      </c>
      <c r="AV94" s="57">
        <v>1900</v>
      </c>
      <c r="AW94" s="57">
        <v>0</v>
      </c>
      <c r="AX94" s="58"/>
      <c r="AY94" s="59"/>
      <c r="AZ94" s="27"/>
      <c r="BA94" s="51"/>
      <c r="BB94" s="52"/>
      <c r="BC94" s="52"/>
      <c r="BD94" s="53">
        <f t="shared" si="61"/>
        <v>0</v>
      </c>
      <c r="BF94" s="47">
        <v>45974</v>
      </c>
      <c r="BG94" s="56">
        <v>3498.17</v>
      </c>
      <c r="BH94" s="57">
        <v>634.61</v>
      </c>
      <c r="BI94" s="58"/>
      <c r="BJ94" s="59">
        <v>28.28</v>
      </c>
      <c r="BK94" s="27"/>
      <c r="BL94" s="51"/>
      <c r="BM94" s="52"/>
      <c r="BN94" s="52"/>
      <c r="BO94" s="53">
        <f t="shared" si="62"/>
        <v>28.28</v>
      </c>
      <c r="BQ94" s="47">
        <v>45974</v>
      </c>
      <c r="BR94" s="57">
        <v>346.42</v>
      </c>
      <c r="BS94" s="57">
        <v>430.33</v>
      </c>
      <c r="BT94" s="58"/>
      <c r="BU94" s="61">
        <v>16</v>
      </c>
      <c r="BV94" s="27"/>
      <c r="BW94" s="51"/>
      <c r="BX94" s="52"/>
      <c r="BY94" s="52"/>
      <c r="BZ94" s="53">
        <f t="shared" si="63"/>
        <v>16</v>
      </c>
      <c r="CB94" s="47">
        <v>45974</v>
      </c>
      <c r="CC94" s="56">
        <v>18825.490000000002</v>
      </c>
      <c r="CD94" s="57">
        <v>1931.73</v>
      </c>
      <c r="CE94" s="58"/>
      <c r="CF94" s="58"/>
      <c r="CG94" s="27"/>
      <c r="CH94" s="51"/>
      <c r="CI94" s="52"/>
      <c r="CJ94" s="52"/>
      <c r="CK94" s="53">
        <f t="shared" si="64"/>
        <v>0</v>
      </c>
      <c r="CM94" s="47">
        <v>45974</v>
      </c>
      <c r="CN94" s="56">
        <v>9456.3700000000008</v>
      </c>
      <c r="CO94" s="57">
        <v>2130.33</v>
      </c>
      <c r="CP94" s="58"/>
      <c r="CQ94" s="62"/>
      <c r="CR94" s="27"/>
      <c r="CS94" s="51"/>
      <c r="CT94" s="52"/>
      <c r="CU94" s="52"/>
      <c r="CV94" s="53">
        <f t="shared" si="65"/>
        <v>0</v>
      </c>
      <c r="CX94" s="47">
        <v>45974</v>
      </c>
      <c r="CY94" s="56">
        <v>4680.76</v>
      </c>
      <c r="CZ94" s="57">
        <v>895.47</v>
      </c>
      <c r="DA94" s="58"/>
      <c r="DB94" s="59"/>
      <c r="DC94" s="27"/>
      <c r="DD94" s="51"/>
      <c r="DE94" s="52"/>
      <c r="DF94" s="52"/>
      <c r="DG94" s="53">
        <f t="shared" si="66"/>
        <v>0</v>
      </c>
      <c r="DI94" s="103">
        <v>45974</v>
      </c>
      <c r="DJ94" s="64">
        <v>1632.49</v>
      </c>
      <c r="DK94" s="63"/>
      <c r="DL94" s="58"/>
      <c r="DM94" s="62"/>
      <c r="DN94" s="27"/>
      <c r="DO94" s="51"/>
      <c r="DP94" s="52"/>
      <c r="DQ94" s="52"/>
      <c r="DR94" s="53">
        <f t="shared" si="67"/>
        <v>0</v>
      </c>
      <c r="DT94" s="47">
        <v>45974</v>
      </c>
      <c r="DU94" s="56">
        <v>1669.61</v>
      </c>
      <c r="DV94" s="57">
        <v>201.64</v>
      </c>
      <c r="DW94" s="58"/>
      <c r="DX94" s="62"/>
      <c r="DY94" s="27"/>
      <c r="DZ94" s="51"/>
      <c r="EA94" s="52"/>
      <c r="EB94" s="52"/>
      <c r="EC94" s="53">
        <f t="shared" si="68"/>
        <v>0</v>
      </c>
      <c r="EE94" s="47">
        <v>45974</v>
      </c>
      <c r="EF94" s="56">
        <v>4501.3500000000004</v>
      </c>
      <c r="EG94" s="57">
        <v>1715.29</v>
      </c>
      <c r="EH94" s="58"/>
      <c r="EI94" s="59">
        <v>142.07</v>
      </c>
      <c r="EJ94" s="27"/>
      <c r="EK94" s="51"/>
      <c r="EL94" s="52"/>
      <c r="EM94" s="52"/>
      <c r="EN94" s="53">
        <f t="shared" si="69"/>
        <v>142.07</v>
      </c>
      <c r="EP94" s="47">
        <v>45974</v>
      </c>
      <c r="EQ94" s="64">
        <v>895.6</v>
      </c>
      <c r="ER94" s="56">
        <v>667.51</v>
      </c>
      <c r="ES94" s="58"/>
      <c r="ET94" s="62"/>
      <c r="EV94" s="51"/>
      <c r="EW94" s="52"/>
      <c r="EX94" s="52"/>
      <c r="EY94" s="53">
        <f t="shared" si="70"/>
        <v>0</v>
      </c>
    </row>
    <row r="95" spans="2:155" hidden="1" x14ac:dyDescent="0.25">
      <c r="B95" s="47">
        <v>45975</v>
      </c>
      <c r="C95" s="48">
        <v>17368.41</v>
      </c>
      <c r="D95" s="49">
        <v>3535.95</v>
      </c>
      <c r="E95" s="50">
        <v>3043.13</v>
      </c>
      <c r="F95" s="49">
        <v>479.47</v>
      </c>
      <c r="G95" s="50"/>
      <c r="H95" s="27"/>
      <c r="I95" s="51"/>
      <c r="J95" s="52"/>
      <c r="K95" s="52"/>
      <c r="L95" s="53">
        <f t="shared" si="57"/>
        <v>0</v>
      </c>
      <c r="N95" s="47">
        <v>45975</v>
      </c>
      <c r="O95" s="54">
        <v>2940.73</v>
      </c>
      <c r="P95" s="54">
        <v>250.84</v>
      </c>
      <c r="Q95" s="58"/>
      <c r="R95" s="55">
        <v>26</v>
      </c>
      <c r="S95" s="27"/>
      <c r="T95" s="51"/>
      <c r="U95" s="52"/>
      <c r="V95" s="52"/>
      <c r="W95" s="53">
        <f t="shared" si="58"/>
        <v>26</v>
      </c>
      <c r="Y95" s="47">
        <v>45975</v>
      </c>
      <c r="Z95" s="56">
        <v>4621.76</v>
      </c>
      <c r="AA95" s="57">
        <v>1413.03</v>
      </c>
      <c r="AB95" s="63"/>
      <c r="AC95" s="59">
        <v>191.04</v>
      </c>
      <c r="AD95" s="27"/>
      <c r="AE95" s="51"/>
      <c r="AF95" s="52"/>
      <c r="AG95" s="52"/>
      <c r="AH95" s="53">
        <f t="shared" si="59"/>
        <v>191.04</v>
      </c>
      <c r="AJ95" s="47">
        <v>45975</v>
      </c>
      <c r="AK95" s="56">
        <v>4397.1899999999996</v>
      </c>
      <c r="AL95" s="57">
        <v>699.6</v>
      </c>
      <c r="AM95" s="58"/>
      <c r="AN95" s="58"/>
      <c r="AO95" s="27"/>
      <c r="AP95" s="51"/>
      <c r="AQ95" s="52"/>
      <c r="AR95" s="52"/>
      <c r="AS95" s="53">
        <f t="shared" si="60"/>
        <v>0</v>
      </c>
      <c r="AU95" s="47">
        <v>45975</v>
      </c>
      <c r="AV95" s="57">
        <v>233</v>
      </c>
      <c r="AW95" s="57">
        <v>32</v>
      </c>
      <c r="AX95" s="58"/>
      <c r="AY95" s="59"/>
      <c r="AZ95" s="27"/>
      <c r="BA95" s="51"/>
      <c r="BB95" s="52"/>
      <c r="BC95" s="52"/>
      <c r="BD95" s="53">
        <f t="shared" si="61"/>
        <v>0</v>
      </c>
      <c r="BF95" s="47">
        <v>45975</v>
      </c>
      <c r="BG95" s="56">
        <v>4138.9399999999996</v>
      </c>
      <c r="BH95" s="57">
        <v>488.73</v>
      </c>
      <c r="BI95" s="58"/>
      <c r="BJ95" s="59"/>
      <c r="BK95" s="27"/>
      <c r="BL95" s="51"/>
      <c r="BM95" s="52"/>
      <c r="BN95" s="52"/>
      <c r="BO95" s="53">
        <f t="shared" si="62"/>
        <v>0</v>
      </c>
      <c r="BQ95" s="47">
        <v>45975</v>
      </c>
      <c r="BR95" s="57">
        <v>599.94000000000005</v>
      </c>
      <c r="BS95" s="57">
        <v>749.21</v>
      </c>
      <c r="BT95" s="58"/>
      <c r="BU95" s="61">
        <v>32</v>
      </c>
      <c r="BV95" s="27"/>
      <c r="BW95" s="51"/>
      <c r="BX95" s="52"/>
      <c r="BY95" s="52"/>
      <c r="BZ95" s="53">
        <f t="shared" si="63"/>
        <v>32</v>
      </c>
      <c r="CB95" s="47">
        <v>45975</v>
      </c>
      <c r="CC95" s="56">
        <v>20262.689999999999</v>
      </c>
      <c r="CD95" s="57">
        <v>1877.34</v>
      </c>
      <c r="CE95" s="58"/>
      <c r="CF95" s="58"/>
      <c r="CG95" s="27"/>
      <c r="CH95" s="51"/>
      <c r="CI95" s="52"/>
      <c r="CJ95" s="52"/>
      <c r="CK95" s="53">
        <f t="shared" si="64"/>
        <v>0</v>
      </c>
      <c r="CM95" s="47">
        <v>45975</v>
      </c>
      <c r="CN95" s="56">
        <v>11146.77</v>
      </c>
      <c r="CO95" s="57">
        <v>2005.32</v>
      </c>
      <c r="CP95" s="58"/>
      <c r="CQ95" s="62"/>
      <c r="CR95" s="27"/>
      <c r="CS95" s="51"/>
      <c r="CT95" s="52"/>
      <c r="CU95" s="52"/>
      <c r="CV95" s="53">
        <f t="shared" si="65"/>
        <v>0</v>
      </c>
      <c r="CX95" s="47">
        <v>45975</v>
      </c>
      <c r="CY95" s="56">
        <v>4220.12</v>
      </c>
      <c r="CZ95" s="57">
        <v>988.34</v>
      </c>
      <c r="DA95" s="58"/>
      <c r="DB95" s="59"/>
      <c r="DC95" s="27"/>
      <c r="DD95" s="51"/>
      <c r="DE95" s="52"/>
      <c r="DF95" s="52"/>
      <c r="DG95" s="53">
        <f t="shared" si="66"/>
        <v>0</v>
      </c>
      <c r="DI95" s="103">
        <v>45975</v>
      </c>
      <c r="DJ95" s="64">
        <v>1941.53</v>
      </c>
      <c r="DK95" s="63"/>
      <c r="DL95" s="58"/>
      <c r="DM95" s="62"/>
      <c r="DN95" s="27"/>
      <c r="DO95" s="51"/>
      <c r="DP95" s="52"/>
      <c r="DQ95" s="52"/>
      <c r="DR95" s="53">
        <f t="shared" si="67"/>
        <v>0</v>
      </c>
      <c r="DT95" s="47">
        <v>45975</v>
      </c>
      <c r="DU95" s="56">
        <v>1366.04</v>
      </c>
      <c r="DV95" s="57">
        <v>230.18</v>
      </c>
      <c r="DW95" s="58"/>
      <c r="DX95" s="62"/>
      <c r="DY95" s="27"/>
      <c r="DZ95" s="51"/>
      <c r="EA95" s="52"/>
      <c r="EB95" s="52"/>
      <c r="EC95" s="53">
        <f t="shared" si="68"/>
        <v>0</v>
      </c>
      <c r="EE95" s="47">
        <v>45975</v>
      </c>
      <c r="EF95" s="56">
        <v>6595.57</v>
      </c>
      <c r="EG95" s="57">
        <v>1423.94</v>
      </c>
      <c r="EH95" s="58"/>
      <c r="EI95" s="59">
        <v>70.010000000000005</v>
      </c>
      <c r="EJ95" s="27"/>
      <c r="EK95" s="51"/>
      <c r="EL95" s="52"/>
      <c r="EM95" s="52"/>
      <c r="EN95" s="53">
        <f t="shared" si="69"/>
        <v>70.010000000000005</v>
      </c>
      <c r="EP95" s="47">
        <v>45975</v>
      </c>
      <c r="EQ95" s="64">
        <v>681.25</v>
      </c>
      <c r="ER95" s="56">
        <v>474.39</v>
      </c>
      <c r="ES95" s="58"/>
      <c r="ET95" s="62"/>
      <c r="EV95" s="51"/>
      <c r="EW95" s="52"/>
      <c r="EX95" s="52"/>
      <c r="EY95" s="53">
        <f t="shared" si="70"/>
        <v>0</v>
      </c>
    </row>
    <row r="96" spans="2:155" hidden="1" x14ac:dyDescent="0.25">
      <c r="B96" s="47">
        <v>45976</v>
      </c>
      <c r="C96" s="48">
        <v>18295.05</v>
      </c>
      <c r="D96" s="49">
        <v>2944.28</v>
      </c>
      <c r="E96" s="50">
        <v>3735.43</v>
      </c>
      <c r="F96" s="49">
        <v>314.47000000000003</v>
      </c>
      <c r="G96" s="50"/>
      <c r="H96" s="27"/>
      <c r="I96" s="51"/>
      <c r="J96" s="52"/>
      <c r="K96" s="52"/>
      <c r="L96" s="53">
        <f t="shared" si="57"/>
        <v>0</v>
      </c>
      <c r="N96" s="47">
        <v>45976</v>
      </c>
      <c r="O96" s="54">
        <v>3368.24</v>
      </c>
      <c r="P96" s="54">
        <v>524.45000000000005</v>
      </c>
      <c r="Q96" s="58"/>
      <c r="R96" s="55">
        <v>30.35</v>
      </c>
      <c r="S96" s="27"/>
      <c r="T96" s="51"/>
      <c r="U96" s="52"/>
      <c r="V96" s="52"/>
      <c r="W96" s="53">
        <f t="shared" si="58"/>
        <v>30.35</v>
      </c>
      <c r="Y96" s="47">
        <v>45976</v>
      </c>
      <c r="Z96" s="56">
        <v>4972.07</v>
      </c>
      <c r="AA96" s="57">
        <v>1704.38</v>
      </c>
      <c r="AB96" s="63"/>
      <c r="AC96" s="59">
        <v>72.73</v>
      </c>
      <c r="AD96" s="27"/>
      <c r="AE96" s="51"/>
      <c r="AF96" s="52"/>
      <c r="AG96" s="52"/>
      <c r="AH96" s="53">
        <f t="shared" si="59"/>
        <v>72.73</v>
      </c>
      <c r="AJ96" s="47">
        <v>45976</v>
      </c>
      <c r="AK96" s="56">
        <v>3808.75</v>
      </c>
      <c r="AL96" s="57">
        <v>805.42</v>
      </c>
      <c r="AM96" s="58"/>
      <c r="AN96" s="58"/>
      <c r="AO96" s="27"/>
      <c r="AP96" s="51"/>
      <c r="AQ96" s="52"/>
      <c r="AR96" s="52"/>
      <c r="AS96" s="53">
        <f t="shared" si="60"/>
        <v>0</v>
      </c>
      <c r="AU96" s="47">
        <v>45976</v>
      </c>
      <c r="AV96" s="57">
        <v>2904.89</v>
      </c>
      <c r="AW96" s="57">
        <v>28.06</v>
      </c>
      <c r="AX96" s="58"/>
      <c r="AY96" s="59">
        <v>117</v>
      </c>
      <c r="AZ96" s="27"/>
      <c r="BA96" s="51"/>
      <c r="BB96" s="52"/>
      <c r="BC96" s="52"/>
      <c r="BD96" s="53">
        <f t="shared" si="61"/>
        <v>117</v>
      </c>
      <c r="BF96" s="47">
        <v>45976</v>
      </c>
      <c r="BG96" s="56">
        <v>4746.3</v>
      </c>
      <c r="BH96" s="57">
        <v>784.92</v>
      </c>
      <c r="BI96" s="58"/>
      <c r="BJ96" s="59"/>
      <c r="BK96" s="27"/>
      <c r="BL96" s="51"/>
      <c r="BM96" s="52"/>
      <c r="BN96" s="52"/>
      <c r="BO96" s="53">
        <f t="shared" si="62"/>
        <v>0</v>
      </c>
      <c r="BQ96" s="47">
        <v>45976</v>
      </c>
      <c r="BR96" s="57">
        <v>1049.1400000000001</v>
      </c>
      <c r="BS96" s="57">
        <v>603.27</v>
      </c>
      <c r="BT96" s="58"/>
      <c r="BU96" s="61"/>
      <c r="BV96" s="27"/>
      <c r="BW96" s="51"/>
      <c r="BX96" s="52"/>
      <c r="BY96" s="52"/>
      <c r="BZ96" s="53">
        <f t="shared" si="63"/>
        <v>0</v>
      </c>
      <c r="CB96" s="47">
        <v>45976</v>
      </c>
      <c r="CC96" s="56">
        <v>23670.48</v>
      </c>
      <c r="CD96" s="57">
        <v>2822.57</v>
      </c>
      <c r="CE96" s="58"/>
      <c r="CF96" s="58"/>
      <c r="CG96" s="27"/>
      <c r="CH96" s="51"/>
      <c r="CI96" s="52"/>
      <c r="CJ96" s="52"/>
      <c r="CK96" s="53">
        <f t="shared" si="64"/>
        <v>0</v>
      </c>
      <c r="CM96" s="47">
        <v>45976</v>
      </c>
      <c r="CN96" s="56">
        <v>9320.6200000000008</v>
      </c>
      <c r="CO96" s="57">
        <v>1719.15</v>
      </c>
      <c r="CP96" s="58"/>
      <c r="CQ96" s="62"/>
      <c r="CR96" s="27"/>
      <c r="CS96" s="51"/>
      <c r="CT96" s="52"/>
      <c r="CU96" s="52"/>
      <c r="CV96" s="53">
        <f t="shared" si="65"/>
        <v>0</v>
      </c>
      <c r="CX96" s="47">
        <v>45976</v>
      </c>
      <c r="CY96" s="56">
        <v>5179.8900000000003</v>
      </c>
      <c r="CZ96" s="57">
        <v>1013.34</v>
      </c>
      <c r="DA96" s="58"/>
      <c r="DB96" s="59"/>
      <c r="DC96" s="27"/>
      <c r="DD96" s="51"/>
      <c r="DE96" s="52"/>
      <c r="DF96" s="52"/>
      <c r="DG96" s="53">
        <f t="shared" si="66"/>
        <v>0</v>
      </c>
      <c r="DI96" s="103">
        <v>45976</v>
      </c>
      <c r="DJ96" s="64">
        <v>1533.95</v>
      </c>
      <c r="DK96" s="63"/>
      <c r="DL96" s="58"/>
      <c r="DM96" s="62"/>
      <c r="DN96" s="27"/>
      <c r="DO96" s="51"/>
      <c r="DP96" s="52"/>
      <c r="DQ96" s="52"/>
      <c r="DR96" s="53">
        <f t="shared" si="67"/>
        <v>0</v>
      </c>
      <c r="DT96" s="47">
        <v>45976</v>
      </c>
      <c r="DU96" s="56">
        <v>1474.19</v>
      </c>
      <c r="DV96" s="57">
        <v>454.97</v>
      </c>
      <c r="DW96" s="58"/>
      <c r="DX96" s="62"/>
      <c r="DY96" s="27"/>
      <c r="DZ96" s="51"/>
      <c r="EA96" s="52"/>
      <c r="EB96" s="52"/>
      <c r="EC96" s="53">
        <f t="shared" si="68"/>
        <v>0</v>
      </c>
      <c r="EE96" s="47">
        <v>45976</v>
      </c>
      <c r="EF96" s="56">
        <v>6872.9</v>
      </c>
      <c r="EG96" s="57">
        <v>1874.69</v>
      </c>
      <c r="EH96" s="58"/>
      <c r="EI96" s="59">
        <v>176.4</v>
      </c>
      <c r="EJ96" s="27"/>
      <c r="EK96" s="51"/>
      <c r="EL96" s="52"/>
      <c r="EM96" s="52"/>
      <c r="EN96" s="53">
        <f t="shared" si="69"/>
        <v>176.4</v>
      </c>
      <c r="EP96" s="47">
        <v>45976</v>
      </c>
      <c r="EQ96" s="64">
        <v>922.94</v>
      </c>
      <c r="ER96" s="56">
        <v>751.7</v>
      </c>
      <c r="ES96" s="58"/>
      <c r="ET96" s="62"/>
      <c r="EV96" s="51"/>
      <c r="EW96" s="52"/>
      <c r="EX96" s="52"/>
      <c r="EY96" s="53">
        <f t="shared" si="70"/>
        <v>0</v>
      </c>
    </row>
    <row r="97" spans="2:155" hidden="1" x14ac:dyDescent="0.25">
      <c r="B97" s="47">
        <v>45977</v>
      </c>
      <c r="C97" s="48">
        <v>16707.37</v>
      </c>
      <c r="D97" s="49">
        <v>2890.24</v>
      </c>
      <c r="E97" s="50">
        <v>2242.56</v>
      </c>
      <c r="F97" s="49">
        <v>280.83</v>
      </c>
      <c r="G97" s="50"/>
      <c r="H97" s="27"/>
      <c r="I97" s="51"/>
      <c r="J97" s="52"/>
      <c r="K97" s="52"/>
      <c r="L97" s="53">
        <f t="shared" si="57"/>
        <v>0</v>
      </c>
      <c r="N97" s="47">
        <v>45977</v>
      </c>
      <c r="O97" s="54">
        <v>2923.54</v>
      </c>
      <c r="P97" s="54">
        <v>334.02</v>
      </c>
      <c r="Q97" s="58"/>
      <c r="R97" s="55"/>
      <c r="S97" s="27"/>
      <c r="T97" s="51"/>
      <c r="U97" s="52"/>
      <c r="V97" s="52"/>
      <c r="W97" s="53">
        <f t="shared" si="58"/>
        <v>0</v>
      </c>
      <c r="Y97" s="47">
        <v>45977</v>
      </c>
      <c r="Z97" s="56">
        <v>4550.66</v>
      </c>
      <c r="AA97" s="57">
        <v>963.72</v>
      </c>
      <c r="AB97" s="63"/>
      <c r="AC97" s="59">
        <v>116.58</v>
      </c>
      <c r="AD97" s="27"/>
      <c r="AE97" s="51"/>
      <c r="AF97" s="52"/>
      <c r="AG97" s="52"/>
      <c r="AH97" s="53">
        <f t="shared" si="59"/>
        <v>116.58</v>
      </c>
      <c r="AJ97" s="47">
        <v>45977</v>
      </c>
      <c r="AK97" s="56">
        <v>2487.92</v>
      </c>
      <c r="AL97" s="57">
        <v>361.62</v>
      </c>
      <c r="AM97" s="58"/>
      <c r="AN97" s="58"/>
      <c r="AO97" s="27"/>
      <c r="AP97" s="51"/>
      <c r="AQ97" s="52"/>
      <c r="AR97" s="52"/>
      <c r="AS97" s="53">
        <f t="shared" si="60"/>
        <v>0</v>
      </c>
      <c r="AU97" s="47">
        <v>45977</v>
      </c>
      <c r="AV97" s="57">
        <v>335</v>
      </c>
      <c r="AW97" s="57">
        <v>0</v>
      </c>
      <c r="AX97" s="58"/>
      <c r="AY97" s="59"/>
      <c r="AZ97" s="27"/>
      <c r="BA97" s="51"/>
      <c r="BB97" s="52"/>
      <c r="BC97" s="52"/>
      <c r="BD97" s="53">
        <f t="shared" si="61"/>
        <v>0</v>
      </c>
      <c r="BF97" s="47">
        <v>45977</v>
      </c>
      <c r="BG97" s="56">
        <v>2675.02</v>
      </c>
      <c r="BH97" s="57">
        <v>495.3</v>
      </c>
      <c r="BI97" s="58"/>
      <c r="BJ97" s="59"/>
      <c r="BK97" s="27"/>
      <c r="BL97" s="51"/>
      <c r="BM97" s="52"/>
      <c r="BN97" s="52"/>
      <c r="BO97" s="53">
        <f t="shared" si="62"/>
        <v>0</v>
      </c>
      <c r="BQ97" s="47">
        <v>45977</v>
      </c>
      <c r="BR97" s="57">
        <v>489.76</v>
      </c>
      <c r="BS97" s="57">
        <v>513</v>
      </c>
      <c r="BT97" s="58"/>
      <c r="BU97" s="61"/>
      <c r="BV97" s="27"/>
      <c r="BW97" s="51"/>
      <c r="BX97" s="52"/>
      <c r="BY97" s="52"/>
      <c r="BZ97" s="53">
        <f t="shared" si="63"/>
        <v>0</v>
      </c>
      <c r="CB97" s="47">
        <v>45977</v>
      </c>
      <c r="CC97" s="56">
        <v>17644.14</v>
      </c>
      <c r="CD97" s="57">
        <v>2160.91</v>
      </c>
      <c r="CE97" s="58"/>
      <c r="CF97" s="58"/>
      <c r="CG97" s="27"/>
      <c r="CH97" s="51"/>
      <c r="CI97" s="52"/>
      <c r="CJ97" s="52"/>
      <c r="CK97" s="53">
        <f t="shared" si="64"/>
        <v>0</v>
      </c>
      <c r="CM97" s="47">
        <v>45977</v>
      </c>
      <c r="CN97" s="56">
        <v>6193.56</v>
      </c>
      <c r="CO97" s="57">
        <v>1361.1</v>
      </c>
      <c r="CP97" s="58"/>
      <c r="CQ97" s="62"/>
      <c r="CR97" s="27"/>
      <c r="CS97" s="51"/>
      <c r="CT97" s="52"/>
      <c r="CU97" s="52"/>
      <c r="CV97" s="53">
        <f t="shared" si="65"/>
        <v>0</v>
      </c>
      <c r="CX97" s="47">
        <v>45977</v>
      </c>
      <c r="CY97" s="56">
        <v>3358.21</v>
      </c>
      <c r="CZ97" s="57">
        <v>898.56</v>
      </c>
      <c r="DA97" s="58"/>
      <c r="DB97" s="59"/>
      <c r="DC97" s="27"/>
      <c r="DD97" s="51"/>
      <c r="DE97" s="52"/>
      <c r="DF97" s="52"/>
      <c r="DG97" s="53">
        <f t="shared" si="66"/>
        <v>0</v>
      </c>
      <c r="DI97" s="103">
        <v>45977</v>
      </c>
      <c r="DJ97" s="64">
        <v>1878.95</v>
      </c>
      <c r="DK97" s="63"/>
      <c r="DL97" s="58"/>
      <c r="DM97" s="62"/>
      <c r="DN97" s="27"/>
      <c r="DO97" s="51"/>
      <c r="DP97" s="52"/>
      <c r="DQ97" s="52"/>
      <c r="DR97" s="53">
        <f t="shared" si="67"/>
        <v>0</v>
      </c>
      <c r="DT97" s="47">
        <v>45977</v>
      </c>
      <c r="DU97" s="56">
        <v>2080.7399999999998</v>
      </c>
      <c r="DV97" s="57">
        <v>361.78</v>
      </c>
      <c r="DW97" s="58"/>
      <c r="DX97" s="62"/>
      <c r="DY97" s="27"/>
      <c r="DZ97" s="51"/>
      <c r="EA97" s="52"/>
      <c r="EB97" s="52"/>
      <c r="EC97" s="53">
        <f t="shared" si="68"/>
        <v>0</v>
      </c>
      <c r="EE97" s="47">
        <v>45977</v>
      </c>
      <c r="EF97" s="56">
        <v>4218.7299999999996</v>
      </c>
      <c r="EG97" s="57">
        <v>1232.6199999999999</v>
      </c>
      <c r="EH97" s="58"/>
      <c r="EI97" s="59">
        <v>77.52</v>
      </c>
      <c r="EJ97" s="27"/>
      <c r="EK97" s="51"/>
      <c r="EL97" s="52"/>
      <c r="EM97" s="52"/>
      <c r="EN97" s="53">
        <f t="shared" si="69"/>
        <v>77.52</v>
      </c>
      <c r="EP97" s="47">
        <v>45977</v>
      </c>
      <c r="EQ97" s="64">
        <v>357.69</v>
      </c>
      <c r="ER97" s="56">
        <v>561.78</v>
      </c>
      <c r="ES97" s="58"/>
      <c r="ET97" s="62"/>
      <c r="EV97" s="51"/>
      <c r="EW97" s="52"/>
      <c r="EX97" s="52"/>
      <c r="EY97" s="53">
        <f t="shared" si="70"/>
        <v>0</v>
      </c>
    </row>
    <row r="98" spans="2:155" hidden="1" x14ac:dyDescent="0.25">
      <c r="B98" s="47">
        <v>45978</v>
      </c>
      <c r="C98" s="48">
        <v>18331.25</v>
      </c>
      <c r="D98" s="49">
        <v>3010.72</v>
      </c>
      <c r="E98" s="50">
        <v>3912.33</v>
      </c>
      <c r="F98" s="49">
        <v>516.35</v>
      </c>
      <c r="G98" s="50"/>
      <c r="H98" s="27"/>
      <c r="I98" s="51"/>
      <c r="J98" s="52"/>
      <c r="K98" s="52"/>
      <c r="L98" s="53">
        <f t="shared" si="57"/>
        <v>0</v>
      </c>
      <c r="N98" s="47">
        <v>45978</v>
      </c>
      <c r="O98" s="54">
        <v>6257.8</v>
      </c>
      <c r="P98" s="54">
        <v>264.49</v>
      </c>
      <c r="Q98" s="58"/>
      <c r="R98" s="55"/>
      <c r="S98" s="27"/>
      <c r="T98" s="51"/>
      <c r="U98" s="52"/>
      <c r="V98" s="52"/>
      <c r="W98" s="53">
        <f t="shared" si="58"/>
        <v>0</v>
      </c>
      <c r="Y98" s="47">
        <v>45978</v>
      </c>
      <c r="Z98" s="56">
        <v>5220.21</v>
      </c>
      <c r="AA98" s="57">
        <v>1353.28</v>
      </c>
      <c r="AB98" s="63"/>
      <c r="AC98" s="59">
        <v>180.77</v>
      </c>
      <c r="AD98" s="27"/>
      <c r="AE98" s="51"/>
      <c r="AF98" s="52"/>
      <c r="AG98" s="52"/>
      <c r="AH98" s="53">
        <f t="shared" si="59"/>
        <v>180.77</v>
      </c>
      <c r="AJ98" s="47">
        <v>45978</v>
      </c>
      <c r="AK98" s="56">
        <v>3978.5</v>
      </c>
      <c r="AL98" s="57">
        <v>385.51</v>
      </c>
      <c r="AM98" s="58"/>
      <c r="AN98" s="58"/>
      <c r="AO98" s="27"/>
      <c r="AP98" s="51"/>
      <c r="AQ98" s="52"/>
      <c r="AR98" s="52"/>
      <c r="AS98" s="53">
        <f t="shared" si="60"/>
        <v>0</v>
      </c>
      <c r="AU98" s="47">
        <v>45978</v>
      </c>
      <c r="AV98" s="57">
        <v>1594.38</v>
      </c>
      <c r="AW98" s="57">
        <v>20</v>
      </c>
      <c r="AX98" s="58"/>
      <c r="AY98" s="59">
        <v>109.2</v>
      </c>
      <c r="AZ98" s="27"/>
      <c r="BA98" s="51"/>
      <c r="BB98" s="52"/>
      <c r="BC98" s="52"/>
      <c r="BD98" s="53">
        <f t="shared" si="61"/>
        <v>109.2</v>
      </c>
      <c r="BF98" s="47">
        <v>45978</v>
      </c>
      <c r="BG98" s="56">
        <v>2991.01</v>
      </c>
      <c r="BH98" s="57">
        <v>979.83</v>
      </c>
      <c r="BI98" s="58"/>
      <c r="BJ98" s="59"/>
      <c r="BK98" s="27"/>
      <c r="BL98" s="51"/>
      <c r="BM98" s="52"/>
      <c r="BN98" s="52"/>
      <c r="BO98" s="53">
        <f t="shared" si="62"/>
        <v>0</v>
      </c>
      <c r="BQ98" s="47">
        <v>45978</v>
      </c>
      <c r="BR98" s="57">
        <v>447.71</v>
      </c>
      <c r="BS98" s="57">
        <v>590.95000000000005</v>
      </c>
      <c r="BT98" s="58"/>
      <c r="BU98" s="61"/>
      <c r="BV98" s="27"/>
      <c r="BW98" s="51"/>
      <c r="BX98" s="52"/>
      <c r="BY98" s="52"/>
      <c r="BZ98" s="53">
        <f t="shared" si="63"/>
        <v>0</v>
      </c>
      <c r="CB98" s="47">
        <v>45978</v>
      </c>
      <c r="CC98" s="56">
        <v>14551.78</v>
      </c>
      <c r="CD98" s="57">
        <v>2028.46</v>
      </c>
      <c r="CE98" s="58"/>
      <c r="CF98" s="58"/>
      <c r="CG98" s="27"/>
      <c r="CH98" s="51"/>
      <c r="CI98" s="52"/>
      <c r="CJ98" s="52"/>
      <c r="CK98" s="53">
        <f t="shared" si="64"/>
        <v>0</v>
      </c>
      <c r="CM98" s="47">
        <v>45978</v>
      </c>
      <c r="CN98" s="56">
        <v>8466.18</v>
      </c>
      <c r="CO98" s="57">
        <v>1919.06</v>
      </c>
      <c r="CP98" s="58"/>
      <c r="CQ98" s="62"/>
      <c r="CR98" s="27"/>
      <c r="CS98" s="51"/>
      <c r="CT98" s="52"/>
      <c r="CU98" s="52"/>
      <c r="CV98" s="53">
        <f t="shared" si="65"/>
        <v>0</v>
      </c>
      <c r="CX98" s="47">
        <v>45978</v>
      </c>
      <c r="CY98" s="56">
        <v>3576.96</v>
      </c>
      <c r="CZ98" s="57">
        <v>1043.67</v>
      </c>
      <c r="DA98" s="58"/>
      <c r="DB98" s="59">
        <v>8.69</v>
      </c>
      <c r="DC98" s="27"/>
      <c r="DD98" s="51"/>
      <c r="DE98" s="52"/>
      <c r="DF98" s="52"/>
      <c r="DG98" s="53">
        <f t="shared" si="66"/>
        <v>8.69</v>
      </c>
      <c r="DI98" s="103">
        <v>45978</v>
      </c>
      <c r="DJ98" s="64">
        <v>1456.42</v>
      </c>
      <c r="DK98" s="63"/>
      <c r="DL98" s="58"/>
      <c r="DM98" s="62"/>
      <c r="DN98" s="27"/>
      <c r="DO98" s="51"/>
      <c r="DP98" s="52"/>
      <c r="DQ98" s="52"/>
      <c r="DR98" s="53">
        <f t="shared" si="67"/>
        <v>0</v>
      </c>
      <c r="DT98" s="47">
        <v>45978</v>
      </c>
      <c r="DU98" s="56">
        <v>1021.02</v>
      </c>
      <c r="DV98" s="57">
        <v>261</v>
      </c>
      <c r="DW98" s="58"/>
      <c r="DX98" s="62"/>
      <c r="DY98" s="27"/>
      <c r="DZ98" s="51"/>
      <c r="EA98" s="52"/>
      <c r="EB98" s="52"/>
      <c r="EC98" s="53">
        <f t="shared" si="68"/>
        <v>0</v>
      </c>
      <c r="EE98" s="47">
        <v>45978</v>
      </c>
      <c r="EF98" s="56">
        <v>5015.59</v>
      </c>
      <c r="EG98" s="57">
        <v>1712</v>
      </c>
      <c r="EH98" s="58"/>
      <c r="EI98" s="59">
        <v>104.24</v>
      </c>
      <c r="EJ98" s="27"/>
      <c r="EK98" s="51"/>
      <c r="EL98" s="52"/>
      <c r="EM98" s="52"/>
      <c r="EN98" s="53">
        <f t="shared" si="69"/>
        <v>104.24</v>
      </c>
      <c r="EP98" s="47">
        <v>45978</v>
      </c>
      <c r="EQ98" s="64">
        <v>963.17</v>
      </c>
      <c r="ER98" s="56">
        <v>547.24</v>
      </c>
      <c r="ES98" s="58"/>
      <c r="ET98" s="62"/>
      <c r="EV98" s="51"/>
      <c r="EW98" s="52"/>
      <c r="EX98" s="52"/>
      <c r="EY98" s="53">
        <f t="shared" si="70"/>
        <v>0</v>
      </c>
    </row>
    <row r="99" spans="2:155" hidden="1" x14ac:dyDescent="0.25">
      <c r="B99" s="47">
        <v>45979</v>
      </c>
      <c r="C99" s="48">
        <v>17505.16</v>
      </c>
      <c r="D99" s="49">
        <v>3337.1</v>
      </c>
      <c r="E99" s="50">
        <v>4530.3900000000003</v>
      </c>
      <c r="F99" s="49">
        <v>531.04</v>
      </c>
      <c r="G99" s="50"/>
      <c r="H99" s="27"/>
      <c r="I99" s="51"/>
      <c r="J99" s="52"/>
      <c r="K99" s="52"/>
      <c r="L99" s="53">
        <f t="shared" si="57"/>
        <v>0</v>
      </c>
      <c r="N99" s="47">
        <v>45979</v>
      </c>
      <c r="O99" s="54">
        <v>7497.84</v>
      </c>
      <c r="P99" s="54">
        <v>269.45</v>
      </c>
      <c r="Q99" s="58"/>
      <c r="R99" s="69"/>
      <c r="S99" s="27"/>
      <c r="T99" s="51"/>
      <c r="U99" s="52"/>
      <c r="V99" s="52"/>
      <c r="W99" s="53">
        <f t="shared" si="58"/>
        <v>0</v>
      </c>
      <c r="Y99" s="47">
        <v>45979</v>
      </c>
      <c r="Z99" s="56">
        <v>5392.08</v>
      </c>
      <c r="AA99" s="57">
        <v>1284.77</v>
      </c>
      <c r="AB99" s="63"/>
      <c r="AC99" s="59">
        <v>241.7</v>
      </c>
      <c r="AD99" s="27"/>
      <c r="AE99" s="51"/>
      <c r="AF99" s="52"/>
      <c r="AG99" s="52"/>
      <c r="AH99" s="53">
        <f t="shared" si="59"/>
        <v>241.7</v>
      </c>
      <c r="AJ99" s="47">
        <v>45979</v>
      </c>
      <c r="AK99" s="56">
        <v>4013.14</v>
      </c>
      <c r="AL99" s="57">
        <v>566.79</v>
      </c>
      <c r="AM99" s="58"/>
      <c r="AN99" s="58"/>
      <c r="AO99" s="27"/>
      <c r="AP99" s="51"/>
      <c r="AQ99" s="52"/>
      <c r="AR99" s="52"/>
      <c r="AS99" s="53">
        <f t="shared" si="60"/>
        <v>0</v>
      </c>
      <c r="AU99" s="47">
        <v>45979</v>
      </c>
      <c r="AV99" s="57">
        <v>527.15</v>
      </c>
      <c r="AW99" s="57">
        <v>0</v>
      </c>
      <c r="AX99" s="58"/>
      <c r="AY99" s="59"/>
      <c r="AZ99" s="27"/>
      <c r="BA99" s="51"/>
      <c r="BB99" s="52"/>
      <c r="BC99" s="52"/>
      <c r="BD99" s="53">
        <f t="shared" si="61"/>
        <v>0</v>
      </c>
      <c r="BF99" s="47">
        <v>45979</v>
      </c>
      <c r="BG99" s="56">
        <v>4217.53</v>
      </c>
      <c r="BH99" s="57">
        <v>617.20000000000005</v>
      </c>
      <c r="BI99" s="58"/>
      <c r="BJ99" s="59"/>
      <c r="BK99" s="27"/>
      <c r="BL99" s="51"/>
      <c r="BM99" s="52"/>
      <c r="BN99" s="52"/>
      <c r="BO99" s="53">
        <f t="shared" si="62"/>
        <v>0</v>
      </c>
      <c r="BQ99" s="47">
        <v>45979</v>
      </c>
      <c r="BR99" s="57">
        <v>711.15</v>
      </c>
      <c r="BS99" s="57">
        <v>390.84</v>
      </c>
      <c r="BT99" s="58"/>
      <c r="BU99" s="61">
        <v>56.62</v>
      </c>
      <c r="BV99" s="27"/>
      <c r="BW99" s="51"/>
      <c r="BX99" s="52"/>
      <c r="BY99" s="52"/>
      <c r="BZ99" s="53">
        <f t="shared" si="63"/>
        <v>56.62</v>
      </c>
      <c r="CB99" s="47">
        <v>45979</v>
      </c>
      <c r="CC99" s="56">
        <v>20534</v>
      </c>
      <c r="CD99" s="57">
        <v>2379.6799999999998</v>
      </c>
      <c r="CE99" s="58"/>
      <c r="CF99" s="58"/>
      <c r="CG99" s="27"/>
      <c r="CH99" s="51"/>
      <c r="CI99" s="52"/>
      <c r="CJ99" s="52"/>
      <c r="CK99" s="53">
        <f t="shared" si="64"/>
        <v>0</v>
      </c>
      <c r="CM99" s="47">
        <v>45979</v>
      </c>
      <c r="CN99" s="56">
        <v>12913.72</v>
      </c>
      <c r="CO99" s="57">
        <v>1812.6</v>
      </c>
      <c r="CP99" s="58"/>
      <c r="CQ99" s="62"/>
      <c r="CR99" s="27"/>
      <c r="CS99" s="51"/>
      <c r="CT99" s="52"/>
      <c r="CU99" s="52"/>
      <c r="CV99" s="53">
        <f t="shared" si="65"/>
        <v>0</v>
      </c>
      <c r="CX99" s="47">
        <v>45979</v>
      </c>
      <c r="CY99" s="56">
        <v>5858.39</v>
      </c>
      <c r="CZ99" s="57">
        <v>788.21</v>
      </c>
      <c r="DA99" s="58"/>
      <c r="DB99" s="59"/>
      <c r="DC99" s="27"/>
      <c r="DD99" s="51"/>
      <c r="DE99" s="52"/>
      <c r="DF99" s="52"/>
      <c r="DG99" s="53">
        <f t="shared" si="66"/>
        <v>0</v>
      </c>
      <c r="DI99" s="103">
        <v>45979</v>
      </c>
      <c r="DJ99" s="64">
        <v>2016.78</v>
      </c>
      <c r="DK99" s="63"/>
      <c r="DL99" s="58"/>
      <c r="DM99" s="62"/>
      <c r="DN99" s="27"/>
      <c r="DO99" s="51"/>
      <c r="DP99" s="52"/>
      <c r="DQ99" s="52"/>
      <c r="DR99" s="53">
        <f t="shared" si="67"/>
        <v>0</v>
      </c>
      <c r="DT99" s="47">
        <v>45979</v>
      </c>
      <c r="DU99" s="56">
        <v>743.06</v>
      </c>
      <c r="DV99" s="57">
        <v>60</v>
      </c>
      <c r="DW99" s="58"/>
      <c r="DX99" s="62"/>
      <c r="DY99" s="27"/>
      <c r="DZ99" s="51"/>
      <c r="EA99" s="52"/>
      <c r="EB99" s="52"/>
      <c r="EC99" s="53">
        <f t="shared" si="68"/>
        <v>0</v>
      </c>
      <c r="EE99" s="47">
        <v>45979</v>
      </c>
      <c r="EF99" s="56">
        <v>5646.77</v>
      </c>
      <c r="EG99" s="57">
        <v>1544.82</v>
      </c>
      <c r="EH99" s="58"/>
      <c r="EI99" s="59">
        <v>175.23</v>
      </c>
      <c r="EJ99" s="27"/>
      <c r="EK99" s="51"/>
      <c r="EL99" s="52"/>
      <c r="EM99" s="52"/>
      <c r="EN99" s="53">
        <f t="shared" si="69"/>
        <v>175.23</v>
      </c>
      <c r="EP99" s="47">
        <v>45979</v>
      </c>
      <c r="EQ99" s="64">
        <v>457.95</v>
      </c>
      <c r="ER99" s="56">
        <v>522.38</v>
      </c>
      <c r="ES99" s="58"/>
      <c r="ET99" s="62"/>
      <c r="EV99" s="51"/>
      <c r="EW99" s="52"/>
      <c r="EX99" s="52"/>
      <c r="EY99" s="53">
        <f t="shared" si="70"/>
        <v>0</v>
      </c>
    </row>
    <row r="100" spans="2:155" hidden="1" x14ac:dyDescent="0.25">
      <c r="B100" s="47">
        <v>45980</v>
      </c>
      <c r="C100" s="48">
        <v>18162.8</v>
      </c>
      <c r="D100" s="49">
        <v>3150.15</v>
      </c>
      <c r="E100" s="50">
        <v>4006.27</v>
      </c>
      <c r="F100" s="49">
        <v>545.88</v>
      </c>
      <c r="G100" s="50"/>
      <c r="H100" s="27"/>
      <c r="I100" s="51"/>
      <c r="J100" s="52"/>
      <c r="K100" s="52"/>
      <c r="L100" s="53">
        <f t="shared" si="57"/>
        <v>0</v>
      </c>
      <c r="N100" s="47">
        <v>45980</v>
      </c>
      <c r="O100" s="54">
        <v>6750.31</v>
      </c>
      <c r="P100" s="54">
        <v>273.32</v>
      </c>
      <c r="Q100" s="58"/>
      <c r="R100" s="55"/>
      <c r="S100" s="27"/>
      <c r="T100" s="51"/>
      <c r="U100" s="52"/>
      <c r="V100" s="52"/>
      <c r="W100" s="53">
        <f t="shared" si="58"/>
        <v>0</v>
      </c>
      <c r="Y100" s="47">
        <v>45980</v>
      </c>
      <c r="Z100" s="56">
        <v>5895.61</v>
      </c>
      <c r="AA100" s="57">
        <v>1213.3499999999999</v>
      </c>
      <c r="AB100" s="63"/>
      <c r="AC100" s="59">
        <v>236.08</v>
      </c>
      <c r="AD100" s="27"/>
      <c r="AE100" s="51"/>
      <c r="AF100" s="52"/>
      <c r="AG100" s="52"/>
      <c r="AH100" s="53">
        <f t="shared" si="59"/>
        <v>236.08</v>
      </c>
      <c r="AJ100" s="47">
        <v>45980</v>
      </c>
      <c r="AK100" s="56">
        <v>2490.81</v>
      </c>
      <c r="AL100" s="57">
        <v>249.58</v>
      </c>
      <c r="AM100" s="58"/>
      <c r="AN100" s="58"/>
      <c r="AO100" s="27"/>
      <c r="AP100" s="51"/>
      <c r="AQ100" s="52"/>
      <c r="AR100" s="52"/>
      <c r="AS100" s="53">
        <f t="shared" si="60"/>
        <v>0</v>
      </c>
      <c r="AU100" s="47">
        <v>45980</v>
      </c>
      <c r="AV100" s="57">
        <v>885</v>
      </c>
      <c r="AW100" s="57">
        <v>106.34</v>
      </c>
      <c r="AX100" s="58"/>
      <c r="AY100" s="59"/>
      <c r="AZ100" s="27"/>
      <c r="BA100" s="51"/>
      <c r="BB100" s="52"/>
      <c r="BC100" s="52"/>
      <c r="BD100" s="53">
        <f t="shared" si="61"/>
        <v>0</v>
      </c>
      <c r="BF100" s="47">
        <v>45980</v>
      </c>
      <c r="BG100" s="56">
        <v>3959.82</v>
      </c>
      <c r="BH100" s="57">
        <v>813.94</v>
      </c>
      <c r="BI100" s="58"/>
      <c r="BJ100" s="59">
        <v>11.31</v>
      </c>
      <c r="BK100" s="27"/>
      <c r="BL100" s="51"/>
      <c r="BM100" s="52"/>
      <c r="BN100" s="52"/>
      <c r="BO100" s="53">
        <f t="shared" si="62"/>
        <v>11.31</v>
      </c>
      <c r="BQ100" s="47">
        <v>45980</v>
      </c>
      <c r="BR100" s="57">
        <v>174.99</v>
      </c>
      <c r="BS100" s="57">
        <v>511.37</v>
      </c>
      <c r="BT100" s="58"/>
      <c r="BU100" s="61"/>
      <c r="BV100" s="27"/>
      <c r="BW100" s="51"/>
      <c r="BX100" s="52"/>
      <c r="BY100" s="52"/>
      <c r="BZ100" s="53">
        <f t="shared" si="63"/>
        <v>0</v>
      </c>
      <c r="CB100" s="47">
        <v>45980</v>
      </c>
      <c r="CC100" s="56">
        <v>21421.55</v>
      </c>
      <c r="CD100" s="57">
        <v>2669.69</v>
      </c>
      <c r="CE100" s="58"/>
      <c r="CF100" s="58"/>
      <c r="CG100" s="27"/>
      <c r="CH100" s="51"/>
      <c r="CI100" s="52"/>
      <c r="CJ100" s="52"/>
      <c r="CK100" s="53">
        <f t="shared" si="64"/>
        <v>0</v>
      </c>
      <c r="CM100" s="47">
        <v>45980</v>
      </c>
      <c r="CN100" s="56">
        <v>11881.25</v>
      </c>
      <c r="CO100" s="57">
        <v>1997.61</v>
      </c>
      <c r="CP100" s="58"/>
      <c r="CQ100" s="62"/>
      <c r="CR100" s="27"/>
      <c r="CS100" s="51"/>
      <c r="CT100" s="52"/>
      <c r="CU100" s="52"/>
      <c r="CV100" s="53">
        <f t="shared" si="65"/>
        <v>0</v>
      </c>
      <c r="CX100" s="47">
        <v>45980</v>
      </c>
      <c r="CY100" s="56">
        <v>7137.3</v>
      </c>
      <c r="CZ100" s="57">
        <v>766.51</v>
      </c>
      <c r="DA100" s="58"/>
      <c r="DB100" s="59">
        <v>10.050000000000001</v>
      </c>
      <c r="DC100" s="27"/>
      <c r="DD100" s="51"/>
      <c r="DE100" s="52"/>
      <c r="DF100" s="52"/>
      <c r="DG100" s="53">
        <f t="shared" si="66"/>
        <v>10.050000000000001</v>
      </c>
      <c r="DI100" s="47">
        <v>45980</v>
      </c>
      <c r="DJ100" s="56">
        <v>1676.37</v>
      </c>
      <c r="DK100" s="63"/>
      <c r="DL100" s="58"/>
      <c r="DM100" s="62"/>
      <c r="DN100" s="27"/>
      <c r="DO100" s="51"/>
      <c r="DP100" s="52"/>
      <c r="DQ100" s="52"/>
      <c r="DR100" s="53">
        <f t="shared" si="67"/>
        <v>0</v>
      </c>
      <c r="DT100" s="47">
        <v>45980</v>
      </c>
      <c r="DU100" s="56">
        <v>2380.25</v>
      </c>
      <c r="DV100" s="57">
        <v>288.33999999999997</v>
      </c>
      <c r="DW100" s="58"/>
      <c r="DX100" s="62"/>
      <c r="DY100" s="27"/>
      <c r="DZ100" s="51"/>
      <c r="EA100" s="52"/>
      <c r="EB100" s="52"/>
      <c r="EC100" s="53">
        <f t="shared" si="68"/>
        <v>0</v>
      </c>
      <c r="EE100" s="47">
        <v>45980</v>
      </c>
      <c r="EF100" s="56">
        <v>6572.76</v>
      </c>
      <c r="EG100" s="57">
        <v>1320.83</v>
      </c>
      <c r="EH100" s="58"/>
      <c r="EI100" s="59">
        <v>142.79</v>
      </c>
      <c r="EJ100" s="27"/>
      <c r="EK100" s="51"/>
      <c r="EL100" s="52"/>
      <c r="EM100" s="52"/>
      <c r="EN100" s="53">
        <f t="shared" si="69"/>
        <v>142.79</v>
      </c>
      <c r="EP100" s="47">
        <v>45980</v>
      </c>
      <c r="EQ100" s="64">
        <v>1477.32</v>
      </c>
      <c r="ER100" s="56">
        <v>626.13</v>
      </c>
      <c r="ES100" s="58"/>
      <c r="ET100" s="62"/>
      <c r="EV100" s="51"/>
      <c r="EW100" s="52"/>
      <c r="EX100" s="52"/>
      <c r="EY100" s="53">
        <f t="shared" si="70"/>
        <v>0</v>
      </c>
    </row>
    <row r="101" spans="2:155" hidden="1" x14ac:dyDescent="0.25">
      <c r="B101" s="47">
        <v>45981</v>
      </c>
      <c r="C101" s="48">
        <v>22196.69</v>
      </c>
      <c r="D101" s="49">
        <v>2996.02</v>
      </c>
      <c r="E101" s="50">
        <v>4036.14</v>
      </c>
      <c r="F101" s="49">
        <v>535.30999999999995</v>
      </c>
      <c r="G101" s="50"/>
      <c r="H101" s="27"/>
      <c r="I101" s="51"/>
      <c r="J101" s="52"/>
      <c r="K101" s="52"/>
      <c r="L101" s="53">
        <f t="shared" si="57"/>
        <v>0</v>
      </c>
      <c r="N101" s="47">
        <v>45981</v>
      </c>
      <c r="O101" s="54">
        <v>6262.19</v>
      </c>
      <c r="P101" s="54">
        <v>567.45000000000005</v>
      </c>
      <c r="Q101" s="58"/>
      <c r="R101" s="55"/>
      <c r="S101" s="27"/>
      <c r="T101" s="51"/>
      <c r="U101" s="52"/>
      <c r="V101" s="52"/>
      <c r="W101" s="53">
        <f t="shared" si="58"/>
        <v>0</v>
      </c>
      <c r="Y101" s="47">
        <v>45981</v>
      </c>
      <c r="Z101" s="56">
        <v>4087.13</v>
      </c>
      <c r="AA101" s="57">
        <v>1749.13</v>
      </c>
      <c r="AB101" s="63"/>
      <c r="AC101" s="59">
        <v>62.61</v>
      </c>
      <c r="AD101" s="27"/>
      <c r="AE101" s="51"/>
      <c r="AF101" s="52"/>
      <c r="AG101" s="52"/>
      <c r="AH101" s="53">
        <f t="shared" si="59"/>
        <v>62.61</v>
      </c>
      <c r="AJ101" s="47">
        <v>45981</v>
      </c>
      <c r="AK101" s="56">
        <v>2262.2399999999998</v>
      </c>
      <c r="AL101" s="57">
        <v>569.17999999999995</v>
      </c>
      <c r="AM101" s="58"/>
      <c r="AN101" s="58"/>
      <c r="AO101" s="27"/>
      <c r="AP101" s="51"/>
      <c r="AQ101" s="52"/>
      <c r="AR101" s="52"/>
      <c r="AS101" s="53">
        <f t="shared" si="60"/>
        <v>0</v>
      </c>
      <c r="AU101" s="47">
        <v>45981</v>
      </c>
      <c r="AV101" s="57">
        <v>427</v>
      </c>
      <c r="AW101" s="57">
        <v>0</v>
      </c>
      <c r="AX101" s="58"/>
      <c r="AY101" s="59">
        <v>110.5</v>
      </c>
      <c r="AZ101" s="27"/>
      <c r="BA101" s="51"/>
      <c r="BB101" s="52"/>
      <c r="BC101" s="52"/>
      <c r="BD101" s="53">
        <f t="shared" si="61"/>
        <v>110.5</v>
      </c>
      <c r="BF101" s="47">
        <v>45981</v>
      </c>
      <c r="BG101" s="56">
        <v>4535.58</v>
      </c>
      <c r="BH101" s="57">
        <v>599.62</v>
      </c>
      <c r="BI101" s="58"/>
      <c r="BJ101" s="59"/>
      <c r="BK101" s="27"/>
      <c r="BL101" s="51"/>
      <c r="BM101" s="52"/>
      <c r="BN101" s="52"/>
      <c r="BO101" s="53">
        <f t="shared" si="62"/>
        <v>0</v>
      </c>
      <c r="BQ101" s="47">
        <v>45981</v>
      </c>
      <c r="BR101" s="57">
        <v>291</v>
      </c>
      <c r="BS101" s="57">
        <v>632.41</v>
      </c>
      <c r="BT101" s="58"/>
      <c r="BU101" s="61">
        <v>23.4</v>
      </c>
      <c r="BV101" s="27"/>
      <c r="BW101" s="51"/>
      <c r="BX101" s="52"/>
      <c r="BY101" s="52"/>
      <c r="BZ101" s="53">
        <f t="shared" si="63"/>
        <v>23.4</v>
      </c>
      <c r="CB101" s="47">
        <v>45981</v>
      </c>
      <c r="CC101" s="56">
        <v>22138.2</v>
      </c>
      <c r="CD101" s="57">
        <v>1885.34</v>
      </c>
      <c r="CE101" s="58"/>
      <c r="CF101" s="58"/>
      <c r="CG101" s="27"/>
      <c r="CH101" s="51"/>
      <c r="CI101" s="52"/>
      <c r="CJ101" s="52"/>
      <c r="CK101" s="53">
        <f t="shared" si="64"/>
        <v>0</v>
      </c>
      <c r="CM101" s="47">
        <v>45981</v>
      </c>
      <c r="CN101" s="56">
        <v>12814.59</v>
      </c>
      <c r="CO101" s="57">
        <v>1603.43</v>
      </c>
      <c r="CP101" s="58"/>
      <c r="CQ101" s="62"/>
      <c r="CR101" s="27"/>
      <c r="CS101" s="51"/>
      <c r="CT101" s="52"/>
      <c r="CU101" s="52"/>
      <c r="CV101" s="53">
        <f t="shared" si="65"/>
        <v>0</v>
      </c>
      <c r="CX101" s="47">
        <v>45981</v>
      </c>
      <c r="CY101" s="56">
        <v>3154.77</v>
      </c>
      <c r="CZ101" s="57">
        <v>923.93</v>
      </c>
      <c r="DA101" s="58"/>
      <c r="DB101" s="59"/>
      <c r="DC101" s="27"/>
      <c r="DD101" s="51"/>
      <c r="DE101" s="52"/>
      <c r="DF101" s="52"/>
      <c r="DG101" s="53">
        <f t="shared" si="66"/>
        <v>0</v>
      </c>
      <c r="DI101" s="47">
        <v>45981</v>
      </c>
      <c r="DJ101" s="56">
        <v>1886.89</v>
      </c>
      <c r="DK101" s="63"/>
      <c r="DL101" s="58"/>
      <c r="DM101" s="62"/>
      <c r="DN101" s="27"/>
      <c r="DO101" s="51"/>
      <c r="DP101" s="52"/>
      <c r="DQ101" s="52"/>
      <c r="DR101" s="53">
        <f t="shared" si="67"/>
        <v>0</v>
      </c>
      <c r="DT101" s="47">
        <v>45981</v>
      </c>
      <c r="DU101" s="56">
        <v>2572.9299999999998</v>
      </c>
      <c r="DV101" s="57">
        <v>221.25</v>
      </c>
      <c r="DW101" s="58"/>
      <c r="DX101" s="62"/>
      <c r="DY101" s="27"/>
      <c r="DZ101" s="51"/>
      <c r="EA101" s="52"/>
      <c r="EB101" s="52"/>
      <c r="EC101" s="53">
        <f t="shared" si="68"/>
        <v>0</v>
      </c>
      <c r="EE101" s="47">
        <v>45981</v>
      </c>
      <c r="EF101" s="56">
        <v>7685.05</v>
      </c>
      <c r="EG101" s="57">
        <v>1908.52</v>
      </c>
      <c r="EH101" s="58"/>
      <c r="EI101" s="59">
        <v>148.16999999999999</v>
      </c>
      <c r="EJ101" s="27"/>
      <c r="EK101" s="51"/>
      <c r="EL101" s="52"/>
      <c r="EM101" s="52"/>
      <c r="EN101" s="53">
        <f t="shared" si="69"/>
        <v>148.16999999999999</v>
      </c>
      <c r="EP101" s="47">
        <v>45981</v>
      </c>
      <c r="EQ101" s="64">
        <v>755.95</v>
      </c>
      <c r="ER101" s="56">
        <v>689.9</v>
      </c>
      <c r="ES101" s="58"/>
      <c r="ET101" s="62"/>
      <c r="EV101" s="51"/>
      <c r="EW101" s="52"/>
      <c r="EX101" s="52"/>
      <c r="EY101" s="53">
        <f t="shared" si="70"/>
        <v>0</v>
      </c>
    </row>
    <row r="102" spans="2:155" hidden="1" x14ac:dyDescent="0.25">
      <c r="B102" s="47">
        <v>45982</v>
      </c>
      <c r="C102" s="48">
        <v>19259.04</v>
      </c>
      <c r="D102" s="49">
        <v>4363.9799999999996</v>
      </c>
      <c r="E102" s="50">
        <v>3675.61</v>
      </c>
      <c r="F102" s="49">
        <v>553.11</v>
      </c>
      <c r="G102" s="50"/>
      <c r="H102" s="27"/>
      <c r="I102" s="51"/>
      <c r="J102" s="52"/>
      <c r="K102" s="52"/>
      <c r="L102" s="53">
        <f t="shared" si="57"/>
        <v>0</v>
      </c>
      <c r="N102" s="47">
        <v>45982</v>
      </c>
      <c r="O102" s="54">
        <v>10068.620000000001</v>
      </c>
      <c r="P102" s="54">
        <v>472.58</v>
      </c>
      <c r="Q102" s="58"/>
      <c r="R102" s="55">
        <v>90.95</v>
      </c>
      <c r="S102" s="27"/>
      <c r="T102" s="51"/>
      <c r="U102" s="52"/>
      <c r="V102" s="52"/>
      <c r="W102" s="53">
        <f t="shared" si="58"/>
        <v>90.95</v>
      </c>
      <c r="Y102" s="47">
        <v>45982</v>
      </c>
      <c r="Z102" s="56">
        <v>5518.61</v>
      </c>
      <c r="AA102" s="57">
        <v>968.78</v>
      </c>
      <c r="AB102" s="63"/>
      <c r="AC102" s="59">
        <v>235.88</v>
      </c>
      <c r="AD102" s="27"/>
      <c r="AE102" s="51"/>
      <c r="AF102" s="52"/>
      <c r="AG102" s="52"/>
      <c r="AH102" s="53">
        <f t="shared" si="59"/>
        <v>235.88</v>
      </c>
      <c r="AJ102" s="47">
        <v>45982</v>
      </c>
      <c r="AK102" s="56">
        <v>3818.3</v>
      </c>
      <c r="AL102" s="57">
        <v>600.34</v>
      </c>
      <c r="AM102" s="58"/>
      <c r="AN102" s="58"/>
      <c r="AO102" s="27"/>
      <c r="AP102" s="51"/>
      <c r="AQ102" s="52"/>
      <c r="AR102" s="52"/>
      <c r="AS102" s="53">
        <f t="shared" si="60"/>
        <v>0</v>
      </c>
      <c r="AU102" s="47">
        <v>45982</v>
      </c>
      <c r="AV102" s="57">
        <v>551.4</v>
      </c>
      <c r="AW102" s="57">
        <v>0</v>
      </c>
      <c r="AX102" s="58"/>
      <c r="AY102" s="59">
        <v>94.9</v>
      </c>
      <c r="AZ102" s="27"/>
      <c r="BA102" s="51"/>
      <c r="BB102" s="52"/>
      <c r="BC102" s="52"/>
      <c r="BD102" s="53">
        <f t="shared" si="61"/>
        <v>94.9</v>
      </c>
      <c r="BF102" s="47">
        <v>45982</v>
      </c>
      <c r="BG102" s="56">
        <v>4407.82</v>
      </c>
      <c r="BH102" s="57">
        <v>639.29</v>
      </c>
      <c r="BI102" s="58"/>
      <c r="BJ102" s="59"/>
      <c r="BK102" s="27"/>
      <c r="BL102" s="51"/>
      <c r="BM102" s="52"/>
      <c r="BN102" s="52"/>
      <c r="BO102" s="53">
        <f t="shared" si="62"/>
        <v>0</v>
      </c>
      <c r="BQ102" s="47">
        <v>45982</v>
      </c>
      <c r="BR102" s="57">
        <v>343.53</v>
      </c>
      <c r="BS102" s="57">
        <v>456.91</v>
      </c>
      <c r="BT102" s="58"/>
      <c r="BU102" s="61">
        <v>33.799999999999997</v>
      </c>
      <c r="BV102" s="27"/>
      <c r="BW102" s="51"/>
      <c r="BX102" s="52"/>
      <c r="BY102" s="52"/>
      <c r="BZ102" s="53">
        <f t="shared" si="63"/>
        <v>33.799999999999997</v>
      </c>
      <c r="CB102" s="47">
        <v>45982</v>
      </c>
      <c r="CC102" s="56">
        <v>25697.91</v>
      </c>
      <c r="CD102" s="57">
        <v>2263.87</v>
      </c>
      <c r="CE102" s="58"/>
      <c r="CF102" s="58"/>
      <c r="CG102" s="27"/>
      <c r="CH102" s="51"/>
      <c r="CI102" s="52"/>
      <c r="CJ102" s="52"/>
      <c r="CK102" s="53">
        <f t="shared" si="64"/>
        <v>0</v>
      </c>
      <c r="CM102" s="47">
        <v>45982</v>
      </c>
      <c r="CN102" s="56">
        <v>11585.84</v>
      </c>
      <c r="CO102" s="57">
        <v>1527.44</v>
      </c>
      <c r="CP102" s="58"/>
      <c r="CQ102" s="62"/>
      <c r="CR102" s="27"/>
      <c r="CS102" s="51"/>
      <c r="CT102" s="52"/>
      <c r="CU102" s="52"/>
      <c r="CV102" s="53">
        <f t="shared" si="65"/>
        <v>0</v>
      </c>
      <c r="CX102" s="47">
        <v>45982</v>
      </c>
      <c r="CY102" s="56">
        <v>5106.99</v>
      </c>
      <c r="CZ102" s="57">
        <v>977.77</v>
      </c>
      <c r="DA102" s="58"/>
      <c r="DB102" s="59"/>
      <c r="DC102" s="27"/>
      <c r="DD102" s="51"/>
      <c r="DE102" s="52"/>
      <c r="DF102" s="52"/>
      <c r="DG102" s="53">
        <f t="shared" si="66"/>
        <v>0</v>
      </c>
      <c r="DI102" s="47">
        <v>45982</v>
      </c>
      <c r="DJ102" s="56">
        <v>3918.81</v>
      </c>
      <c r="DK102" s="63"/>
      <c r="DL102" s="58"/>
      <c r="DM102" s="62"/>
      <c r="DN102" s="27"/>
      <c r="DO102" s="51"/>
      <c r="DP102" s="52"/>
      <c r="DQ102" s="52"/>
      <c r="DR102" s="53">
        <f t="shared" si="67"/>
        <v>0</v>
      </c>
      <c r="DT102" s="47">
        <v>45982</v>
      </c>
      <c r="DU102" s="56">
        <v>1574.41</v>
      </c>
      <c r="DV102" s="57">
        <v>398.66</v>
      </c>
      <c r="DW102" s="58"/>
      <c r="DX102" s="62"/>
      <c r="DY102" s="27"/>
      <c r="DZ102" s="51"/>
      <c r="EA102" s="52"/>
      <c r="EB102" s="52"/>
      <c r="EC102" s="53">
        <f t="shared" si="68"/>
        <v>0</v>
      </c>
      <c r="EE102" s="47">
        <v>45982</v>
      </c>
      <c r="EF102" s="56">
        <v>7758.13</v>
      </c>
      <c r="EG102" s="57">
        <v>1270.3800000000001</v>
      </c>
      <c r="EH102" s="58"/>
      <c r="EI102" s="59">
        <v>136.19999999999999</v>
      </c>
      <c r="EJ102" s="27"/>
      <c r="EK102" s="51"/>
      <c r="EL102" s="52"/>
      <c r="EM102" s="52"/>
      <c r="EN102" s="53">
        <f t="shared" si="69"/>
        <v>136.19999999999999</v>
      </c>
      <c r="EP102" s="47">
        <v>45982</v>
      </c>
      <c r="EQ102" s="64">
        <v>1395.87</v>
      </c>
      <c r="ER102" s="56">
        <v>519.39</v>
      </c>
      <c r="ES102" s="58"/>
      <c r="ET102" s="62"/>
      <c r="EV102" s="51"/>
      <c r="EW102" s="52"/>
      <c r="EX102" s="52"/>
      <c r="EY102" s="53">
        <f t="shared" si="70"/>
        <v>0</v>
      </c>
    </row>
    <row r="103" spans="2:155" hidden="1" x14ac:dyDescent="0.25">
      <c r="B103" s="47">
        <v>45983</v>
      </c>
      <c r="C103" s="48">
        <v>18727.099999999999</v>
      </c>
      <c r="D103" s="49">
        <v>3311.34</v>
      </c>
      <c r="E103" s="50">
        <v>4030.54</v>
      </c>
      <c r="F103" s="49">
        <v>410.88</v>
      </c>
      <c r="G103" s="50"/>
      <c r="H103" s="27"/>
      <c r="I103" s="51"/>
      <c r="J103" s="52"/>
      <c r="K103" s="52"/>
      <c r="L103" s="53">
        <f t="shared" si="57"/>
        <v>0</v>
      </c>
      <c r="N103" s="47">
        <v>45983</v>
      </c>
      <c r="O103" s="54">
        <v>4861.6400000000003</v>
      </c>
      <c r="P103" s="54">
        <v>561.64</v>
      </c>
      <c r="Q103" s="70"/>
      <c r="R103" s="55"/>
      <c r="S103" s="27"/>
      <c r="T103" s="51"/>
      <c r="U103" s="52"/>
      <c r="V103" s="52"/>
      <c r="W103" s="53">
        <f t="shared" si="58"/>
        <v>0</v>
      </c>
      <c r="Y103" s="47">
        <v>45983</v>
      </c>
      <c r="Z103" s="56">
        <v>6559.63</v>
      </c>
      <c r="AA103" s="57">
        <v>1569.27</v>
      </c>
      <c r="AB103" s="104"/>
      <c r="AC103" s="59">
        <v>210.9</v>
      </c>
      <c r="AD103" s="27"/>
      <c r="AE103" s="51"/>
      <c r="AF103" s="52"/>
      <c r="AG103" s="52"/>
      <c r="AH103" s="53">
        <f t="shared" si="59"/>
        <v>210.9</v>
      </c>
      <c r="AJ103" s="47">
        <v>45983</v>
      </c>
      <c r="AK103" s="56">
        <v>2596.19</v>
      </c>
      <c r="AL103" s="57">
        <v>285.61</v>
      </c>
      <c r="AM103" s="70"/>
      <c r="AN103" s="58"/>
      <c r="AO103" s="27"/>
      <c r="AP103" s="51"/>
      <c r="AQ103" s="52"/>
      <c r="AR103" s="52"/>
      <c r="AS103" s="53">
        <f t="shared" si="60"/>
        <v>0</v>
      </c>
      <c r="AU103" s="47">
        <v>45983</v>
      </c>
      <c r="AV103" s="57">
        <v>611.26</v>
      </c>
      <c r="AW103" s="57">
        <v>125.33</v>
      </c>
      <c r="AX103" s="70"/>
      <c r="AY103" s="59"/>
      <c r="AZ103" s="27"/>
      <c r="BA103" s="51"/>
      <c r="BB103" s="52"/>
      <c r="BC103" s="52"/>
      <c r="BD103" s="53">
        <f t="shared" si="61"/>
        <v>0</v>
      </c>
      <c r="BF103" s="47">
        <v>45983</v>
      </c>
      <c r="BG103" s="56">
        <v>4391.2700000000004</v>
      </c>
      <c r="BH103" s="57">
        <v>622.73</v>
      </c>
      <c r="BI103" s="70"/>
      <c r="BJ103" s="59"/>
      <c r="BK103" s="27"/>
      <c r="BL103" s="51"/>
      <c r="BM103" s="52"/>
      <c r="BN103" s="52"/>
      <c r="BO103" s="53">
        <f t="shared" si="62"/>
        <v>0</v>
      </c>
      <c r="BQ103" s="47">
        <v>45983</v>
      </c>
      <c r="BR103" s="57">
        <v>630.23</v>
      </c>
      <c r="BS103" s="57">
        <v>363.77</v>
      </c>
      <c r="BT103" s="70"/>
      <c r="BU103" s="61"/>
      <c r="BV103" s="27"/>
      <c r="BW103" s="51"/>
      <c r="BX103" s="52"/>
      <c r="BY103" s="52"/>
      <c r="BZ103" s="53">
        <f t="shared" si="63"/>
        <v>0</v>
      </c>
      <c r="CB103" s="47">
        <v>45983</v>
      </c>
      <c r="CC103" s="56">
        <v>24455.279999999999</v>
      </c>
      <c r="CD103" s="57">
        <v>2119.13</v>
      </c>
      <c r="CE103" s="70"/>
      <c r="CF103" s="58"/>
      <c r="CG103" s="27"/>
      <c r="CH103" s="51"/>
      <c r="CI103" s="52"/>
      <c r="CJ103" s="52"/>
      <c r="CK103" s="53">
        <f t="shared" si="64"/>
        <v>0</v>
      </c>
      <c r="CM103" s="47">
        <v>45983</v>
      </c>
      <c r="CN103" s="56">
        <v>6892.8</v>
      </c>
      <c r="CO103" s="57">
        <v>1667.36</v>
      </c>
      <c r="CP103" s="70"/>
      <c r="CQ103" s="62"/>
      <c r="CR103" s="27"/>
      <c r="CS103" s="51"/>
      <c r="CT103" s="52"/>
      <c r="CU103" s="52"/>
      <c r="CV103" s="53">
        <f t="shared" si="65"/>
        <v>0</v>
      </c>
      <c r="CX103" s="47">
        <v>45983</v>
      </c>
      <c r="CY103" s="56">
        <v>2725.06</v>
      </c>
      <c r="CZ103" s="57">
        <v>931</v>
      </c>
      <c r="DA103" s="70"/>
      <c r="DB103" s="59"/>
      <c r="DC103" s="27"/>
      <c r="DD103" s="51"/>
      <c r="DE103" s="52"/>
      <c r="DF103" s="52"/>
      <c r="DG103" s="53">
        <f t="shared" si="66"/>
        <v>0</v>
      </c>
      <c r="DI103" s="47">
        <v>45983</v>
      </c>
      <c r="DJ103" s="56">
        <v>1088.01</v>
      </c>
      <c r="DK103" s="71"/>
      <c r="DL103" s="70"/>
      <c r="DM103" s="62"/>
      <c r="DN103" s="27"/>
      <c r="DO103" s="51"/>
      <c r="DP103" s="52"/>
      <c r="DQ103" s="52"/>
      <c r="DR103" s="53">
        <f t="shared" si="67"/>
        <v>0</v>
      </c>
      <c r="DT103" s="47">
        <v>45983</v>
      </c>
      <c r="DU103" s="56">
        <v>1299.136</v>
      </c>
      <c r="DV103" s="57">
        <v>379.29</v>
      </c>
      <c r="DW103" s="70"/>
      <c r="DX103" s="62"/>
      <c r="DY103" s="27"/>
      <c r="DZ103" s="51"/>
      <c r="EA103" s="52"/>
      <c r="EB103" s="52"/>
      <c r="EC103" s="53">
        <f t="shared" si="68"/>
        <v>0</v>
      </c>
      <c r="EE103" s="47">
        <v>45983</v>
      </c>
      <c r="EF103" s="56">
        <v>6536.41</v>
      </c>
      <c r="EG103" s="57">
        <v>1323.27</v>
      </c>
      <c r="EH103" s="70"/>
      <c r="EI103" s="59">
        <v>129.04</v>
      </c>
      <c r="EJ103" s="27"/>
      <c r="EK103" s="51"/>
      <c r="EL103" s="52"/>
      <c r="EM103" s="52"/>
      <c r="EN103" s="53">
        <f t="shared" si="69"/>
        <v>129.04</v>
      </c>
      <c r="EP103" s="47">
        <v>45983</v>
      </c>
      <c r="EQ103" s="64">
        <v>535.37</v>
      </c>
      <c r="ER103" s="56">
        <v>504.92</v>
      </c>
      <c r="ES103" s="70"/>
      <c r="ET103" s="62"/>
      <c r="EV103" s="51"/>
      <c r="EW103" s="52"/>
      <c r="EX103" s="52"/>
      <c r="EY103" s="53">
        <f t="shared" si="70"/>
        <v>0</v>
      </c>
    </row>
    <row r="104" spans="2:155" hidden="1" x14ac:dyDescent="0.25">
      <c r="B104" s="47">
        <v>45984</v>
      </c>
      <c r="C104" s="48">
        <v>15769.24</v>
      </c>
      <c r="D104" s="49">
        <v>2936.01</v>
      </c>
      <c r="E104" s="50">
        <v>2652.72</v>
      </c>
      <c r="F104" s="49">
        <v>265.45</v>
      </c>
      <c r="G104" s="50"/>
      <c r="H104" s="27"/>
      <c r="I104" s="51"/>
      <c r="J104" s="52"/>
      <c r="K104" s="52"/>
      <c r="L104" s="53">
        <f t="shared" si="57"/>
        <v>0</v>
      </c>
      <c r="N104" s="47">
        <v>45984</v>
      </c>
      <c r="O104" s="54">
        <v>2704.04</v>
      </c>
      <c r="P104" s="54">
        <v>391.9</v>
      </c>
      <c r="Q104" s="70"/>
      <c r="R104" s="55">
        <v>76</v>
      </c>
      <c r="S104" s="27"/>
      <c r="T104" s="51"/>
      <c r="U104" s="52"/>
      <c r="V104" s="52"/>
      <c r="W104" s="53">
        <f t="shared" si="58"/>
        <v>76</v>
      </c>
      <c r="Y104" s="47">
        <v>45984</v>
      </c>
      <c r="Z104" s="56">
        <v>3065.05</v>
      </c>
      <c r="AA104" s="57">
        <v>996.03</v>
      </c>
      <c r="AB104" s="104"/>
      <c r="AC104" s="59">
        <v>42.41</v>
      </c>
      <c r="AD104" s="27"/>
      <c r="AE104" s="51"/>
      <c r="AF104" s="52"/>
      <c r="AG104" s="52"/>
      <c r="AH104" s="53">
        <f t="shared" si="59"/>
        <v>42.41</v>
      </c>
      <c r="AJ104" s="47">
        <v>45984</v>
      </c>
      <c r="AK104" s="56">
        <v>3216.44</v>
      </c>
      <c r="AL104" s="57">
        <v>386.04</v>
      </c>
      <c r="AM104" s="70"/>
      <c r="AN104" s="58"/>
      <c r="AO104" s="27"/>
      <c r="AP104" s="51"/>
      <c r="AQ104" s="52"/>
      <c r="AR104" s="52"/>
      <c r="AS104" s="53">
        <f t="shared" si="60"/>
        <v>0</v>
      </c>
      <c r="AU104" s="47">
        <v>45984</v>
      </c>
      <c r="AV104" s="57">
        <v>855.91</v>
      </c>
      <c r="AW104" s="57">
        <v>0</v>
      </c>
      <c r="AX104" s="70"/>
      <c r="AY104" s="59"/>
      <c r="AZ104" s="27"/>
      <c r="BA104" s="51"/>
      <c r="BB104" s="52"/>
      <c r="BC104" s="52"/>
      <c r="BD104" s="53">
        <f t="shared" si="61"/>
        <v>0</v>
      </c>
      <c r="BF104" s="47">
        <v>45984</v>
      </c>
      <c r="BG104" s="56">
        <v>2247.2199999999998</v>
      </c>
      <c r="BH104" s="57">
        <v>569.19000000000005</v>
      </c>
      <c r="BI104" s="70"/>
      <c r="BJ104" s="59"/>
      <c r="BK104" s="27"/>
      <c r="BL104" s="51"/>
      <c r="BM104" s="52"/>
      <c r="BN104" s="52"/>
      <c r="BO104" s="53">
        <f t="shared" si="62"/>
        <v>0</v>
      </c>
      <c r="BQ104" s="47">
        <v>45984</v>
      </c>
      <c r="BR104" s="57">
        <v>399.9</v>
      </c>
      <c r="BS104" s="57">
        <v>347.67</v>
      </c>
      <c r="BT104" s="70"/>
      <c r="BU104" s="61"/>
      <c r="BV104" s="27"/>
      <c r="BW104" s="51"/>
      <c r="BX104" s="52"/>
      <c r="BY104" s="52"/>
      <c r="BZ104" s="53">
        <f t="shared" si="63"/>
        <v>0</v>
      </c>
      <c r="CB104" s="47">
        <v>45984</v>
      </c>
      <c r="CC104" s="56">
        <v>11675.33</v>
      </c>
      <c r="CD104" s="57">
        <v>1695.45</v>
      </c>
      <c r="CE104" s="70"/>
      <c r="CF104" s="58"/>
      <c r="CG104" s="27"/>
      <c r="CH104" s="51"/>
      <c r="CI104" s="52"/>
      <c r="CJ104" s="52"/>
      <c r="CK104" s="53">
        <f t="shared" si="64"/>
        <v>0</v>
      </c>
      <c r="CM104" s="47">
        <v>45984</v>
      </c>
      <c r="CN104" s="56">
        <v>5108.2299999999996</v>
      </c>
      <c r="CO104" s="57">
        <v>659.85</v>
      </c>
      <c r="CP104" s="70"/>
      <c r="CQ104" s="62"/>
      <c r="CR104" s="27"/>
      <c r="CS104" s="51"/>
      <c r="CT104" s="52"/>
      <c r="CU104" s="52"/>
      <c r="CV104" s="53">
        <f t="shared" si="65"/>
        <v>0</v>
      </c>
      <c r="CX104" s="47">
        <v>45984</v>
      </c>
      <c r="CY104" s="56">
        <v>2320.77</v>
      </c>
      <c r="CZ104" s="57">
        <v>1106.0999999999999</v>
      </c>
      <c r="DA104" s="70"/>
      <c r="DB104" s="59"/>
      <c r="DC104" s="27"/>
      <c r="DD104" s="51"/>
      <c r="DE104" s="52"/>
      <c r="DF104" s="52"/>
      <c r="DG104" s="53">
        <f t="shared" si="66"/>
        <v>0</v>
      </c>
      <c r="DI104" s="47">
        <v>45984</v>
      </c>
      <c r="DJ104" s="56">
        <v>1642.83</v>
      </c>
      <c r="DK104" s="71"/>
      <c r="DL104" s="70"/>
      <c r="DM104" s="62"/>
      <c r="DN104" s="27"/>
      <c r="DO104" s="51"/>
      <c r="DP104" s="52"/>
      <c r="DQ104" s="52"/>
      <c r="DR104" s="53">
        <f t="shared" si="67"/>
        <v>0</v>
      </c>
      <c r="DT104" s="47">
        <v>45984</v>
      </c>
      <c r="DU104" s="56">
        <v>1033.05</v>
      </c>
      <c r="DV104" s="57">
        <v>210.12</v>
      </c>
      <c r="DW104" s="70"/>
      <c r="DX104" s="62"/>
      <c r="DY104" s="27"/>
      <c r="DZ104" s="51"/>
      <c r="EA104" s="52"/>
      <c r="EB104" s="52"/>
      <c r="EC104" s="53">
        <f t="shared" si="68"/>
        <v>0</v>
      </c>
      <c r="EE104" s="47">
        <v>45984</v>
      </c>
      <c r="EF104" s="56">
        <v>3672.91</v>
      </c>
      <c r="EG104" s="57">
        <v>1048.02</v>
      </c>
      <c r="EH104" s="70"/>
      <c r="EI104" s="59">
        <v>80.12</v>
      </c>
      <c r="EJ104" s="27"/>
      <c r="EK104" s="51"/>
      <c r="EL104" s="52"/>
      <c r="EM104" s="52"/>
      <c r="EN104" s="53">
        <f t="shared" si="69"/>
        <v>80.12</v>
      </c>
      <c r="EP104" s="47">
        <v>45984</v>
      </c>
      <c r="EQ104" s="64">
        <v>730.75</v>
      </c>
      <c r="ER104" s="56">
        <v>374.98</v>
      </c>
      <c r="ES104" s="70"/>
      <c r="ET104" s="62"/>
      <c r="EV104" s="51"/>
      <c r="EW104" s="52"/>
      <c r="EX104" s="52"/>
      <c r="EY104" s="53">
        <f t="shared" si="70"/>
        <v>0</v>
      </c>
    </row>
    <row r="105" spans="2:155" hidden="1" x14ac:dyDescent="0.25">
      <c r="B105" s="47">
        <v>45985</v>
      </c>
      <c r="C105" s="48">
        <v>21330.51</v>
      </c>
      <c r="D105" s="49">
        <v>3899.83</v>
      </c>
      <c r="E105" s="50">
        <v>3194.94</v>
      </c>
      <c r="F105" s="49">
        <v>502.38</v>
      </c>
      <c r="G105" s="50"/>
      <c r="H105" s="27"/>
      <c r="I105" s="51"/>
      <c r="J105" s="52"/>
      <c r="K105" s="52"/>
      <c r="L105" s="53">
        <f t="shared" si="57"/>
        <v>0</v>
      </c>
      <c r="N105" s="47">
        <v>45985</v>
      </c>
      <c r="O105" s="54">
        <v>5454.66</v>
      </c>
      <c r="P105" s="54">
        <v>308.87</v>
      </c>
      <c r="Q105" s="70"/>
      <c r="R105" s="55"/>
      <c r="S105" s="27"/>
      <c r="T105" s="51"/>
      <c r="U105" s="52"/>
      <c r="V105" s="52"/>
      <c r="W105" s="53">
        <f t="shared" si="58"/>
        <v>0</v>
      </c>
      <c r="Y105" s="47">
        <v>45985</v>
      </c>
      <c r="Z105" s="56">
        <v>4682.8900000000003</v>
      </c>
      <c r="AA105" s="57">
        <v>1198.8</v>
      </c>
      <c r="AB105" s="104"/>
      <c r="AC105" s="59">
        <v>148.02000000000001</v>
      </c>
      <c r="AD105" s="27"/>
      <c r="AE105" s="51"/>
      <c r="AF105" s="52"/>
      <c r="AG105" s="52"/>
      <c r="AH105" s="53">
        <f t="shared" si="59"/>
        <v>148.02000000000001</v>
      </c>
      <c r="AJ105" s="47">
        <v>45985</v>
      </c>
      <c r="AK105" s="56">
        <v>2626.09</v>
      </c>
      <c r="AL105" s="57">
        <v>507.99</v>
      </c>
      <c r="AM105" s="70"/>
      <c r="AN105" s="58"/>
      <c r="AO105" s="27"/>
      <c r="AP105" s="51"/>
      <c r="AQ105" s="52"/>
      <c r="AR105" s="52"/>
      <c r="AS105" s="53">
        <f t="shared" si="60"/>
        <v>0</v>
      </c>
      <c r="AU105" s="47">
        <v>45985</v>
      </c>
      <c r="AV105" s="57">
        <v>1068.54</v>
      </c>
      <c r="AW105" s="57">
        <v>24.04</v>
      </c>
      <c r="AX105" s="70"/>
      <c r="AY105" s="59">
        <v>110.75</v>
      </c>
      <c r="AZ105" s="27"/>
      <c r="BA105" s="51"/>
      <c r="BB105" s="52"/>
      <c r="BC105" s="52"/>
      <c r="BD105" s="53">
        <f t="shared" si="61"/>
        <v>110.75</v>
      </c>
      <c r="BF105" s="47">
        <v>45985</v>
      </c>
      <c r="BG105" s="56">
        <v>4298.41</v>
      </c>
      <c r="BH105" s="57">
        <v>352.16</v>
      </c>
      <c r="BI105" s="70"/>
      <c r="BJ105" s="59">
        <v>17.309999999999999</v>
      </c>
      <c r="BK105" s="27"/>
      <c r="BL105" s="51"/>
      <c r="BM105" s="52"/>
      <c r="BN105" s="52"/>
      <c r="BO105" s="53">
        <f t="shared" si="62"/>
        <v>17.309999999999999</v>
      </c>
      <c r="BQ105" s="47">
        <v>45985</v>
      </c>
      <c r="BR105" s="57">
        <v>707.22</v>
      </c>
      <c r="BS105" s="57">
        <v>727.64</v>
      </c>
      <c r="BT105" s="70"/>
      <c r="BU105" s="61"/>
      <c r="BV105" s="27"/>
      <c r="BW105" s="51"/>
      <c r="BX105" s="52"/>
      <c r="BY105" s="52"/>
      <c r="BZ105" s="53">
        <f t="shared" si="63"/>
        <v>0</v>
      </c>
      <c r="CB105" s="47">
        <v>45985</v>
      </c>
      <c r="CC105" s="56">
        <v>17939.77</v>
      </c>
      <c r="CD105" s="57">
        <v>2487.31</v>
      </c>
      <c r="CE105" s="70"/>
      <c r="CF105" s="58"/>
      <c r="CG105" s="27"/>
      <c r="CH105" s="51"/>
      <c r="CI105" s="52"/>
      <c r="CJ105" s="52"/>
      <c r="CK105" s="53">
        <f t="shared" si="64"/>
        <v>0</v>
      </c>
      <c r="CM105" s="47">
        <v>45985</v>
      </c>
      <c r="CN105" s="56">
        <v>8777.1299999999992</v>
      </c>
      <c r="CO105" s="57">
        <v>1090.19</v>
      </c>
      <c r="CP105" s="70"/>
      <c r="CQ105" s="62"/>
      <c r="CR105" s="27"/>
      <c r="CS105" s="51"/>
      <c r="CT105" s="52"/>
      <c r="CU105" s="52"/>
      <c r="CV105" s="53">
        <f t="shared" si="65"/>
        <v>0</v>
      </c>
      <c r="CX105" s="47">
        <v>45985</v>
      </c>
      <c r="CY105" s="56">
        <v>4832.1400000000003</v>
      </c>
      <c r="CZ105" s="57">
        <v>775.37</v>
      </c>
      <c r="DA105" s="70"/>
      <c r="DB105" s="59"/>
      <c r="DC105" s="27"/>
      <c r="DD105" s="51"/>
      <c r="DE105" s="52"/>
      <c r="DF105" s="52"/>
      <c r="DG105" s="53">
        <f t="shared" si="66"/>
        <v>0</v>
      </c>
      <c r="DI105" s="47">
        <v>45985</v>
      </c>
      <c r="DJ105" s="56">
        <v>1841.46</v>
      </c>
      <c r="DK105" s="71"/>
      <c r="DL105" s="70"/>
      <c r="DM105" s="62"/>
      <c r="DN105" s="27"/>
      <c r="DO105" s="51"/>
      <c r="DP105" s="52"/>
      <c r="DQ105" s="52"/>
      <c r="DR105" s="53">
        <f t="shared" si="67"/>
        <v>0</v>
      </c>
      <c r="DT105" s="47">
        <v>45985</v>
      </c>
      <c r="DU105" s="56">
        <v>1683.43</v>
      </c>
      <c r="DV105" s="57">
        <v>189.32</v>
      </c>
      <c r="DW105" s="70"/>
      <c r="DX105" s="62"/>
      <c r="DY105" s="27"/>
      <c r="DZ105" s="51"/>
      <c r="EA105" s="52"/>
      <c r="EB105" s="52"/>
      <c r="EC105" s="53">
        <f t="shared" si="68"/>
        <v>0</v>
      </c>
      <c r="EE105" s="47">
        <v>45985</v>
      </c>
      <c r="EF105" s="56">
        <v>7028.64</v>
      </c>
      <c r="EG105" s="57">
        <v>1512.12</v>
      </c>
      <c r="EH105" s="70"/>
      <c r="EI105" s="59">
        <v>149.5</v>
      </c>
      <c r="EJ105" s="27"/>
      <c r="EK105" s="51"/>
      <c r="EL105" s="52"/>
      <c r="EM105" s="52"/>
      <c r="EN105" s="53">
        <f t="shared" si="69"/>
        <v>149.5</v>
      </c>
      <c r="EP105" s="47">
        <v>45985</v>
      </c>
      <c r="EQ105" s="64">
        <v>480.74</v>
      </c>
      <c r="ER105" s="56">
        <v>474.56</v>
      </c>
      <c r="ES105" s="70"/>
      <c r="ET105" s="62"/>
      <c r="EV105" s="51"/>
      <c r="EW105" s="52"/>
      <c r="EX105" s="52"/>
      <c r="EY105" s="53">
        <f t="shared" si="70"/>
        <v>0</v>
      </c>
    </row>
    <row r="106" spans="2:155" hidden="1" x14ac:dyDescent="0.25">
      <c r="B106" s="47">
        <v>45986</v>
      </c>
      <c r="C106" s="48">
        <v>15774.33</v>
      </c>
      <c r="D106" s="49">
        <v>2661.9</v>
      </c>
      <c r="E106" s="50">
        <v>4711.8100000000004</v>
      </c>
      <c r="F106" s="49">
        <v>407.4</v>
      </c>
      <c r="G106" s="50"/>
      <c r="H106" s="27"/>
      <c r="I106" s="51"/>
      <c r="J106" s="52"/>
      <c r="K106" s="52"/>
      <c r="L106" s="53">
        <f t="shared" si="57"/>
        <v>0</v>
      </c>
      <c r="N106" s="47">
        <v>45986</v>
      </c>
      <c r="O106" s="54">
        <v>6369.37</v>
      </c>
      <c r="P106" s="54">
        <v>265.24</v>
      </c>
      <c r="Q106" s="70"/>
      <c r="R106" s="69"/>
      <c r="S106" s="27"/>
      <c r="T106" s="51"/>
      <c r="U106" s="52"/>
      <c r="V106" s="52"/>
      <c r="W106" s="53">
        <f t="shared" si="58"/>
        <v>0</v>
      </c>
      <c r="Y106" s="47">
        <v>45986</v>
      </c>
      <c r="Z106" s="56">
        <v>5349.89</v>
      </c>
      <c r="AA106" s="57">
        <v>951.89</v>
      </c>
      <c r="AB106" s="104"/>
      <c r="AC106" s="59">
        <v>194.59</v>
      </c>
      <c r="AD106" s="27"/>
      <c r="AE106" s="51"/>
      <c r="AF106" s="52"/>
      <c r="AG106" s="52"/>
      <c r="AH106" s="53">
        <f t="shared" si="59"/>
        <v>194.59</v>
      </c>
      <c r="AJ106" s="47">
        <v>45986</v>
      </c>
      <c r="AK106" s="56">
        <v>3303.39</v>
      </c>
      <c r="AL106" s="57">
        <v>306.26</v>
      </c>
      <c r="AM106" s="70"/>
      <c r="AN106" s="58"/>
      <c r="AO106" s="27"/>
      <c r="AP106" s="51"/>
      <c r="AQ106" s="52"/>
      <c r="AR106" s="52"/>
      <c r="AS106" s="53">
        <f t="shared" si="60"/>
        <v>0</v>
      </c>
      <c r="AU106" s="47">
        <v>45986</v>
      </c>
      <c r="AV106" s="57">
        <v>394.2</v>
      </c>
      <c r="AW106" s="57">
        <v>0</v>
      </c>
      <c r="AX106" s="70"/>
      <c r="AY106" s="59">
        <v>2.42</v>
      </c>
      <c r="AZ106" s="27"/>
      <c r="BA106" s="51"/>
      <c r="BB106" s="52"/>
      <c r="BC106" s="52"/>
      <c r="BD106" s="53">
        <f t="shared" si="61"/>
        <v>2.42</v>
      </c>
      <c r="BF106" s="47">
        <v>45986</v>
      </c>
      <c r="BG106" s="56">
        <v>2820.3</v>
      </c>
      <c r="BH106" s="57">
        <v>607.71</v>
      </c>
      <c r="BI106" s="70"/>
      <c r="BJ106" s="59">
        <v>13.08</v>
      </c>
      <c r="BK106" s="27"/>
      <c r="BL106" s="51"/>
      <c r="BM106" s="52"/>
      <c r="BN106" s="52"/>
      <c r="BO106" s="53">
        <f t="shared" si="62"/>
        <v>13.08</v>
      </c>
      <c r="BQ106" s="47">
        <v>45986</v>
      </c>
      <c r="BR106" s="57">
        <v>325.63</v>
      </c>
      <c r="BS106" s="57">
        <v>417.89</v>
      </c>
      <c r="BT106" s="70"/>
      <c r="BU106" s="61">
        <v>56</v>
      </c>
      <c r="BV106" s="27"/>
      <c r="BW106" s="51"/>
      <c r="BX106" s="52"/>
      <c r="BY106" s="52"/>
      <c r="BZ106" s="53">
        <f t="shared" si="63"/>
        <v>56</v>
      </c>
      <c r="CB106" s="47">
        <v>45986</v>
      </c>
      <c r="CC106" s="56">
        <v>17666.13</v>
      </c>
      <c r="CD106" s="57">
        <v>1513.2</v>
      </c>
      <c r="CE106" s="70"/>
      <c r="CF106" s="58"/>
      <c r="CG106" s="27"/>
      <c r="CH106" s="51"/>
      <c r="CI106" s="52"/>
      <c r="CJ106" s="52"/>
      <c r="CK106" s="53">
        <f t="shared" si="64"/>
        <v>0</v>
      </c>
      <c r="CM106" s="47">
        <v>45986</v>
      </c>
      <c r="CN106" s="56">
        <v>10770.61</v>
      </c>
      <c r="CO106" s="57">
        <v>1452.51</v>
      </c>
      <c r="CP106" s="70"/>
      <c r="CQ106" s="62"/>
      <c r="CR106" s="27"/>
      <c r="CS106" s="51"/>
      <c r="CT106" s="52"/>
      <c r="CU106" s="52"/>
      <c r="CV106" s="53">
        <f t="shared" si="65"/>
        <v>0</v>
      </c>
      <c r="CX106" s="47">
        <v>45986</v>
      </c>
      <c r="CY106" s="56">
        <v>4803.41</v>
      </c>
      <c r="CZ106" s="57">
        <v>711.39</v>
      </c>
      <c r="DA106" s="70"/>
      <c r="DB106" s="59"/>
      <c r="DC106" s="27"/>
      <c r="DD106" s="51"/>
      <c r="DE106" s="52"/>
      <c r="DF106" s="52"/>
      <c r="DG106" s="53">
        <f t="shared" si="66"/>
        <v>0</v>
      </c>
      <c r="DI106" s="47">
        <v>45986</v>
      </c>
      <c r="DJ106" s="56">
        <v>1916</v>
      </c>
      <c r="DK106" s="71"/>
      <c r="DL106" s="70"/>
      <c r="DM106" s="62"/>
      <c r="DN106" s="27"/>
      <c r="DO106" s="51"/>
      <c r="DP106" s="52"/>
      <c r="DQ106" s="52"/>
      <c r="DR106" s="53">
        <f t="shared" si="67"/>
        <v>0</v>
      </c>
      <c r="DT106" s="47">
        <v>45986</v>
      </c>
      <c r="DU106" s="56">
        <v>3236.9</v>
      </c>
      <c r="DV106" s="57">
        <v>256.07</v>
      </c>
      <c r="DW106" s="70"/>
      <c r="DX106" s="62"/>
      <c r="DY106" s="27"/>
      <c r="DZ106" s="51"/>
      <c r="EA106" s="52"/>
      <c r="EB106" s="52"/>
      <c r="EC106" s="53">
        <f t="shared" si="68"/>
        <v>0</v>
      </c>
      <c r="EE106" s="47">
        <v>45986</v>
      </c>
      <c r="EF106" s="56">
        <v>5481.04</v>
      </c>
      <c r="EG106" s="57">
        <v>1352.35</v>
      </c>
      <c r="EH106" s="70"/>
      <c r="EI106" s="59">
        <v>121.78</v>
      </c>
      <c r="EJ106" s="27"/>
      <c r="EK106" s="51"/>
      <c r="EL106" s="52"/>
      <c r="EM106" s="52"/>
      <c r="EN106" s="53">
        <f t="shared" si="69"/>
        <v>121.78</v>
      </c>
      <c r="EP106" s="47">
        <v>45986</v>
      </c>
      <c r="EQ106" s="64">
        <v>469.85</v>
      </c>
      <c r="ER106" s="56">
        <v>536.41</v>
      </c>
      <c r="ES106" s="70"/>
      <c r="ET106" s="62"/>
      <c r="EV106" s="51"/>
      <c r="EW106" s="52"/>
      <c r="EX106" s="52"/>
      <c r="EY106" s="53">
        <f t="shared" si="70"/>
        <v>0</v>
      </c>
    </row>
    <row r="107" spans="2:155" hidden="1" x14ac:dyDescent="0.25">
      <c r="B107" s="47">
        <v>45987</v>
      </c>
      <c r="C107" s="48">
        <v>17914.009999999998</v>
      </c>
      <c r="D107" s="49">
        <v>2991.89</v>
      </c>
      <c r="E107" s="50">
        <v>4036.24</v>
      </c>
      <c r="F107" s="49">
        <v>514.48</v>
      </c>
      <c r="G107" s="50"/>
      <c r="H107" s="27"/>
      <c r="I107" s="51"/>
      <c r="J107" s="52"/>
      <c r="K107" s="52"/>
      <c r="L107" s="53">
        <f t="shared" si="57"/>
        <v>0</v>
      </c>
      <c r="N107" s="47">
        <v>45987</v>
      </c>
      <c r="O107" s="54">
        <v>5557.12</v>
      </c>
      <c r="P107" s="54">
        <v>352.09</v>
      </c>
      <c r="Q107" s="70"/>
      <c r="R107" s="69"/>
      <c r="S107" s="27"/>
      <c r="T107" s="51"/>
      <c r="U107" s="52"/>
      <c r="V107" s="52"/>
      <c r="W107" s="53">
        <f t="shared" si="58"/>
        <v>0</v>
      </c>
      <c r="Y107" s="47">
        <v>45987</v>
      </c>
      <c r="Z107" s="56">
        <v>4102.87</v>
      </c>
      <c r="AA107" s="57">
        <v>1345.99</v>
      </c>
      <c r="AB107" s="104"/>
      <c r="AC107" s="59">
        <v>143.03</v>
      </c>
      <c r="AD107" s="27"/>
      <c r="AE107" s="51"/>
      <c r="AF107" s="52"/>
      <c r="AG107" s="52"/>
      <c r="AH107" s="53">
        <f t="shared" si="59"/>
        <v>143.03</v>
      </c>
      <c r="AJ107" s="47">
        <v>45987</v>
      </c>
      <c r="AK107" s="56">
        <v>2559.8200000000002</v>
      </c>
      <c r="AL107" s="57">
        <v>441.3</v>
      </c>
      <c r="AM107" s="70"/>
      <c r="AN107" s="58"/>
      <c r="AO107" s="27"/>
      <c r="AP107" s="51"/>
      <c r="AQ107" s="52"/>
      <c r="AR107" s="52"/>
      <c r="AS107" s="53">
        <f t="shared" si="60"/>
        <v>0</v>
      </c>
      <c r="AU107" s="47">
        <v>45987</v>
      </c>
      <c r="AV107" s="57">
        <v>1036.05</v>
      </c>
      <c r="AW107" s="57">
        <v>20</v>
      </c>
      <c r="AX107" s="70"/>
      <c r="AY107" s="59"/>
      <c r="AZ107" s="27"/>
      <c r="BA107" s="51"/>
      <c r="BB107" s="52"/>
      <c r="BC107" s="52"/>
      <c r="BD107" s="53">
        <f t="shared" si="61"/>
        <v>0</v>
      </c>
      <c r="BF107" s="47">
        <v>45987</v>
      </c>
      <c r="BG107" s="56">
        <v>3435.12</v>
      </c>
      <c r="BH107" s="57">
        <v>693.92</v>
      </c>
      <c r="BI107" s="70"/>
      <c r="BJ107" s="59">
        <v>12.55</v>
      </c>
      <c r="BK107" s="27"/>
      <c r="BL107" s="51"/>
      <c r="BM107" s="52"/>
      <c r="BN107" s="52"/>
      <c r="BO107" s="53">
        <f t="shared" si="62"/>
        <v>12.55</v>
      </c>
      <c r="BQ107" s="47">
        <v>45987</v>
      </c>
      <c r="BR107" s="57">
        <v>240</v>
      </c>
      <c r="BS107" s="57">
        <v>196</v>
      </c>
      <c r="BT107" s="70"/>
      <c r="BU107" s="61"/>
      <c r="BV107" s="27"/>
      <c r="BW107" s="51"/>
      <c r="BX107" s="52"/>
      <c r="BY107" s="52"/>
      <c r="BZ107" s="53">
        <f t="shared" si="63"/>
        <v>0</v>
      </c>
      <c r="CB107" s="47">
        <v>45987</v>
      </c>
      <c r="CC107" s="56">
        <v>17401.240000000002</v>
      </c>
      <c r="CD107" s="57">
        <v>2010.14</v>
      </c>
      <c r="CE107" s="70"/>
      <c r="CF107" s="58"/>
      <c r="CG107" s="27"/>
      <c r="CH107" s="51"/>
      <c r="CI107" s="52"/>
      <c r="CJ107" s="52"/>
      <c r="CK107" s="53">
        <f t="shared" si="64"/>
        <v>0</v>
      </c>
      <c r="CM107" s="47">
        <v>45987</v>
      </c>
      <c r="CN107" s="56">
        <v>11662.81</v>
      </c>
      <c r="CO107" s="57">
        <v>1734.8</v>
      </c>
      <c r="CP107" s="70"/>
      <c r="CQ107" s="62"/>
      <c r="CR107" s="27"/>
      <c r="CS107" s="51"/>
      <c r="CT107" s="52"/>
      <c r="CU107" s="52"/>
      <c r="CV107" s="53">
        <f t="shared" si="65"/>
        <v>0</v>
      </c>
      <c r="CX107" s="47">
        <v>45987</v>
      </c>
      <c r="CY107" s="56">
        <v>5291.88</v>
      </c>
      <c r="CZ107" s="57">
        <v>691</v>
      </c>
      <c r="DA107" s="70"/>
      <c r="DB107" s="59">
        <v>11.29</v>
      </c>
      <c r="DC107" s="27"/>
      <c r="DD107" s="51"/>
      <c r="DE107" s="52"/>
      <c r="DF107" s="52"/>
      <c r="DG107" s="53">
        <f t="shared" si="66"/>
        <v>11.29</v>
      </c>
      <c r="DI107" s="47">
        <v>45987</v>
      </c>
      <c r="DJ107" s="56">
        <v>2748.71</v>
      </c>
      <c r="DK107" s="71"/>
      <c r="DL107" s="70"/>
      <c r="DM107" s="62"/>
      <c r="DN107" s="27"/>
      <c r="DO107" s="51"/>
      <c r="DP107" s="52"/>
      <c r="DQ107" s="52"/>
      <c r="DR107" s="53">
        <f t="shared" si="67"/>
        <v>0</v>
      </c>
      <c r="DT107" s="47">
        <v>45987</v>
      </c>
      <c r="DU107" s="56">
        <v>1348.26</v>
      </c>
      <c r="DV107" s="57">
        <v>226.24</v>
      </c>
      <c r="DW107" s="70"/>
      <c r="DX107" s="62"/>
      <c r="DY107" s="27"/>
      <c r="DZ107" s="51"/>
      <c r="EA107" s="52"/>
      <c r="EB107" s="52"/>
      <c r="EC107" s="53">
        <f t="shared" si="68"/>
        <v>0</v>
      </c>
      <c r="EE107" s="47">
        <v>45987</v>
      </c>
      <c r="EF107" s="56">
        <v>5592.5</v>
      </c>
      <c r="EG107" s="57">
        <v>1423.15</v>
      </c>
      <c r="EH107" s="70"/>
      <c r="EI107" s="59">
        <v>162.91</v>
      </c>
      <c r="EJ107" s="27"/>
      <c r="EK107" s="51"/>
      <c r="EL107" s="52"/>
      <c r="EM107" s="52"/>
      <c r="EN107" s="53">
        <f t="shared" si="69"/>
        <v>162.91</v>
      </c>
      <c r="EP107" s="47">
        <v>45987</v>
      </c>
      <c r="EQ107" s="64">
        <v>1248.26</v>
      </c>
      <c r="ER107" s="56">
        <v>464.45</v>
      </c>
      <c r="ES107" s="70"/>
      <c r="ET107" s="62"/>
      <c r="EV107" s="51"/>
      <c r="EW107" s="52"/>
      <c r="EX107" s="52"/>
      <c r="EY107" s="53">
        <f t="shared" si="70"/>
        <v>0</v>
      </c>
    </row>
    <row r="108" spans="2:155" hidden="1" x14ac:dyDescent="0.25">
      <c r="B108" s="47">
        <v>45988</v>
      </c>
      <c r="C108" s="48">
        <v>20089.169999999998</v>
      </c>
      <c r="D108" s="49">
        <v>2943.24</v>
      </c>
      <c r="E108" s="50">
        <v>3417.43</v>
      </c>
      <c r="F108" s="49">
        <v>475.04</v>
      </c>
      <c r="G108" s="50"/>
      <c r="H108" s="27"/>
      <c r="I108" s="51"/>
      <c r="J108" s="52"/>
      <c r="K108" s="52"/>
      <c r="L108" s="53">
        <f t="shared" si="57"/>
        <v>0</v>
      </c>
      <c r="N108" s="47">
        <v>45988</v>
      </c>
      <c r="O108" s="54">
        <v>5761.54</v>
      </c>
      <c r="P108" s="54">
        <v>534.92999999999995</v>
      </c>
      <c r="Q108" s="70"/>
      <c r="R108" s="69"/>
      <c r="S108" s="27"/>
      <c r="T108" s="51"/>
      <c r="U108" s="52"/>
      <c r="V108" s="52"/>
      <c r="W108" s="53">
        <f t="shared" si="58"/>
        <v>0</v>
      </c>
      <c r="Y108" s="47">
        <v>45988</v>
      </c>
      <c r="Z108" s="56">
        <v>5704.34</v>
      </c>
      <c r="AA108" s="72">
        <v>1102.3800000000001</v>
      </c>
      <c r="AB108" s="104"/>
      <c r="AC108" s="59">
        <v>54.11</v>
      </c>
      <c r="AD108" s="27"/>
      <c r="AE108" s="51"/>
      <c r="AF108" s="52"/>
      <c r="AG108" s="52"/>
      <c r="AH108" s="53">
        <f t="shared" si="59"/>
        <v>54.11</v>
      </c>
      <c r="AJ108" s="47">
        <v>45988</v>
      </c>
      <c r="AK108" s="56">
        <v>2072.42</v>
      </c>
      <c r="AL108" s="57">
        <v>225.64</v>
      </c>
      <c r="AM108" s="70"/>
      <c r="AN108" s="58"/>
      <c r="AO108" s="27"/>
      <c r="AP108" s="51"/>
      <c r="AQ108" s="52"/>
      <c r="AR108" s="52"/>
      <c r="AS108" s="53">
        <f t="shared" si="60"/>
        <v>0</v>
      </c>
      <c r="AU108" s="47">
        <v>45988</v>
      </c>
      <c r="AV108" s="57">
        <v>1327.2</v>
      </c>
      <c r="AW108" s="57">
        <v>25</v>
      </c>
      <c r="AX108" s="70"/>
      <c r="AY108" s="59">
        <v>47.4</v>
      </c>
      <c r="AZ108" s="27"/>
      <c r="BA108" s="51"/>
      <c r="BB108" s="52"/>
      <c r="BC108" s="52"/>
      <c r="BD108" s="53">
        <f t="shared" si="61"/>
        <v>47.4</v>
      </c>
      <c r="BF108" s="47">
        <v>45988</v>
      </c>
      <c r="BG108" s="56">
        <v>3770.46</v>
      </c>
      <c r="BH108" s="57">
        <v>407.34</v>
      </c>
      <c r="BI108" s="70"/>
      <c r="BJ108" s="59">
        <v>29.06</v>
      </c>
      <c r="BK108" s="27"/>
      <c r="BL108" s="51"/>
      <c r="BM108" s="52"/>
      <c r="BN108" s="52"/>
      <c r="BO108" s="53">
        <f t="shared" si="62"/>
        <v>29.06</v>
      </c>
      <c r="BQ108" s="47">
        <v>45988</v>
      </c>
      <c r="BR108" s="57">
        <v>461.21</v>
      </c>
      <c r="BS108" s="57">
        <v>671.44</v>
      </c>
      <c r="BT108" s="70"/>
      <c r="BU108" s="61"/>
      <c r="BV108" s="27"/>
      <c r="BW108" s="51"/>
      <c r="BX108" s="52"/>
      <c r="BY108" s="52"/>
      <c r="BZ108" s="53">
        <f t="shared" si="63"/>
        <v>0</v>
      </c>
      <c r="CB108" s="47">
        <v>45988</v>
      </c>
      <c r="CC108" s="56">
        <v>20648.59</v>
      </c>
      <c r="CD108" s="57">
        <v>2311.77</v>
      </c>
      <c r="CE108" s="70"/>
      <c r="CF108" s="58"/>
      <c r="CG108" s="27"/>
      <c r="CH108" s="51"/>
      <c r="CI108" s="52"/>
      <c r="CJ108" s="52"/>
      <c r="CK108" s="53">
        <f t="shared" si="64"/>
        <v>0</v>
      </c>
      <c r="CM108" s="47">
        <v>45988</v>
      </c>
      <c r="CN108" s="56">
        <v>12463.79</v>
      </c>
      <c r="CO108" s="57">
        <v>2289.4299999999998</v>
      </c>
      <c r="CP108" s="70"/>
      <c r="CQ108" s="62"/>
      <c r="CR108" s="27"/>
      <c r="CS108" s="51"/>
      <c r="CT108" s="52"/>
      <c r="CU108" s="52"/>
      <c r="CV108" s="53">
        <f t="shared" si="65"/>
        <v>0</v>
      </c>
      <c r="CX108" s="47">
        <v>45988</v>
      </c>
      <c r="CY108" s="56">
        <v>5922.32</v>
      </c>
      <c r="CZ108" s="57">
        <v>982.21</v>
      </c>
      <c r="DA108" s="70"/>
      <c r="DB108" s="59">
        <v>11.29</v>
      </c>
      <c r="DC108" s="27"/>
      <c r="DD108" s="51"/>
      <c r="DE108" s="52"/>
      <c r="DF108" s="52"/>
      <c r="DG108" s="53">
        <f t="shared" si="66"/>
        <v>11.29</v>
      </c>
      <c r="DI108" s="47">
        <v>45988</v>
      </c>
      <c r="DJ108" s="56">
        <v>1744.77</v>
      </c>
      <c r="DK108" s="71"/>
      <c r="DL108" s="70"/>
      <c r="DM108" s="62"/>
      <c r="DN108" s="27"/>
      <c r="DO108" s="51"/>
      <c r="DP108" s="52"/>
      <c r="DQ108" s="52"/>
      <c r="DR108" s="53">
        <f t="shared" si="67"/>
        <v>0</v>
      </c>
      <c r="DT108" s="47">
        <v>45988</v>
      </c>
      <c r="DU108" s="56">
        <v>1954.56</v>
      </c>
      <c r="DV108" s="57">
        <v>168.51</v>
      </c>
      <c r="DW108" s="70"/>
      <c r="DX108" s="62"/>
      <c r="DY108" s="27"/>
      <c r="DZ108" s="51"/>
      <c r="EA108" s="52"/>
      <c r="EB108" s="52"/>
      <c r="EC108" s="53">
        <f t="shared" si="68"/>
        <v>0</v>
      </c>
      <c r="EE108" s="47">
        <v>45988</v>
      </c>
      <c r="EF108" s="56">
        <v>9935.67</v>
      </c>
      <c r="EG108" s="57">
        <v>1931</v>
      </c>
      <c r="EH108" s="70"/>
      <c r="EI108" s="59">
        <v>157.63</v>
      </c>
      <c r="EJ108" s="27"/>
      <c r="EK108" s="51"/>
      <c r="EL108" s="52"/>
      <c r="EM108" s="52"/>
      <c r="EN108" s="53">
        <f t="shared" si="69"/>
        <v>157.63</v>
      </c>
      <c r="EP108" s="47">
        <v>45988</v>
      </c>
      <c r="EQ108" s="64">
        <v>477.49</v>
      </c>
      <c r="ER108" s="56">
        <v>748.39</v>
      </c>
      <c r="ES108" s="70"/>
      <c r="ET108" s="62"/>
      <c r="EV108" s="51"/>
      <c r="EW108" s="52"/>
      <c r="EX108" s="52"/>
      <c r="EY108" s="53">
        <f t="shared" si="70"/>
        <v>0</v>
      </c>
    </row>
    <row r="109" spans="2:155" hidden="1" x14ac:dyDescent="0.25">
      <c r="B109" s="47">
        <v>45989</v>
      </c>
      <c r="C109" s="48">
        <v>22238.66</v>
      </c>
      <c r="D109" s="49">
        <v>2829.01</v>
      </c>
      <c r="E109" s="50">
        <v>3206.68</v>
      </c>
      <c r="F109" s="49">
        <v>345.01</v>
      </c>
      <c r="G109" s="50"/>
      <c r="H109" s="27"/>
      <c r="I109" s="51"/>
      <c r="J109" s="52"/>
      <c r="K109" s="52"/>
      <c r="L109" s="53">
        <f t="shared" si="57"/>
        <v>0</v>
      </c>
      <c r="N109" s="47">
        <v>45989</v>
      </c>
      <c r="O109" s="54">
        <v>6718.55</v>
      </c>
      <c r="P109" s="54">
        <v>355.93</v>
      </c>
      <c r="Q109" s="70"/>
      <c r="R109" s="55"/>
      <c r="S109" s="27"/>
      <c r="T109" s="51"/>
      <c r="U109" s="52"/>
      <c r="V109" s="52"/>
      <c r="W109" s="53">
        <f t="shared" si="58"/>
        <v>0</v>
      </c>
      <c r="Y109" s="47">
        <v>45989</v>
      </c>
      <c r="Z109" s="56">
        <v>4872.25</v>
      </c>
      <c r="AA109" s="57">
        <v>1322.06</v>
      </c>
      <c r="AB109" s="104"/>
      <c r="AC109" s="59">
        <v>101.64</v>
      </c>
      <c r="AD109" s="27"/>
      <c r="AE109" s="51"/>
      <c r="AF109" s="52"/>
      <c r="AG109" s="52"/>
      <c r="AH109" s="53">
        <f t="shared" si="59"/>
        <v>101.64</v>
      </c>
      <c r="AJ109" s="47">
        <v>45989</v>
      </c>
      <c r="AK109" s="56">
        <v>3795.42</v>
      </c>
      <c r="AL109" s="57">
        <v>457.79</v>
      </c>
      <c r="AM109" s="70"/>
      <c r="AN109" s="58"/>
      <c r="AO109" s="27"/>
      <c r="AP109" s="51"/>
      <c r="AQ109" s="52"/>
      <c r="AR109" s="52"/>
      <c r="AS109" s="53">
        <f t="shared" si="60"/>
        <v>0</v>
      </c>
      <c r="AU109" s="47">
        <v>45989</v>
      </c>
      <c r="AV109" s="57">
        <v>2752.54</v>
      </c>
      <c r="AW109" s="57">
        <v>137.4</v>
      </c>
      <c r="AX109" s="70"/>
      <c r="AY109" s="59">
        <v>53.4</v>
      </c>
      <c r="AZ109" s="27"/>
      <c r="BA109" s="51"/>
      <c r="BB109" s="52"/>
      <c r="BC109" s="52"/>
      <c r="BD109" s="53">
        <f t="shared" si="61"/>
        <v>53.4</v>
      </c>
      <c r="BF109" s="47">
        <v>45989</v>
      </c>
      <c r="BG109" s="56">
        <v>4939.18</v>
      </c>
      <c r="BH109" s="57">
        <v>473.82</v>
      </c>
      <c r="BI109" s="70"/>
      <c r="BJ109" s="59"/>
      <c r="BK109" s="27"/>
      <c r="BL109" s="51"/>
      <c r="BM109" s="52"/>
      <c r="BN109" s="52"/>
      <c r="BO109" s="53">
        <f t="shared" si="62"/>
        <v>0</v>
      </c>
      <c r="BQ109" s="47">
        <v>45989</v>
      </c>
      <c r="BR109" s="57">
        <v>336.95</v>
      </c>
      <c r="BS109" s="57">
        <v>155.51</v>
      </c>
      <c r="BT109" s="70"/>
      <c r="BU109" s="61"/>
      <c r="BV109" s="27"/>
      <c r="BW109" s="51"/>
      <c r="BX109" s="52"/>
      <c r="BY109" s="52"/>
      <c r="BZ109" s="53">
        <f t="shared" si="63"/>
        <v>0</v>
      </c>
      <c r="CB109" s="47">
        <v>45989</v>
      </c>
      <c r="CC109" s="56">
        <v>23531.040000000001</v>
      </c>
      <c r="CD109" s="57">
        <v>2459.3200000000002</v>
      </c>
      <c r="CE109" s="70"/>
      <c r="CF109" s="58"/>
      <c r="CG109" s="27"/>
      <c r="CH109" s="51"/>
      <c r="CI109" s="52"/>
      <c r="CJ109" s="52"/>
      <c r="CK109" s="53">
        <f t="shared" si="64"/>
        <v>0</v>
      </c>
      <c r="CM109" s="47">
        <v>45989</v>
      </c>
      <c r="CN109" s="56">
        <v>13285.46</v>
      </c>
      <c r="CO109" s="57">
        <v>2603.0100000000002</v>
      </c>
      <c r="CP109" s="70"/>
      <c r="CQ109" s="62"/>
      <c r="CR109" s="27"/>
      <c r="CS109" s="51"/>
      <c r="CT109" s="52"/>
      <c r="CU109" s="52"/>
      <c r="CV109" s="53">
        <f t="shared" si="65"/>
        <v>0</v>
      </c>
      <c r="CX109" s="47">
        <v>45989</v>
      </c>
      <c r="CY109" s="56">
        <v>2919.5</v>
      </c>
      <c r="CZ109" s="57">
        <v>906.81</v>
      </c>
      <c r="DA109" s="70"/>
      <c r="DB109" s="59"/>
      <c r="DC109" s="27"/>
      <c r="DD109" s="51"/>
      <c r="DE109" s="52"/>
      <c r="DF109" s="52"/>
      <c r="DG109" s="53">
        <f t="shared" si="66"/>
        <v>0</v>
      </c>
      <c r="DI109" s="47">
        <v>45989</v>
      </c>
      <c r="DJ109" s="56">
        <v>1160.1199999999999</v>
      </c>
      <c r="DK109" s="71"/>
      <c r="DL109" s="70"/>
      <c r="DM109" s="62"/>
      <c r="DN109" s="27"/>
      <c r="DO109" s="51"/>
      <c r="DP109" s="52"/>
      <c r="DQ109" s="52"/>
      <c r="DR109" s="53">
        <f t="shared" si="67"/>
        <v>0</v>
      </c>
      <c r="DT109" s="47">
        <v>45989</v>
      </c>
      <c r="DU109" s="56">
        <v>3387.23</v>
      </c>
      <c r="DV109" s="57">
        <v>545.21</v>
      </c>
      <c r="DW109" s="70"/>
      <c r="DX109" s="62"/>
      <c r="DY109" s="27"/>
      <c r="DZ109" s="51"/>
      <c r="EA109" s="52"/>
      <c r="EB109" s="52"/>
      <c r="EC109" s="53">
        <f t="shared" si="68"/>
        <v>0</v>
      </c>
      <c r="EE109" s="47">
        <v>45989</v>
      </c>
      <c r="EF109" s="56">
        <v>7909.48</v>
      </c>
      <c r="EG109" s="57">
        <v>1935.55</v>
      </c>
      <c r="EH109" s="70"/>
      <c r="EI109" s="59">
        <v>108.1</v>
      </c>
      <c r="EJ109" s="27"/>
      <c r="EK109" s="51"/>
      <c r="EL109" s="52"/>
      <c r="EM109" s="52"/>
      <c r="EN109" s="53">
        <f t="shared" si="69"/>
        <v>108.1</v>
      </c>
      <c r="EP109" s="47">
        <v>45989</v>
      </c>
      <c r="EQ109" s="64">
        <v>722.79</v>
      </c>
      <c r="ER109" s="56">
        <v>661</v>
      </c>
      <c r="ES109" s="70"/>
      <c r="ET109" s="62"/>
      <c r="EV109" s="51"/>
      <c r="EW109" s="52"/>
      <c r="EX109" s="52"/>
      <c r="EY109" s="53">
        <f t="shared" si="70"/>
        <v>0</v>
      </c>
    </row>
    <row r="110" spans="2:155" hidden="1" x14ac:dyDescent="0.25">
      <c r="B110" s="47">
        <v>45990</v>
      </c>
      <c r="C110" s="73">
        <v>20205.02</v>
      </c>
      <c r="D110" s="74">
        <v>3562.66</v>
      </c>
      <c r="E110" s="50">
        <v>2973.42</v>
      </c>
      <c r="F110" s="74">
        <v>253.3</v>
      </c>
      <c r="G110" s="50"/>
      <c r="H110" s="27"/>
      <c r="I110" s="51"/>
      <c r="J110" s="52"/>
      <c r="K110" s="52"/>
      <c r="L110" s="53">
        <f t="shared" si="57"/>
        <v>0</v>
      </c>
      <c r="N110" s="47">
        <v>45990</v>
      </c>
      <c r="O110" s="54">
        <v>6242.86</v>
      </c>
      <c r="P110" s="54">
        <v>377.27</v>
      </c>
      <c r="Q110" s="70"/>
      <c r="R110" s="55"/>
      <c r="S110" s="27"/>
      <c r="T110" s="51"/>
      <c r="U110" s="52"/>
      <c r="V110" s="52"/>
      <c r="W110" s="53">
        <f t="shared" si="58"/>
        <v>0</v>
      </c>
      <c r="Y110" s="47">
        <v>45990</v>
      </c>
      <c r="Z110" s="56">
        <v>6346.25</v>
      </c>
      <c r="AA110" s="57">
        <v>1432.81</v>
      </c>
      <c r="AB110" s="104"/>
      <c r="AC110" s="59">
        <v>134.99</v>
      </c>
      <c r="AD110" s="27"/>
      <c r="AE110" s="51"/>
      <c r="AF110" s="52"/>
      <c r="AG110" s="52"/>
      <c r="AH110" s="53">
        <f t="shared" si="59"/>
        <v>134.99</v>
      </c>
      <c r="AJ110" s="47">
        <v>45990</v>
      </c>
      <c r="AK110" s="56">
        <v>2704.78</v>
      </c>
      <c r="AL110" s="57">
        <v>475.64</v>
      </c>
      <c r="AM110" s="70"/>
      <c r="AN110" s="58"/>
      <c r="AO110" s="27"/>
      <c r="AP110" s="51"/>
      <c r="AQ110" s="52"/>
      <c r="AR110" s="52"/>
      <c r="AS110" s="53">
        <f t="shared" si="60"/>
        <v>0</v>
      </c>
      <c r="AU110" s="47">
        <v>45990</v>
      </c>
      <c r="AV110" s="57">
        <v>494.73</v>
      </c>
      <c r="AW110" s="57">
        <v>0</v>
      </c>
      <c r="AX110" s="70"/>
      <c r="AY110" s="59"/>
      <c r="AZ110" s="27"/>
      <c r="BA110" s="51"/>
      <c r="BB110" s="52"/>
      <c r="BC110" s="52"/>
      <c r="BD110" s="53">
        <f t="shared" si="61"/>
        <v>0</v>
      </c>
      <c r="BF110" s="47">
        <v>45990</v>
      </c>
      <c r="BG110" s="56">
        <v>4676.41</v>
      </c>
      <c r="BH110" s="57">
        <v>666.81</v>
      </c>
      <c r="BI110" s="70"/>
      <c r="BJ110" s="59"/>
      <c r="BK110" s="27"/>
      <c r="BL110" s="51"/>
      <c r="BM110" s="52"/>
      <c r="BN110" s="52"/>
      <c r="BO110" s="53">
        <f t="shared" si="62"/>
        <v>0</v>
      </c>
      <c r="BQ110" s="47">
        <v>45990</v>
      </c>
      <c r="BR110" s="57">
        <v>498.37</v>
      </c>
      <c r="BS110" s="57">
        <v>586.34</v>
      </c>
      <c r="BT110" s="70"/>
      <c r="BU110" s="61"/>
      <c r="BV110" s="27"/>
      <c r="BW110" s="51"/>
      <c r="BX110" s="52"/>
      <c r="BY110" s="52"/>
      <c r="BZ110" s="53">
        <f t="shared" si="63"/>
        <v>0</v>
      </c>
      <c r="CB110" s="47">
        <v>45990</v>
      </c>
      <c r="CC110" s="56">
        <v>23535.02</v>
      </c>
      <c r="CD110" s="57">
        <v>2894.25</v>
      </c>
      <c r="CE110" s="70"/>
      <c r="CF110" s="58"/>
      <c r="CG110" s="27"/>
      <c r="CH110" s="51"/>
      <c r="CI110" s="52"/>
      <c r="CJ110" s="52"/>
      <c r="CK110" s="53">
        <f t="shared" si="64"/>
        <v>0</v>
      </c>
      <c r="CM110" s="47">
        <v>45990</v>
      </c>
      <c r="CN110" s="56">
        <v>11267.39</v>
      </c>
      <c r="CO110" s="57">
        <v>2160.37</v>
      </c>
      <c r="CP110" s="70"/>
      <c r="CQ110" s="62"/>
      <c r="CR110" s="27"/>
      <c r="CS110" s="51"/>
      <c r="CT110" s="52"/>
      <c r="CU110" s="52"/>
      <c r="CV110" s="53">
        <f t="shared" si="65"/>
        <v>0</v>
      </c>
      <c r="CX110" s="47">
        <v>45990</v>
      </c>
      <c r="CY110" s="56">
        <v>5117.18</v>
      </c>
      <c r="CZ110" s="57">
        <v>540.47</v>
      </c>
      <c r="DA110" s="70"/>
      <c r="DB110" s="59"/>
      <c r="DC110" s="27"/>
      <c r="DD110" s="51"/>
      <c r="DE110" s="52"/>
      <c r="DF110" s="52"/>
      <c r="DG110" s="53">
        <f t="shared" si="66"/>
        <v>0</v>
      </c>
      <c r="DI110" s="47">
        <v>45990</v>
      </c>
      <c r="DJ110" s="56">
        <v>1448.59</v>
      </c>
      <c r="DK110" s="71"/>
      <c r="DL110" s="70"/>
      <c r="DM110" s="62"/>
      <c r="DN110" s="27"/>
      <c r="DO110" s="51"/>
      <c r="DP110" s="52"/>
      <c r="DQ110" s="52"/>
      <c r="DR110" s="53">
        <f t="shared" si="67"/>
        <v>0</v>
      </c>
      <c r="DT110" s="47">
        <v>45990</v>
      </c>
      <c r="DU110" s="56">
        <v>1835.68</v>
      </c>
      <c r="DV110" s="57">
        <v>290.91000000000003</v>
      </c>
      <c r="DW110" s="70"/>
      <c r="DX110" s="62"/>
      <c r="DY110" s="27"/>
      <c r="DZ110" s="51"/>
      <c r="EA110" s="52"/>
      <c r="EB110" s="52"/>
      <c r="EC110" s="53">
        <f t="shared" si="68"/>
        <v>0</v>
      </c>
      <c r="EE110" s="47">
        <v>45990</v>
      </c>
      <c r="EF110" s="56">
        <v>6664.99</v>
      </c>
      <c r="EG110" s="57">
        <v>2141.14</v>
      </c>
      <c r="EH110" s="70"/>
      <c r="EI110" s="59">
        <v>105.09</v>
      </c>
      <c r="EJ110" s="27"/>
      <c r="EK110" s="51"/>
      <c r="EL110" s="52"/>
      <c r="EM110" s="52"/>
      <c r="EN110" s="53">
        <f t="shared" si="69"/>
        <v>105.09</v>
      </c>
      <c r="EP110" s="47">
        <v>45990</v>
      </c>
      <c r="EQ110" s="64">
        <v>600.13</v>
      </c>
      <c r="ER110" s="56">
        <v>590.32000000000005</v>
      </c>
      <c r="ES110" s="70"/>
      <c r="ET110" s="62"/>
      <c r="EV110" s="51"/>
      <c r="EW110" s="52"/>
      <c r="EX110" s="52"/>
      <c r="EY110" s="53">
        <f t="shared" si="70"/>
        <v>0</v>
      </c>
    </row>
    <row r="111" spans="2:155" ht="15.75" hidden="1" thickBot="1" x14ac:dyDescent="0.3">
      <c r="B111" s="75">
        <v>45991</v>
      </c>
      <c r="C111" s="73">
        <v>15717.22</v>
      </c>
      <c r="D111" s="74">
        <v>2565.7600000000002</v>
      </c>
      <c r="E111" s="50">
        <v>1694.95</v>
      </c>
      <c r="F111" s="74">
        <v>288.47000000000003</v>
      </c>
      <c r="G111" s="94"/>
      <c r="H111" s="27"/>
      <c r="I111" s="51"/>
      <c r="J111" s="52"/>
      <c r="K111" s="52"/>
      <c r="L111" s="53">
        <f t="shared" si="57"/>
        <v>0</v>
      </c>
      <c r="N111" s="75">
        <v>45991</v>
      </c>
      <c r="O111" s="54">
        <v>3886.02</v>
      </c>
      <c r="P111" s="54">
        <v>369.23</v>
      </c>
      <c r="Q111" s="70"/>
      <c r="R111" s="55"/>
      <c r="S111" s="27"/>
      <c r="T111" s="51"/>
      <c r="U111" s="52"/>
      <c r="V111" s="52"/>
      <c r="W111" s="53">
        <f t="shared" si="58"/>
        <v>0</v>
      </c>
      <c r="Y111" s="75">
        <v>45991</v>
      </c>
      <c r="Z111" s="56">
        <v>5418.93</v>
      </c>
      <c r="AA111" s="57">
        <v>1255.58</v>
      </c>
      <c r="AB111" s="104"/>
      <c r="AC111" s="59">
        <v>154.19</v>
      </c>
      <c r="AD111" s="27"/>
      <c r="AE111" s="51"/>
      <c r="AF111" s="52"/>
      <c r="AG111" s="52"/>
      <c r="AH111" s="53">
        <f t="shared" si="59"/>
        <v>154.19</v>
      </c>
      <c r="AJ111" s="75">
        <v>45991</v>
      </c>
      <c r="AK111" s="56">
        <v>3028.9</v>
      </c>
      <c r="AL111" s="57">
        <v>515.98</v>
      </c>
      <c r="AM111" s="70"/>
      <c r="AN111" s="62"/>
      <c r="AO111" s="27"/>
      <c r="AP111" s="51"/>
      <c r="AQ111" s="52"/>
      <c r="AR111" s="52"/>
      <c r="AS111" s="53">
        <f t="shared" si="60"/>
        <v>0</v>
      </c>
      <c r="AU111" s="75">
        <v>45991</v>
      </c>
      <c r="AV111" s="57">
        <v>190</v>
      </c>
      <c r="AW111" s="57">
        <v>31.42</v>
      </c>
      <c r="AX111" s="70"/>
      <c r="AY111" s="59"/>
      <c r="AZ111" s="27"/>
      <c r="BA111" s="51"/>
      <c r="BB111" s="52"/>
      <c r="BC111" s="52"/>
      <c r="BD111" s="53">
        <f t="shared" si="61"/>
        <v>0</v>
      </c>
      <c r="BF111" s="75">
        <v>45991</v>
      </c>
      <c r="BG111" s="56">
        <v>4189.87</v>
      </c>
      <c r="BH111" s="57">
        <v>479.45</v>
      </c>
      <c r="BI111" s="70"/>
      <c r="BJ111" s="59"/>
      <c r="BK111" s="27"/>
      <c r="BL111" s="51"/>
      <c r="BM111" s="52"/>
      <c r="BN111" s="52"/>
      <c r="BO111" s="53">
        <f t="shared" si="62"/>
        <v>0</v>
      </c>
      <c r="BQ111" s="75">
        <v>45991</v>
      </c>
      <c r="BR111" s="57">
        <v>257.14999999999998</v>
      </c>
      <c r="BS111" s="57">
        <v>100.09</v>
      </c>
      <c r="BT111" s="70"/>
      <c r="BU111" s="61"/>
      <c r="BV111" s="27"/>
      <c r="BW111" s="51"/>
      <c r="BX111" s="52"/>
      <c r="BY111" s="52"/>
      <c r="BZ111" s="53">
        <f t="shared" si="63"/>
        <v>0</v>
      </c>
      <c r="CB111" s="75">
        <v>45991</v>
      </c>
      <c r="CC111" s="56">
        <v>19046.63</v>
      </c>
      <c r="CD111" s="57">
        <v>1984.24</v>
      </c>
      <c r="CE111" s="70"/>
      <c r="CF111" s="62"/>
      <c r="CG111" s="27"/>
      <c r="CH111" s="51"/>
      <c r="CI111" s="52"/>
      <c r="CJ111" s="52"/>
      <c r="CK111" s="53">
        <f t="shared" si="64"/>
        <v>0</v>
      </c>
      <c r="CM111" s="75">
        <v>45991</v>
      </c>
      <c r="CN111" s="56">
        <v>6333.1</v>
      </c>
      <c r="CO111" s="57">
        <v>1021.4</v>
      </c>
      <c r="CP111" s="70"/>
      <c r="CQ111" s="62"/>
      <c r="CR111" s="27"/>
      <c r="CS111" s="51"/>
      <c r="CT111" s="52"/>
      <c r="CU111" s="52"/>
      <c r="CV111" s="53">
        <f t="shared" si="65"/>
        <v>0</v>
      </c>
      <c r="CX111" s="75">
        <v>45991</v>
      </c>
      <c r="CY111" s="56">
        <v>4314.6400000000003</v>
      </c>
      <c r="CZ111" s="57">
        <v>758.93</v>
      </c>
      <c r="DA111" s="70"/>
      <c r="DB111" s="59"/>
      <c r="DC111" s="27"/>
      <c r="DD111" s="51"/>
      <c r="DE111" s="52"/>
      <c r="DF111" s="52"/>
      <c r="DG111" s="53">
        <f t="shared" si="66"/>
        <v>0</v>
      </c>
      <c r="DI111" s="75">
        <v>45991</v>
      </c>
      <c r="DJ111" s="56">
        <v>2247.0700000000002</v>
      </c>
      <c r="DK111" s="71"/>
      <c r="DL111" s="70"/>
      <c r="DM111" s="62"/>
      <c r="DN111" s="27"/>
      <c r="DO111" s="51"/>
      <c r="DP111" s="52"/>
      <c r="DQ111" s="52"/>
      <c r="DR111" s="53">
        <f t="shared" si="67"/>
        <v>0</v>
      </c>
      <c r="DT111" s="75">
        <v>45991</v>
      </c>
      <c r="DU111" s="56">
        <v>1053.22</v>
      </c>
      <c r="DV111" s="57">
        <v>255.89</v>
      </c>
      <c r="DW111" s="70"/>
      <c r="DX111" s="62"/>
      <c r="DY111" s="27"/>
      <c r="DZ111" s="51"/>
      <c r="EA111" s="52"/>
      <c r="EB111" s="52"/>
      <c r="EC111" s="53">
        <f t="shared" si="68"/>
        <v>0</v>
      </c>
      <c r="EE111" s="75">
        <v>45991</v>
      </c>
      <c r="EF111" s="56">
        <v>5946.04</v>
      </c>
      <c r="EG111" s="57">
        <v>1937.87</v>
      </c>
      <c r="EH111" s="70"/>
      <c r="EI111" s="59">
        <v>130.96</v>
      </c>
      <c r="EJ111" s="27"/>
      <c r="EK111" s="51"/>
      <c r="EL111" s="52"/>
      <c r="EM111" s="52"/>
      <c r="EN111" s="53">
        <f t="shared" si="69"/>
        <v>130.96</v>
      </c>
      <c r="EP111" s="75">
        <v>45991</v>
      </c>
      <c r="EQ111" s="64">
        <v>492.48</v>
      </c>
      <c r="ER111" s="56">
        <v>739.05</v>
      </c>
      <c r="ES111" s="70"/>
      <c r="ET111" s="62"/>
      <c r="EV111" s="51"/>
      <c r="EW111" s="52"/>
      <c r="EX111" s="52"/>
      <c r="EY111" s="53">
        <f t="shared" si="70"/>
        <v>0</v>
      </c>
    </row>
    <row r="112" spans="2:155" ht="19.5" hidden="1" thickBot="1" x14ac:dyDescent="0.35">
      <c r="B112" s="32"/>
      <c r="C112" s="105">
        <f>SUM(C82:C111)</f>
        <v>542264.0199999999</v>
      </c>
      <c r="D112" s="105">
        <f>SUM(D82:D111)</f>
        <v>93518.869999999981</v>
      </c>
      <c r="E112" s="105">
        <f>SUM(E82:E111)</f>
        <v>103376.27999999998</v>
      </c>
      <c r="F112" s="100">
        <f>SUM(F82:F111)</f>
        <v>12950.989999999998</v>
      </c>
      <c r="G112" s="32"/>
      <c r="H112" s="106"/>
      <c r="I112" s="107">
        <f>SUM(I82:I111)</f>
        <v>0</v>
      </c>
      <c r="J112" s="108">
        <f>SUM(J82:J111)</f>
        <v>0</v>
      </c>
      <c r="K112" s="108">
        <f>SUM(K82:K111)</f>
        <v>0</v>
      </c>
      <c r="L112" s="108">
        <f>SUM(L82:L111)</f>
        <v>0</v>
      </c>
      <c r="M112" s="32"/>
      <c r="N112" s="32"/>
      <c r="O112" s="105">
        <f>SUM(O82:O111)</f>
        <v>126762.97999999998</v>
      </c>
      <c r="P112" s="105">
        <f>SUM(P82:P111)</f>
        <v>11438.199999999999</v>
      </c>
      <c r="Q112" s="100">
        <f>SUM(Q82:Q111)</f>
        <v>0</v>
      </c>
      <c r="R112" s="100">
        <f>SUM(R82:R111)</f>
        <v>456.7</v>
      </c>
      <c r="S112" s="106"/>
      <c r="T112" s="107">
        <f>SUM(T82:T111)</f>
        <v>0</v>
      </c>
      <c r="U112" s="108">
        <f>SUM(U82:U111)</f>
        <v>0</v>
      </c>
      <c r="V112" s="108">
        <f>SUM(V82:V111)</f>
        <v>0</v>
      </c>
      <c r="W112" s="108">
        <f>SUM(W82:W111)</f>
        <v>456.7</v>
      </c>
      <c r="X112" s="32"/>
      <c r="Y112" s="32"/>
      <c r="Z112" s="105">
        <f>SUM(Z82:Z111)</f>
        <v>147520.10999999999</v>
      </c>
      <c r="AA112" s="105">
        <f>SUM(AA82:AA111)</f>
        <v>40507.55999999999</v>
      </c>
      <c r="AB112" s="105">
        <f>SUM(AB82:AB111)</f>
        <v>0</v>
      </c>
      <c r="AC112" s="100">
        <f>SUM(AC82:AC111)</f>
        <v>4049.69</v>
      </c>
      <c r="AD112" s="106"/>
      <c r="AE112" s="107">
        <f>SUM(AE82:AE111)</f>
        <v>0</v>
      </c>
      <c r="AF112" s="108">
        <f>SUM(AF82:AF111)</f>
        <v>0</v>
      </c>
      <c r="AG112" s="108">
        <f>SUM(AG82:AG111)</f>
        <v>0</v>
      </c>
      <c r="AH112" s="108">
        <f>SUM(AH82:AH111)</f>
        <v>4049.69</v>
      </c>
      <c r="AI112" s="32"/>
      <c r="AJ112" s="32"/>
      <c r="AK112" s="105">
        <f>SUM(AK82:AK111)</f>
        <v>92229.4</v>
      </c>
      <c r="AL112" s="105">
        <f>SUM(AL82:AL111)</f>
        <v>14322.700000000003</v>
      </c>
      <c r="AM112" s="100">
        <f>SUM(AM82:AM111)</f>
        <v>0</v>
      </c>
      <c r="AN112" s="100">
        <f>SUM(AN82:AN111)</f>
        <v>0</v>
      </c>
      <c r="AO112" s="106"/>
      <c r="AP112" s="107">
        <f>SUM(AP82:AP111)</f>
        <v>0</v>
      </c>
      <c r="AQ112" s="108">
        <f>SUM(AQ82:AQ111)</f>
        <v>0</v>
      </c>
      <c r="AR112" s="108">
        <f>SUM(AR82:AR111)</f>
        <v>0</v>
      </c>
      <c r="AS112" s="108">
        <f>SUM(AS82:AS111)</f>
        <v>0</v>
      </c>
      <c r="AT112" s="32"/>
      <c r="AU112" s="32"/>
      <c r="AV112" s="105">
        <f>SUM(AV82:AV111)</f>
        <v>24714.2</v>
      </c>
      <c r="AW112" s="105">
        <f>SUM(AW82:AW111)</f>
        <v>998.8</v>
      </c>
      <c r="AX112" s="100">
        <f>SUM(AX82:AX111)</f>
        <v>0</v>
      </c>
      <c r="AY112" s="100">
        <f>SUM(AY82:AY111)</f>
        <v>1318.9700000000003</v>
      </c>
      <c r="AZ112" s="106"/>
      <c r="BA112" s="107">
        <f>SUM(BA82:BA111)</f>
        <v>0</v>
      </c>
      <c r="BB112" s="108">
        <f>SUM(BB82:BB111)</f>
        <v>0</v>
      </c>
      <c r="BC112" s="108">
        <f>SUM(BC82:BC111)</f>
        <v>0</v>
      </c>
      <c r="BD112" s="108">
        <f>SUM(BD82:BD111)</f>
        <v>1318.9700000000003</v>
      </c>
      <c r="BE112" s="32"/>
      <c r="BF112" s="32"/>
      <c r="BG112" s="105">
        <f>SUM(BG82:BG111)</f>
        <v>116631.33000000005</v>
      </c>
      <c r="BH112" s="105">
        <f>SUM(BH82:BH111)</f>
        <v>18341.25</v>
      </c>
      <c r="BI112" s="100">
        <f>SUM(BI82:BI111)</f>
        <v>0</v>
      </c>
      <c r="BJ112" s="105">
        <f>SUM(BJ82:BJ111)</f>
        <v>179.56000000000003</v>
      </c>
      <c r="BK112" s="106"/>
      <c r="BL112" s="107">
        <f>SUM(BL82:BL111)</f>
        <v>0</v>
      </c>
      <c r="BM112" s="108">
        <f>SUM(BM82:BM111)</f>
        <v>0</v>
      </c>
      <c r="BN112" s="108">
        <f>SUM(BN82:BN111)</f>
        <v>0</v>
      </c>
      <c r="BO112" s="108">
        <f>SUM(BO82:BO111)</f>
        <v>179.56000000000003</v>
      </c>
      <c r="BP112" s="32"/>
      <c r="BQ112" s="32"/>
      <c r="BR112" s="105">
        <f>SUM(BR82:BR111)</f>
        <v>14032.3</v>
      </c>
      <c r="BS112" s="105">
        <f>SUM(BS82:BS111)</f>
        <v>14333.320000000002</v>
      </c>
      <c r="BT112" s="100">
        <f>SUM(BT82:BT111)</f>
        <v>0</v>
      </c>
      <c r="BU112" s="105">
        <f>SUM(BU82:BU111)</f>
        <v>345.82</v>
      </c>
      <c r="BV112" s="106"/>
      <c r="BW112" s="107">
        <f>SUM(BW82:BW111)</f>
        <v>0</v>
      </c>
      <c r="BX112" s="108">
        <f>SUM(BX82:BX111)</f>
        <v>0</v>
      </c>
      <c r="BY112" s="108">
        <f>SUM(BY82:BY111)</f>
        <v>0</v>
      </c>
      <c r="BZ112" s="108">
        <f>SUM(BZ82:BZ111)</f>
        <v>345.82</v>
      </c>
      <c r="CA112" s="32"/>
      <c r="CB112" s="32"/>
      <c r="CC112" s="105">
        <f>SUM(CC82:CC111)</f>
        <v>583819.12000000011</v>
      </c>
      <c r="CD112" s="105">
        <f>SUM(CD82:CD111)</f>
        <v>64452.619999999974</v>
      </c>
      <c r="CE112" s="100">
        <f>SUM(CE82:CE111)</f>
        <v>0</v>
      </c>
      <c r="CF112" s="109">
        <f>SUM(CF82:CF111)</f>
        <v>0</v>
      </c>
      <c r="CG112" s="106"/>
      <c r="CH112" s="107">
        <f>SUM(CH82:CH111)</f>
        <v>0</v>
      </c>
      <c r="CI112" s="108">
        <f>SUM(CI82:CI111)</f>
        <v>0</v>
      </c>
      <c r="CJ112" s="108">
        <f>SUM(CJ82:CJ111)</f>
        <v>0</v>
      </c>
      <c r="CK112" s="108">
        <f>SUM(CK82:CK111)</f>
        <v>0</v>
      </c>
      <c r="CL112" s="32"/>
      <c r="CM112" s="32"/>
      <c r="CN112" s="105">
        <f>SUM(CN82:CN111)</f>
        <v>293809.30999999994</v>
      </c>
      <c r="CO112" s="105">
        <f>SUM(CO82:CO111)</f>
        <v>50087.500000000015</v>
      </c>
      <c r="CP112" s="100">
        <f>SUM(CP82:CP111)</f>
        <v>0</v>
      </c>
      <c r="CQ112" s="105">
        <f>SUM(CQ82:CQ111)</f>
        <v>0</v>
      </c>
      <c r="CR112" s="106"/>
      <c r="CS112" s="107">
        <f>SUM(CS82:CS111)</f>
        <v>0</v>
      </c>
      <c r="CT112" s="108">
        <f>SUM(CT82:CT111)</f>
        <v>0</v>
      </c>
      <c r="CU112" s="108">
        <f>SUM(CU82:CU111)</f>
        <v>0</v>
      </c>
      <c r="CV112" s="108">
        <f>SUM(CV82:CV111)</f>
        <v>0</v>
      </c>
      <c r="CW112" s="32"/>
      <c r="CX112" s="32"/>
      <c r="CY112" s="105">
        <f>SUM(CY82:CY111)</f>
        <v>127939.60000000002</v>
      </c>
      <c r="CZ112" s="105">
        <f>SUM(CZ82:CZ111)</f>
        <v>28295.4</v>
      </c>
      <c r="DA112" s="100">
        <f>SUM(DA82:DA111)</f>
        <v>0</v>
      </c>
      <c r="DB112" s="105">
        <f>SUM(DB82:DB111)</f>
        <v>67.849999999999994</v>
      </c>
      <c r="DC112" s="106"/>
      <c r="DD112" s="107">
        <f>SUM(DD82:DD111)</f>
        <v>0</v>
      </c>
      <c r="DE112" s="108">
        <f>SUM(DE82:DE111)</f>
        <v>0</v>
      </c>
      <c r="DF112" s="108">
        <f>SUM(DF82:DF111)</f>
        <v>0</v>
      </c>
      <c r="DG112" s="108">
        <f>SUM(DG82:DG111)</f>
        <v>67.849999999999994</v>
      </c>
      <c r="DH112" s="32"/>
      <c r="DI112" s="32"/>
      <c r="DJ112" s="105">
        <f>SUM(DJ82:DJ111)</f>
        <v>55331.020000000004</v>
      </c>
      <c r="DK112" s="105">
        <f>SUM(DK82:DK111)</f>
        <v>0</v>
      </c>
      <c r="DL112" s="100">
        <f>SUM(DL82:DL111)</f>
        <v>0</v>
      </c>
      <c r="DM112" s="105">
        <f>SUM(DM82:DM111)</f>
        <v>0</v>
      </c>
      <c r="DN112" s="106"/>
      <c r="DO112" s="107">
        <f>SUM(DO82:DO111)</f>
        <v>0</v>
      </c>
      <c r="DP112" s="108">
        <f>SUM(DP82:DP111)</f>
        <v>0</v>
      </c>
      <c r="DQ112" s="108">
        <f>SUM(DQ82:DQ111)</f>
        <v>0</v>
      </c>
      <c r="DR112" s="108">
        <f>SUM(DR82:DR111)</f>
        <v>0</v>
      </c>
      <c r="DS112" s="32"/>
      <c r="DT112" s="32"/>
      <c r="DU112" s="105">
        <f>SUM(DU82:DU111)</f>
        <v>55202.216000000008</v>
      </c>
      <c r="DV112" s="105">
        <f>SUM(DV82:DV111)</f>
        <v>8624.1699999999983</v>
      </c>
      <c r="DW112" s="100">
        <f>SUM(DW82:DW111)</f>
        <v>0</v>
      </c>
      <c r="DX112" s="105">
        <f>SUM(DX82:DX111)</f>
        <v>0</v>
      </c>
      <c r="DY112" s="106"/>
      <c r="DZ112" s="107">
        <f>SUM(DZ82:DZ111)</f>
        <v>0</v>
      </c>
      <c r="EA112" s="108">
        <f>SUM(EA82:EA111)</f>
        <v>0</v>
      </c>
      <c r="EB112" s="108">
        <f>SUM(EB82:EB111)</f>
        <v>0</v>
      </c>
      <c r="EC112" s="108">
        <f>SUM(EC82:EC111)</f>
        <v>0</v>
      </c>
      <c r="ED112" s="32"/>
      <c r="EE112" s="32"/>
      <c r="EF112" s="105">
        <f>SUM(EF82:EF111)</f>
        <v>181428.10000000003</v>
      </c>
      <c r="EG112" s="105">
        <f>SUM(EG82:EG111)</f>
        <v>47447.81</v>
      </c>
      <c r="EH112" s="100">
        <f>SUM(EH82:EH111)</f>
        <v>0</v>
      </c>
      <c r="EI112" s="105">
        <f>SUM(EI82:EI111)</f>
        <v>3948.19</v>
      </c>
      <c r="EJ112" s="106"/>
      <c r="EK112" s="107">
        <f>SUM(EK82:EK111)</f>
        <v>0</v>
      </c>
      <c r="EL112" s="108">
        <f>SUM(EL82:EL111)</f>
        <v>0</v>
      </c>
      <c r="EM112" s="108">
        <f>SUM(EM82:EM111)</f>
        <v>0</v>
      </c>
      <c r="EN112" s="108">
        <f>SUM(EN82:EN111)</f>
        <v>3948.19</v>
      </c>
      <c r="EO112" s="32"/>
      <c r="EP112" s="32"/>
      <c r="EQ112" s="105">
        <f>SUM(EQ82:EQ111)</f>
        <v>23156.750000000004</v>
      </c>
      <c r="ER112" s="105">
        <f>SUM(ER82:ER111)</f>
        <v>16817.559999999998</v>
      </c>
      <c r="ES112" s="100">
        <f>SUM(ES82:ES111)</f>
        <v>0</v>
      </c>
      <c r="ET112" s="105">
        <f>SUM(ET82:ET111)</f>
        <v>0</v>
      </c>
      <c r="EV112" s="107">
        <f>SUM(EV82:EV111)</f>
        <v>0</v>
      </c>
      <c r="EW112" s="108">
        <f>SUM(EW82:EW111)</f>
        <v>0</v>
      </c>
      <c r="EX112" s="108">
        <f>SUM(EX82:EX111)</f>
        <v>0</v>
      </c>
      <c r="EY112" s="108">
        <f>SUM(EY82:EY111)</f>
        <v>0</v>
      </c>
    </row>
    <row r="113" spans="2:155" hidden="1" x14ac:dyDescent="0.25"/>
    <row r="114" spans="2:155" hidden="1" x14ac:dyDescent="0.25"/>
    <row r="115" spans="2:155" hidden="1" x14ac:dyDescent="0.25"/>
    <row r="116" spans="2:155" ht="21" hidden="1" x14ac:dyDescent="0.35">
      <c r="C116" s="1" t="s">
        <v>0</v>
      </c>
      <c r="O116" s="1" t="s">
        <v>1</v>
      </c>
      <c r="AA116" s="1" t="s">
        <v>2</v>
      </c>
      <c r="AL116" s="1" t="s">
        <v>3</v>
      </c>
      <c r="AW116" s="1" t="s">
        <v>4</v>
      </c>
      <c r="BH116" s="1" t="s">
        <v>5</v>
      </c>
      <c r="BS116" s="1" t="s">
        <v>6</v>
      </c>
      <c r="CD116" s="1" t="s">
        <v>7</v>
      </c>
      <c r="CO116" s="1" t="s">
        <v>8</v>
      </c>
      <c r="CZ116" s="1" t="s">
        <v>9</v>
      </c>
      <c r="DK116" s="1" t="s">
        <v>10</v>
      </c>
      <c r="DV116" s="1" t="s">
        <v>11</v>
      </c>
      <c r="EG116" s="1" t="s">
        <v>12</v>
      </c>
      <c r="ER116" s="1" t="s">
        <v>13</v>
      </c>
    </row>
    <row r="117" spans="2:155" ht="15.75" hidden="1" thickBot="1" x14ac:dyDescent="0.3"/>
    <row r="118" spans="2:155" hidden="1" x14ac:dyDescent="0.25">
      <c r="B118" s="2" t="s">
        <v>14</v>
      </c>
      <c r="C118" s="3" t="s">
        <v>15</v>
      </c>
      <c r="D118" s="4" t="s">
        <v>15</v>
      </c>
      <c r="E118" s="4" t="s">
        <v>15</v>
      </c>
      <c r="F118" s="5" t="s">
        <v>16</v>
      </c>
      <c r="G118" s="5" t="s">
        <v>16</v>
      </c>
      <c r="H118" s="6"/>
      <c r="I118" s="7" t="s">
        <v>16</v>
      </c>
      <c r="J118" s="8" t="s">
        <v>16</v>
      </c>
      <c r="K118" s="9" t="s">
        <v>16</v>
      </c>
      <c r="L118" s="10" t="s">
        <v>17</v>
      </c>
      <c r="N118" s="2" t="s">
        <v>14</v>
      </c>
      <c r="O118" s="3" t="s">
        <v>15</v>
      </c>
      <c r="P118" s="4" t="s">
        <v>15</v>
      </c>
      <c r="Q118" s="5" t="s">
        <v>16</v>
      </c>
      <c r="R118" s="11" t="s">
        <v>16</v>
      </c>
      <c r="S118" s="6"/>
      <c r="T118" s="7" t="s">
        <v>16</v>
      </c>
      <c r="U118" s="8" t="s">
        <v>16</v>
      </c>
      <c r="V118" s="9" t="s">
        <v>16</v>
      </c>
      <c r="W118" s="10" t="s">
        <v>17</v>
      </c>
      <c r="Y118" s="2" t="s">
        <v>14</v>
      </c>
      <c r="Z118" s="3" t="s">
        <v>15</v>
      </c>
      <c r="AA118" s="4" t="s">
        <v>15</v>
      </c>
      <c r="AB118" s="4" t="s">
        <v>16</v>
      </c>
      <c r="AC118" s="11" t="s">
        <v>16</v>
      </c>
      <c r="AD118" s="6"/>
      <c r="AE118" s="7" t="s">
        <v>16</v>
      </c>
      <c r="AF118" s="8" t="s">
        <v>16</v>
      </c>
      <c r="AG118" s="9" t="s">
        <v>16</v>
      </c>
      <c r="AH118" s="10" t="s">
        <v>17</v>
      </c>
      <c r="AJ118" s="2" t="s">
        <v>14</v>
      </c>
      <c r="AK118" s="3" t="s">
        <v>15</v>
      </c>
      <c r="AL118" s="4" t="s">
        <v>15</v>
      </c>
      <c r="AM118" s="5" t="s">
        <v>16</v>
      </c>
      <c r="AN118" s="11" t="s">
        <v>16</v>
      </c>
      <c r="AO118" s="6"/>
      <c r="AP118" s="7" t="s">
        <v>16</v>
      </c>
      <c r="AQ118" s="8" t="s">
        <v>16</v>
      </c>
      <c r="AR118" s="9" t="s">
        <v>16</v>
      </c>
      <c r="AS118" s="10" t="s">
        <v>17</v>
      </c>
      <c r="AU118" s="2" t="s">
        <v>14</v>
      </c>
      <c r="AV118" s="3" t="s">
        <v>15</v>
      </c>
      <c r="AW118" s="4" t="s">
        <v>15</v>
      </c>
      <c r="AX118" s="5" t="s">
        <v>16</v>
      </c>
      <c r="AY118" s="11" t="s">
        <v>16</v>
      </c>
      <c r="AZ118" s="6"/>
      <c r="BA118" s="7" t="s">
        <v>16</v>
      </c>
      <c r="BB118" s="8" t="s">
        <v>16</v>
      </c>
      <c r="BC118" s="9" t="s">
        <v>16</v>
      </c>
      <c r="BD118" s="10" t="s">
        <v>17</v>
      </c>
      <c r="BF118" s="2" t="s">
        <v>14</v>
      </c>
      <c r="BG118" s="3" t="s">
        <v>15</v>
      </c>
      <c r="BH118" s="4" t="s">
        <v>15</v>
      </c>
      <c r="BI118" s="5" t="s">
        <v>16</v>
      </c>
      <c r="BJ118" s="11" t="s">
        <v>16</v>
      </c>
      <c r="BK118" s="6"/>
      <c r="BL118" s="7" t="s">
        <v>16</v>
      </c>
      <c r="BM118" s="8" t="s">
        <v>16</v>
      </c>
      <c r="BN118" s="9" t="s">
        <v>16</v>
      </c>
      <c r="BO118" s="10" t="s">
        <v>17</v>
      </c>
      <c r="BQ118" s="2" t="s">
        <v>14</v>
      </c>
      <c r="BR118" s="3" t="s">
        <v>15</v>
      </c>
      <c r="BS118" s="4" t="s">
        <v>15</v>
      </c>
      <c r="BT118" s="5" t="s">
        <v>16</v>
      </c>
      <c r="BU118" s="11" t="s">
        <v>16</v>
      </c>
      <c r="BV118" s="6"/>
      <c r="BW118" s="7" t="s">
        <v>16</v>
      </c>
      <c r="BX118" s="8" t="s">
        <v>16</v>
      </c>
      <c r="BY118" s="9" t="s">
        <v>16</v>
      </c>
      <c r="BZ118" s="10" t="s">
        <v>17</v>
      </c>
      <c r="CB118" s="2" t="s">
        <v>14</v>
      </c>
      <c r="CC118" s="3" t="s">
        <v>15</v>
      </c>
      <c r="CD118" s="4" t="s">
        <v>15</v>
      </c>
      <c r="CE118" s="5" t="s">
        <v>16</v>
      </c>
      <c r="CF118" s="5" t="s">
        <v>16</v>
      </c>
      <c r="CG118" s="6"/>
      <c r="CH118" s="7" t="s">
        <v>16</v>
      </c>
      <c r="CI118" s="8" t="s">
        <v>16</v>
      </c>
      <c r="CJ118" s="9" t="s">
        <v>16</v>
      </c>
      <c r="CK118" s="10" t="s">
        <v>17</v>
      </c>
      <c r="CM118" s="2" t="s">
        <v>14</v>
      </c>
      <c r="CN118" s="3" t="s">
        <v>15</v>
      </c>
      <c r="CO118" s="4" t="s">
        <v>15</v>
      </c>
      <c r="CP118" s="5" t="s">
        <v>16</v>
      </c>
      <c r="CQ118" s="11" t="s">
        <v>16</v>
      </c>
      <c r="CR118" s="6"/>
      <c r="CS118" s="7" t="s">
        <v>16</v>
      </c>
      <c r="CT118" s="8" t="s">
        <v>16</v>
      </c>
      <c r="CU118" s="9" t="s">
        <v>16</v>
      </c>
      <c r="CV118" s="10" t="s">
        <v>17</v>
      </c>
      <c r="CX118" s="2" t="s">
        <v>14</v>
      </c>
      <c r="CY118" s="3" t="s">
        <v>15</v>
      </c>
      <c r="CZ118" s="4" t="s">
        <v>15</v>
      </c>
      <c r="DA118" s="5" t="s">
        <v>16</v>
      </c>
      <c r="DB118" s="11" t="s">
        <v>16</v>
      </c>
      <c r="DC118" s="6"/>
      <c r="DD118" s="7" t="s">
        <v>16</v>
      </c>
      <c r="DE118" s="8" t="s">
        <v>16</v>
      </c>
      <c r="DF118" s="9" t="s">
        <v>16</v>
      </c>
      <c r="DG118" s="10" t="s">
        <v>17</v>
      </c>
      <c r="DI118" s="2" t="s">
        <v>14</v>
      </c>
      <c r="DJ118" s="3" t="s">
        <v>15</v>
      </c>
      <c r="DK118" s="4" t="s">
        <v>15</v>
      </c>
      <c r="DL118" s="5" t="s">
        <v>16</v>
      </c>
      <c r="DM118" s="11" t="s">
        <v>16</v>
      </c>
      <c r="DN118" s="6"/>
      <c r="DO118" s="7" t="s">
        <v>16</v>
      </c>
      <c r="DP118" s="8" t="s">
        <v>16</v>
      </c>
      <c r="DQ118" s="9" t="s">
        <v>16</v>
      </c>
      <c r="DR118" s="10" t="s">
        <v>17</v>
      </c>
      <c r="DT118" s="2" t="s">
        <v>14</v>
      </c>
      <c r="DU118" s="3" t="s">
        <v>15</v>
      </c>
      <c r="DV118" s="4" t="s">
        <v>15</v>
      </c>
      <c r="DW118" s="5" t="s">
        <v>16</v>
      </c>
      <c r="DX118" s="11" t="s">
        <v>16</v>
      </c>
      <c r="DY118" s="6"/>
      <c r="DZ118" s="7" t="s">
        <v>16</v>
      </c>
      <c r="EA118" s="8" t="s">
        <v>16</v>
      </c>
      <c r="EB118" s="9" t="s">
        <v>16</v>
      </c>
      <c r="EC118" s="10" t="s">
        <v>17</v>
      </c>
      <c r="EE118" s="2" t="s">
        <v>14</v>
      </c>
      <c r="EF118" s="3" t="s">
        <v>15</v>
      </c>
      <c r="EG118" s="4" t="s">
        <v>15</v>
      </c>
      <c r="EH118" s="5" t="s">
        <v>16</v>
      </c>
      <c r="EI118" s="11" t="s">
        <v>16</v>
      </c>
      <c r="EJ118" s="6"/>
      <c r="EK118" s="7" t="s">
        <v>16</v>
      </c>
      <c r="EL118" s="8" t="s">
        <v>16</v>
      </c>
      <c r="EM118" s="9" t="s">
        <v>16</v>
      </c>
      <c r="EN118" s="10" t="s">
        <v>17</v>
      </c>
      <c r="EP118" s="2" t="s">
        <v>14</v>
      </c>
      <c r="EQ118" s="3" t="s">
        <v>15</v>
      </c>
      <c r="ER118" s="4" t="s">
        <v>15</v>
      </c>
      <c r="ES118" s="5" t="s">
        <v>16</v>
      </c>
      <c r="ET118" s="11" t="s">
        <v>16</v>
      </c>
      <c r="EV118" s="7" t="s">
        <v>16</v>
      </c>
      <c r="EW118" s="8" t="s">
        <v>16</v>
      </c>
      <c r="EX118" s="9" t="s">
        <v>16</v>
      </c>
      <c r="EY118" s="10" t="s">
        <v>17</v>
      </c>
    </row>
    <row r="119" spans="2:155" ht="15.75" hidden="1" thickBot="1" x14ac:dyDescent="0.3">
      <c r="B119" s="87"/>
      <c r="C119" s="13" t="s">
        <v>18</v>
      </c>
      <c r="D119" s="14" t="s">
        <v>19</v>
      </c>
      <c r="E119" s="14" t="s">
        <v>20</v>
      </c>
      <c r="F119" s="15" t="s">
        <v>20</v>
      </c>
      <c r="G119" s="15" t="s">
        <v>27</v>
      </c>
      <c r="H119" s="6"/>
      <c r="I119" s="16" t="s">
        <v>21</v>
      </c>
      <c r="J119" s="17" t="s">
        <v>22</v>
      </c>
      <c r="K119" s="18" t="s">
        <v>23</v>
      </c>
      <c r="L119" s="19" t="s">
        <v>24</v>
      </c>
      <c r="N119" s="12"/>
      <c r="O119" s="13" t="s">
        <v>18</v>
      </c>
      <c r="P119" s="14" t="s">
        <v>19</v>
      </c>
      <c r="Q119" s="15" t="s">
        <v>19</v>
      </c>
      <c r="R119" s="20" t="s">
        <v>25</v>
      </c>
      <c r="S119" s="6"/>
      <c r="T119" s="16" t="s">
        <v>21</v>
      </c>
      <c r="U119" s="17" t="s">
        <v>22</v>
      </c>
      <c r="V119" s="18" t="s">
        <v>23</v>
      </c>
      <c r="W119" s="19" t="s">
        <v>24</v>
      </c>
      <c r="Y119" s="12"/>
      <c r="Z119" s="13" t="s">
        <v>18</v>
      </c>
      <c r="AA119" s="14" t="s">
        <v>19</v>
      </c>
      <c r="AB119" s="14" t="s">
        <v>19</v>
      </c>
      <c r="AC119" s="20" t="s">
        <v>25</v>
      </c>
      <c r="AD119" s="6"/>
      <c r="AE119" s="16" t="s">
        <v>21</v>
      </c>
      <c r="AF119" s="17" t="s">
        <v>22</v>
      </c>
      <c r="AG119" s="18" t="s">
        <v>23</v>
      </c>
      <c r="AH119" s="21" t="s">
        <v>24</v>
      </c>
      <c r="AJ119" s="12"/>
      <c r="AK119" s="13" t="s">
        <v>18</v>
      </c>
      <c r="AL119" s="14" t="s">
        <v>19</v>
      </c>
      <c r="AM119" s="15" t="s">
        <v>19</v>
      </c>
      <c r="AN119" s="20" t="s">
        <v>25</v>
      </c>
      <c r="AO119" s="6"/>
      <c r="AP119" s="16" t="s">
        <v>21</v>
      </c>
      <c r="AQ119" s="17" t="s">
        <v>22</v>
      </c>
      <c r="AR119" s="18" t="s">
        <v>23</v>
      </c>
      <c r="AS119" s="21" t="s">
        <v>24</v>
      </c>
      <c r="AU119" s="12"/>
      <c r="AV119" s="13" t="s">
        <v>18</v>
      </c>
      <c r="AW119" s="14" t="s">
        <v>19</v>
      </c>
      <c r="AX119" s="15" t="s">
        <v>19</v>
      </c>
      <c r="AY119" s="20" t="s">
        <v>25</v>
      </c>
      <c r="AZ119" s="6"/>
      <c r="BA119" s="16" t="s">
        <v>21</v>
      </c>
      <c r="BB119" s="17" t="s">
        <v>22</v>
      </c>
      <c r="BC119" s="18" t="s">
        <v>23</v>
      </c>
      <c r="BD119" s="21" t="s">
        <v>24</v>
      </c>
      <c r="BF119" s="12"/>
      <c r="BG119" s="13" t="s">
        <v>18</v>
      </c>
      <c r="BH119" s="14" t="s">
        <v>19</v>
      </c>
      <c r="BI119" s="15" t="s">
        <v>19</v>
      </c>
      <c r="BJ119" s="20" t="s">
        <v>25</v>
      </c>
      <c r="BK119" s="6"/>
      <c r="BL119" s="16" t="s">
        <v>21</v>
      </c>
      <c r="BM119" s="17" t="s">
        <v>22</v>
      </c>
      <c r="BN119" s="18" t="s">
        <v>23</v>
      </c>
      <c r="BO119" s="21" t="s">
        <v>24</v>
      </c>
      <c r="BQ119" s="12"/>
      <c r="BR119" s="13" t="s">
        <v>18</v>
      </c>
      <c r="BS119" s="14" t="s">
        <v>19</v>
      </c>
      <c r="BT119" s="15" t="s">
        <v>19</v>
      </c>
      <c r="BU119" s="20" t="s">
        <v>25</v>
      </c>
      <c r="BV119" s="6"/>
      <c r="BW119" s="16" t="s">
        <v>21</v>
      </c>
      <c r="BX119" s="17" t="s">
        <v>22</v>
      </c>
      <c r="BY119" s="18" t="s">
        <v>23</v>
      </c>
      <c r="BZ119" s="21" t="s">
        <v>24</v>
      </c>
      <c r="CB119" s="12"/>
      <c r="CC119" s="13" t="s">
        <v>18</v>
      </c>
      <c r="CD119" s="14" t="s">
        <v>19</v>
      </c>
      <c r="CE119" s="15" t="s">
        <v>19</v>
      </c>
      <c r="CF119" s="15" t="s">
        <v>25</v>
      </c>
      <c r="CG119" s="6"/>
      <c r="CH119" s="16" t="s">
        <v>21</v>
      </c>
      <c r="CI119" s="17" t="s">
        <v>22</v>
      </c>
      <c r="CJ119" s="18" t="s">
        <v>23</v>
      </c>
      <c r="CK119" s="21" t="s">
        <v>24</v>
      </c>
      <c r="CM119" s="12"/>
      <c r="CN119" s="13" t="s">
        <v>18</v>
      </c>
      <c r="CO119" s="14" t="s">
        <v>19</v>
      </c>
      <c r="CP119" s="15" t="s">
        <v>19</v>
      </c>
      <c r="CQ119" s="20" t="s">
        <v>25</v>
      </c>
      <c r="CR119" s="6"/>
      <c r="CS119" s="16" t="s">
        <v>21</v>
      </c>
      <c r="CT119" s="17" t="s">
        <v>22</v>
      </c>
      <c r="CU119" s="18" t="s">
        <v>23</v>
      </c>
      <c r="CV119" s="21" t="s">
        <v>24</v>
      </c>
      <c r="CX119" s="12"/>
      <c r="CY119" s="13" t="s">
        <v>18</v>
      </c>
      <c r="CZ119" s="14" t="s">
        <v>19</v>
      </c>
      <c r="DA119" s="15" t="s">
        <v>19</v>
      </c>
      <c r="DB119" s="20" t="s">
        <v>25</v>
      </c>
      <c r="DC119" s="6"/>
      <c r="DD119" s="16" t="s">
        <v>21</v>
      </c>
      <c r="DE119" s="17" t="s">
        <v>22</v>
      </c>
      <c r="DF119" s="18" t="s">
        <v>23</v>
      </c>
      <c r="DG119" s="21" t="s">
        <v>24</v>
      </c>
      <c r="DI119" s="12"/>
      <c r="DJ119" s="13" t="s">
        <v>18</v>
      </c>
      <c r="DK119" s="14" t="s">
        <v>19</v>
      </c>
      <c r="DL119" s="15" t="s">
        <v>19</v>
      </c>
      <c r="DM119" s="20" t="s">
        <v>25</v>
      </c>
      <c r="DN119" s="6"/>
      <c r="DO119" s="16" t="s">
        <v>21</v>
      </c>
      <c r="DP119" s="17" t="s">
        <v>22</v>
      </c>
      <c r="DQ119" s="18" t="s">
        <v>23</v>
      </c>
      <c r="DR119" s="21" t="s">
        <v>24</v>
      </c>
      <c r="DT119" s="12"/>
      <c r="DU119" s="13" t="s">
        <v>18</v>
      </c>
      <c r="DV119" s="14" t="s">
        <v>19</v>
      </c>
      <c r="DW119" s="15" t="s">
        <v>19</v>
      </c>
      <c r="DX119" s="20" t="s">
        <v>25</v>
      </c>
      <c r="DY119" s="6"/>
      <c r="DZ119" s="16" t="s">
        <v>21</v>
      </c>
      <c r="EA119" s="17" t="s">
        <v>22</v>
      </c>
      <c r="EB119" s="18" t="s">
        <v>23</v>
      </c>
      <c r="EC119" s="21" t="s">
        <v>24</v>
      </c>
      <c r="EE119" s="12"/>
      <c r="EF119" s="13" t="s">
        <v>18</v>
      </c>
      <c r="EG119" s="14" t="s">
        <v>19</v>
      </c>
      <c r="EH119" s="15" t="s">
        <v>19</v>
      </c>
      <c r="EI119" s="20" t="s">
        <v>25</v>
      </c>
      <c r="EJ119" s="6"/>
      <c r="EK119" s="16" t="s">
        <v>21</v>
      </c>
      <c r="EL119" s="17" t="s">
        <v>22</v>
      </c>
      <c r="EM119" s="18" t="s">
        <v>23</v>
      </c>
      <c r="EN119" s="21" t="s">
        <v>24</v>
      </c>
      <c r="EP119" s="12"/>
      <c r="EQ119" s="13" t="s">
        <v>18</v>
      </c>
      <c r="ER119" s="14" t="s">
        <v>19</v>
      </c>
      <c r="ES119" s="15" t="s">
        <v>19</v>
      </c>
      <c r="ET119" s="20" t="s">
        <v>25</v>
      </c>
      <c r="EV119" s="16" t="s">
        <v>21</v>
      </c>
      <c r="EW119" s="17" t="s">
        <v>22</v>
      </c>
      <c r="EX119" s="18" t="s">
        <v>23</v>
      </c>
      <c r="EY119" s="21" t="s">
        <v>24</v>
      </c>
    </row>
    <row r="120" spans="2:155" hidden="1" x14ac:dyDescent="0.25">
      <c r="B120" s="22">
        <v>46357</v>
      </c>
      <c r="C120" s="23">
        <v>19432.91</v>
      </c>
      <c r="D120" s="24">
        <v>3494.15</v>
      </c>
      <c r="E120" s="25">
        <v>3046.4</v>
      </c>
      <c r="F120" s="26">
        <v>444.9</v>
      </c>
      <c r="G120" s="101">
        <v>12.76</v>
      </c>
      <c r="H120" s="27"/>
      <c r="I120" s="28"/>
      <c r="J120" s="29"/>
      <c r="K120" s="29"/>
      <c r="L120" s="30">
        <f>SUM(G120:K120)</f>
        <v>12.76</v>
      </c>
      <c r="N120" s="22">
        <v>46357</v>
      </c>
      <c r="O120" s="31">
        <v>5747.38</v>
      </c>
      <c r="P120" s="31">
        <v>466.87</v>
      </c>
      <c r="Q120" s="36"/>
      <c r="R120" s="26"/>
      <c r="S120" s="27"/>
      <c r="T120" s="28"/>
      <c r="U120" s="29"/>
      <c r="V120" s="29"/>
      <c r="W120" s="30">
        <f>SUM(R120:V120)</f>
        <v>0</v>
      </c>
      <c r="Y120" s="22">
        <v>46357</v>
      </c>
      <c r="Z120" s="34">
        <v>5505.13</v>
      </c>
      <c r="AA120" s="35">
        <v>1675.39</v>
      </c>
      <c r="AB120" s="43"/>
      <c r="AC120" s="37">
        <v>161.11000000000001</v>
      </c>
      <c r="AD120" s="27"/>
      <c r="AE120" s="28"/>
      <c r="AF120" s="29"/>
      <c r="AG120" s="29"/>
      <c r="AH120" s="30">
        <f>SUM(AC120:AG120)</f>
        <v>161.11000000000001</v>
      </c>
      <c r="AJ120" s="22">
        <v>46357</v>
      </c>
      <c r="AK120" s="34">
        <v>2521.5</v>
      </c>
      <c r="AL120" s="35">
        <v>341.73</v>
      </c>
      <c r="AM120" s="36"/>
      <c r="AN120" s="36"/>
      <c r="AO120" s="27"/>
      <c r="AP120" s="28"/>
      <c r="AQ120" s="29"/>
      <c r="AR120" s="29"/>
      <c r="AS120" s="30">
        <f>SUM(AN120:AR120)</f>
        <v>0</v>
      </c>
      <c r="AU120" s="22">
        <v>46357</v>
      </c>
      <c r="AV120" s="39">
        <v>284.01</v>
      </c>
      <c r="AW120" s="39">
        <v>0</v>
      </c>
      <c r="AX120" s="36"/>
      <c r="AY120" s="37"/>
      <c r="AZ120" s="27"/>
      <c r="BA120" s="28"/>
      <c r="BB120" s="29"/>
      <c r="BC120" s="29"/>
      <c r="BD120" s="30">
        <f>SUM(AY120:BC120)</f>
        <v>0</v>
      </c>
      <c r="BF120" s="22">
        <v>46357</v>
      </c>
      <c r="BG120" s="34">
        <v>3283.11</v>
      </c>
      <c r="BH120" s="35">
        <v>634.32000000000005</v>
      </c>
      <c r="BI120" s="36"/>
      <c r="BJ120" s="37">
        <v>20.83</v>
      </c>
      <c r="BK120" s="27"/>
      <c r="BL120" s="28"/>
      <c r="BM120" s="29"/>
      <c r="BN120" s="29"/>
      <c r="BO120" s="30">
        <f>SUM(BJ120:BN120)</f>
        <v>20.83</v>
      </c>
      <c r="BQ120" s="22">
        <v>46357</v>
      </c>
      <c r="BR120" s="35">
        <v>190</v>
      </c>
      <c r="BS120" s="35">
        <v>633.92999999999995</v>
      </c>
      <c r="BT120" s="36"/>
      <c r="BU120" s="40">
        <v>40</v>
      </c>
      <c r="BV120" s="27"/>
      <c r="BW120" s="28"/>
      <c r="BX120" s="29"/>
      <c r="BY120" s="29"/>
      <c r="BZ120" s="30">
        <f>SUM(BU120:BY120)</f>
        <v>40</v>
      </c>
      <c r="CB120" s="22">
        <v>46357</v>
      </c>
      <c r="CC120" s="34">
        <v>22018.29</v>
      </c>
      <c r="CD120" s="35">
        <v>2367.7399999999998</v>
      </c>
      <c r="CE120" s="36"/>
      <c r="CF120" s="36"/>
      <c r="CG120" s="27"/>
      <c r="CH120" s="28"/>
      <c r="CI120" s="29"/>
      <c r="CJ120" s="29"/>
      <c r="CK120" s="30">
        <f>SUM(CF120:CJ120)</f>
        <v>0</v>
      </c>
      <c r="CM120" s="22">
        <v>46357</v>
      </c>
      <c r="CN120" s="34">
        <v>10773.89</v>
      </c>
      <c r="CO120" s="35">
        <v>2302.5500000000002</v>
      </c>
      <c r="CP120" s="36"/>
      <c r="CQ120" s="41"/>
      <c r="CR120" s="27"/>
      <c r="CS120" s="28"/>
      <c r="CT120" s="29"/>
      <c r="CU120" s="29"/>
      <c r="CV120" s="30">
        <f>SUM(CQ120:CU120)</f>
        <v>0</v>
      </c>
      <c r="CX120" s="22">
        <v>46357</v>
      </c>
      <c r="CY120" s="34">
        <v>2553.0300000000002</v>
      </c>
      <c r="CZ120" s="35">
        <v>561.04</v>
      </c>
      <c r="DA120" s="36"/>
      <c r="DB120" s="37">
        <v>8.1300000000000008</v>
      </c>
      <c r="DC120" s="27"/>
      <c r="DD120" s="28"/>
      <c r="DE120" s="29"/>
      <c r="DF120" s="29"/>
      <c r="DG120" s="30">
        <f>SUM(DB120:DF120)</f>
        <v>8.1300000000000008</v>
      </c>
      <c r="DI120" s="22">
        <v>46357</v>
      </c>
      <c r="DJ120" s="34">
        <v>3008.67</v>
      </c>
      <c r="DK120" s="43"/>
      <c r="DL120" s="36"/>
      <c r="DM120" s="41"/>
      <c r="DN120" s="27"/>
      <c r="DO120" s="28"/>
      <c r="DP120" s="29"/>
      <c r="DQ120" s="29"/>
      <c r="DR120" s="30">
        <f>SUM(DM120:DQ120)</f>
        <v>0</v>
      </c>
      <c r="DT120" s="22">
        <v>46357</v>
      </c>
      <c r="DU120" s="34">
        <v>1678.47</v>
      </c>
      <c r="DV120" s="35">
        <v>302.54000000000002</v>
      </c>
      <c r="DW120" s="36"/>
      <c r="DX120" s="41"/>
      <c r="DY120" s="27"/>
      <c r="DZ120" s="28"/>
      <c r="EA120" s="29"/>
      <c r="EB120" s="29"/>
      <c r="EC120" s="30">
        <f>SUM(DX120:EB120)</f>
        <v>0</v>
      </c>
      <c r="EE120" s="22">
        <v>46357</v>
      </c>
      <c r="EF120" s="34">
        <v>6007.13</v>
      </c>
      <c r="EG120" s="35">
        <v>1169.83</v>
      </c>
      <c r="EH120" s="36"/>
      <c r="EI120" s="37">
        <v>116.39</v>
      </c>
      <c r="EJ120" s="27"/>
      <c r="EK120" s="28"/>
      <c r="EL120" s="29"/>
      <c r="EM120" s="29"/>
      <c r="EN120" s="30">
        <f>SUM(EI120:EM120)</f>
        <v>116.39</v>
      </c>
      <c r="EP120" s="22">
        <v>46357</v>
      </c>
      <c r="EQ120" s="45">
        <v>832.67</v>
      </c>
      <c r="ER120" s="46">
        <v>604.05999999999995</v>
      </c>
      <c r="ES120" s="36"/>
      <c r="ET120" s="37"/>
      <c r="EV120" s="28"/>
      <c r="EW120" s="29"/>
      <c r="EX120" s="29"/>
      <c r="EY120" s="53">
        <f>SUM(ET120:EX120)</f>
        <v>0</v>
      </c>
    </row>
    <row r="121" spans="2:155" hidden="1" x14ac:dyDescent="0.25">
      <c r="B121" s="47">
        <v>46358</v>
      </c>
      <c r="C121" s="48">
        <v>17769.87</v>
      </c>
      <c r="D121" s="49">
        <v>2032.82</v>
      </c>
      <c r="E121" s="50">
        <v>3700.1</v>
      </c>
      <c r="F121" s="49">
        <v>390.65</v>
      </c>
      <c r="G121" s="50">
        <v>12.41</v>
      </c>
      <c r="H121" s="27"/>
      <c r="I121" s="51"/>
      <c r="J121" s="52"/>
      <c r="K121" s="52"/>
      <c r="L121" s="53">
        <f t="shared" ref="L121:L150" si="71">SUM(G121:K121)</f>
        <v>12.41</v>
      </c>
      <c r="N121" s="47">
        <v>46358</v>
      </c>
      <c r="O121" s="54">
        <v>4404.01</v>
      </c>
      <c r="P121" s="54">
        <v>413.08</v>
      </c>
      <c r="Q121" s="58"/>
      <c r="R121" s="55"/>
      <c r="S121" s="27"/>
      <c r="T121" s="51"/>
      <c r="U121" s="52"/>
      <c r="V121" s="52"/>
      <c r="W121" s="53">
        <f t="shared" ref="W121:W150" si="72">SUM(R121:V121)</f>
        <v>0</v>
      </c>
      <c r="Y121" s="47">
        <v>46358</v>
      </c>
      <c r="Z121" s="56">
        <v>4599.18</v>
      </c>
      <c r="AA121" s="57">
        <v>1184.8699999999999</v>
      </c>
      <c r="AB121" s="63"/>
      <c r="AC121" s="59">
        <v>95.52</v>
      </c>
      <c r="AD121" s="27"/>
      <c r="AE121" s="51"/>
      <c r="AF121" s="52"/>
      <c r="AG121" s="52"/>
      <c r="AH121" s="53">
        <f t="shared" ref="AH121:AH150" si="73">SUM(AC121:AG121)</f>
        <v>95.52</v>
      </c>
      <c r="AJ121" s="47">
        <v>46358</v>
      </c>
      <c r="AK121" s="56">
        <v>2417.75</v>
      </c>
      <c r="AL121" s="57">
        <v>304.05</v>
      </c>
      <c r="AM121" s="58"/>
      <c r="AN121" s="58"/>
      <c r="AO121" s="27"/>
      <c r="AP121" s="51"/>
      <c r="AQ121" s="52"/>
      <c r="AR121" s="52"/>
      <c r="AS121" s="53">
        <f t="shared" ref="AS121:AS150" si="74">SUM(AN121:AR121)</f>
        <v>0</v>
      </c>
      <c r="AU121" s="47">
        <v>46358</v>
      </c>
      <c r="AV121" s="57">
        <v>405</v>
      </c>
      <c r="AW121" s="57">
        <v>0</v>
      </c>
      <c r="AX121" s="58"/>
      <c r="AY121" s="59">
        <v>50.15</v>
      </c>
      <c r="AZ121" s="27"/>
      <c r="BA121" s="51"/>
      <c r="BB121" s="52"/>
      <c r="BC121" s="52"/>
      <c r="BD121" s="53">
        <f t="shared" ref="BD121:BD150" si="75">SUM(AY121:BC121)</f>
        <v>50.15</v>
      </c>
      <c r="BF121" s="47">
        <v>46358</v>
      </c>
      <c r="BG121" s="56">
        <v>4617.87</v>
      </c>
      <c r="BH121" s="57">
        <v>712.55</v>
      </c>
      <c r="BI121" s="58"/>
      <c r="BJ121" s="59"/>
      <c r="BK121" s="27"/>
      <c r="BL121" s="51"/>
      <c r="BM121" s="52"/>
      <c r="BN121" s="52"/>
      <c r="BO121" s="53">
        <f t="shared" ref="BO121:BO150" si="76">SUM(BJ121:BN121)</f>
        <v>0</v>
      </c>
      <c r="BQ121" s="47">
        <v>46358</v>
      </c>
      <c r="BR121" s="57">
        <v>356.01</v>
      </c>
      <c r="BS121" s="57">
        <v>872.18</v>
      </c>
      <c r="BT121" s="58"/>
      <c r="BU121" s="61">
        <v>40</v>
      </c>
      <c r="BV121" s="27"/>
      <c r="BW121" s="51"/>
      <c r="BX121" s="52"/>
      <c r="BY121" s="52"/>
      <c r="BZ121" s="53">
        <f t="shared" ref="BZ121:BZ150" si="77">SUM(BU121:BY121)</f>
        <v>40</v>
      </c>
      <c r="CB121" s="47">
        <v>46358</v>
      </c>
      <c r="CC121" s="56">
        <v>22231.15</v>
      </c>
      <c r="CD121" s="57">
        <v>2076.13</v>
      </c>
      <c r="CE121" s="58"/>
      <c r="CF121" s="58"/>
      <c r="CG121" s="27"/>
      <c r="CH121" s="51"/>
      <c r="CI121" s="52"/>
      <c r="CJ121" s="52"/>
      <c r="CK121" s="53">
        <f t="shared" ref="CK121:CK150" si="78">SUM(CF121:CJ121)</f>
        <v>0</v>
      </c>
      <c r="CM121" s="47">
        <v>46358</v>
      </c>
      <c r="CN121" s="56">
        <v>8548.1</v>
      </c>
      <c r="CO121" s="57">
        <v>1862.01</v>
      </c>
      <c r="CP121" s="58"/>
      <c r="CQ121" s="62"/>
      <c r="CR121" s="27"/>
      <c r="CS121" s="51"/>
      <c r="CT121" s="52"/>
      <c r="CU121" s="52"/>
      <c r="CV121" s="53">
        <f t="shared" ref="CV121:CV150" si="79">SUM(CQ121:CU121)</f>
        <v>0</v>
      </c>
      <c r="CX121" s="47">
        <v>46358</v>
      </c>
      <c r="CY121" s="56">
        <v>6368.46</v>
      </c>
      <c r="CZ121" s="57">
        <v>745.87</v>
      </c>
      <c r="DA121" s="58"/>
      <c r="DB121" s="59"/>
      <c r="DC121" s="27"/>
      <c r="DD121" s="51"/>
      <c r="DE121" s="52"/>
      <c r="DF121" s="52"/>
      <c r="DG121" s="53">
        <f t="shared" ref="DG121:DG150" si="80">SUM(DB121:DF121)</f>
        <v>0</v>
      </c>
      <c r="DI121" s="47">
        <v>46358</v>
      </c>
      <c r="DJ121" s="56">
        <v>1791.54</v>
      </c>
      <c r="DK121" s="63"/>
      <c r="DL121" s="58"/>
      <c r="DM121" s="62"/>
      <c r="DN121" s="27"/>
      <c r="DO121" s="51"/>
      <c r="DP121" s="52"/>
      <c r="DQ121" s="52"/>
      <c r="DR121" s="53">
        <f t="shared" ref="DR121:DR150" si="81">SUM(DM121:DQ121)</f>
        <v>0</v>
      </c>
      <c r="DT121" s="47">
        <v>46358</v>
      </c>
      <c r="DU121" s="56">
        <v>1205.03</v>
      </c>
      <c r="DV121" s="57">
        <v>172.1</v>
      </c>
      <c r="DW121" s="58"/>
      <c r="DX121" s="62"/>
      <c r="DY121" s="27"/>
      <c r="DZ121" s="51"/>
      <c r="EA121" s="52"/>
      <c r="EB121" s="52"/>
      <c r="EC121" s="53">
        <f t="shared" ref="EC121:EC150" si="82">SUM(DX121:EB121)</f>
        <v>0</v>
      </c>
      <c r="EE121" s="47">
        <v>46358</v>
      </c>
      <c r="EF121" s="56">
        <v>5276.29</v>
      </c>
      <c r="EG121" s="57">
        <v>1635.26</v>
      </c>
      <c r="EH121" s="58"/>
      <c r="EI121" s="59">
        <v>138.05000000000001</v>
      </c>
      <c r="EJ121" s="27"/>
      <c r="EK121" s="51"/>
      <c r="EL121" s="52"/>
      <c r="EM121" s="52"/>
      <c r="EN121" s="53">
        <f t="shared" ref="EN121:EN150" si="83">SUM(EI121:EM121)</f>
        <v>138.05000000000001</v>
      </c>
      <c r="EP121" s="47">
        <v>46358</v>
      </c>
      <c r="EQ121" s="64">
        <v>747.9</v>
      </c>
      <c r="ER121" s="65">
        <v>567.74</v>
      </c>
      <c r="ES121" s="58"/>
      <c r="ET121" s="59"/>
      <c r="EV121" s="51"/>
      <c r="EW121" s="52"/>
      <c r="EX121" s="52"/>
      <c r="EY121" s="53">
        <f t="shared" ref="EY121:EY148" si="84">SUM(ET121:EX121)</f>
        <v>0</v>
      </c>
    </row>
    <row r="122" spans="2:155" hidden="1" x14ac:dyDescent="0.25">
      <c r="B122" s="47">
        <v>46359</v>
      </c>
      <c r="C122" s="48">
        <v>19398.88</v>
      </c>
      <c r="D122" s="49">
        <v>2250</v>
      </c>
      <c r="E122" s="50">
        <v>3251.26</v>
      </c>
      <c r="F122" s="55">
        <v>403.78</v>
      </c>
      <c r="G122" s="102">
        <v>12.56</v>
      </c>
      <c r="H122" s="27"/>
      <c r="I122" s="51"/>
      <c r="J122" s="52"/>
      <c r="K122" s="52"/>
      <c r="L122" s="53">
        <f t="shared" si="71"/>
        <v>12.56</v>
      </c>
      <c r="N122" s="47">
        <v>46359</v>
      </c>
      <c r="O122" s="54">
        <v>4941.68</v>
      </c>
      <c r="P122" s="54">
        <v>176.04</v>
      </c>
      <c r="Q122" s="58"/>
      <c r="R122" s="55"/>
      <c r="S122" s="27"/>
      <c r="T122" s="51"/>
      <c r="U122" s="52"/>
      <c r="V122" s="52"/>
      <c r="W122" s="53">
        <f t="shared" si="72"/>
        <v>0</v>
      </c>
      <c r="Y122" s="47">
        <v>46359</v>
      </c>
      <c r="Z122" s="56">
        <v>5305.5</v>
      </c>
      <c r="AA122" s="57">
        <v>1179.58</v>
      </c>
      <c r="AB122" s="63"/>
      <c r="AC122" s="59">
        <v>42.15</v>
      </c>
      <c r="AD122" s="27"/>
      <c r="AE122" s="51"/>
      <c r="AF122" s="52"/>
      <c r="AG122" s="52"/>
      <c r="AH122" s="53">
        <f t="shared" si="73"/>
        <v>42.15</v>
      </c>
      <c r="AJ122" s="47">
        <v>46359</v>
      </c>
      <c r="AK122" s="56">
        <v>2600.35</v>
      </c>
      <c r="AL122" s="57">
        <v>352.78</v>
      </c>
      <c r="AM122" s="58"/>
      <c r="AN122" s="58"/>
      <c r="AO122" s="27"/>
      <c r="AP122" s="51"/>
      <c r="AQ122" s="52"/>
      <c r="AR122" s="52"/>
      <c r="AS122" s="53">
        <f t="shared" si="74"/>
        <v>0</v>
      </c>
      <c r="AU122" s="47">
        <v>46359</v>
      </c>
      <c r="AV122" s="57">
        <v>453</v>
      </c>
      <c r="AW122" s="57">
        <v>0</v>
      </c>
      <c r="AX122" s="58"/>
      <c r="AY122" s="59">
        <v>48</v>
      </c>
      <c r="AZ122" s="27"/>
      <c r="BA122" s="51"/>
      <c r="BB122" s="52"/>
      <c r="BC122" s="52"/>
      <c r="BD122" s="53">
        <f t="shared" si="75"/>
        <v>48</v>
      </c>
      <c r="BF122" s="47">
        <v>46359</v>
      </c>
      <c r="BG122" s="56">
        <v>4658.68</v>
      </c>
      <c r="BH122" s="57">
        <v>684.93</v>
      </c>
      <c r="BI122" s="58"/>
      <c r="BJ122" s="59">
        <v>16.71</v>
      </c>
      <c r="BK122" s="27"/>
      <c r="BL122" s="51"/>
      <c r="BM122" s="52"/>
      <c r="BN122" s="52"/>
      <c r="BO122" s="53">
        <f t="shared" si="76"/>
        <v>16.71</v>
      </c>
      <c r="BQ122" s="47">
        <v>46359</v>
      </c>
      <c r="BR122" s="57">
        <v>899.22</v>
      </c>
      <c r="BS122" s="57">
        <v>490.25</v>
      </c>
      <c r="BT122" s="58"/>
      <c r="BU122" s="61"/>
      <c r="BV122" s="27"/>
      <c r="BW122" s="51"/>
      <c r="BX122" s="52"/>
      <c r="BY122" s="52"/>
      <c r="BZ122" s="53">
        <f t="shared" si="77"/>
        <v>0</v>
      </c>
      <c r="CB122" s="47">
        <v>46359</v>
      </c>
      <c r="CC122" s="56">
        <v>20534.919999999998</v>
      </c>
      <c r="CD122" s="57">
        <v>3056.44</v>
      </c>
      <c r="CE122" s="58"/>
      <c r="CF122" s="58"/>
      <c r="CG122" s="27"/>
      <c r="CH122" s="51"/>
      <c r="CI122" s="52"/>
      <c r="CJ122" s="52"/>
      <c r="CK122" s="53">
        <f t="shared" si="78"/>
        <v>0</v>
      </c>
      <c r="CM122" s="47">
        <v>46359</v>
      </c>
      <c r="CN122" s="56">
        <v>10457.84</v>
      </c>
      <c r="CO122" s="57">
        <v>2010.99</v>
      </c>
      <c r="CP122" s="58"/>
      <c r="CQ122" s="62"/>
      <c r="CR122" s="27"/>
      <c r="CS122" s="51"/>
      <c r="CT122" s="52"/>
      <c r="CU122" s="52"/>
      <c r="CV122" s="53">
        <f t="shared" si="79"/>
        <v>0</v>
      </c>
      <c r="CX122" s="47">
        <v>46359</v>
      </c>
      <c r="CY122" s="56">
        <v>8203.7800000000007</v>
      </c>
      <c r="CZ122" s="57">
        <v>1409.4</v>
      </c>
      <c r="DA122" s="58"/>
      <c r="DB122" s="59"/>
      <c r="DC122" s="27"/>
      <c r="DD122" s="51"/>
      <c r="DE122" s="52"/>
      <c r="DF122" s="52"/>
      <c r="DG122" s="53">
        <f t="shared" si="80"/>
        <v>0</v>
      </c>
      <c r="DI122" s="47">
        <v>46359</v>
      </c>
      <c r="DJ122" s="56">
        <v>2343.5700000000002</v>
      </c>
      <c r="DK122" s="63"/>
      <c r="DL122" s="58"/>
      <c r="DM122" s="62"/>
      <c r="DN122" s="27"/>
      <c r="DO122" s="51"/>
      <c r="DP122" s="52"/>
      <c r="DQ122" s="52"/>
      <c r="DR122" s="53">
        <f t="shared" si="81"/>
        <v>0</v>
      </c>
      <c r="DT122" s="47">
        <v>46359</v>
      </c>
      <c r="DU122" s="56">
        <v>867.72</v>
      </c>
      <c r="DV122" s="57">
        <v>215.98</v>
      </c>
      <c r="DW122" s="58"/>
      <c r="DX122" s="62"/>
      <c r="DY122" s="27"/>
      <c r="DZ122" s="51"/>
      <c r="EA122" s="52"/>
      <c r="EB122" s="52"/>
      <c r="EC122" s="53">
        <f t="shared" si="82"/>
        <v>0</v>
      </c>
      <c r="EE122" s="47">
        <v>46359</v>
      </c>
      <c r="EF122" s="56">
        <v>7632.87</v>
      </c>
      <c r="EG122" s="57">
        <v>1691.62</v>
      </c>
      <c r="EH122" s="58"/>
      <c r="EI122" s="59">
        <v>147.28</v>
      </c>
      <c r="EJ122" s="27"/>
      <c r="EK122" s="51"/>
      <c r="EL122" s="52"/>
      <c r="EM122" s="52"/>
      <c r="EN122" s="53">
        <f t="shared" si="83"/>
        <v>147.28</v>
      </c>
      <c r="EP122" s="47">
        <v>46359</v>
      </c>
      <c r="EQ122" s="64">
        <v>732.95</v>
      </c>
      <c r="ER122" s="56">
        <v>301.43</v>
      </c>
      <c r="ES122" s="58"/>
      <c r="ET122" s="59"/>
      <c r="EV122" s="51"/>
      <c r="EW122" s="52"/>
      <c r="EX122" s="52"/>
      <c r="EY122" s="53">
        <f t="shared" si="84"/>
        <v>0</v>
      </c>
    </row>
    <row r="123" spans="2:155" hidden="1" x14ac:dyDescent="0.25">
      <c r="B123" s="47">
        <v>46360</v>
      </c>
      <c r="C123" s="48">
        <v>18595.3</v>
      </c>
      <c r="D123" s="49">
        <v>3541.46</v>
      </c>
      <c r="E123" s="50">
        <v>4314.92</v>
      </c>
      <c r="F123" s="55">
        <v>403.96</v>
      </c>
      <c r="G123" s="102">
        <v>11.14</v>
      </c>
      <c r="H123" s="27"/>
      <c r="I123" s="51"/>
      <c r="J123" s="52"/>
      <c r="K123" s="52"/>
      <c r="L123" s="53">
        <f t="shared" si="71"/>
        <v>11.14</v>
      </c>
      <c r="N123" s="47">
        <v>46360</v>
      </c>
      <c r="O123" s="54">
        <v>6097.39</v>
      </c>
      <c r="P123" s="54">
        <v>442.03</v>
      </c>
      <c r="Q123" s="58"/>
      <c r="R123" s="55"/>
      <c r="S123" s="27"/>
      <c r="T123" s="51"/>
      <c r="U123" s="52"/>
      <c r="V123" s="52"/>
      <c r="W123" s="53">
        <f t="shared" si="72"/>
        <v>0</v>
      </c>
      <c r="Y123" s="47">
        <v>46360</v>
      </c>
      <c r="Z123" s="56">
        <v>4679.5200000000004</v>
      </c>
      <c r="AA123" s="57">
        <v>1423.36</v>
      </c>
      <c r="AB123" s="63"/>
      <c r="AC123" s="59">
        <v>101.35</v>
      </c>
      <c r="AD123" s="27"/>
      <c r="AE123" s="51"/>
      <c r="AF123" s="52"/>
      <c r="AG123" s="52"/>
      <c r="AH123" s="53">
        <f t="shared" si="73"/>
        <v>101.35</v>
      </c>
      <c r="AJ123" s="47">
        <v>46360</v>
      </c>
      <c r="AK123" s="56">
        <v>2949.91</v>
      </c>
      <c r="AL123" s="57">
        <v>459</v>
      </c>
      <c r="AM123" s="58"/>
      <c r="AN123" s="58"/>
      <c r="AO123" s="27"/>
      <c r="AP123" s="51"/>
      <c r="AQ123" s="52"/>
      <c r="AR123" s="52"/>
      <c r="AS123" s="53">
        <f t="shared" si="74"/>
        <v>0</v>
      </c>
      <c r="AU123" s="47">
        <v>46360</v>
      </c>
      <c r="AV123" s="57">
        <v>2042.85</v>
      </c>
      <c r="AW123" s="57">
        <v>0</v>
      </c>
      <c r="AX123" s="58"/>
      <c r="AY123" s="59">
        <v>0.74</v>
      </c>
      <c r="AZ123" s="27"/>
      <c r="BA123" s="51"/>
      <c r="BB123" s="52"/>
      <c r="BC123" s="52"/>
      <c r="BD123" s="53">
        <f t="shared" si="75"/>
        <v>0.74</v>
      </c>
      <c r="BF123" s="47">
        <v>46360</v>
      </c>
      <c r="BG123" s="56">
        <v>3400.28</v>
      </c>
      <c r="BH123" s="57">
        <v>821.87</v>
      </c>
      <c r="BI123" s="58"/>
      <c r="BJ123" s="59">
        <v>23.03</v>
      </c>
      <c r="BK123" s="27"/>
      <c r="BL123" s="51"/>
      <c r="BM123" s="52"/>
      <c r="BN123" s="52"/>
      <c r="BO123" s="53">
        <f t="shared" si="76"/>
        <v>23.03</v>
      </c>
      <c r="BQ123" s="47">
        <v>46360</v>
      </c>
      <c r="BR123" s="57">
        <v>247.42</v>
      </c>
      <c r="BS123" s="57">
        <v>303.66000000000003</v>
      </c>
      <c r="BT123" s="58"/>
      <c r="BU123" s="61"/>
      <c r="BV123" s="27"/>
      <c r="BW123" s="51"/>
      <c r="BX123" s="52"/>
      <c r="BY123" s="52"/>
      <c r="BZ123" s="53">
        <f t="shared" si="77"/>
        <v>0</v>
      </c>
      <c r="CB123" s="47">
        <v>46360</v>
      </c>
      <c r="CC123" s="56">
        <v>22607.31</v>
      </c>
      <c r="CD123" s="57">
        <v>2334.4499999999998</v>
      </c>
      <c r="CE123" s="58"/>
      <c r="CF123" s="58"/>
      <c r="CG123" s="27"/>
      <c r="CH123" s="51"/>
      <c r="CI123" s="52"/>
      <c r="CJ123" s="52"/>
      <c r="CK123" s="53">
        <f t="shared" si="78"/>
        <v>0</v>
      </c>
      <c r="CM123" s="47">
        <v>46360</v>
      </c>
      <c r="CN123" s="56">
        <v>10237.549999999999</v>
      </c>
      <c r="CO123" s="57">
        <v>2258.5100000000002</v>
      </c>
      <c r="CP123" s="58"/>
      <c r="CQ123" s="62"/>
      <c r="CR123" s="27"/>
      <c r="CS123" s="51"/>
      <c r="CT123" s="52"/>
      <c r="CU123" s="52"/>
      <c r="CV123" s="53">
        <f t="shared" si="79"/>
        <v>0</v>
      </c>
      <c r="CX123" s="47">
        <v>46360</v>
      </c>
      <c r="CY123" s="56">
        <v>4782.07</v>
      </c>
      <c r="CZ123" s="57">
        <v>1115.75</v>
      </c>
      <c r="DA123" s="58"/>
      <c r="DB123" s="59"/>
      <c r="DC123" s="27"/>
      <c r="DD123" s="51"/>
      <c r="DE123" s="52"/>
      <c r="DF123" s="52"/>
      <c r="DG123" s="53">
        <f t="shared" si="80"/>
        <v>0</v>
      </c>
      <c r="DI123" s="47">
        <v>46360</v>
      </c>
      <c r="DJ123" s="56">
        <v>1440.41</v>
      </c>
      <c r="DK123" s="63"/>
      <c r="DL123" s="58"/>
      <c r="DM123" s="62"/>
      <c r="DN123" s="27"/>
      <c r="DO123" s="51"/>
      <c r="DP123" s="52"/>
      <c r="DQ123" s="52"/>
      <c r="DR123" s="53">
        <f t="shared" si="81"/>
        <v>0</v>
      </c>
      <c r="DT123" s="47">
        <v>46360</v>
      </c>
      <c r="DU123" s="56">
        <v>2316.61</v>
      </c>
      <c r="DV123" s="57">
        <v>227.65</v>
      </c>
      <c r="DW123" s="58"/>
      <c r="DX123" s="62"/>
      <c r="DY123" s="27"/>
      <c r="DZ123" s="51"/>
      <c r="EA123" s="52"/>
      <c r="EB123" s="52"/>
      <c r="EC123" s="53">
        <f t="shared" si="82"/>
        <v>0</v>
      </c>
      <c r="EE123" s="47">
        <v>46360</v>
      </c>
      <c r="EF123" s="56">
        <v>8286.41</v>
      </c>
      <c r="EG123" s="57">
        <v>1564.24</v>
      </c>
      <c r="EH123" s="58"/>
      <c r="EI123" s="59">
        <v>144.44999999999999</v>
      </c>
      <c r="EJ123" s="27"/>
      <c r="EK123" s="51"/>
      <c r="EL123" s="52"/>
      <c r="EM123" s="52"/>
      <c r="EN123" s="53">
        <f t="shared" si="83"/>
        <v>144.44999999999999</v>
      </c>
      <c r="EP123" s="47">
        <v>46360</v>
      </c>
      <c r="EQ123" s="64">
        <v>891.54</v>
      </c>
      <c r="ER123" s="56">
        <v>509.02</v>
      </c>
      <c r="ES123" s="58"/>
      <c r="ET123" s="59"/>
      <c r="EV123" s="51"/>
      <c r="EW123" s="52"/>
      <c r="EX123" s="52"/>
      <c r="EY123" s="53">
        <f t="shared" si="84"/>
        <v>0</v>
      </c>
    </row>
    <row r="124" spans="2:155" hidden="1" x14ac:dyDescent="0.25">
      <c r="B124" s="47">
        <v>46361</v>
      </c>
      <c r="C124" s="48">
        <v>23870.05</v>
      </c>
      <c r="D124" s="49">
        <v>3549.4</v>
      </c>
      <c r="E124" s="50">
        <v>5339.65</v>
      </c>
      <c r="F124" s="66">
        <v>375.39</v>
      </c>
      <c r="G124" s="50">
        <v>12.15</v>
      </c>
      <c r="H124" s="27"/>
      <c r="I124" s="51"/>
      <c r="J124" s="52"/>
      <c r="K124" s="52"/>
      <c r="L124" s="53">
        <f t="shared" si="71"/>
        <v>12.15</v>
      </c>
      <c r="N124" s="47">
        <v>46361</v>
      </c>
      <c r="O124" s="54">
        <v>7840.1</v>
      </c>
      <c r="P124" s="54">
        <v>504.44</v>
      </c>
      <c r="Q124" s="58"/>
      <c r="R124" s="55"/>
      <c r="S124" s="27"/>
      <c r="T124" s="51"/>
      <c r="U124" s="52"/>
      <c r="V124" s="52"/>
      <c r="W124" s="53">
        <f t="shared" si="72"/>
        <v>0</v>
      </c>
      <c r="Y124" s="47">
        <v>46361</v>
      </c>
      <c r="Z124" s="56">
        <v>5219.03</v>
      </c>
      <c r="AA124" s="57">
        <v>1665.95</v>
      </c>
      <c r="AB124" s="63"/>
      <c r="AC124" s="59">
        <v>185.1</v>
      </c>
      <c r="AD124" s="27"/>
      <c r="AE124" s="51"/>
      <c r="AF124" s="52"/>
      <c r="AG124" s="52"/>
      <c r="AH124" s="53">
        <f t="shared" si="73"/>
        <v>185.1</v>
      </c>
      <c r="AJ124" s="47">
        <v>46361</v>
      </c>
      <c r="AK124" s="56">
        <v>2293.2199999999998</v>
      </c>
      <c r="AL124" s="57">
        <v>145.94</v>
      </c>
      <c r="AM124" s="58"/>
      <c r="AN124" s="58"/>
      <c r="AO124" s="27"/>
      <c r="AP124" s="51"/>
      <c r="AQ124" s="52"/>
      <c r="AR124" s="52"/>
      <c r="AS124" s="53">
        <f t="shared" si="74"/>
        <v>0</v>
      </c>
      <c r="AU124" s="47">
        <v>46361</v>
      </c>
      <c r="AV124" s="57">
        <v>740</v>
      </c>
      <c r="AW124" s="57">
        <v>0</v>
      </c>
      <c r="AX124" s="58"/>
      <c r="AY124" s="59">
        <v>0.84</v>
      </c>
      <c r="AZ124" s="27"/>
      <c r="BA124" s="51"/>
      <c r="BB124" s="52"/>
      <c r="BC124" s="52"/>
      <c r="BD124" s="53">
        <f t="shared" si="75"/>
        <v>0.84</v>
      </c>
      <c r="BF124" s="47">
        <v>46361</v>
      </c>
      <c r="BG124" s="56">
        <v>7508.21</v>
      </c>
      <c r="BH124" s="57">
        <v>586.23</v>
      </c>
      <c r="BI124" s="58"/>
      <c r="BJ124" s="59"/>
      <c r="BK124" s="27"/>
      <c r="BL124" s="51"/>
      <c r="BM124" s="52"/>
      <c r="BN124" s="52"/>
      <c r="BO124" s="53">
        <f t="shared" si="76"/>
        <v>0</v>
      </c>
      <c r="BQ124" s="47">
        <v>46361</v>
      </c>
      <c r="BR124" s="57">
        <v>782.09</v>
      </c>
      <c r="BS124" s="57">
        <v>664.71</v>
      </c>
      <c r="BT124" s="58"/>
      <c r="BU124" s="61"/>
      <c r="BV124" s="27"/>
      <c r="BW124" s="51"/>
      <c r="BX124" s="52"/>
      <c r="BY124" s="52"/>
      <c r="BZ124" s="53">
        <f t="shared" si="77"/>
        <v>0</v>
      </c>
      <c r="CB124" s="47">
        <v>46361</v>
      </c>
      <c r="CC124" s="56">
        <v>24217.41</v>
      </c>
      <c r="CD124" s="57">
        <v>2439.3000000000002</v>
      </c>
      <c r="CE124" s="58"/>
      <c r="CF124" s="58"/>
      <c r="CG124" s="27"/>
      <c r="CH124" s="51"/>
      <c r="CI124" s="52"/>
      <c r="CJ124" s="52"/>
      <c r="CK124" s="53">
        <f t="shared" si="78"/>
        <v>0</v>
      </c>
      <c r="CM124" s="47">
        <v>46361</v>
      </c>
      <c r="CN124" s="56">
        <v>10263.39</v>
      </c>
      <c r="CO124" s="57">
        <v>2376.7800000000002</v>
      </c>
      <c r="CP124" s="58"/>
      <c r="CQ124" s="62"/>
      <c r="CR124" s="27"/>
      <c r="CS124" s="51"/>
      <c r="CT124" s="52"/>
      <c r="CU124" s="52"/>
      <c r="CV124" s="53">
        <f t="shared" si="79"/>
        <v>0</v>
      </c>
      <c r="CX124" s="47">
        <v>46361</v>
      </c>
      <c r="CY124" s="56">
        <v>5991.41</v>
      </c>
      <c r="CZ124" s="57">
        <v>1843.01</v>
      </c>
      <c r="DA124" s="58"/>
      <c r="DB124" s="59"/>
      <c r="DC124" s="27"/>
      <c r="DD124" s="51"/>
      <c r="DE124" s="52"/>
      <c r="DF124" s="52"/>
      <c r="DG124" s="53">
        <f t="shared" si="80"/>
        <v>0</v>
      </c>
      <c r="DI124" s="47">
        <v>46361</v>
      </c>
      <c r="DJ124" s="56">
        <v>2371.5</v>
      </c>
      <c r="DK124" s="63"/>
      <c r="DL124" s="58"/>
      <c r="DM124" s="62"/>
      <c r="DN124" s="27"/>
      <c r="DO124" s="51"/>
      <c r="DP124" s="52"/>
      <c r="DQ124" s="52"/>
      <c r="DR124" s="53">
        <f t="shared" si="81"/>
        <v>0</v>
      </c>
      <c r="DT124" s="47">
        <v>46361</v>
      </c>
      <c r="DU124" s="56">
        <v>1808.99</v>
      </c>
      <c r="DV124" s="57">
        <v>377.43</v>
      </c>
      <c r="DW124" s="58"/>
      <c r="DX124" s="62"/>
      <c r="DY124" s="27"/>
      <c r="DZ124" s="51"/>
      <c r="EA124" s="52"/>
      <c r="EB124" s="52"/>
      <c r="EC124" s="53">
        <f t="shared" si="82"/>
        <v>0</v>
      </c>
      <c r="EE124" s="47">
        <v>46361</v>
      </c>
      <c r="EF124" s="56">
        <v>6023.93</v>
      </c>
      <c r="EG124" s="57">
        <v>1737.95</v>
      </c>
      <c r="EH124" s="58"/>
      <c r="EI124" s="59">
        <v>122.33</v>
      </c>
      <c r="EJ124" s="27"/>
      <c r="EK124" s="51"/>
      <c r="EL124" s="52"/>
      <c r="EM124" s="52"/>
      <c r="EN124" s="53">
        <f t="shared" si="83"/>
        <v>122.33</v>
      </c>
      <c r="EP124" s="47">
        <v>46361</v>
      </c>
      <c r="EQ124" s="64">
        <v>1194.31</v>
      </c>
      <c r="ER124" s="56">
        <v>535</v>
      </c>
      <c r="ES124" s="58"/>
      <c r="ET124" s="59">
        <v>5.01</v>
      </c>
      <c r="EV124" s="51"/>
      <c r="EW124" s="52"/>
      <c r="EX124" s="52"/>
      <c r="EY124" s="53">
        <f t="shared" si="84"/>
        <v>5.01</v>
      </c>
    </row>
    <row r="125" spans="2:155" hidden="1" x14ac:dyDescent="0.25">
      <c r="B125" s="47">
        <v>46362</v>
      </c>
      <c r="C125" s="48">
        <v>20206.689999999999</v>
      </c>
      <c r="D125" s="49">
        <v>3517.86</v>
      </c>
      <c r="E125" s="50">
        <v>2476.1999999999998</v>
      </c>
      <c r="F125" s="55">
        <v>300.75</v>
      </c>
      <c r="G125" s="102">
        <v>10.26</v>
      </c>
      <c r="H125" s="27"/>
      <c r="I125" s="51"/>
      <c r="J125" s="52"/>
      <c r="K125" s="52"/>
      <c r="L125" s="53">
        <f t="shared" si="71"/>
        <v>10.26</v>
      </c>
      <c r="N125" s="47">
        <v>46362</v>
      </c>
      <c r="O125" s="54">
        <v>4185.05</v>
      </c>
      <c r="P125" s="54">
        <v>410.64</v>
      </c>
      <c r="Q125" s="58"/>
      <c r="R125" s="55"/>
      <c r="S125" s="27"/>
      <c r="T125" s="51"/>
      <c r="U125" s="52"/>
      <c r="V125" s="52"/>
      <c r="W125" s="53">
        <f t="shared" si="72"/>
        <v>0</v>
      </c>
      <c r="Y125" s="47">
        <v>46362</v>
      </c>
      <c r="Z125" s="56">
        <v>4709.1400000000003</v>
      </c>
      <c r="AA125" s="57">
        <v>1612.28</v>
      </c>
      <c r="AB125" s="63"/>
      <c r="AC125" s="59">
        <v>75.69</v>
      </c>
      <c r="AD125" s="27"/>
      <c r="AE125" s="51"/>
      <c r="AF125" s="52"/>
      <c r="AG125" s="52"/>
      <c r="AH125" s="53">
        <f t="shared" si="73"/>
        <v>75.69</v>
      </c>
      <c r="AJ125" s="47">
        <v>46362</v>
      </c>
      <c r="AK125" s="56">
        <v>3048.73</v>
      </c>
      <c r="AL125" s="57">
        <v>336.9</v>
      </c>
      <c r="AM125" s="58"/>
      <c r="AN125" s="58"/>
      <c r="AO125" s="27"/>
      <c r="AP125" s="51"/>
      <c r="AQ125" s="52"/>
      <c r="AR125" s="52"/>
      <c r="AS125" s="53">
        <f t="shared" si="74"/>
        <v>0</v>
      </c>
      <c r="AU125" s="47">
        <v>46362</v>
      </c>
      <c r="AV125" s="57">
        <v>330</v>
      </c>
      <c r="AW125" s="57">
        <v>42.99</v>
      </c>
      <c r="AX125" s="58"/>
      <c r="AY125" s="59">
        <v>52.8</v>
      </c>
      <c r="AZ125" s="27"/>
      <c r="BA125" s="51"/>
      <c r="BB125" s="52"/>
      <c r="BC125" s="52"/>
      <c r="BD125" s="53">
        <f t="shared" si="75"/>
        <v>52.8</v>
      </c>
      <c r="BF125" s="47">
        <v>46362</v>
      </c>
      <c r="BG125" s="56">
        <v>8278.92</v>
      </c>
      <c r="BH125" s="57">
        <v>633.88</v>
      </c>
      <c r="BI125" s="58"/>
      <c r="BJ125" s="59"/>
      <c r="BK125" s="27"/>
      <c r="BL125" s="51"/>
      <c r="BM125" s="52"/>
      <c r="BN125" s="52"/>
      <c r="BO125" s="53">
        <f t="shared" si="76"/>
        <v>0</v>
      </c>
      <c r="BQ125" s="47">
        <v>46362</v>
      </c>
      <c r="BR125" s="57">
        <v>655.02</v>
      </c>
      <c r="BS125" s="57">
        <v>152.05000000000001</v>
      </c>
      <c r="BT125" s="58"/>
      <c r="BU125" s="61"/>
      <c r="BV125" s="27"/>
      <c r="BW125" s="51"/>
      <c r="BX125" s="52"/>
      <c r="BY125" s="52"/>
      <c r="BZ125" s="53">
        <f t="shared" si="77"/>
        <v>0</v>
      </c>
      <c r="CB125" s="47">
        <v>46362</v>
      </c>
      <c r="CC125" s="56">
        <v>23541.57</v>
      </c>
      <c r="CD125" s="57">
        <v>2357.1999999999998</v>
      </c>
      <c r="CE125" s="58"/>
      <c r="CF125" s="58"/>
      <c r="CG125" s="27"/>
      <c r="CH125" s="51"/>
      <c r="CI125" s="52"/>
      <c r="CJ125" s="52"/>
      <c r="CK125" s="53">
        <f t="shared" si="78"/>
        <v>0</v>
      </c>
      <c r="CM125" s="47">
        <v>46362</v>
      </c>
      <c r="CN125" s="56">
        <v>9056.0400000000009</v>
      </c>
      <c r="CO125" s="57">
        <v>1770.04</v>
      </c>
      <c r="CP125" s="58"/>
      <c r="CQ125" s="62"/>
      <c r="CR125" s="27"/>
      <c r="CS125" s="51"/>
      <c r="CT125" s="52"/>
      <c r="CU125" s="52"/>
      <c r="CV125" s="53">
        <f t="shared" si="79"/>
        <v>0</v>
      </c>
      <c r="CX125" s="47">
        <v>46362</v>
      </c>
      <c r="CY125" s="56">
        <v>4611.8900000000003</v>
      </c>
      <c r="CZ125" s="57">
        <v>1508.88</v>
      </c>
      <c r="DA125" s="58"/>
      <c r="DB125" s="59"/>
      <c r="DC125" s="27"/>
      <c r="DD125" s="51"/>
      <c r="DE125" s="52"/>
      <c r="DF125" s="52"/>
      <c r="DG125" s="53">
        <f t="shared" si="80"/>
        <v>0</v>
      </c>
      <c r="DI125" s="47">
        <v>46362</v>
      </c>
      <c r="DJ125" s="56">
        <v>2307.59</v>
      </c>
      <c r="DK125" s="63"/>
      <c r="DL125" s="58"/>
      <c r="DM125" s="62"/>
      <c r="DN125" s="27"/>
      <c r="DO125" s="51"/>
      <c r="DP125" s="52"/>
      <c r="DQ125" s="52"/>
      <c r="DR125" s="53">
        <f t="shared" si="81"/>
        <v>0</v>
      </c>
      <c r="DT125" s="47">
        <v>46362</v>
      </c>
      <c r="DU125" s="56">
        <v>1390.18</v>
      </c>
      <c r="DV125" s="57">
        <v>193.61</v>
      </c>
      <c r="DW125" s="58"/>
      <c r="DX125" s="62"/>
      <c r="DY125" s="27"/>
      <c r="DZ125" s="51"/>
      <c r="EA125" s="52"/>
      <c r="EB125" s="52"/>
      <c r="EC125" s="53">
        <f t="shared" si="82"/>
        <v>0</v>
      </c>
      <c r="EE125" s="47">
        <v>46362</v>
      </c>
      <c r="EF125" s="56">
        <v>5972.43</v>
      </c>
      <c r="EG125" s="57">
        <v>1489.07</v>
      </c>
      <c r="EH125" s="58"/>
      <c r="EI125" s="59">
        <v>106.51</v>
      </c>
      <c r="EJ125" s="27"/>
      <c r="EK125" s="51"/>
      <c r="EL125" s="52"/>
      <c r="EM125" s="52"/>
      <c r="EN125" s="53">
        <f t="shared" si="83"/>
        <v>106.51</v>
      </c>
      <c r="EP125" s="47">
        <v>46362</v>
      </c>
      <c r="EQ125" s="64">
        <v>557.89</v>
      </c>
      <c r="ER125" s="56">
        <v>618</v>
      </c>
      <c r="ES125" s="58"/>
      <c r="ET125" s="59"/>
      <c r="EV125" s="51"/>
      <c r="EW125" s="52"/>
      <c r="EX125" s="52"/>
      <c r="EY125" s="53">
        <f t="shared" si="84"/>
        <v>0</v>
      </c>
    </row>
    <row r="126" spans="2:155" hidden="1" x14ac:dyDescent="0.25">
      <c r="B126" s="47">
        <v>46363</v>
      </c>
      <c r="C126" s="48">
        <v>14174.46</v>
      </c>
      <c r="D126" s="49">
        <v>2589.25</v>
      </c>
      <c r="E126" s="50">
        <v>2251.54</v>
      </c>
      <c r="F126" s="55">
        <v>201.69</v>
      </c>
      <c r="G126" s="102">
        <v>8.24</v>
      </c>
      <c r="H126" s="27"/>
      <c r="I126" s="51"/>
      <c r="J126" s="52"/>
      <c r="K126" s="52"/>
      <c r="L126" s="53">
        <f t="shared" si="71"/>
        <v>8.24</v>
      </c>
      <c r="N126" s="47">
        <v>46363</v>
      </c>
      <c r="O126" s="54">
        <v>5764.98</v>
      </c>
      <c r="P126" s="54">
        <v>508.59</v>
      </c>
      <c r="Q126" s="58"/>
      <c r="R126" s="55"/>
      <c r="S126" s="27"/>
      <c r="T126" s="51"/>
      <c r="U126" s="52"/>
      <c r="V126" s="52"/>
      <c r="W126" s="53">
        <f t="shared" si="72"/>
        <v>0</v>
      </c>
      <c r="Y126" s="47">
        <v>46363</v>
      </c>
      <c r="Z126" s="56">
        <v>4208.0200000000004</v>
      </c>
      <c r="AA126" s="57">
        <v>1549.85</v>
      </c>
      <c r="AB126" s="63"/>
      <c r="AC126" s="59">
        <v>183.94</v>
      </c>
      <c r="AD126" s="27"/>
      <c r="AE126" s="51"/>
      <c r="AF126" s="52"/>
      <c r="AG126" s="52"/>
      <c r="AH126" s="53">
        <f t="shared" si="73"/>
        <v>183.94</v>
      </c>
      <c r="AJ126" s="47">
        <v>46363</v>
      </c>
      <c r="AK126" s="56">
        <v>2985.75</v>
      </c>
      <c r="AL126" s="57">
        <v>443.34</v>
      </c>
      <c r="AM126" s="58"/>
      <c r="AN126" s="58"/>
      <c r="AO126" s="27"/>
      <c r="AP126" s="51"/>
      <c r="AQ126" s="52"/>
      <c r="AR126" s="52"/>
      <c r="AS126" s="53">
        <f t="shared" si="74"/>
        <v>0</v>
      </c>
      <c r="AU126" s="47">
        <v>46363</v>
      </c>
      <c r="AV126" s="57">
        <v>769.5</v>
      </c>
      <c r="AW126" s="57">
        <v>0</v>
      </c>
      <c r="AX126" s="58"/>
      <c r="AY126" s="59"/>
      <c r="AZ126" s="27"/>
      <c r="BA126" s="51"/>
      <c r="BB126" s="52"/>
      <c r="BC126" s="52"/>
      <c r="BD126" s="53">
        <f t="shared" si="75"/>
        <v>0</v>
      </c>
      <c r="BF126" s="47">
        <v>46363</v>
      </c>
      <c r="BG126" s="56">
        <v>2685.08</v>
      </c>
      <c r="BH126" s="57">
        <v>379.73</v>
      </c>
      <c r="BI126" s="58"/>
      <c r="BJ126" s="59"/>
      <c r="BK126" s="27"/>
      <c r="BL126" s="51"/>
      <c r="BM126" s="52"/>
      <c r="BN126" s="52"/>
      <c r="BO126" s="53">
        <f t="shared" si="76"/>
        <v>0</v>
      </c>
      <c r="BQ126" s="47">
        <v>46363</v>
      </c>
      <c r="BR126" s="57">
        <v>292.02999999999997</v>
      </c>
      <c r="BS126" s="57">
        <v>263.14</v>
      </c>
      <c r="BT126" s="58"/>
      <c r="BU126" s="61"/>
      <c r="BV126" s="27"/>
      <c r="BW126" s="51"/>
      <c r="BX126" s="52"/>
      <c r="BY126" s="52"/>
      <c r="BZ126" s="53">
        <f t="shared" si="77"/>
        <v>0</v>
      </c>
      <c r="CB126" s="47">
        <v>46363</v>
      </c>
      <c r="CC126" s="56">
        <v>20227.009999999998</v>
      </c>
      <c r="CD126" s="57">
        <v>2359.1799999999998</v>
      </c>
      <c r="CE126" s="58"/>
      <c r="CF126" s="58"/>
      <c r="CG126" s="27"/>
      <c r="CH126" s="51"/>
      <c r="CI126" s="52"/>
      <c r="CJ126" s="52"/>
      <c r="CK126" s="53">
        <f t="shared" si="78"/>
        <v>0</v>
      </c>
      <c r="CM126" s="47">
        <v>46363</v>
      </c>
      <c r="CN126" s="56">
        <v>6148.83</v>
      </c>
      <c r="CO126" s="57">
        <v>1050.3499999999999</v>
      </c>
      <c r="CP126" s="58"/>
      <c r="CQ126" s="62"/>
      <c r="CR126" s="27"/>
      <c r="CS126" s="51"/>
      <c r="CT126" s="52"/>
      <c r="CU126" s="52"/>
      <c r="CV126" s="53">
        <f t="shared" si="79"/>
        <v>0</v>
      </c>
      <c r="CX126" s="47">
        <v>46363</v>
      </c>
      <c r="CY126" s="56">
        <v>4148.1099999999997</v>
      </c>
      <c r="CZ126" s="57">
        <v>1402.95</v>
      </c>
      <c r="DA126" s="58"/>
      <c r="DB126" s="59"/>
      <c r="DC126" s="27"/>
      <c r="DD126" s="51"/>
      <c r="DE126" s="52"/>
      <c r="DF126" s="52"/>
      <c r="DG126" s="53">
        <f t="shared" si="80"/>
        <v>0</v>
      </c>
      <c r="DI126" s="47">
        <v>46363</v>
      </c>
      <c r="DJ126" s="56">
        <v>1566.31</v>
      </c>
      <c r="DK126" s="63"/>
      <c r="DL126" s="58"/>
      <c r="DM126" s="62"/>
      <c r="DN126" s="27"/>
      <c r="DO126" s="51"/>
      <c r="DP126" s="52"/>
      <c r="DQ126" s="52"/>
      <c r="DR126" s="53">
        <f t="shared" si="81"/>
        <v>0</v>
      </c>
      <c r="DT126" s="47">
        <v>46363</v>
      </c>
      <c r="DU126" s="56">
        <v>1032.3399999999999</v>
      </c>
      <c r="DV126" s="57">
        <v>90.54</v>
      </c>
      <c r="DW126" s="58"/>
      <c r="DX126" s="62"/>
      <c r="DY126" s="27"/>
      <c r="DZ126" s="51"/>
      <c r="EA126" s="52"/>
      <c r="EB126" s="52"/>
      <c r="EC126" s="53">
        <f t="shared" si="82"/>
        <v>0</v>
      </c>
      <c r="EE126" s="47">
        <v>46363</v>
      </c>
      <c r="EF126" s="56">
        <v>4449.6400000000003</v>
      </c>
      <c r="EG126" s="57">
        <v>1584.58</v>
      </c>
      <c r="EH126" s="58"/>
      <c r="EI126" s="59">
        <v>133.19</v>
      </c>
      <c r="EJ126" s="27"/>
      <c r="EK126" s="51"/>
      <c r="EL126" s="52"/>
      <c r="EM126" s="52"/>
      <c r="EN126" s="53">
        <f t="shared" si="83"/>
        <v>133.19</v>
      </c>
      <c r="EP126" s="47">
        <v>46363</v>
      </c>
      <c r="EQ126" s="64">
        <v>573.54999999999995</v>
      </c>
      <c r="ER126" s="56">
        <v>572.79</v>
      </c>
      <c r="ES126" s="58"/>
      <c r="ET126" s="59"/>
      <c r="EV126" s="51"/>
      <c r="EW126" s="52"/>
      <c r="EX126" s="52"/>
      <c r="EY126" s="53">
        <f t="shared" si="84"/>
        <v>0</v>
      </c>
    </row>
    <row r="127" spans="2:155" hidden="1" x14ac:dyDescent="0.25">
      <c r="B127" s="47">
        <v>46364</v>
      </c>
      <c r="C127" s="48">
        <v>13395.03</v>
      </c>
      <c r="D127" s="49">
        <v>2216.0100000000002</v>
      </c>
      <c r="E127" s="50">
        <v>2789.55</v>
      </c>
      <c r="F127" s="55">
        <v>222.23</v>
      </c>
      <c r="G127" s="102">
        <v>8.14</v>
      </c>
      <c r="H127" s="27"/>
      <c r="I127" s="51"/>
      <c r="J127" s="52"/>
      <c r="K127" s="52"/>
      <c r="L127" s="53">
        <f t="shared" si="71"/>
        <v>8.14</v>
      </c>
      <c r="N127" s="47">
        <v>46364</v>
      </c>
      <c r="O127" s="54">
        <v>1771.01</v>
      </c>
      <c r="P127" s="54">
        <v>398.54</v>
      </c>
      <c r="Q127" s="58"/>
      <c r="R127" s="55"/>
      <c r="S127" s="27"/>
      <c r="T127" s="51"/>
      <c r="U127" s="52"/>
      <c r="V127" s="52"/>
      <c r="W127" s="53">
        <f t="shared" si="72"/>
        <v>0</v>
      </c>
      <c r="Y127" s="47">
        <v>46364</v>
      </c>
      <c r="Z127" s="56">
        <v>2879.18</v>
      </c>
      <c r="AA127" s="57">
        <v>1128.3499999999999</v>
      </c>
      <c r="AB127" s="63"/>
      <c r="AC127" s="59">
        <v>103.54</v>
      </c>
      <c r="AD127" s="27"/>
      <c r="AE127" s="51"/>
      <c r="AF127" s="52"/>
      <c r="AG127" s="52"/>
      <c r="AH127" s="53">
        <f t="shared" si="73"/>
        <v>103.54</v>
      </c>
      <c r="AJ127" s="47">
        <v>46364</v>
      </c>
      <c r="AK127" s="56">
        <v>3518.06</v>
      </c>
      <c r="AL127" s="57">
        <v>260.27</v>
      </c>
      <c r="AM127" s="58"/>
      <c r="AN127" s="58"/>
      <c r="AO127" s="27"/>
      <c r="AP127" s="51"/>
      <c r="AQ127" s="52"/>
      <c r="AR127" s="52"/>
      <c r="AS127" s="53">
        <f t="shared" si="74"/>
        <v>0</v>
      </c>
      <c r="AU127" s="47">
        <v>46364</v>
      </c>
      <c r="AV127" s="57">
        <v>1123.55</v>
      </c>
      <c r="AW127" s="57">
        <v>32.979999999999997</v>
      </c>
      <c r="AX127" s="58"/>
      <c r="AY127" s="59">
        <v>0.67</v>
      </c>
      <c r="AZ127" s="27"/>
      <c r="BA127" s="51"/>
      <c r="BB127" s="52"/>
      <c r="BC127" s="52"/>
      <c r="BD127" s="53">
        <f t="shared" si="75"/>
        <v>0.67</v>
      </c>
      <c r="BF127" s="47">
        <v>46364</v>
      </c>
      <c r="BG127" s="56">
        <v>3959.69</v>
      </c>
      <c r="BH127" s="57">
        <v>590.02</v>
      </c>
      <c r="BI127" s="58"/>
      <c r="BJ127" s="59"/>
      <c r="BK127" s="27"/>
      <c r="BL127" s="51"/>
      <c r="BM127" s="52"/>
      <c r="BN127" s="52"/>
      <c r="BO127" s="53">
        <f t="shared" si="76"/>
        <v>0</v>
      </c>
      <c r="BQ127" s="47">
        <v>46364</v>
      </c>
      <c r="BR127" s="57">
        <v>377.96</v>
      </c>
      <c r="BS127" s="57">
        <v>277.48</v>
      </c>
      <c r="BT127" s="58"/>
      <c r="BU127" s="61"/>
      <c r="BV127" s="27"/>
      <c r="BW127" s="51"/>
      <c r="BX127" s="52"/>
      <c r="BY127" s="52"/>
      <c r="BZ127" s="53">
        <f t="shared" si="77"/>
        <v>0</v>
      </c>
      <c r="CB127" s="47">
        <v>46364</v>
      </c>
      <c r="CC127" s="56">
        <v>14382.22</v>
      </c>
      <c r="CD127" s="57">
        <v>1506.2</v>
      </c>
      <c r="CE127" s="58"/>
      <c r="CF127" s="58"/>
      <c r="CG127" s="27"/>
      <c r="CH127" s="51"/>
      <c r="CI127" s="52"/>
      <c r="CJ127" s="52"/>
      <c r="CK127" s="53">
        <f t="shared" si="78"/>
        <v>0</v>
      </c>
      <c r="CM127" s="47">
        <v>46364</v>
      </c>
      <c r="CN127" s="56">
        <v>5207.59</v>
      </c>
      <c r="CO127" s="57">
        <v>580.48</v>
      </c>
      <c r="CP127" s="58"/>
      <c r="CQ127" s="62"/>
      <c r="CR127" s="27"/>
      <c r="CS127" s="51"/>
      <c r="CT127" s="52"/>
      <c r="CU127" s="52"/>
      <c r="CV127" s="53">
        <f t="shared" si="79"/>
        <v>0</v>
      </c>
      <c r="CX127" s="47">
        <v>46364</v>
      </c>
      <c r="CY127" s="56">
        <v>7621.21</v>
      </c>
      <c r="CZ127" s="57">
        <v>1610.31</v>
      </c>
      <c r="DA127" s="58"/>
      <c r="DB127" s="59"/>
      <c r="DC127" s="27"/>
      <c r="DD127" s="51"/>
      <c r="DE127" s="52"/>
      <c r="DF127" s="52"/>
      <c r="DG127" s="53">
        <f t="shared" si="80"/>
        <v>0</v>
      </c>
      <c r="DI127" s="47">
        <v>46364</v>
      </c>
      <c r="DJ127" s="56">
        <v>2182.35</v>
      </c>
      <c r="DK127" s="63"/>
      <c r="DL127" s="58"/>
      <c r="DM127" s="62"/>
      <c r="DN127" s="27"/>
      <c r="DO127" s="51"/>
      <c r="DP127" s="52"/>
      <c r="DQ127" s="52"/>
      <c r="DR127" s="53">
        <f t="shared" si="81"/>
        <v>0</v>
      </c>
      <c r="DT127" s="47">
        <v>46364</v>
      </c>
      <c r="DU127" s="56">
        <v>1954.61</v>
      </c>
      <c r="DV127" s="57">
        <v>155.31</v>
      </c>
      <c r="DW127" s="58"/>
      <c r="DX127" s="62"/>
      <c r="DY127" s="27"/>
      <c r="DZ127" s="51"/>
      <c r="EA127" s="52"/>
      <c r="EB127" s="52"/>
      <c r="EC127" s="53">
        <f t="shared" si="82"/>
        <v>0</v>
      </c>
      <c r="EE127" s="47">
        <v>46364</v>
      </c>
      <c r="EF127" s="56">
        <v>4957.07</v>
      </c>
      <c r="EG127" s="57">
        <v>1382.85</v>
      </c>
      <c r="EH127" s="58"/>
      <c r="EI127" s="59">
        <v>72.67</v>
      </c>
      <c r="EJ127" s="27"/>
      <c r="EK127" s="51"/>
      <c r="EL127" s="52"/>
      <c r="EM127" s="52"/>
      <c r="EN127" s="53">
        <f t="shared" si="83"/>
        <v>72.67</v>
      </c>
      <c r="EP127" s="47">
        <v>46364</v>
      </c>
      <c r="EQ127" s="64">
        <v>564.49</v>
      </c>
      <c r="ER127" s="56">
        <v>428.47</v>
      </c>
      <c r="ES127" s="58"/>
      <c r="ET127" s="59"/>
      <c r="EV127" s="51"/>
      <c r="EW127" s="52"/>
      <c r="EX127" s="52"/>
      <c r="EY127" s="53">
        <f t="shared" si="84"/>
        <v>0</v>
      </c>
    </row>
    <row r="128" spans="2:155" hidden="1" x14ac:dyDescent="0.25">
      <c r="B128" s="47">
        <v>46365</v>
      </c>
      <c r="C128" s="48">
        <v>13472.34</v>
      </c>
      <c r="D128" s="49">
        <v>2244.59</v>
      </c>
      <c r="E128" s="50">
        <v>2783.9</v>
      </c>
      <c r="F128" s="49">
        <v>236.82</v>
      </c>
      <c r="G128" s="50">
        <v>7.35</v>
      </c>
      <c r="H128" s="27"/>
      <c r="I128" s="51"/>
      <c r="J128" s="52"/>
      <c r="K128" s="52"/>
      <c r="L128" s="53">
        <f t="shared" si="71"/>
        <v>7.35</v>
      </c>
      <c r="N128" s="47">
        <v>46365</v>
      </c>
      <c r="O128" s="54">
        <v>7116.31</v>
      </c>
      <c r="P128" s="54">
        <v>522.86</v>
      </c>
      <c r="Q128" s="58"/>
      <c r="R128" s="55"/>
      <c r="S128" s="27"/>
      <c r="T128" s="51"/>
      <c r="U128" s="52"/>
      <c r="V128" s="52"/>
      <c r="W128" s="53">
        <f t="shared" si="72"/>
        <v>0</v>
      </c>
      <c r="Y128" s="47">
        <v>46365</v>
      </c>
      <c r="Z128" s="56">
        <v>3762.91</v>
      </c>
      <c r="AA128" s="57">
        <v>1265.45</v>
      </c>
      <c r="AB128" s="63"/>
      <c r="AC128" s="59">
        <v>113.53</v>
      </c>
      <c r="AD128" s="27"/>
      <c r="AE128" s="51"/>
      <c r="AF128" s="52"/>
      <c r="AG128" s="52"/>
      <c r="AH128" s="53">
        <f t="shared" si="73"/>
        <v>113.53</v>
      </c>
      <c r="AJ128" s="47">
        <v>46365</v>
      </c>
      <c r="AK128" s="56">
        <v>2413.87</v>
      </c>
      <c r="AL128" s="57">
        <v>483.01</v>
      </c>
      <c r="AM128" s="58"/>
      <c r="AN128" s="58"/>
      <c r="AO128" s="27"/>
      <c r="AP128" s="51"/>
      <c r="AQ128" s="52"/>
      <c r="AR128" s="52"/>
      <c r="AS128" s="53">
        <f t="shared" si="74"/>
        <v>0</v>
      </c>
      <c r="AU128" s="47">
        <v>46365</v>
      </c>
      <c r="AV128" s="57">
        <v>1835.19</v>
      </c>
      <c r="AW128" s="57">
        <v>105.15</v>
      </c>
      <c r="AX128" s="58"/>
      <c r="AY128" s="59"/>
      <c r="AZ128" s="27"/>
      <c r="BA128" s="51"/>
      <c r="BB128" s="52"/>
      <c r="BC128" s="52"/>
      <c r="BD128" s="53">
        <f t="shared" si="75"/>
        <v>0</v>
      </c>
      <c r="BF128" s="47">
        <v>46365</v>
      </c>
      <c r="BG128" s="56">
        <v>3482.69</v>
      </c>
      <c r="BH128" s="57">
        <v>201.8</v>
      </c>
      <c r="BI128" s="58"/>
      <c r="BJ128" s="59"/>
      <c r="BK128" s="27"/>
      <c r="BL128" s="51"/>
      <c r="BM128" s="52"/>
      <c r="BN128" s="52"/>
      <c r="BO128" s="53">
        <f t="shared" si="76"/>
        <v>0</v>
      </c>
      <c r="BQ128" s="47">
        <v>46365</v>
      </c>
      <c r="BR128" s="57">
        <v>348</v>
      </c>
      <c r="BS128" s="57">
        <v>535.23</v>
      </c>
      <c r="BT128" s="58"/>
      <c r="BU128" s="61"/>
      <c r="BV128" s="27"/>
      <c r="BW128" s="51"/>
      <c r="BX128" s="52"/>
      <c r="BY128" s="52"/>
      <c r="BZ128" s="53">
        <f t="shared" si="77"/>
        <v>0</v>
      </c>
      <c r="CB128" s="47">
        <v>46365</v>
      </c>
      <c r="CC128" s="56">
        <v>16836.22</v>
      </c>
      <c r="CD128" s="57">
        <v>1755.84</v>
      </c>
      <c r="CE128" s="58"/>
      <c r="CF128" s="58"/>
      <c r="CG128" s="27"/>
      <c r="CH128" s="51"/>
      <c r="CI128" s="52"/>
      <c r="CJ128" s="52"/>
      <c r="CK128" s="53">
        <f t="shared" si="78"/>
        <v>0</v>
      </c>
      <c r="CM128" s="47">
        <v>46365</v>
      </c>
      <c r="CN128" s="56">
        <v>4742.57</v>
      </c>
      <c r="CO128" s="57">
        <v>1128.31</v>
      </c>
      <c r="CP128" s="58"/>
      <c r="CQ128" s="62"/>
      <c r="CR128" s="27"/>
      <c r="CS128" s="51"/>
      <c r="CT128" s="52"/>
      <c r="CU128" s="52"/>
      <c r="CV128" s="53">
        <f t="shared" si="79"/>
        <v>0</v>
      </c>
      <c r="CX128" s="47">
        <v>46365</v>
      </c>
      <c r="CY128" s="56">
        <v>7184.03</v>
      </c>
      <c r="CZ128" s="57">
        <v>2707.17</v>
      </c>
      <c r="DA128" s="58"/>
      <c r="DB128" s="59"/>
      <c r="DC128" s="27"/>
      <c r="DD128" s="51"/>
      <c r="DE128" s="52"/>
      <c r="DF128" s="52"/>
      <c r="DG128" s="53">
        <f t="shared" si="80"/>
        <v>0</v>
      </c>
      <c r="DI128" s="47">
        <v>46365</v>
      </c>
      <c r="DJ128" s="56">
        <v>1599.57</v>
      </c>
      <c r="DK128" s="63"/>
      <c r="DL128" s="58"/>
      <c r="DM128" s="62"/>
      <c r="DN128" s="27"/>
      <c r="DO128" s="51"/>
      <c r="DP128" s="52"/>
      <c r="DQ128" s="52"/>
      <c r="DR128" s="53">
        <f t="shared" si="81"/>
        <v>0</v>
      </c>
      <c r="DT128" s="47">
        <v>46365</v>
      </c>
      <c r="DU128" s="56">
        <v>3172.14</v>
      </c>
      <c r="DV128" s="57">
        <v>669.33</v>
      </c>
      <c r="DW128" s="58"/>
      <c r="DX128" s="62"/>
      <c r="DY128" s="27"/>
      <c r="DZ128" s="51"/>
      <c r="EA128" s="52"/>
      <c r="EB128" s="52"/>
      <c r="EC128" s="53">
        <f t="shared" si="82"/>
        <v>0</v>
      </c>
      <c r="EE128" s="47">
        <v>46365</v>
      </c>
      <c r="EF128" s="56">
        <v>3911.77</v>
      </c>
      <c r="EG128" s="57">
        <v>827.79</v>
      </c>
      <c r="EH128" s="58"/>
      <c r="EI128" s="59">
        <v>126.74</v>
      </c>
      <c r="EJ128" s="27"/>
      <c r="EK128" s="51"/>
      <c r="EL128" s="52"/>
      <c r="EM128" s="52"/>
      <c r="EN128" s="53">
        <f t="shared" si="83"/>
        <v>126.74</v>
      </c>
      <c r="EP128" s="47">
        <v>46365</v>
      </c>
      <c r="EQ128" s="64">
        <v>544.02</v>
      </c>
      <c r="ER128" s="56">
        <v>383.23</v>
      </c>
      <c r="ES128" s="58"/>
      <c r="ET128" s="59"/>
      <c r="EV128" s="51"/>
      <c r="EW128" s="52"/>
      <c r="EX128" s="52"/>
      <c r="EY128" s="53">
        <f t="shared" si="84"/>
        <v>0</v>
      </c>
    </row>
    <row r="129" spans="2:155" hidden="1" x14ac:dyDescent="0.25">
      <c r="B129" s="47">
        <v>46366</v>
      </c>
      <c r="C129" s="48">
        <v>17905.04</v>
      </c>
      <c r="D129" s="49">
        <v>2671.26</v>
      </c>
      <c r="E129" s="50">
        <v>4443.1400000000003</v>
      </c>
      <c r="F129" s="49">
        <v>362.68</v>
      </c>
      <c r="G129" s="50">
        <v>11.64</v>
      </c>
      <c r="H129" s="27"/>
      <c r="I129" s="51"/>
      <c r="J129" s="52"/>
      <c r="K129" s="52"/>
      <c r="L129" s="53">
        <f t="shared" si="71"/>
        <v>11.64</v>
      </c>
      <c r="N129" s="47">
        <v>46366</v>
      </c>
      <c r="O129" s="54">
        <v>6294.25</v>
      </c>
      <c r="P129" s="54">
        <v>266.14</v>
      </c>
      <c r="Q129" s="58"/>
      <c r="R129" s="55"/>
      <c r="S129" s="27"/>
      <c r="T129" s="51"/>
      <c r="U129" s="52"/>
      <c r="V129" s="52"/>
      <c r="W129" s="53">
        <f t="shared" si="72"/>
        <v>0</v>
      </c>
      <c r="Y129" s="47">
        <v>46366</v>
      </c>
      <c r="Z129" s="56">
        <v>3527.01</v>
      </c>
      <c r="AA129" s="57">
        <v>1281.1300000000001</v>
      </c>
      <c r="AB129" s="63"/>
      <c r="AC129" s="59">
        <v>31.46</v>
      </c>
      <c r="AD129" s="27"/>
      <c r="AE129" s="51"/>
      <c r="AF129" s="52"/>
      <c r="AG129" s="52"/>
      <c r="AH129" s="53">
        <f t="shared" si="73"/>
        <v>31.46</v>
      </c>
      <c r="AJ129" s="47">
        <v>46366</v>
      </c>
      <c r="AK129" s="56">
        <v>2590.3000000000002</v>
      </c>
      <c r="AL129" s="57">
        <v>424</v>
      </c>
      <c r="AM129" s="58"/>
      <c r="AN129" s="58"/>
      <c r="AO129" s="27"/>
      <c r="AP129" s="51"/>
      <c r="AQ129" s="52"/>
      <c r="AR129" s="52"/>
      <c r="AS129" s="53">
        <f t="shared" si="74"/>
        <v>0</v>
      </c>
      <c r="AU129" s="47">
        <v>46366</v>
      </c>
      <c r="AV129" s="57">
        <v>548.59</v>
      </c>
      <c r="AW129" s="57">
        <v>0</v>
      </c>
      <c r="AX129" s="58"/>
      <c r="AY129" s="59">
        <v>57.3</v>
      </c>
      <c r="AZ129" s="27"/>
      <c r="BA129" s="51"/>
      <c r="BB129" s="52"/>
      <c r="BC129" s="52"/>
      <c r="BD129" s="53">
        <f t="shared" si="75"/>
        <v>57.3</v>
      </c>
      <c r="BF129" s="47">
        <v>46366</v>
      </c>
      <c r="BG129" s="56">
        <v>3747.4</v>
      </c>
      <c r="BH129" s="57">
        <v>624.6</v>
      </c>
      <c r="BI129" s="58"/>
      <c r="BJ129" s="59">
        <v>47.94</v>
      </c>
      <c r="BK129" s="27"/>
      <c r="BL129" s="51"/>
      <c r="BM129" s="52"/>
      <c r="BN129" s="52"/>
      <c r="BO129" s="53">
        <f t="shared" si="76"/>
        <v>47.94</v>
      </c>
      <c r="BQ129" s="47">
        <v>46366</v>
      </c>
      <c r="BR129" s="57">
        <v>473.36</v>
      </c>
      <c r="BS129" s="57">
        <v>715.26</v>
      </c>
      <c r="BT129" s="58"/>
      <c r="BU129" s="61"/>
      <c r="BV129" s="27"/>
      <c r="BW129" s="51"/>
      <c r="BX129" s="52"/>
      <c r="BY129" s="52"/>
      <c r="BZ129" s="53">
        <f t="shared" si="77"/>
        <v>0</v>
      </c>
      <c r="CB129" s="47">
        <v>46366</v>
      </c>
      <c r="CC129" s="56">
        <v>19400.46</v>
      </c>
      <c r="CD129" s="57">
        <v>2213.75</v>
      </c>
      <c r="CE129" s="58"/>
      <c r="CF129" s="58"/>
      <c r="CG129" s="27"/>
      <c r="CH129" s="51"/>
      <c r="CI129" s="52"/>
      <c r="CJ129" s="52"/>
      <c r="CK129" s="53">
        <f t="shared" si="78"/>
        <v>0</v>
      </c>
      <c r="CM129" s="47">
        <v>46366</v>
      </c>
      <c r="CN129" s="56">
        <v>10401.64</v>
      </c>
      <c r="CO129" s="57">
        <v>1635.62</v>
      </c>
      <c r="CP129" s="58"/>
      <c r="CQ129" s="62"/>
      <c r="CR129" s="27"/>
      <c r="CS129" s="51"/>
      <c r="CT129" s="52"/>
      <c r="CU129" s="52"/>
      <c r="CV129" s="53">
        <f t="shared" si="79"/>
        <v>0</v>
      </c>
      <c r="CX129" s="47">
        <v>46366</v>
      </c>
      <c r="CY129" s="56">
        <v>3396.21</v>
      </c>
      <c r="CZ129" s="57">
        <v>596.71</v>
      </c>
      <c r="DA129" s="58"/>
      <c r="DB129" s="59"/>
      <c r="DC129" s="27"/>
      <c r="DD129" s="51"/>
      <c r="DE129" s="52"/>
      <c r="DF129" s="52"/>
      <c r="DG129" s="53">
        <f t="shared" si="80"/>
        <v>0</v>
      </c>
      <c r="DI129" s="47">
        <v>46366</v>
      </c>
      <c r="DJ129" s="56">
        <v>1360.3</v>
      </c>
      <c r="DK129" s="63"/>
      <c r="DL129" s="58"/>
      <c r="DM129" s="62"/>
      <c r="DN129" s="27"/>
      <c r="DO129" s="51"/>
      <c r="DP129" s="52"/>
      <c r="DQ129" s="52"/>
      <c r="DR129" s="53">
        <f t="shared" si="81"/>
        <v>0</v>
      </c>
      <c r="DT129" s="47">
        <v>46366</v>
      </c>
      <c r="DU129" s="56">
        <v>779.01</v>
      </c>
      <c r="DV129" s="57">
        <v>182</v>
      </c>
      <c r="DW129" s="58"/>
      <c r="DX129" s="62"/>
      <c r="DY129" s="27"/>
      <c r="DZ129" s="51"/>
      <c r="EA129" s="52"/>
      <c r="EB129" s="52"/>
      <c r="EC129" s="53">
        <f t="shared" si="82"/>
        <v>0</v>
      </c>
      <c r="EE129" s="47">
        <v>46366</v>
      </c>
      <c r="EF129" s="56">
        <v>6943.52</v>
      </c>
      <c r="EG129" s="57">
        <v>2160.02</v>
      </c>
      <c r="EH129" s="58"/>
      <c r="EI129" s="59">
        <v>141.36000000000001</v>
      </c>
      <c r="EJ129" s="27"/>
      <c r="EK129" s="51"/>
      <c r="EL129" s="52"/>
      <c r="EM129" s="52"/>
      <c r="EN129" s="53">
        <f t="shared" si="83"/>
        <v>141.36000000000001</v>
      </c>
      <c r="EP129" s="47">
        <v>46366</v>
      </c>
      <c r="EQ129" s="64">
        <v>854.87</v>
      </c>
      <c r="ER129" s="56">
        <v>368.9</v>
      </c>
      <c r="ES129" s="58"/>
      <c r="ET129" s="59"/>
      <c r="EV129" s="51"/>
      <c r="EW129" s="52"/>
      <c r="EX129" s="52"/>
      <c r="EY129" s="53">
        <f t="shared" si="84"/>
        <v>0</v>
      </c>
    </row>
    <row r="130" spans="2:155" hidden="1" x14ac:dyDescent="0.25">
      <c r="B130" s="47">
        <v>46367</v>
      </c>
      <c r="C130" s="48">
        <v>17256.259999999998</v>
      </c>
      <c r="D130" s="49">
        <v>3431.65</v>
      </c>
      <c r="E130" s="50">
        <v>3824.42</v>
      </c>
      <c r="F130" s="49">
        <v>476.11</v>
      </c>
      <c r="G130" s="50">
        <v>11.9</v>
      </c>
      <c r="H130" s="27"/>
      <c r="I130" s="51"/>
      <c r="J130" s="52"/>
      <c r="K130" s="52"/>
      <c r="L130" s="53">
        <f t="shared" si="71"/>
        <v>11.9</v>
      </c>
      <c r="N130" s="47">
        <v>46367</v>
      </c>
      <c r="O130" s="54">
        <v>3574.33</v>
      </c>
      <c r="P130" s="54">
        <v>295.10000000000002</v>
      </c>
      <c r="Q130" s="58"/>
      <c r="R130" s="55"/>
      <c r="S130" s="27"/>
      <c r="T130" s="51"/>
      <c r="U130" s="52"/>
      <c r="V130" s="52"/>
      <c r="W130" s="53">
        <f t="shared" si="72"/>
        <v>0</v>
      </c>
      <c r="Y130" s="47">
        <v>46367</v>
      </c>
      <c r="Z130" s="56">
        <v>3566.19</v>
      </c>
      <c r="AA130" s="57">
        <v>1342.87</v>
      </c>
      <c r="AB130" s="63"/>
      <c r="AC130" s="59">
        <v>29.97</v>
      </c>
      <c r="AD130" s="27"/>
      <c r="AE130" s="51"/>
      <c r="AF130" s="52"/>
      <c r="AG130" s="52"/>
      <c r="AH130" s="53">
        <f t="shared" si="73"/>
        <v>29.97</v>
      </c>
      <c r="AJ130" s="47">
        <v>46367</v>
      </c>
      <c r="AK130" s="56">
        <v>3170.98</v>
      </c>
      <c r="AL130" s="57">
        <v>497.83</v>
      </c>
      <c r="AM130" s="58"/>
      <c r="AN130" s="58"/>
      <c r="AO130" s="27"/>
      <c r="AP130" s="51"/>
      <c r="AQ130" s="52"/>
      <c r="AR130" s="52"/>
      <c r="AS130" s="53">
        <f t="shared" si="74"/>
        <v>0</v>
      </c>
      <c r="AU130" s="47">
        <v>46367</v>
      </c>
      <c r="AV130" s="57">
        <v>733.95</v>
      </c>
      <c r="AW130" s="57">
        <v>0</v>
      </c>
      <c r="AX130" s="58"/>
      <c r="AY130" s="59">
        <v>63.68</v>
      </c>
      <c r="AZ130" s="27"/>
      <c r="BA130" s="51"/>
      <c r="BB130" s="52"/>
      <c r="BC130" s="52"/>
      <c r="BD130" s="53">
        <f t="shared" si="75"/>
        <v>63.68</v>
      </c>
      <c r="BF130" s="47">
        <v>46367</v>
      </c>
      <c r="BG130" s="56">
        <v>3013.42</v>
      </c>
      <c r="BH130" s="57">
        <v>718.32</v>
      </c>
      <c r="BI130" s="58"/>
      <c r="BJ130" s="59"/>
      <c r="BK130" s="27"/>
      <c r="BL130" s="51"/>
      <c r="BM130" s="52"/>
      <c r="BN130" s="52"/>
      <c r="BO130" s="53">
        <f t="shared" si="76"/>
        <v>0</v>
      </c>
      <c r="BQ130" s="47">
        <v>46367</v>
      </c>
      <c r="BR130" s="57">
        <v>375.42</v>
      </c>
      <c r="BS130" s="57">
        <v>488</v>
      </c>
      <c r="BT130" s="58"/>
      <c r="BU130" s="61"/>
      <c r="BV130" s="27"/>
      <c r="BW130" s="51"/>
      <c r="BX130" s="52"/>
      <c r="BY130" s="52"/>
      <c r="BZ130" s="53">
        <f t="shared" si="77"/>
        <v>0</v>
      </c>
      <c r="CB130" s="47">
        <v>46367</v>
      </c>
      <c r="CC130" s="56">
        <v>21193.599999999999</v>
      </c>
      <c r="CD130" s="57">
        <v>2546.31</v>
      </c>
      <c r="CE130" s="58"/>
      <c r="CF130" s="58"/>
      <c r="CG130" s="27"/>
      <c r="CH130" s="51"/>
      <c r="CI130" s="52"/>
      <c r="CJ130" s="52"/>
      <c r="CK130" s="53">
        <f t="shared" si="78"/>
        <v>0</v>
      </c>
      <c r="CM130" s="47">
        <v>46367</v>
      </c>
      <c r="CN130" s="56">
        <v>9462.0400000000009</v>
      </c>
      <c r="CO130" s="57">
        <v>1976.6</v>
      </c>
      <c r="CP130" s="58"/>
      <c r="CQ130" s="62"/>
      <c r="CR130" s="27"/>
      <c r="CS130" s="51"/>
      <c r="CT130" s="52"/>
      <c r="CU130" s="52"/>
      <c r="CV130" s="53">
        <f t="shared" si="79"/>
        <v>0</v>
      </c>
      <c r="CX130" s="47">
        <v>46367</v>
      </c>
      <c r="CY130" s="56">
        <v>4858.16</v>
      </c>
      <c r="CZ130" s="57">
        <v>830.8</v>
      </c>
      <c r="DA130" s="58"/>
      <c r="DB130" s="59"/>
      <c r="DC130" s="27"/>
      <c r="DD130" s="51"/>
      <c r="DE130" s="52"/>
      <c r="DF130" s="52"/>
      <c r="DG130" s="53">
        <f t="shared" si="80"/>
        <v>0</v>
      </c>
      <c r="DI130" s="47">
        <v>46367</v>
      </c>
      <c r="DJ130" s="56">
        <v>1572.35</v>
      </c>
      <c r="DK130" s="63"/>
      <c r="DL130" s="58"/>
      <c r="DM130" s="62"/>
      <c r="DN130" s="27"/>
      <c r="DO130" s="51"/>
      <c r="DP130" s="52"/>
      <c r="DQ130" s="52"/>
      <c r="DR130" s="53">
        <f t="shared" si="81"/>
        <v>0</v>
      </c>
      <c r="DT130" s="47">
        <v>46367</v>
      </c>
      <c r="DU130" s="56">
        <v>1966.04</v>
      </c>
      <c r="DV130" s="57">
        <v>478.97</v>
      </c>
      <c r="DW130" s="58"/>
      <c r="DX130" s="62"/>
      <c r="DY130" s="27"/>
      <c r="DZ130" s="51"/>
      <c r="EA130" s="52"/>
      <c r="EB130" s="52"/>
      <c r="EC130" s="53">
        <f t="shared" si="82"/>
        <v>0</v>
      </c>
      <c r="EE130" s="47">
        <v>46367</v>
      </c>
      <c r="EF130" s="56">
        <v>8678.7099999999991</v>
      </c>
      <c r="EG130" s="57">
        <v>1558.27</v>
      </c>
      <c r="EH130" s="58"/>
      <c r="EI130" s="59">
        <v>121.68</v>
      </c>
      <c r="EJ130" s="27"/>
      <c r="EK130" s="51"/>
      <c r="EL130" s="52"/>
      <c r="EM130" s="52"/>
      <c r="EN130" s="53">
        <f t="shared" si="83"/>
        <v>121.68</v>
      </c>
      <c r="EP130" s="47">
        <v>46367</v>
      </c>
      <c r="EQ130" s="64">
        <v>1149.21</v>
      </c>
      <c r="ER130" s="56">
        <v>448.06</v>
      </c>
      <c r="ES130" s="58"/>
      <c r="ET130" s="59"/>
      <c r="EV130" s="51"/>
      <c r="EW130" s="52"/>
      <c r="EX130" s="52"/>
      <c r="EY130" s="53">
        <f t="shared" si="84"/>
        <v>0</v>
      </c>
    </row>
    <row r="131" spans="2:155" hidden="1" x14ac:dyDescent="0.25">
      <c r="B131" s="47">
        <v>46368</v>
      </c>
      <c r="C131" s="48">
        <v>21069.13</v>
      </c>
      <c r="D131" s="49">
        <v>4714.2299999999996</v>
      </c>
      <c r="E131" s="50">
        <v>3362.58</v>
      </c>
      <c r="F131" s="49">
        <v>447.34</v>
      </c>
      <c r="G131" s="50">
        <v>13.34</v>
      </c>
      <c r="H131" s="27"/>
      <c r="I131" s="51"/>
      <c r="J131" s="52"/>
      <c r="K131" s="52"/>
      <c r="L131" s="53">
        <f t="shared" si="71"/>
        <v>13.34</v>
      </c>
      <c r="N131" s="47">
        <v>46368</v>
      </c>
      <c r="O131" s="54">
        <v>2799.27</v>
      </c>
      <c r="P131" s="54">
        <v>401.56</v>
      </c>
      <c r="Q131" s="58"/>
      <c r="R131" s="55"/>
      <c r="S131" s="27"/>
      <c r="T131" s="51"/>
      <c r="U131" s="52"/>
      <c r="V131" s="52"/>
      <c r="W131" s="53">
        <f t="shared" si="72"/>
        <v>0</v>
      </c>
      <c r="Y131" s="47">
        <v>46368</v>
      </c>
      <c r="Z131" s="56">
        <v>4622.66</v>
      </c>
      <c r="AA131" s="57">
        <v>1409.51</v>
      </c>
      <c r="AB131" s="63"/>
      <c r="AC131" s="59">
        <v>11.99</v>
      </c>
      <c r="AD131" s="27"/>
      <c r="AE131" s="51"/>
      <c r="AF131" s="52"/>
      <c r="AG131" s="52"/>
      <c r="AH131" s="53">
        <f t="shared" si="73"/>
        <v>11.99</v>
      </c>
      <c r="AJ131" s="47">
        <v>46368</v>
      </c>
      <c r="AK131" s="56">
        <v>2492.94</v>
      </c>
      <c r="AL131" s="57">
        <v>420.35</v>
      </c>
      <c r="AM131" s="58"/>
      <c r="AN131" s="58"/>
      <c r="AO131" s="27"/>
      <c r="AP131" s="51"/>
      <c r="AQ131" s="52"/>
      <c r="AR131" s="52"/>
      <c r="AS131" s="53">
        <f t="shared" si="74"/>
        <v>0</v>
      </c>
      <c r="AU131" s="47">
        <v>46368</v>
      </c>
      <c r="AV131" s="57">
        <v>983.56</v>
      </c>
      <c r="AW131" s="57">
        <v>0</v>
      </c>
      <c r="AX131" s="58"/>
      <c r="AY131" s="59"/>
      <c r="AZ131" s="27"/>
      <c r="BA131" s="51"/>
      <c r="BB131" s="52"/>
      <c r="BC131" s="52"/>
      <c r="BD131" s="53">
        <f t="shared" si="75"/>
        <v>0</v>
      </c>
      <c r="BF131" s="47">
        <v>46368</v>
      </c>
      <c r="BG131" s="56">
        <v>4114.13</v>
      </c>
      <c r="BH131" s="57">
        <v>518.84</v>
      </c>
      <c r="BI131" s="58"/>
      <c r="BJ131" s="59"/>
      <c r="BK131" s="27"/>
      <c r="BL131" s="51"/>
      <c r="BM131" s="52"/>
      <c r="BN131" s="52"/>
      <c r="BO131" s="53">
        <f t="shared" si="76"/>
        <v>0</v>
      </c>
      <c r="BQ131" s="47">
        <v>46368</v>
      </c>
      <c r="BR131" s="57">
        <v>185</v>
      </c>
      <c r="BS131" s="57">
        <v>654.39</v>
      </c>
      <c r="BT131" s="58"/>
      <c r="BU131" s="61"/>
      <c r="BV131" s="27"/>
      <c r="BW131" s="51"/>
      <c r="BX131" s="52"/>
      <c r="BY131" s="52"/>
      <c r="BZ131" s="53">
        <f t="shared" si="77"/>
        <v>0</v>
      </c>
      <c r="CB131" s="47">
        <v>46368</v>
      </c>
      <c r="CC131" s="56">
        <v>24441.86</v>
      </c>
      <c r="CD131" s="57">
        <v>2495.0100000000002</v>
      </c>
      <c r="CE131" s="58"/>
      <c r="CF131" s="58"/>
      <c r="CG131" s="27"/>
      <c r="CH131" s="51"/>
      <c r="CI131" s="52"/>
      <c r="CJ131" s="52"/>
      <c r="CK131" s="53">
        <f t="shared" si="78"/>
        <v>0</v>
      </c>
      <c r="CM131" s="47">
        <v>46368</v>
      </c>
      <c r="CN131" s="56">
        <v>11643.86</v>
      </c>
      <c r="CO131" s="57">
        <v>1746.87</v>
      </c>
      <c r="CP131" s="58"/>
      <c r="CQ131" s="62"/>
      <c r="CR131" s="27"/>
      <c r="CS131" s="51"/>
      <c r="CT131" s="52"/>
      <c r="CU131" s="52"/>
      <c r="CV131" s="53">
        <f t="shared" si="79"/>
        <v>0</v>
      </c>
      <c r="CX131" s="47">
        <v>46368</v>
      </c>
      <c r="CY131" s="56">
        <v>3853.79</v>
      </c>
      <c r="CZ131" s="57">
        <v>905.43</v>
      </c>
      <c r="DA131" s="58"/>
      <c r="DB131" s="59"/>
      <c r="DC131" s="27"/>
      <c r="DD131" s="51"/>
      <c r="DE131" s="52"/>
      <c r="DF131" s="52"/>
      <c r="DG131" s="53">
        <f t="shared" si="80"/>
        <v>0</v>
      </c>
      <c r="DI131" s="47">
        <v>46368</v>
      </c>
      <c r="DJ131" s="56">
        <v>2387.29</v>
      </c>
      <c r="DK131" s="63"/>
      <c r="DL131" s="58"/>
      <c r="DM131" s="62"/>
      <c r="DN131" s="27"/>
      <c r="DO131" s="51"/>
      <c r="DP131" s="52"/>
      <c r="DQ131" s="52"/>
      <c r="DR131" s="53">
        <f t="shared" si="81"/>
        <v>0</v>
      </c>
      <c r="DT131" s="47">
        <v>46368</v>
      </c>
      <c r="DU131" s="56">
        <v>1747.44</v>
      </c>
      <c r="DV131" s="57">
        <v>363.07</v>
      </c>
      <c r="DW131" s="58"/>
      <c r="DX131" s="62"/>
      <c r="DY131" s="27"/>
      <c r="DZ131" s="51"/>
      <c r="EA131" s="52"/>
      <c r="EB131" s="52"/>
      <c r="EC131" s="53">
        <f t="shared" si="82"/>
        <v>0</v>
      </c>
      <c r="EE131" s="47">
        <v>46368</v>
      </c>
      <c r="EF131" s="56">
        <v>5443.41</v>
      </c>
      <c r="EG131" s="57">
        <v>2103.79</v>
      </c>
      <c r="EH131" s="58"/>
      <c r="EI131" s="59">
        <v>166.03</v>
      </c>
      <c r="EJ131" s="27"/>
      <c r="EK131" s="51"/>
      <c r="EL131" s="52"/>
      <c r="EM131" s="52"/>
      <c r="EN131" s="53">
        <f t="shared" si="83"/>
        <v>166.03</v>
      </c>
      <c r="EP131" s="47">
        <v>46368</v>
      </c>
      <c r="EQ131" s="64">
        <v>622.01</v>
      </c>
      <c r="ER131" s="56">
        <v>512.71</v>
      </c>
      <c r="ES131" s="58"/>
      <c r="ET131" s="59"/>
      <c r="EV131" s="51"/>
      <c r="EW131" s="52"/>
      <c r="EX131" s="52"/>
      <c r="EY131" s="53">
        <f t="shared" si="84"/>
        <v>0</v>
      </c>
    </row>
    <row r="132" spans="2:155" hidden="1" x14ac:dyDescent="0.25">
      <c r="B132" s="47">
        <v>46369</v>
      </c>
      <c r="C132" s="48">
        <v>20923.23</v>
      </c>
      <c r="D132" s="49">
        <v>3565.72</v>
      </c>
      <c r="E132" s="50">
        <v>3607.2</v>
      </c>
      <c r="F132" s="49">
        <v>250.95</v>
      </c>
      <c r="G132" s="50">
        <v>11.59</v>
      </c>
      <c r="H132" s="27"/>
      <c r="I132" s="51"/>
      <c r="J132" s="52"/>
      <c r="K132" s="52"/>
      <c r="L132" s="53">
        <f t="shared" si="71"/>
        <v>11.59</v>
      </c>
      <c r="N132" s="47">
        <v>46369</v>
      </c>
      <c r="O132" s="54">
        <v>3375.03</v>
      </c>
      <c r="P132" s="54">
        <v>534.77</v>
      </c>
      <c r="Q132" s="58"/>
      <c r="R132" s="69"/>
      <c r="S132" s="27"/>
      <c r="T132" s="51"/>
      <c r="U132" s="52"/>
      <c r="V132" s="52"/>
      <c r="W132" s="53">
        <f t="shared" si="72"/>
        <v>0</v>
      </c>
      <c r="Y132" s="47">
        <v>46369</v>
      </c>
      <c r="Z132" s="56">
        <v>8375.34</v>
      </c>
      <c r="AA132" s="57">
        <v>1837.34</v>
      </c>
      <c r="AB132" s="63"/>
      <c r="AC132" s="59">
        <v>187.84</v>
      </c>
      <c r="AD132" s="27"/>
      <c r="AE132" s="51"/>
      <c r="AF132" s="52"/>
      <c r="AG132" s="52"/>
      <c r="AH132" s="53">
        <f t="shared" si="73"/>
        <v>187.84</v>
      </c>
      <c r="AJ132" s="47">
        <v>46369</v>
      </c>
      <c r="AK132" s="56">
        <v>2849.88</v>
      </c>
      <c r="AL132" s="57">
        <v>376.37</v>
      </c>
      <c r="AM132" s="58"/>
      <c r="AN132" s="58"/>
      <c r="AO132" s="27"/>
      <c r="AP132" s="51"/>
      <c r="AQ132" s="52"/>
      <c r="AR132" s="52"/>
      <c r="AS132" s="53">
        <f t="shared" si="74"/>
        <v>0</v>
      </c>
      <c r="AU132" s="47">
        <v>46369</v>
      </c>
      <c r="AV132" s="57">
        <v>570</v>
      </c>
      <c r="AW132" s="57">
        <v>26</v>
      </c>
      <c r="AX132" s="58"/>
      <c r="AY132" s="59">
        <v>11.53</v>
      </c>
      <c r="AZ132" s="27"/>
      <c r="BA132" s="51"/>
      <c r="BB132" s="52"/>
      <c r="BC132" s="52"/>
      <c r="BD132" s="53">
        <f t="shared" si="75"/>
        <v>11.53</v>
      </c>
      <c r="BF132" s="47">
        <v>46369</v>
      </c>
      <c r="BG132" s="56">
        <v>6070.86</v>
      </c>
      <c r="BH132" s="57">
        <v>712.32</v>
      </c>
      <c r="BI132" s="58"/>
      <c r="BJ132" s="59"/>
      <c r="BK132" s="27"/>
      <c r="BL132" s="51"/>
      <c r="BM132" s="52"/>
      <c r="BN132" s="52"/>
      <c r="BO132" s="53">
        <f t="shared" si="76"/>
        <v>0</v>
      </c>
      <c r="BQ132" s="47">
        <v>46369</v>
      </c>
      <c r="BR132" s="57">
        <v>364</v>
      </c>
      <c r="BS132" s="57">
        <v>627.38</v>
      </c>
      <c r="BT132" s="58"/>
      <c r="BU132" s="61"/>
      <c r="BV132" s="27"/>
      <c r="BW132" s="51"/>
      <c r="BX132" s="52"/>
      <c r="BY132" s="52"/>
      <c r="BZ132" s="53">
        <f t="shared" si="77"/>
        <v>0</v>
      </c>
      <c r="CB132" s="47">
        <v>46369</v>
      </c>
      <c r="CC132" s="56">
        <v>24711.9</v>
      </c>
      <c r="CD132" s="57">
        <v>2416.17</v>
      </c>
      <c r="CE132" s="58"/>
      <c r="CF132" s="58"/>
      <c r="CG132" s="27"/>
      <c r="CH132" s="51"/>
      <c r="CI132" s="52"/>
      <c r="CJ132" s="52"/>
      <c r="CK132" s="53">
        <f t="shared" si="78"/>
        <v>0</v>
      </c>
      <c r="CM132" s="47">
        <v>46369</v>
      </c>
      <c r="CN132" s="56">
        <v>9903.9599999999991</v>
      </c>
      <c r="CO132" s="57">
        <v>1716.59</v>
      </c>
      <c r="CP132" s="58"/>
      <c r="CQ132" s="62"/>
      <c r="CR132" s="27"/>
      <c r="CS132" s="51"/>
      <c r="CT132" s="52"/>
      <c r="CU132" s="52"/>
      <c r="CV132" s="53">
        <f t="shared" si="79"/>
        <v>0</v>
      </c>
      <c r="CX132" s="47">
        <v>46369</v>
      </c>
      <c r="CY132" s="56">
        <v>4702.4399999999996</v>
      </c>
      <c r="CZ132" s="57">
        <v>588.5</v>
      </c>
      <c r="DA132" s="58"/>
      <c r="DB132" s="59"/>
      <c r="DC132" s="27"/>
      <c r="DD132" s="51"/>
      <c r="DE132" s="52"/>
      <c r="DF132" s="52"/>
      <c r="DG132" s="53">
        <f t="shared" si="80"/>
        <v>0</v>
      </c>
      <c r="DI132" s="47">
        <v>46369</v>
      </c>
      <c r="DJ132" s="56">
        <v>1496.86</v>
      </c>
      <c r="DK132" s="63"/>
      <c r="DL132" s="58"/>
      <c r="DM132" s="62"/>
      <c r="DN132" s="27"/>
      <c r="DO132" s="51"/>
      <c r="DP132" s="52"/>
      <c r="DQ132" s="52"/>
      <c r="DR132" s="53">
        <f t="shared" si="81"/>
        <v>0</v>
      </c>
      <c r="DT132" s="47">
        <v>46369</v>
      </c>
      <c r="DU132" s="56">
        <v>2657.91</v>
      </c>
      <c r="DV132" s="57">
        <v>242.01</v>
      </c>
      <c r="DW132" s="58"/>
      <c r="DX132" s="62"/>
      <c r="DY132" s="27"/>
      <c r="DZ132" s="51"/>
      <c r="EA132" s="52"/>
      <c r="EB132" s="52"/>
      <c r="EC132" s="53">
        <f t="shared" si="82"/>
        <v>0</v>
      </c>
      <c r="EE132" s="47">
        <v>46369</v>
      </c>
      <c r="EF132" s="56">
        <v>5751.67</v>
      </c>
      <c r="EG132" s="57">
        <v>1780.87</v>
      </c>
      <c r="EH132" s="58"/>
      <c r="EI132" s="59">
        <v>116.42</v>
      </c>
      <c r="EJ132" s="27"/>
      <c r="EK132" s="51"/>
      <c r="EL132" s="52"/>
      <c r="EM132" s="52"/>
      <c r="EN132" s="53">
        <f t="shared" si="83"/>
        <v>116.42</v>
      </c>
      <c r="EP132" s="47">
        <v>46369</v>
      </c>
      <c r="EQ132" s="64">
        <v>836.63</v>
      </c>
      <c r="ER132" s="56">
        <v>445.66</v>
      </c>
      <c r="ES132" s="58"/>
      <c r="ET132" s="59"/>
      <c r="EV132" s="51"/>
      <c r="EW132" s="52"/>
      <c r="EX132" s="52"/>
      <c r="EY132" s="53">
        <f t="shared" si="84"/>
        <v>0</v>
      </c>
    </row>
    <row r="133" spans="2:155" hidden="1" x14ac:dyDescent="0.25">
      <c r="B133" s="47">
        <v>46370</v>
      </c>
      <c r="C133" s="48">
        <v>17437.46</v>
      </c>
      <c r="D133" s="49">
        <v>2468.27</v>
      </c>
      <c r="E133" s="50">
        <v>2230.4</v>
      </c>
      <c r="F133" s="49">
        <v>234.16</v>
      </c>
      <c r="G133" s="50">
        <v>6.9</v>
      </c>
      <c r="H133" s="27"/>
      <c r="I133" s="51"/>
      <c r="J133" s="52"/>
      <c r="K133" s="52"/>
      <c r="L133" s="53">
        <f t="shared" si="71"/>
        <v>6.9</v>
      </c>
      <c r="N133" s="47">
        <v>46370</v>
      </c>
      <c r="O133" s="54">
        <v>4648.9399999999996</v>
      </c>
      <c r="P133" s="54">
        <v>324.77999999999997</v>
      </c>
      <c r="Q133" s="58"/>
      <c r="R133" s="55"/>
      <c r="S133" s="27"/>
      <c r="T133" s="51"/>
      <c r="U133" s="52"/>
      <c r="V133" s="52"/>
      <c r="W133" s="53">
        <f t="shared" si="72"/>
        <v>0</v>
      </c>
      <c r="Y133" s="47">
        <v>46370</v>
      </c>
      <c r="Z133" s="56">
        <v>5384.54</v>
      </c>
      <c r="AA133" s="57">
        <v>1699.45</v>
      </c>
      <c r="AB133" s="63"/>
      <c r="AC133" s="59">
        <v>119.01</v>
      </c>
      <c r="AD133" s="27"/>
      <c r="AE133" s="51"/>
      <c r="AF133" s="52"/>
      <c r="AG133" s="52"/>
      <c r="AH133" s="53">
        <f t="shared" si="73"/>
        <v>119.01</v>
      </c>
      <c r="AJ133" s="47">
        <v>46370</v>
      </c>
      <c r="AK133" s="56">
        <v>2322.44</v>
      </c>
      <c r="AL133" s="57">
        <v>157.34</v>
      </c>
      <c r="AM133" s="58"/>
      <c r="AN133" s="58"/>
      <c r="AO133" s="27"/>
      <c r="AP133" s="51"/>
      <c r="AQ133" s="52"/>
      <c r="AR133" s="52"/>
      <c r="AS133" s="53">
        <f t="shared" si="74"/>
        <v>0</v>
      </c>
      <c r="AU133" s="47">
        <v>46370</v>
      </c>
      <c r="AV133" s="57">
        <v>635.79</v>
      </c>
      <c r="AW133" s="57">
        <v>79.03</v>
      </c>
      <c r="AX133" s="58"/>
      <c r="AY133" s="59"/>
      <c r="AZ133" s="27"/>
      <c r="BA133" s="51"/>
      <c r="BB133" s="52"/>
      <c r="BC133" s="52"/>
      <c r="BD133" s="53">
        <f t="shared" si="75"/>
        <v>0</v>
      </c>
      <c r="BF133" s="47">
        <v>46370</v>
      </c>
      <c r="BG133" s="56">
        <v>4134.2700000000004</v>
      </c>
      <c r="BH133" s="57">
        <v>532.55999999999995</v>
      </c>
      <c r="BI133" s="58"/>
      <c r="BJ133" s="59"/>
      <c r="BK133" s="27"/>
      <c r="BL133" s="51"/>
      <c r="BM133" s="52"/>
      <c r="BN133" s="52"/>
      <c r="BO133" s="53">
        <f t="shared" si="76"/>
        <v>0</v>
      </c>
      <c r="BQ133" s="47">
        <v>46370</v>
      </c>
      <c r="BR133" s="57">
        <v>614</v>
      </c>
      <c r="BS133" s="57">
        <v>380</v>
      </c>
      <c r="BT133" s="58"/>
      <c r="BU133" s="61"/>
      <c r="BV133" s="27"/>
      <c r="BW133" s="51"/>
      <c r="BX133" s="52"/>
      <c r="BY133" s="52"/>
      <c r="BZ133" s="53">
        <f t="shared" si="77"/>
        <v>0</v>
      </c>
      <c r="CB133" s="47">
        <v>46370</v>
      </c>
      <c r="CC133" s="56">
        <v>20893.36</v>
      </c>
      <c r="CD133" s="57">
        <v>2275.21</v>
      </c>
      <c r="CE133" s="58"/>
      <c r="CF133" s="58"/>
      <c r="CG133" s="27"/>
      <c r="CH133" s="51"/>
      <c r="CI133" s="52"/>
      <c r="CJ133" s="52"/>
      <c r="CK133" s="53">
        <f t="shared" si="78"/>
        <v>0</v>
      </c>
      <c r="CM133" s="47">
        <v>46370</v>
      </c>
      <c r="CN133" s="56">
        <v>5686.43</v>
      </c>
      <c r="CO133" s="57">
        <v>1550.9</v>
      </c>
      <c r="CP133" s="58"/>
      <c r="CQ133" s="62"/>
      <c r="CR133" s="27"/>
      <c r="CS133" s="51"/>
      <c r="CT133" s="52"/>
      <c r="CU133" s="52"/>
      <c r="CV133" s="53">
        <f t="shared" si="79"/>
        <v>0</v>
      </c>
      <c r="CX133" s="47">
        <v>46370</v>
      </c>
      <c r="CY133" s="56">
        <v>3559.74</v>
      </c>
      <c r="CZ133" s="57">
        <v>1316.87</v>
      </c>
      <c r="DA133" s="58"/>
      <c r="DB133" s="59"/>
      <c r="DC133" s="27"/>
      <c r="DD133" s="51"/>
      <c r="DE133" s="52"/>
      <c r="DF133" s="52"/>
      <c r="DG133" s="53">
        <f t="shared" si="80"/>
        <v>0</v>
      </c>
      <c r="DI133" s="47">
        <v>46370</v>
      </c>
      <c r="DJ133" s="56">
        <v>1653.72</v>
      </c>
      <c r="DK133" s="63"/>
      <c r="DL133" s="58"/>
      <c r="DM133" s="62"/>
      <c r="DN133" s="27"/>
      <c r="DO133" s="51"/>
      <c r="DP133" s="52"/>
      <c r="DQ133" s="52"/>
      <c r="DR133" s="53">
        <f t="shared" si="81"/>
        <v>0</v>
      </c>
      <c r="DT133" s="47">
        <v>46370</v>
      </c>
      <c r="DU133" s="56">
        <v>1611.04</v>
      </c>
      <c r="DV133" s="57">
        <v>237.79</v>
      </c>
      <c r="DW133" s="58"/>
      <c r="DX133" s="62"/>
      <c r="DY133" s="27"/>
      <c r="DZ133" s="51"/>
      <c r="EA133" s="52"/>
      <c r="EB133" s="52"/>
      <c r="EC133" s="53">
        <f t="shared" si="82"/>
        <v>0</v>
      </c>
      <c r="EE133" s="47">
        <v>46370</v>
      </c>
      <c r="EF133" s="56">
        <v>3449.67</v>
      </c>
      <c r="EG133" s="57">
        <v>1076.8</v>
      </c>
      <c r="EH133" s="58"/>
      <c r="EI133" s="59">
        <v>129.04</v>
      </c>
      <c r="EJ133" s="27"/>
      <c r="EK133" s="51"/>
      <c r="EL133" s="52"/>
      <c r="EM133" s="52"/>
      <c r="EN133" s="53">
        <f t="shared" si="83"/>
        <v>129.04</v>
      </c>
      <c r="EP133" s="47">
        <v>46370</v>
      </c>
      <c r="EQ133" s="64">
        <v>875.63</v>
      </c>
      <c r="ER133" s="56">
        <v>438.68</v>
      </c>
      <c r="ES133" s="58"/>
      <c r="ET133" s="59"/>
      <c r="EV133" s="51"/>
      <c r="EW133" s="52"/>
      <c r="EX133" s="52"/>
      <c r="EY133" s="53">
        <f t="shared" si="84"/>
        <v>0</v>
      </c>
    </row>
    <row r="134" spans="2:155" hidden="1" x14ac:dyDescent="0.25">
      <c r="B134" s="47">
        <v>46371</v>
      </c>
      <c r="C134" s="48">
        <v>20818.88</v>
      </c>
      <c r="D134" s="49">
        <v>3314.81</v>
      </c>
      <c r="E134" s="50">
        <v>4441.2700000000004</v>
      </c>
      <c r="F134" s="49">
        <v>392.69</v>
      </c>
      <c r="G134" s="50">
        <v>11.19</v>
      </c>
      <c r="H134" s="27"/>
      <c r="I134" s="51"/>
      <c r="J134" s="52"/>
      <c r="K134" s="52"/>
      <c r="L134" s="53">
        <f t="shared" si="71"/>
        <v>11.19</v>
      </c>
      <c r="N134" s="47">
        <v>46371</v>
      </c>
      <c r="O134" s="54">
        <v>4346.62</v>
      </c>
      <c r="P134" s="54">
        <v>489.58</v>
      </c>
      <c r="Q134" s="58"/>
      <c r="R134" s="55"/>
      <c r="S134" s="27"/>
      <c r="T134" s="51"/>
      <c r="U134" s="52"/>
      <c r="V134" s="52"/>
      <c r="W134" s="53">
        <f t="shared" si="72"/>
        <v>0</v>
      </c>
      <c r="Y134" s="47">
        <v>46371</v>
      </c>
      <c r="Z134" s="56">
        <v>6829.13</v>
      </c>
      <c r="AA134" s="57">
        <v>1502.34</v>
      </c>
      <c r="AB134" s="63"/>
      <c r="AC134" s="59">
        <v>129.72</v>
      </c>
      <c r="AD134" s="27"/>
      <c r="AE134" s="51"/>
      <c r="AF134" s="52"/>
      <c r="AG134" s="52"/>
      <c r="AH134" s="53">
        <f t="shared" si="73"/>
        <v>129.72</v>
      </c>
      <c r="AJ134" s="47">
        <v>46371</v>
      </c>
      <c r="AK134" s="56">
        <v>2127.59</v>
      </c>
      <c r="AL134" s="57">
        <v>352.47</v>
      </c>
      <c r="AM134" s="58"/>
      <c r="AN134" s="58"/>
      <c r="AO134" s="27"/>
      <c r="AP134" s="51"/>
      <c r="AQ134" s="52"/>
      <c r="AR134" s="52"/>
      <c r="AS134" s="53">
        <f t="shared" si="74"/>
        <v>0</v>
      </c>
      <c r="AU134" s="47">
        <v>46371</v>
      </c>
      <c r="AV134" s="57">
        <v>619</v>
      </c>
      <c r="AW134" s="57">
        <v>46.12</v>
      </c>
      <c r="AX134" s="58"/>
      <c r="AY134" s="59">
        <v>35.21</v>
      </c>
      <c r="AZ134" s="27"/>
      <c r="BA134" s="51"/>
      <c r="BB134" s="52"/>
      <c r="BC134" s="52"/>
      <c r="BD134" s="53">
        <f t="shared" si="75"/>
        <v>35.21</v>
      </c>
      <c r="BF134" s="47">
        <v>46371</v>
      </c>
      <c r="BG134" s="56">
        <v>5069.92</v>
      </c>
      <c r="BH134" s="57">
        <v>690.29</v>
      </c>
      <c r="BI134" s="58"/>
      <c r="BJ134" s="59"/>
      <c r="BK134" s="27"/>
      <c r="BL134" s="51"/>
      <c r="BM134" s="52"/>
      <c r="BN134" s="52"/>
      <c r="BO134" s="53">
        <f t="shared" si="76"/>
        <v>0</v>
      </c>
      <c r="BQ134" s="47">
        <v>46371</v>
      </c>
      <c r="BR134" s="57">
        <v>602.58000000000004</v>
      </c>
      <c r="BS134" s="57">
        <v>641.88</v>
      </c>
      <c r="BT134" s="58"/>
      <c r="BU134" s="61"/>
      <c r="BV134" s="27"/>
      <c r="BW134" s="51"/>
      <c r="BX134" s="52"/>
      <c r="BY134" s="52"/>
      <c r="BZ134" s="53">
        <f t="shared" si="77"/>
        <v>0</v>
      </c>
      <c r="CB134" s="47">
        <v>46371</v>
      </c>
      <c r="CC134" s="56">
        <v>19695.59</v>
      </c>
      <c r="CD134" s="57">
        <v>1917.29</v>
      </c>
      <c r="CE134" s="58"/>
      <c r="CF134" s="58"/>
      <c r="CG134" s="27"/>
      <c r="CH134" s="51"/>
      <c r="CI134" s="52"/>
      <c r="CJ134" s="52"/>
      <c r="CK134" s="53">
        <f t="shared" si="78"/>
        <v>0</v>
      </c>
      <c r="CM134" s="47">
        <v>46371</v>
      </c>
      <c r="CN134" s="56">
        <v>11592.99</v>
      </c>
      <c r="CO134" s="57">
        <v>1946.5</v>
      </c>
      <c r="CP134" s="58"/>
      <c r="CQ134" s="62"/>
      <c r="CR134" s="27"/>
      <c r="CS134" s="51"/>
      <c r="CT134" s="52"/>
      <c r="CU134" s="52"/>
      <c r="CV134" s="53">
        <f t="shared" si="79"/>
        <v>0</v>
      </c>
      <c r="CX134" s="47">
        <v>46371</v>
      </c>
      <c r="CY134" s="56">
        <v>2684.68</v>
      </c>
      <c r="CZ134" s="57">
        <v>960.45</v>
      </c>
      <c r="DA134" s="58"/>
      <c r="DB134" s="59"/>
      <c r="DC134" s="27"/>
      <c r="DD134" s="51"/>
      <c r="DE134" s="52"/>
      <c r="DF134" s="52"/>
      <c r="DG134" s="53">
        <f t="shared" si="80"/>
        <v>0</v>
      </c>
      <c r="DI134" s="47">
        <v>46371</v>
      </c>
      <c r="DJ134" s="56">
        <v>1595.99</v>
      </c>
      <c r="DK134" s="63"/>
      <c r="DL134" s="58"/>
      <c r="DM134" s="62"/>
      <c r="DN134" s="27"/>
      <c r="DO134" s="51"/>
      <c r="DP134" s="52"/>
      <c r="DQ134" s="52"/>
      <c r="DR134" s="53">
        <f t="shared" si="81"/>
        <v>0</v>
      </c>
      <c r="DT134" s="47">
        <v>46371</v>
      </c>
      <c r="DU134" s="56">
        <v>1397.54</v>
      </c>
      <c r="DV134" s="57">
        <v>299.58</v>
      </c>
      <c r="DW134" s="58"/>
      <c r="DX134" s="62"/>
      <c r="DY134" s="27"/>
      <c r="DZ134" s="51"/>
      <c r="EA134" s="52"/>
      <c r="EB134" s="52"/>
      <c r="EC134" s="53">
        <f t="shared" si="82"/>
        <v>0</v>
      </c>
      <c r="EE134" s="47">
        <v>46371</v>
      </c>
      <c r="EF134" s="56">
        <v>10248.879999999999</v>
      </c>
      <c r="EG134" s="57">
        <v>1270.1099999999999</v>
      </c>
      <c r="EH134" s="58"/>
      <c r="EI134" s="59">
        <v>152.4</v>
      </c>
      <c r="EJ134" s="27"/>
      <c r="EK134" s="51"/>
      <c r="EL134" s="52"/>
      <c r="EM134" s="52"/>
      <c r="EN134" s="53">
        <f t="shared" si="83"/>
        <v>152.4</v>
      </c>
      <c r="EP134" s="47">
        <v>46371</v>
      </c>
      <c r="EQ134" s="64">
        <v>1363.9</v>
      </c>
      <c r="ER134" s="56">
        <v>454.28</v>
      </c>
      <c r="ES134" s="58"/>
      <c r="ET134" s="59"/>
      <c r="EV134" s="51"/>
      <c r="EW134" s="52"/>
      <c r="EX134" s="52"/>
      <c r="EY134" s="53">
        <f t="shared" si="84"/>
        <v>0</v>
      </c>
    </row>
    <row r="135" spans="2:155" hidden="1" x14ac:dyDescent="0.25">
      <c r="B135" s="47">
        <v>46372</v>
      </c>
      <c r="C135" s="48">
        <v>20372.14</v>
      </c>
      <c r="D135" s="49">
        <v>4122.82</v>
      </c>
      <c r="E135" s="50">
        <v>3687.05</v>
      </c>
      <c r="F135" s="49">
        <v>413.42</v>
      </c>
      <c r="G135" s="50">
        <v>12.61</v>
      </c>
      <c r="H135" s="27"/>
      <c r="I135" s="51"/>
      <c r="J135" s="52"/>
      <c r="K135" s="52"/>
      <c r="L135" s="53">
        <f t="shared" si="71"/>
        <v>12.61</v>
      </c>
      <c r="N135" s="47">
        <v>46372</v>
      </c>
      <c r="O135" s="54">
        <v>4782.24</v>
      </c>
      <c r="P135" s="54">
        <v>489.09</v>
      </c>
      <c r="Q135" s="58"/>
      <c r="R135" s="55"/>
      <c r="S135" s="27"/>
      <c r="T135" s="51"/>
      <c r="U135" s="52"/>
      <c r="V135" s="52"/>
      <c r="W135" s="53">
        <f t="shared" si="72"/>
        <v>0</v>
      </c>
      <c r="Y135" s="47">
        <v>46372</v>
      </c>
      <c r="Z135" s="56">
        <v>4879.1099999999997</v>
      </c>
      <c r="AA135" s="57">
        <v>1147.2</v>
      </c>
      <c r="AB135" s="63"/>
      <c r="AC135" s="59">
        <v>31.07</v>
      </c>
      <c r="AD135" s="27"/>
      <c r="AE135" s="51"/>
      <c r="AF135" s="52"/>
      <c r="AG135" s="52"/>
      <c r="AH135" s="53">
        <f t="shared" si="73"/>
        <v>31.07</v>
      </c>
      <c r="AJ135" s="47">
        <v>46372</v>
      </c>
      <c r="AK135" s="56">
        <v>3521.96</v>
      </c>
      <c r="AL135" s="57">
        <v>403.97</v>
      </c>
      <c r="AM135" s="58"/>
      <c r="AN135" s="58"/>
      <c r="AO135" s="27"/>
      <c r="AP135" s="51"/>
      <c r="AQ135" s="52"/>
      <c r="AR135" s="52"/>
      <c r="AS135" s="53">
        <f t="shared" si="74"/>
        <v>0</v>
      </c>
      <c r="AU135" s="47">
        <v>46372</v>
      </c>
      <c r="AV135" s="57">
        <v>1282.52</v>
      </c>
      <c r="AW135" s="57">
        <v>0</v>
      </c>
      <c r="AX135" s="58"/>
      <c r="AY135" s="59">
        <v>54</v>
      </c>
      <c r="AZ135" s="27"/>
      <c r="BA135" s="51"/>
      <c r="BB135" s="52"/>
      <c r="BC135" s="52"/>
      <c r="BD135" s="53">
        <f t="shared" si="75"/>
        <v>54</v>
      </c>
      <c r="BF135" s="47">
        <v>46372</v>
      </c>
      <c r="BG135" s="56">
        <v>3593.9</v>
      </c>
      <c r="BH135" s="57">
        <v>534.51</v>
      </c>
      <c r="BI135" s="58"/>
      <c r="BJ135" s="59">
        <v>16.920000000000002</v>
      </c>
      <c r="BK135" s="27"/>
      <c r="BL135" s="51"/>
      <c r="BM135" s="52"/>
      <c r="BN135" s="52"/>
      <c r="BO135" s="53">
        <f t="shared" si="76"/>
        <v>16.920000000000002</v>
      </c>
      <c r="BQ135" s="47">
        <v>46372</v>
      </c>
      <c r="BR135" s="57">
        <v>372.01</v>
      </c>
      <c r="BS135" s="57">
        <v>527.44000000000005</v>
      </c>
      <c r="BT135" s="58"/>
      <c r="BU135" s="61"/>
      <c r="BV135" s="27"/>
      <c r="BW135" s="51"/>
      <c r="BX135" s="52"/>
      <c r="BY135" s="52"/>
      <c r="BZ135" s="53">
        <f t="shared" si="77"/>
        <v>0</v>
      </c>
      <c r="CB135" s="47">
        <v>46372</v>
      </c>
      <c r="CC135" s="56">
        <v>22237.1</v>
      </c>
      <c r="CD135" s="57">
        <v>1802.13</v>
      </c>
      <c r="CE135" s="58"/>
      <c r="CF135" s="58"/>
      <c r="CG135" s="27"/>
      <c r="CH135" s="51"/>
      <c r="CI135" s="52"/>
      <c r="CJ135" s="52"/>
      <c r="CK135" s="53">
        <f t="shared" si="78"/>
        <v>0</v>
      </c>
      <c r="CM135" s="47">
        <v>46372</v>
      </c>
      <c r="CN135" s="56">
        <v>13450.53</v>
      </c>
      <c r="CO135" s="57">
        <v>1436.04</v>
      </c>
      <c r="CP135" s="58"/>
      <c r="CQ135" s="62"/>
      <c r="CR135" s="27"/>
      <c r="CS135" s="51"/>
      <c r="CT135" s="52"/>
      <c r="CU135" s="52"/>
      <c r="CV135" s="53">
        <f t="shared" si="79"/>
        <v>0</v>
      </c>
      <c r="CX135" s="47">
        <v>46372</v>
      </c>
      <c r="CY135" s="56">
        <v>4564.59</v>
      </c>
      <c r="CZ135" s="57">
        <v>1034.42</v>
      </c>
      <c r="DA135" s="58"/>
      <c r="DB135" s="59"/>
      <c r="DC135" s="27"/>
      <c r="DD135" s="51"/>
      <c r="DE135" s="52"/>
      <c r="DF135" s="52"/>
      <c r="DG135" s="53">
        <f t="shared" si="80"/>
        <v>0</v>
      </c>
      <c r="DI135" s="47">
        <v>46372</v>
      </c>
      <c r="DJ135" s="56">
        <v>2311.54</v>
      </c>
      <c r="DK135" s="63"/>
      <c r="DL135" s="58"/>
      <c r="DM135" s="62"/>
      <c r="DN135" s="27"/>
      <c r="DO135" s="51"/>
      <c r="DP135" s="52"/>
      <c r="DQ135" s="52"/>
      <c r="DR135" s="53">
        <f t="shared" si="81"/>
        <v>0</v>
      </c>
      <c r="DT135" s="47">
        <v>46372</v>
      </c>
      <c r="DU135" s="56">
        <v>1595.02</v>
      </c>
      <c r="DV135" s="57">
        <v>213.81</v>
      </c>
      <c r="DW135" s="58"/>
      <c r="DX135" s="62"/>
      <c r="DY135" s="27"/>
      <c r="DZ135" s="51"/>
      <c r="EA135" s="52"/>
      <c r="EB135" s="52"/>
      <c r="EC135" s="53">
        <f t="shared" si="82"/>
        <v>0</v>
      </c>
      <c r="EE135" s="47">
        <v>46372</v>
      </c>
      <c r="EF135" s="56">
        <v>5633.77</v>
      </c>
      <c r="EG135" s="57">
        <v>1576.28</v>
      </c>
      <c r="EH135" s="58"/>
      <c r="EI135" s="59">
        <v>104.36</v>
      </c>
      <c r="EJ135" s="27"/>
      <c r="EK135" s="51"/>
      <c r="EL135" s="52"/>
      <c r="EM135" s="52"/>
      <c r="EN135" s="53">
        <f t="shared" si="83"/>
        <v>104.36</v>
      </c>
      <c r="EP135" s="47">
        <v>46372</v>
      </c>
      <c r="EQ135" s="64">
        <v>1354.17</v>
      </c>
      <c r="ER135" s="56">
        <v>303.02</v>
      </c>
      <c r="ES135" s="58"/>
      <c r="ET135" s="59"/>
      <c r="EV135" s="51"/>
      <c r="EW135" s="52"/>
      <c r="EX135" s="52"/>
      <c r="EY135" s="53">
        <f t="shared" si="84"/>
        <v>0</v>
      </c>
    </row>
    <row r="136" spans="2:155" hidden="1" x14ac:dyDescent="0.25">
      <c r="B136" s="47">
        <v>46373</v>
      </c>
      <c r="C136" s="48">
        <v>19533.62</v>
      </c>
      <c r="D136" s="49">
        <v>4441.53</v>
      </c>
      <c r="E136" s="50">
        <v>4321.75</v>
      </c>
      <c r="F136" s="49">
        <v>428.55</v>
      </c>
      <c r="G136" s="50">
        <v>13.68</v>
      </c>
      <c r="H136" s="27"/>
      <c r="I136" s="51"/>
      <c r="J136" s="52"/>
      <c r="K136" s="52"/>
      <c r="L136" s="53">
        <f t="shared" si="71"/>
        <v>13.68</v>
      </c>
      <c r="N136" s="47">
        <v>46373</v>
      </c>
      <c r="O136" s="54">
        <v>4016.38</v>
      </c>
      <c r="P136" s="54">
        <v>119.18</v>
      </c>
      <c r="Q136" s="58"/>
      <c r="R136" s="55"/>
      <c r="S136" s="27"/>
      <c r="T136" s="51"/>
      <c r="U136" s="52"/>
      <c r="V136" s="52"/>
      <c r="W136" s="53">
        <f t="shared" si="72"/>
        <v>0</v>
      </c>
      <c r="Y136" s="47">
        <v>46373</v>
      </c>
      <c r="Z136" s="56">
        <v>5530.92</v>
      </c>
      <c r="AA136" s="57">
        <v>1488.6</v>
      </c>
      <c r="AB136" s="63"/>
      <c r="AC136" s="59">
        <v>153.81</v>
      </c>
      <c r="AD136" s="27"/>
      <c r="AE136" s="51"/>
      <c r="AF136" s="52"/>
      <c r="AG136" s="52"/>
      <c r="AH136" s="53">
        <f t="shared" si="73"/>
        <v>153.81</v>
      </c>
      <c r="AJ136" s="47">
        <v>46373</v>
      </c>
      <c r="AK136" s="56">
        <v>4179.09</v>
      </c>
      <c r="AL136" s="57">
        <v>320.20999999999998</v>
      </c>
      <c r="AM136" s="58"/>
      <c r="AN136" s="58"/>
      <c r="AO136" s="27"/>
      <c r="AP136" s="51"/>
      <c r="AQ136" s="52"/>
      <c r="AR136" s="52"/>
      <c r="AS136" s="53">
        <f t="shared" si="74"/>
        <v>0</v>
      </c>
      <c r="AU136" s="47">
        <v>46373</v>
      </c>
      <c r="AV136" s="57">
        <v>363.3</v>
      </c>
      <c r="AW136" s="57">
        <v>74.069999999999993</v>
      </c>
      <c r="AX136" s="58"/>
      <c r="AY136" s="59">
        <v>40.799999999999997</v>
      </c>
      <c r="AZ136" s="27"/>
      <c r="BA136" s="51"/>
      <c r="BB136" s="52"/>
      <c r="BC136" s="52"/>
      <c r="BD136" s="53">
        <f t="shared" si="75"/>
        <v>40.799999999999997</v>
      </c>
      <c r="BF136" s="47">
        <v>46373</v>
      </c>
      <c r="BG136" s="56">
        <v>4773.3500000000004</v>
      </c>
      <c r="BH136" s="57">
        <v>435.83</v>
      </c>
      <c r="BI136" s="58"/>
      <c r="BJ136" s="59"/>
      <c r="BK136" s="27"/>
      <c r="BL136" s="51"/>
      <c r="BM136" s="52"/>
      <c r="BN136" s="52"/>
      <c r="BO136" s="53">
        <f t="shared" si="76"/>
        <v>0</v>
      </c>
      <c r="BQ136" s="47">
        <v>46373</v>
      </c>
      <c r="BR136" s="57">
        <v>310</v>
      </c>
      <c r="BS136" s="57">
        <v>259.05</v>
      </c>
      <c r="BT136" s="58"/>
      <c r="BU136" s="61"/>
      <c r="BV136" s="27"/>
      <c r="BW136" s="51"/>
      <c r="BX136" s="52"/>
      <c r="BY136" s="52"/>
      <c r="BZ136" s="53">
        <f t="shared" si="77"/>
        <v>0</v>
      </c>
      <c r="CB136" s="47">
        <v>46373</v>
      </c>
      <c r="CC136" s="56">
        <v>20251.939999999999</v>
      </c>
      <c r="CD136" s="57">
        <v>2399.87</v>
      </c>
      <c r="CE136" s="58"/>
      <c r="CF136" s="58"/>
      <c r="CG136" s="27"/>
      <c r="CH136" s="51"/>
      <c r="CI136" s="52"/>
      <c r="CJ136" s="52"/>
      <c r="CK136" s="53">
        <f t="shared" si="78"/>
        <v>0</v>
      </c>
      <c r="CM136" s="47">
        <v>46373</v>
      </c>
      <c r="CN136" s="56">
        <v>10719.32</v>
      </c>
      <c r="CO136" s="57">
        <v>2013.26</v>
      </c>
      <c r="CP136" s="58"/>
      <c r="CQ136" s="62"/>
      <c r="CR136" s="27"/>
      <c r="CS136" s="51"/>
      <c r="CT136" s="52"/>
      <c r="CU136" s="52"/>
      <c r="CV136" s="53">
        <f t="shared" si="79"/>
        <v>0</v>
      </c>
      <c r="CX136" s="47">
        <v>46373</v>
      </c>
      <c r="CY136" s="56">
        <v>8122.45</v>
      </c>
      <c r="CZ136" s="57">
        <v>1159.04</v>
      </c>
      <c r="DA136" s="58"/>
      <c r="DB136" s="59"/>
      <c r="DC136" s="27"/>
      <c r="DD136" s="51"/>
      <c r="DE136" s="52"/>
      <c r="DF136" s="52"/>
      <c r="DG136" s="53">
        <f t="shared" si="80"/>
        <v>0</v>
      </c>
      <c r="DI136" s="47">
        <v>46373</v>
      </c>
      <c r="DJ136" s="56">
        <v>2430.66</v>
      </c>
      <c r="DK136" s="63"/>
      <c r="DL136" s="58"/>
      <c r="DM136" s="62"/>
      <c r="DN136" s="27"/>
      <c r="DO136" s="51"/>
      <c r="DP136" s="52"/>
      <c r="DQ136" s="52"/>
      <c r="DR136" s="53">
        <f t="shared" si="81"/>
        <v>0</v>
      </c>
      <c r="DT136" s="47">
        <v>46373</v>
      </c>
      <c r="DU136" s="56">
        <v>2122.09</v>
      </c>
      <c r="DV136" s="57">
        <v>129.88</v>
      </c>
      <c r="DW136" s="58"/>
      <c r="DX136" s="62"/>
      <c r="DY136" s="27"/>
      <c r="DZ136" s="51"/>
      <c r="EA136" s="52"/>
      <c r="EB136" s="52"/>
      <c r="EC136" s="53">
        <f t="shared" si="82"/>
        <v>0</v>
      </c>
      <c r="EE136" s="47">
        <v>46373</v>
      </c>
      <c r="EF136" s="56">
        <v>7446.08</v>
      </c>
      <c r="EG136" s="57">
        <v>1727.82</v>
      </c>
      <c r="EH136" s="58"/>
      <c r="EI136" s="59">
        <v>141.16999999999999</v>
      </c>
      <c r="EJ136" s="27"/>
      <c r="EK136" s="51"/>
      <c r="EL136" s="52"/>
      <c r="EM136" s="52"/>
      <c r="EN136" s="53">
        <f t="shared" si="83"/>
        <v>141.16999999999999</v>
      </c>
      <c r="EP136" s="47">
        <v>46373</v>
      </c>
      <c r="EQ136" s="64">
        <v>805.22</v>
      </c>
      <c r="ER136" s="56">
        <v>587.82000000000005</v>
      </c>
      <c r="ES136" s="58"/>
      <c r="ET136" s="59"/>
      <c r="EV136" s="51"/>
      <c r="EW136" s="52"/>
      <c r="EX136" s="52"/>
      <c r="EY136" s="53">
        <f t="shared" si="84"/>
        <v>0</v>
      </c>
    </row>
    <row r="137" spans="2:155" hidden="1" x14ac:dyDescent="0.25">
      <c r="B137" s="47">
        <v>46374</v>
      </c>
      <c r="C137" s="48">
        <v>20265.82</v>
      </c>
      <c r="D137" s="49">
        <v>3105.34</v>
      </c>
      <c r="E137" s="50">
        <v>3839.18</v>
      </c>
      <c r="F137" s="49">
        <v>322.33</v>
      </c>
      <c r="G137" s="50">
        <v>11.53</v>
      </c>
      <c r="H137" s="27"/>
      <c r="I137" s="51"/>
      <c r="J137" s="52"/>
      <c r="K137" s="52"/>
      <c r="L137" s="53">
        <f t="shared" si="71"/>
        <v>11.53</v>
      </c>
      <c r="N137" s="47">
        <v>46374</v>
      </c>
      <c r="O137" s="54">
        <v>4564.3</v>
      </c>
      <c r="P137" s="54">
        <v>566.12</v>
      </c>
      <c r="Q137" s="58"/>
      <c r="R137" s="69"/>
      <c r="S137" s="27"/>
      <c r="T137" s="51"/>
      <c r="U137" s="52"/>
      <c r="V137" s="52"/>
      <c r="W137" s="53">
        <f t="shared" si="72"/>
        <v>0</v>
      </c>
      <c r="Y137" s="47">
        <v>46374</v>
      </c>
      <c r="Z137" s="56">
        <v>3544.29</v>
      </c>
      <c r="AA137" s="57">
        <v>1725.09</v>
      </c>
      <c r="AB137" s="63"/>
      <c r="AC137" s="59">
        <v>93.71</v>
      </c>
      <c r="AD137" s="27"/>
      <c r="AE137" s="51"/>
      <c r="AF137" s="52"/>
      <c r="AG137" s="52"/>
      <c r="AH137" s="53">
        <f t="shared" si="73"/>
        <v>93.71</v>
      </c>
      <c r="AJ137" s="47">
        <v>46374</v>
      </c>
      <c r="AK137" s="56">
        <v>1833.4</v>
      </c>
      <c r="AL137" s="57">
        <v>489.37</v>
      </c>
      <c r="AM137" s="58"/>
      <c r="AN137" s="58"/>
      <c r="AO137" s="27"/>
      <c r="AP137" s="51"/>
      <c r="AQ137" s="52"/>
      <c r="AR137" s="52"/>
      <c r="AS137" s="53">
        <f t="shared" si="74"/>
        <v>0</v>
      </c>
      <c r="AU137" s="47">
        <v>46374</v>
      </c>
      <c r="AV137" s="57">
        <v>600.4</v>
      </c>
      <c r="AW137" s="57">
        <v>0</v>
      </c>
      <c r="AX137" s="58"/>
      <c r="AY137" s="59">
        <v>29.82</v>
      </c>
      <c r="AZ137" s="27"/>
      <c r="BA137" s="51"/>
      <c r="BB137" s="52"/>
      <c r="BC137" s="52"/>
      <c r="BD137" s="53">
        <f t="shared" si="75"/>
        <v>29.82</v>
      </c>
      <c r="BF137" s="47">
        <v>46374</v>
      </c>
      <c r="BG137" s="56">
        <v>3064.72</v>
      </c>
      <c r="BH137" s="57">
        <v>747.03</v>
      </c>
      <c r="BI137" s="58"/>
      <c r="BJ137" s="59">
        <v>16.02</v>
      </c>
      <c r="BK137" s="27"/>
      <c r="BL137" s="51"/>
      <c r="BM137" s="52"/>
      <c r="BN137" s="52"/>
      <c r="BO137" s="53">
        <f t="shared" si="76"/>
        <v>16.02</v>
      </c>
      <c r="BQ137" s="47">
        <v>46374</v>
      </c>
      <c r="BR137" s="57">
        <v>587.07000000000005</v>
      </c>
      <c r="BS137" s="57">
        <v>388.89</v>
      </c>
      <c r="BT137" s="58"/>
      <c r="BU137" s="61"/>
      <c r="BV137" s="27"/>
      <c r="BW137" s="51"/>
      <c r="BX137" s="52"/>
      <c r="BY137" s="52"/>
      <c r="BZ137" s="53">
        <f t="shared" si="77"/>
        <v>0</v>
      </c>
      <c r="CB137" s="47">
        <v>46374</v>
      </c>
      <c r="CC137" s="56">
        <v>22050.240000000002</v>
      </c>
      <c r="CD137" s="57">
        <v>2585.66</v>
      </c>
      <c r="CE137" s="58"/>
      <c r="CF137" s="58"/>
      <c r="CG137" s="27"/>
      <c r="CH137" s="51"/>
      <c r="CI137" s="52"/>
      <c r="CJ137" s="52"/>
      <c r="CK137" s="53">
        <f t="shared" si="78"/>
        <v>0</v>
      </c>
      <c r="CM137" s="47">
        <v>46374</v>
      </c>
      <c r="CN137" s="56">
        <v>9305.74</v>
      </c>
      <c r="CO137" s="57">
        <v>1242.05</v>
      </c>
      <c r="CP137" s="58"/>
      <c r="CQ137" s="62"/>
      <c r="CR137" s="27"/>
      <c r="CS137" s="51"/>
      <c r="CT137" s="52"/>
      <c r="CU137" s="52"/>
      <c r="CV137" s="53">
        <f t="shared" si="79"/>
        <v>0</v>
      </c>
      <c r="CX137" s="47">
        <v>46374</v>
      </c>
      <c r="CY137" s="56">
        <v>4853.21</v>
      </c>
      <c r="CZ137" s="57">
        <v>1374.03</v>
      </c>
      <c r="DA137" s="58"/>
      <c r="DB137" s="59"/>
      <c r="DC137" s="27"/>
      <c r="DD137" s="51"/>
      <c r="DE137" s="52"/>
      <c r="DF137" s="52"/>
      <c r="DG137" s="53">
        <f t="shared" si="80"/>
        <v>0</v>
      </c>
      <c r="DI137" s="47">
        <v>46374</v>
      </c>
      <c r="DJ137" s="56">
        <v>2225.67</v>
      </c>
      <c r="DK137" s="63"/>
      <c r="DL137" s="58"/>
      <c r="DM137" s="62"/>
      <c r="DN137" s="27"/>
      <c r="DO137" s="51"/>
      <c r="DP137" s="52"/>
      <c r="DQ137" s="52"/>
      <c r="DR137" s="53">
        <f t="shared" si="81"/>
        <v>0</v>
      </c>
      <c r="DT137" s="47">
        <v>46374</v>
      </c>
      <c r="DU137" s="56">
        <v>2822.32</v>
      </c>
      <c r="DV137" s="57">
        <v>210.58</v>
      </c>
      <c r="DW137" s="58"/>
      <c r="DX137" s="62"/>
      <c r="DY137" s="27"/>
      <c r="DZ137" s="51"/>
      <c r="EA137" s="52"/>
      <c r="EB137" s="52"/>
      <c r="EC137" s="53">
        <f t="shared" si="82"/>
        <v>0</v>
      </c>
      <c r="EE137" s="47">
        <v>46374</v>
      </c>
      <c r="EF137" s="56">
        <v>6675.26</v>
      </c>
      <c r="EG137" s="57">
        <v>2111.38</v>
      </c>
      <c r="EH137" s="58"/>
      <c r="EI137" s="59">
        <v>157.16999999999999</v>
      </c>
      <c r="EJ137" s="27"/>
      <c r="EK137" s="51"/>
      <c r="EL137" s="52"/>
      <c r="EM137" s="52"/>
      <c r="EN137" s="53">
        <f t="shared" si="83"/>
        <v>157.16999999999999</v>
      </c>
      <c r="EP137" s="47">
        <v>46374</v>
      </c>
      <c r="EQ137" s="64">
        <v>749.29</v>
      </c>
      <c r="ER137" s="56">
        <v>588.58000000000004</v>
      </c>
      <c r="ES137" s="58"/>
      <c r="ET137" s="59"/>
      <c r="EV137" s="51"/>
      <c r="EW137" s="52"/>
      <c r="EX137" s="52"/>
      <c r="EY137" s="53">
        <f t="shared" si="84"/>
        <v>0</v>
      </c>
    </row>
    <row r="138" spans="2:155" hidden="1" x14ac:dyDescent="0.25">
      <c r="B138" s="47">
        <v>46375</v>
      </c>
      <c r="C138" s="48">
        <v>18071.900000000001</v>
      </c>
      <c r="D138" s="49">
        <v>2903.48</v>
      </c>
      <c r="E138" s="50">
        <v>4318.3</v>
      </c>
      <c r="F138" s="49">
        <v>350.6</v>
      </c>
      <c r="G138" s="50">
        <v>13.38</v>
      </c>
      <c r="H138" s="27"/>
      <c r="I138" s="51"/>
      <c r="J138" s="52"/>
      <c r="K138" s="52"/>
      <c r="L138" s="53">
        <f t="shared" si="71"/>
        <v>13.38</v>
      </c>
      <c r="N138" s="47">
        <v>46375</v>
      </c>
      <c r="O138" s="54">
        <v>1639.12</v>
      </c>
      <c r="P138" s="54">
        <v>499.76</v>
      </c>
      <c r="Q138" s="58"/>
      <c r="R138" s="55"/>
      <c r="S138" s="27"/>
      <c r="T138" s="51"/>
      <c r="U138" s="52"/>
      <c r="V138" s="52"/>
      <c r="W138" s="53">
        <f t="shared" si="72"/>
        <v>0</v>
      </c>
      <c r="Y138" s="47">
        <v>46375</v>
      </c>
      <c r="Z138" s="56">
        <v>6174.43</v>
      </c>
      <c r="AA138" s="57">
        <v>1502.04</v>
      </c>
      <c r="AB138" s="63"/>
      <c r="AC138" s="59">
        <v>131.61000000000001</v>
      </c>
      <c r="AD138" s="27"/>
      <c r="AE138" s="51"/>
      <c r="AF138" s="52"/>
      <c r="AG138" s="52"/>
      <c r="AH138" s="53">
        <f t="shared" si="73"/>
        <v>131.61000000000001</v>
      </c>
      <c r="AJ138" s="47">
        <v>46375</v>
      </c>
      <c r="AK138" s="56">
        <v>3142.93</v>
      </c>
      <c r="AL138" s="57">
        <v>543.41999999999996</v>
      </c>
      <c r="AM138" s="58"/>
      <c r="AN138" s="58"/>
      <c r="AO138" s="27"/>
      <c r="AP138" s="51"/>
      <c r="AQ138" s="52"/>
      <c r="AR138" s="52"/>
      <c r="AS138" s="53">
        <f t="shared" si="74"/>
        <v>0</v>
      </c>
      <c r="AU138" s="47">
        <v>46375</v>
      </c>
      <c r="AV138" s="57">
        <v>197.5</v>
      </c>
      <c r="AW138" s="57">
        <v>0</v>
      </c>
      <c r="AX138" s="58"/>
      <c r="AY138" s="59"/>
      <c r="AZ138" s="27"/>
      <c r="BA138" s="51"/>
      <c r="BB138" s="52"/>
      <c r="BC138" s="52"/>
      <c r="BD138" s="53">
        <f t="shared" si="75"/>
        <v>0</v>
      </c>
      <c r="BF138" s="47">
        <v>46375</v>
      </c>
      <c r="BG138" s="56">
        <v>4761.74</v>
      </c>
      <c r="BH138" s="57">
        <v>952.5</v>
      </c>
      <c r="BI138" s="58"/>
      <c r="BJ138" s="59"/>
      <c r="BK138" s="27"/>
      <c r="BL138" s="51"/>
      <c r="BM138" s="52"/>
      <c r="BN138" s="52"/>
      <c r="BO138" s="53">
        <f t="shared" si="76"/>
        <v>0</v>
      </c>
      <c r="BQ138" s="47">
        <v>46375</v>
      </c>
      <c r="BR138" s="57">
        <v>297.89999999999998</v>
      </c>
      <c r="BS138" s="57">
        <v>500.23</v>
      </c>
      <c r="BT138" s="58"/>
      <c r="BU138" s="61"/>
      <c r="BV138" s="27"/>
      <c r="BW138" s="51"/>
      <c r="BX138" s="52"/>
      <c r="BY138" s="52"/>
      <c r="BZ138" s="53">
        <f t="shared" si="77"/>
        <v>0</v>
      </c>
      <c r="CB138" s="47">
        <v>46375</v>
      </c>
      <c r="CC138" s="56">
        <v>24390.18</v>
      </c>
      <c r="CD138" s="57">
        <v>2605.71</v>
      </c>
      <c r="CE138" s="58"/>
      <c r="CF138" s="58"/>
      <c r="CG138" s="27"/>
      <c r="CH138" s="51"/>
      <c r="CI138" s="52"/>
      <c r="CJ138" s="52"/>
      <c r="CK138" s="53">
        <f t="shared" si="78"/>
        <v>0</v>
      </c>
      <c r="CM138" s="47">
        <v>46375</v>
      </c>
      <c r="CN138" s="56">
        <v>9617.94</v>
      </c>
      <c r="CO138" s="57">
        <v>2505.52</v>
      </c>
      <c r="CP138" s="58"/>
      <c r="CQ138" s="62"/>
      <c r="CR138" s="27"/>
      <c r="CS138" s="51"/>
      <c r="CT138" s="52"/>
      <c r="CU138" s="52"/>
      <c r="CV138" s="53">
        <f t="shared" si="79"/>
        <v>0</v>
      </c>
      <c r="CX138" s="47">
        <v>46375</v>
      </c>
      <c r="CY138" s="56">
        <v>3622.09</v>
      </c>
      <c r="CZ138" s="57">
        <v>1470.77</v>
      </c>
      <c r="DA138" s="58"/>
      <c r="DB138" s="59"/>
      <c r="DC138" s="27"/>
      <c r="DD138" s="51"/>
      <c r="DE138" s="52"/>
      <c r="DF138" s="52"/>
      <c r="DG138" s="53">
        <f t="shared" si="80"/>
        <v>0</v>
      </c>
      <c r="DI138" s="47">
        <v>46375</v>
      </c>
      <c r="DJ138" s="56">
        <v>1618.6</v>
      </c>
      <c r="DK138" s="63"/>
      <c r="DL138" s="58"/>
      <c r="DM138" s="62"/>
      <c r="DN138" s="27"/>
      <c r="DO138" s="51"/>
      <c r="DP138" s="52"/>
      <c r="DQ138" s="52"/>
      <c r="DR138" s="53">
        <f t="shared" si="81"/>
        <v>0</v>
      </c>
      <c r="DT138" s="47">
        <v>46375</v>
      </c>
      <c r="DU138" s="56">
        <v>2029.67</v>
      </c>
      <c r="DV138" s="57">
        <v>222.92</v>
      </c>
      <c r="DW138" s="58"/>
      <c r="DX138" s="62"/>
      <c r="DY138" s="27"/>
      <c r="DZ138" s="51"/>
      <c r="EA138" s="52"/>
      <c r="EB138" s="52"/>
      <c r="EC138" s="53">
        <f t="shared" si="82"/>
        <v>0</v>
      </c>
      <c r="EE138" s="47">
        <v>46375</v>
      </c>
      <c r="EF138" s="56">
        <v>5452.57</v>
      </c>
      <c r="EG138" s="57">
        <v>1778.13</v>
      </c>
      <c r="EH138" s="58"/>
      <c r="EI138" s="59">
        <v>134.91999999999999</v>
      </c>
      <c r="EJ138" s="27"/>
      <c r="EK138" s="51"/>
      <c r="EL138" s="52"/>
      <c r="EM138" s="52"/>
      <c r="EN138" s="53">
        <f t="shared" si="83"/>
        <v>134.91999999999999</v>
      </c>
      <c r="EP138" s="47">
        <v>46375</v>
      </c>
      <c r="EQ138" s="64">
        <v>371.1</v>
      </c>
      <c r="ER138" s="56">
        <v>372.54</v>
      </c>
      <c r="ES138" s="58"/>
      <c r="ET138" s="59"/>
      <c r="EV138" s="51"/>
      <c r="EW138" s="52"/>
      <c r="EX138" s="52"/>
      <c r="EY138" s="53">
        <f t="shared" si="84"/>
        <v>0</v>
      </c>
    </row>
    <row r="139" spans="2:155" hidden="1" x14ac:dyDescent="0.25">
      <c r="B139" s="47">
        <v>46376</v>
      </c>
      <c r="C139" s="48">
        <v>17767.05</v>
      </c>
      <c r="D139" s="49">
        <v>3370.24</v>
      </c>
      <c r="E139" s="50">
        <v>3339.32</v>
      </c>
      <c r="F139" s="49">
        <v>292.14</v>
      </c>
      <c r="G139" s="50">
        <v>11.68</v>
      </c>
      <c r="H139" s="27"/>
      <c r="I139" s="51"/>
      <c r="J139" s="52"/>
      <c r="K139" s="52"/>
      <c r="L139" s="53">
        <f t="shared" si="71"/>
        <v>11.68</v>
      </c>
      <c r="N139" s="47">
        <v>46376</v>
      </c>
      <c r="O139" s="54">
        <v>3494.25</v>
      </c>
      <c r="P139" s="54">
        <v>575.20000000000005</v>
      </c>
      <c r="Q139" s="58"/>
      <c r="R139" s="55"/>
      <c r="S139" s="27"/>
      <c r="T139" s="51"/>
      <c r="U139" s="52"/>
      <c r="V139" s="52"/>
      <c r="W139" s="53">
        <f t="shared" si="72"/>
        <v>0</v>
      </c>
      <c r="Y139" s="47">
        <v>46376</v>
      </c>
      <c r="Z139" s="56">
        <v>6190.09</v>
      </c>
      <c r="AA139" s="57">
        <v>1724.93</v>
      </c>
      <c r="AB139" s="63"/>
      <c r="AC139" s="59">
        <v>95.52</v>
      </c>
      <c r="AD139" s="27"/>
      <c r="AE139" s="51"/>
      <c r="AF139" s="52"/>
      <c r="AG139" s="52"/>
      <c r="AH139" s="53">
        <f t="shared" si="73"/>
        <v>95.52</v>
      </c>
      <c r="AJ139" s="47">
        <v>46376</v>
      </c>
      <c r="AK139" s="56">
        <v>2836.5</v>
      </c>
      <c r="AL139" s="57">
        <v>550.58000000000004</v>
      </c>
      <c r="AM139" s="58"/>
      <c r="AN139" s="58"/>
      <c r="AO139" s="27"/>
      <c r="AP139" s="51"/>
      <c r="AQ139" s="52"/>
      <c r="AR139" s="52"/>
      <c r="AS139" s="53">
        <f t="shared" si="74"/>
        <v>0</v>
      </c>
      <c r="AU139" s="47">
        <v>46376</v>
      </c>
      <c r="AV139" s="57">
        <v>554.1</v>
      </c>
      <c r="AW139" s="57">
        <v>0</v>
      </c>
      <c r="AX139" s="58"/>
      <c r="AY139" s="59"/>
      <c r="AZ139" s="27"/>
      <c r="BA139" s="51"/>
      <c r="BB139" s="52"/>
      <c r="BC139" s="52"/>
      <c r="BD139" s="53">
        <f t="shared" si="75"/>
        <v>0</v>
      </c>
      <c r="BF139" s="47">
        <v>46376</v>
      </c>
      <c r="BG139" s="56">
        <v>4120.97</v>
      </c>
      <c r="BH139" s="57">
        <v>815.03</v>
      </c>
      <c r="BI139" s="58"/>
      <c r="BJ139" s="59"/>
      <c r="BK139" s="27"/>
      <c r="BL139" s="51"/>
      <c r="BM139" s="52"/>
      <c r="BN139" s="52"/>
      <c r="BO139" s="53">
        <f t="shared" si="76"/>
        <v>0</v>
      </c>
      <c r="BQ139" s="47">
        <v>46376</v>
      </c>
      <c r="BR139" s="57">
        <v>358.02</v>
      </c>
      <c r="BS139" s="57">
        <v>410.2</v>
      </c>
      <c r="BT139" s="58"/>
      <c r="BU139" s="61"/>
      <c r="BV139" s="27"/>
      <c r="BW139" s="51"/>
      <c r="BX139" s="52"/>
      <c r="BY139" s="52"/>
      <c r="BZ139" s="53">
        <f t="shared" si="77"/>
        <v>0</v>
      </c>
      <c r="CB139" s="47">
        <v>46376</v>
      </c>
      <c r="CC139" s="56">
        <v>22542.29</v>
      </c>
      <c r="CD139" s="57">
        <v>2616.34</v>
      </c>
      <c r="CE139" s="58"/>
      <c r="CF139" s="58"/>
      <c r="CG139" s="27"/>
      <c r="CH139" s="51"/>
      <c r="CI139" s="52"/>
      <c r="CJ139" s="52"/>
      <c r="CK139" s="53">
        <f t="shared" si="78"/>
        <v>0</v>
      </c>
      <c r="CM139" s="47">
        <v>46376</v>
      </c>
      <c r="CN139" s="56">
        <v>11501.56</v>
      </c>
      <c r="CO139" s="57">
        <v>1684.96</v>
      </c>
      <c r="CP139" s="58"/>
      <c r="CQ139" s="62"/>
      <c r="CR139" s="27"/>
      <c r="CS139" s="51"/>
      <c r="CT139" s="52"/>
      <c r="CU139" s="52"/>
      <c r="CV139" s="53">
        <f t="shared" si="79"/>
        <v>0</v>
      </c>
      <c r="CX139" s="47">
        <v>46376</v>
      </c>
      <c r="CY139" s="56">
        <v>3661.43</v>
      </c>
      <c r="CZ139" s="57">
        <v>2081.5700000000002</v>
      </c>
      <c r="DA139" s="58"/>
      <c r="DB139" s="59"/>
      <c r="DC139" s="27"/>
      <c r="DD139" s="51"/>
      <c r="DE139" s="52"/>
      <c r="DF139" s="52"/>
      <c r="DG139" s="53">
        <f t="shared" si="80"/>
        <v>0</v>
      </c>
      <c r="DI139" s="47">
        <v>46376</v>
      </c>
      <c r="DJ139" s="56">
        <v>2138.94</v>
      </c>
      <c r="DK139" s="63"/>
      <c r="DL139" s="58"/>
      <c r="DM139" s="62"/>
      <c r="DN139" s="27"/>
      <c r="DO139" s="51"/>
      <c r="DP139" s="52"/>
      <c r="DQ139" s="52"/>
      <c r="DR139" s="53">
        <f t="shared" si="81"/>
        <v>0</v>
      </c>
      <c r="DT139" s="47">
        <v>46376</v>
      </c>
      <c r="DU139" s="56">
        <v>2196.96</v>
      </c>
      <c r="DV139" s="57">
        <v>278.3</v>
      </c>
      <c r="DW139" s="58"/>
      <c r="DX139" s="62"/>
      <c r="DY139" s="27"/>
      <c r="DZ139" s="51"/>
      <c r="EA139" s="52"/>
      <c r="EB139" s="52"/>
      <c r="EC139" s="53">
        <f t="shared" si="82"/>
        <v>0</v>
      </c>
      <c r="EE139" s="47">
        <v>46376</v>
      </c>
      <c r="EF139" s="56">
        <v>5442.52</v>
      </c>
      <c r="EG139" s="57">
        <v>2305.65</v>
      </c>
      <c r="EH139" s="58"/>
      <c r="EI139" s="59">
        <v>132.77000000000001</v>
      </c>
      <c r="EJ139" s="27"/>
      <c r="EK139" s="51"/>
      <c r="EL139" s="52"/>
      <c r="EM139" s="52"/>
      <c r="EN139" s="53">
        <f t="shared" si="83"/>
        <v>132.77000000000001</v>
      </c>
      <c r="EP139" s="47">
        <v>46376</v>
      </c>
      <c r="EQ139" s="64">
        <v>980.06</v>
      </c>
      <c r="ER139" s="56">
        <v>660.73</v>
      </c>
      <c r="ES139" s="58"/>
      <c r="ET139" s="59"/>
      <c r="EV139" s="51"/>
      <c r="EW139" s="52"/>
      <c r="EX139" s="52"/>
      <c r="EY139" s="53">
        <f t="shared" si="84"/>
        <v>0</v>
      </c>
    </row>
    <row r="140" spans="2:155" hidden="1" x14ac:dyDescent="0.25">
      <c r="B140" s="47">
        <v>46377</v>
      </c>
      <c r="C140" s="48">
        <v>18022.88</v>
      </c>
      <c r="D140" s="49">
        <v>2205.5700000000002</v>
      </c>
      <c r="E140" s="50">
        <v>2600.5100000000002</v>
      </c>
      <c r="F140" s="49">
        <v>266.89999999999998</v>
      </c>
      <c r="G140" s="50">
        <v>9.18</v>
      </c>
      <c r="H140" s="27"/>
      <c r="I140" s="51"/>
      <c r="J140" s="52"/>
      <c r="K140" s="52"/>
      <c r="L140" s="53">
        <f t="shared" si="71"/>
        <v>9.18</v>
      </c>
      <c r="N140" s="47">
        <v>46377</v>
      </c>
      <c r="O140" s="54">
        <v>2368.1999999999998</v>
      </c>
      <c r="P140" s="54">
        <v>748.83</v>
      </c>
      <c r="Q140" s="58"/>
      <c r="R140" s="55"/>
      <c r="S140" s="27"/>
      <c r="T140" s="51"/>
      <c r="U140" s="52"/>
      <c r="V140" s="52"/>
      <c r="W140" s="53">
        <f t="shared" si="72"/>
        <v>0</v>
      </c>
      <c r="Y140" s="47">
        <v>46377</v>
      </c>
      <c r="Z140" s="56">
        <v>3725.32</v>
      </c>
      <c r="AA140" s="57">
        <v>1281.5899999999999</v>
      </c>
      <c r="AB140" s="63"/>
      <c r="AC140" s="59">
        <v>33.53</v>
      </c>
      <c r="AD140" s="27"/>
      <c r="AE140" s="51"/>
      <c r="AF140" s="52"/>
      <c r="AG140" s="52"/>
      <c r="AH140" s="53">
        <f t="shared" si="73"/>
        <v>33.53</v>
      </c>
      <c r="AJ140" s="47">
        <v>46377</v>
      </c>
      <c r="AK140" s="56">
        <v>2381.9299999999998</v>
      </c>
      <c r="AL140" s="57">
        <v>700.95</v>
      </c>
      <c r="AM140" s="58"/>
      <c r="AN140" s="58"/>
      <c r="AO140" s="27"/>
      <c r="AP140" s="51"/>
      <c r="AQ140" s="52"/>
      <c r="AR140" s="52"/>
      <c r="AS140" s="53">
        <f t="shared" si="74"/>
        <v>0</v>
      </c>
      <c r="AU140" s="47">
        <v>46377</v>
      </c>
      <c r="AV140" s="57">
        <v>2062.7199999999998</v>
      </c>
      <c r="AW140" s="57">
        <v>59.7</v>
      </c>
      <c r="AX140" s="58"/>
      <c r="AY140" s="59"/>
      <c r="AZ140" s="27"/>
      <c r="BA140" s="51"/>
      <c r="BB140" s="52"/>
      <c r="BC140" s="52"/>
      <c r="BD140" s="53">
        <f t="shared" si="75"/>
        <v>0</v>
      </c>
      <c r="BF140" s="47">
        <v>46377</v>
      </c>
      <c r="BG140" s="56">
        <v>3932.53</v>
      </c>
      <c r="BH140" s="57">
        <v>408.41</v>
      </c>
      <c r="BI140" s="58"/>
      <c r="BJ140" s="59"/>
      <c r="BK140" s="27"/>
      <c r="BL140" s="51"/>
      <c r="BM140" s="52"/>
      <c r="BN140" s="52"/>
      <c r="BO140" s="53">
        <f t="shared" si="76"/>
        <v>0</v>
      </c>
      <c r="BQ140" s="47">
        <v>46377</v>
      </c>
      <c r="BR140" s="57">
        <v>144.06</v>
      </c>
      <c r="BS140" s="57">
        <v>291.02999999999997</v>
      </c>
      <c r="BT140" s="58"/>
      <c r="BU140" s="61"/>
      <c r="BV140" s="27"/>
      <c r="BW140" s="51"/>
      <c r="BX140" s="52"/>
      <c r="BY140" s="52"/>
      <c r="BZ140" s="53">
        <f t="shared" si="77"/>
        <v>0</v>
      </c>
      <c r="CB140" s="47">
        <v>46377</v>
      </c>
      <c r="CC140" s="56">
        <v>21391.03</v>
      </c>
      <c r="CD140" s="57">
        <v>2396.8200000000002</v>
      </c>
      <c r="CE140" s="58"/>
      <c r="CF140" s="58"/>
      <c r="CG140" s="27"/>
      <c r="CH140" s="51"/>
      <c r="CI140" s="52"/>
      <c r="CJ140" s="52"/>
      <c r="CK140" s="53">
        <f t="shared" si="78"/>
        <v>0</v>
      </c>
      <c r="CM140" s="47">
        <v>46377</v>
      </c>
      <c r="CN140" s="56">
        <v>7989.84</v>
      </c>
      <c r="CO140" s="57">
        <v>1576.21</v>
      </c>
      <c r="CP140" s="58"/>
      <c r="CQ140" s="62"/>
      <c r="CR140" s="27"/>
      <c r="CS140" s="51"/>
      <c r="CT140" s="52"/>
      <c r="CU140" s="52"/>
      <c r="CV140" s="53">
        <f t="shared" si="79"/>
        <v>0</v>
      </c>
      <c r="CX140" s="47">
        <v>46377</v>
      </c>
      <c r="CY140" s="56">
        <v>6605.97</v>
      </c>
      <c r="CZ140" s="57">
        <v>2171.36</v>
      </c>
      <c r="DA140" s="58"/>
      <c r="DB140" s="59"/>
      <c r="DC140" s="27"/>
      <c r="DD140" s="51"/>
      <c r="DE140" s="52"/>
      <c r="DF140" s="52"/>
      <c r="DG140" s="53">
        <f t="shared" si="80"/>
        <v>0</v>
      </c>
      <c r="DI140" s="47">
        <v>46377</v>
      </c>
      <c r="DJ140" s="56">
        <v>1540.87</v>
      </c>
      <c r="DK140" s="63"/>
      <c r="DL140" s="58"/>
      <c r="DM140" s="62"/>
      <c r="DN140" s="27"/>
      <c r="DO140" s="51"/>
      <c r="DP140" s="52"/>
      <c r="DQ140" s="52"/>
      <c r="DR140" s="53">
        <f t="shared" si="81"/>
        <v>0</v>
      </c>
      <c r="DT140" s="47">
        <v>46377</v>
      </c>
      <c r="DU140" s="56">
        <v>1228.81</v>
      </c>
      <c r="DV140" s="57">
        <v>446.41</v>
      </c>
      <c r="DW140" s="58"/>
      <c r="DX140" s="62"/>
      <c r="DY140" s="27"/>
      <c r="DZ140" s="51"/>
      <c r="EA140" s="52"/>
      <c r="EB140" s="52"/>
      <c r="EC140" s="53">
        <f t="shared" si="82"/>
        <v>0</v>
      </c>
      <c r="EE140" s="47">
        <v>46377</v>
      </c>
      <c r="EF140" s="56">
        <v>5024.1099999999997</v>
      </c>
      <c r="EG140" s="57">
        <v>1846.75</v>
      </c>
      <c r="EH140" s="58"/>
      <c r="EI140" s="59">
        <v>154.52000000000001</v>
      </c>
      <c r="EJ140" s="27"/>
      <c r="EK140" s="51"/>
      <c r="EL140" s="52"/>
      <c r="EM140" s="52"/>
      <c r="EN140" s="53">
        <f t="shared" si="83"/>
        <v>154.52000000000001</v>
      </c>
      <c r="EP140" s="47">
        <v>46377</v>
      </c>
      <c r="EQ140" s="64">
        <v>732.41</v>
      </c>
      <c r="ER140" s="56">
        <v>595.02</v>
      </c>
      <c r="ES140" s="58"/>
      <c r="ET140" s="59"/>
      <c r="EV140" s="51"/>
      <c r="EW140" s="52"/>
      <c r="EX140" s="52"/>
      <c r="EY140" s="53">
        <f t="shared" si="84"/>
        <v>0</v>
      </c>
    </row>
    <row r="141" spans="2:155" hidden="1" x14ac:dyDescent="0.25">
      <c r="B141" s="47">
        <v>46378</v>
      </c>
      <c r="C141" s="48">
        <v>18120.88</v>
      </c>
      <c r="D141" s="49">
        <v>3379.75</v>
      </c>
      <c r="E141" s="50">
        <v>4522.5</v>
      </c>
      <c r="F141" s="49">
        <v>413.32</v>
      </c>
      <c r="G141" s="50">
        <v>11.45</v>
      </c>
      <c r="H141" s="27"/>
      <c r="I141" s="51"/>
      <c r="J141" s="52"/>
      <c r="K141" s="52"/>
      <c r="L141" s="53">
        <f t="shared" si="71"/>
        <v>11.45</v>
      </c>
      <c r="N141" s="47">
        <v>46378</v>
      </c>
      <c r="O141" s="54">
        <v>2903.99</v>
      </c>
      <c r="P141" s="54">
        <v>742.68</v>
      </c>
      <c r="Q141" s="70"/>
      <c r="R141" s="55"/>
      <c r="S141" s="27"/>
      <c r="T141" s="51"/>
      <c r="U141" s="52"/>
      <c r="V141" s="52"/>
      <c r="W141" s="53">
        <f t="shared" si="72"/>
        <v>0</v>
      </c>
      <c r="Y141" s="47">
        <v>46378</v>
      </c>
      <c r="Z141" s="56">
        <v>4287.18</v>
      </c>
      <c r="AA141" s="57">
        <v>1169.74</v>
      </c>
      <c r="AB141" s="104"/>
      <c r="AC141" s="59">
        <v>91.45</v>
      </c>
      <c r="AD141" s="27"/>
      <c r="AE141" s="51"/>
      <c r="AF141" s="52"/>
      <c r="AG141" s="52"/>
      <c r="AH141" s="53">
        <f t="shared" si="73"/>
        <v>91.45</v>
      </c>
      <c r="AJ141" s="47">
        <v>46378</v>
      </c>
      <c r="AK141" s="56">
        <v>2414.77</v>
      </c>
      <c r="AL141" s="57">
        <v>328.3</v>
      </c>
      <c r="AM141" s="70"/>
      <c r="AN141" s="58"/>
      <c r="AO141" s="27"/>
      <c r="AP141" s="51"/>
      <c r="AQ141" s="52"/>
      <c r="AR141" s="52"/>
      <c r="AS141" s="53">
        <f t="shared" si="74"/>
        <v>0</v>
      </c>
      <c r="AU141" s="47">
        <v>46378</v>
      </c>
      <c r="AV141" s="57">
        <v>864.1</v>
      </c>
      <c r="AW141" s="57">
        <v>30.13</v>
      </c>
      <c r="AX141" s="70"/>
      <c r="AY141" s="59">
        <v>480.25</v>
      </c>
      <c r="AZ141" s="27"/>
      <c r="BA141" s="51"/>
      <c r="BB141" s="52"/>
      <c r="BC141" s="52"/>
      <c r="BD141" s="53">
        <f t="shared" si="75"/>
        <v>480.25</v>
      </c>
      <c r="BF141" s="47">
        <v>46378</v>
      </c>
      <c r="BG141" s="56">
        <v>3387.98</v>
      </c>
      <c r="BH141" s="57">
        <v>600.98</v>
      </c>
      <c r="BI141" s="70"/>
      <c r="BJ141" s="59">
        <v>23.52</v>
      </c>
      <c r="BK141" s="27"/>
      <c r="BL141" s="51"/>
      <c r="BM141" s="52"/>
      <c r="BN141" s="52"/>
      <c r="BO141" s="53">
        <f t="shared" si="76"/>
        <v>23.52</v>
      </c>
      <c r="BQ141" s="47">
        <v>46378</v>
      </c>
      <c r="BR141" s="57">
        <v>320.02</v>
      </c>
      <c r="BS141" s="57">
        <v>660.72</v>
      </c>
      <c r="BT141" s="70"/>
      <c r="BU141" s="61">
        <v>30</v>
      </c>
      <c r="BV141" s="27"/>
      <c r="BW141" s="51"/>
      <c r="BX141" s="52"/>
      <c r="BY141" s="52"/>
      <c r="BZ141" s="53">
        <f t="shared" si="77"/>
        <v>30</v>
      </c>
      <c r="CB141" s="47">
        <v>46378</v>
      </c>
      <c r="CC141" s="56">
        <v>19340.54</v>
      </c>
      <c r="CD141" s="57">
        <v>2431.61</v>
      </c>
      <c r="CE141" s="70"/>
      <c r="CF141" s="58"/>
      <c r="CG141" s="27"/>
      <c r="CH141" s="51"/>
      <c r="CI141" s="52"/>
      <c r="CJ141" s="52"/>
      <c r="CK141" s="53">
        <f t="shared" si="78"/>
        <v>0</v>
      </c>
      <c r="CM141" s="47">
        <v>46378</v>
      </c>
      <c r="CN141" s="56">
        <v>10355.049999999999</v>
      </c>
      <c r="CO141" s="57">
        <v>1586.68</v>
      </c>
      <c r="CP141" s="70"/>
      <c r="CQ141" s="62"/>
      <c r="CR141" s="27"/>
      <c r="CS141" s="51"/>
      <c r="CT141" s="52"/>
      <c r="CU141" s="52"/>
      <c r="CV141" s="53">
        <f t="shared" si="79"/>
        <v>0</v>
      </c>
      <c r="CX141" s="47">
        <v>46378</v>
      </c>
      <c r="CY141" s="56">
        <v>7938.94</v>
      </c>
      <c r="CZ141" s="57">
        <v>1328.92</v>
      </c>
      <c r="DA141" s="70"/>
      <c r="DB141" s="59"/>
      <c r="DC141" s="27"/>
      <c r="DD141" s="51"/>
      <c r="DE141" s="52"/>
      <c r="DF141" s="52"/>
      <c r="DG141" s="53">
        <f t="shared" si="80"/>
        <v>0</v>
      </c>
      <c r="DI141" s="47">
        <v>46378</v>
      </c>
      <c r="DJ141" s="56">
        <v>2828.15</v>
      </c>
      <c r="DK141" s="71"/>
      <c r="DL141" s="70"/>
      <c r="DM141" s="62"/>
      <c r="DN141" s="27"/>
      <c r="DO141" s="51"/>
      <c r="DP141" s="52"/>
      <c r="DQ141" s="52"/>
      <c r="DR141" s="53">
        <f t="shared" si="81"/>
        <v>0</v>
      </c>
      <c r="DT141" s="47">
        <v>46378</v>
      </c>
      <c r="DU141" s="56">
        <v>1589.51</v>
      </c>
      <c r="DV141" s="57">
        <v>347.58</v>
      </c>
      <c r="DW141" s="70"/>
      <c r="DX141" s="62"/>
      <c r="DY141" s="27"/>
      <c r="DZ141" s="51"/>
      <c r="EA141" s="52"/>
      <c r="EB141" s="52"/>
      <c r="EC141" s="53">
        <f t="shared" si="82"/>
        <v>0</v>
      </c>
      <c r="EE141" s="47">
        <v>46378</v>
      </c>
      <c r="EF141" s="56">
        <v>5780.11</v>
      </c>
      <c r="EG141" s="57">
        <v>1723.82</v>
      </c>
      <c r="EH141" s="70"/>
      <c r="EI141" s="59">
        <v>160.19999999999999</v>
      </c>
      <c r="EJ141" s="27"/>
      <c r="EK141" s="51"/>
      <c r="EL141" s="52"/>
      <c r="EM141" s="52"/>
      <c r="EN141" s="53">
        <f t="shared" si="83"/>
        <v>160.19999999999999</v>
      </c>
      <c r="EP141" s="47">
        <v>46378</v>
      </c>
      <c r="EQ141" s="64">
        <v>1071.48</v>
      </c>
      <c r="ER141" s="56">
        <v>357.61</v>
      </c>
      <c r="ES141" s="70"/>
      <c r="ET141" s="59"/>
      <c r="EV141" s="51"/>
      <c r="EW141" s="52"/>
      <c r="EX141" s="52"/>
      <c r="EY141" s="53">
        <f t="shared" si="84"/>
        <v>0</v>
      </c>
    </row>
    <row r="142" spans="2:155" hidden="1" x14ac:dyDescent="0.25">
      <c r="B142" s="47">
        <v>46379</v>
      </c>
      <c r="C142" s="48">
        <v>18248.12</v>
      </c>
      <c r="D142" s="49">
        <v>3413.65</v>
      </c>
      <c r="E142" s="50">
        <v>2887.02</v>
      </c>
      <c r="F142" s="49">
        <v>422.16</v>
      </c>
      <c r="G142" s="50">
        <v>11.83</v>
      </c>
      <c r="H142" s="27"/>
      <c r="I142" s="51"/>
      <c r="J142" s="52"/>
      <c r="K142" s="52"/>
      <c r="L142" s="53">
        <f t="shared" si="71"/>
        <v>11.83</v>
      </c>
      <c r="N142" s="47">
        <v>46379</v>
      </c>
      <c r="O142" s="54">
        <v>3497.84</v>
      </c>
      <c r="P142" s="54">
        <v>887.02</v>
      </c>
      <c r="Q142" s="70"/>
      <c r="R142" s="55"/>
      <c r="S142" s="27"/>
      <c r="T142" s="51"/>
      <c r="U142" s="52"/>
      <c r="V142" s="52"/>
      <c r="W142" s="53">
        <f t="shared" si="72"/>
        <v>0</v>
      </c>
      <c r="Y142" s="47">
        <v>46379</v>
      </c>
      <c r="Z142" s="56">
        <v>4217.6099999999997</v>
      </c>
      <c r="AA142" s="57">
        <v>1270.72</v>
      </c>
      <c r="AB142" s="104"/>
      <c r="AC142" s="59">
        <v>176.41</v>
      </c>
      <c r="AD142" s="27"/>
      <c r="AE142" s="51"/>
      <c r="AF142" s="52"/>
      <c r="AG142" s="52"/>
      <c r="AH142" s="53">
        <f t="shared" si="73"/>
        <v>176.41</v>
      </c>
      <c r="AJ142" s="47">
        <v>46379</v>
      </c>
      <c r="AK142" s="56">
        <v>2206.86</v>
      </c>
      <c r="AL142" s="57">
        <v>483.9</v>
      </c>
      <c r="AM142" s="70"/>
      <c r="AN142" s="58"/>
      <c r="AO142" s="27"/>
      <c r="AP142" s="51"/>
      <c r="AQ142" s="52"/>
      <c r="AR142" s="52"/>
      <c r="AS142" s="53">
        <f t="shared" si="74"/>
        <v>0</v>
      </c>
      <c r="AU142" s="47">
        <v>46379</v>
      </c>
      <c r="AV142" s="57">
        <v>725.07</v>
      </c>
      <c r="AW142" s="57">
        <v>0</v>
      </c>
      <c r="AX142" s="70"/>
      <c r="AY142" s="59">
        <v>50.4</v>
      </c>
      <c r="AZ142" s="27"/>
      <c r="BA142" s="51"/>
      <c r="BB142" s="52"/>
      <c r="BC142" s="52"/>
      <c r="BD142" s="53">
        <f t="shared" si="75"/>
        <v>50.4</v>
      </c>
      <c r="BF142" s="47">
        <v>46379</v>
      </c>
      <c r="BG142" s="56">
        <v>4264.74</v>
      </c>
      <c r="BH142" s="57">
        <v>781.45</v>
      </c>
      <c r="BI142" s="70"/>
      <c r="BJ142" s="59">
        <v>10.96</v>
      </c>
      <c r="BK142" s="27"/>
      <c r="BL142" s="51"/>
      <c r="BM142" s="52"/>
      <c r="BN142" s="52"/>
      <c r="BO142" s="53">
        <f t="shared" si="76"/>
        <v>10.96</v>
      </c>
      <c r="BQ142" s="47">
        <v>46379</v>
      </c>
      <c r="BR142" s="57">
        <v>520.55999999999995</v>
      </c>
      <c r="BS142" s="57">
        <v>439.52</v>
      </c>
      <c r="BT142" s="70"/>
      <c r="BU142" s="61"/>
      <c r="BV142" s="27"/>
      <c r="BW142" s="51"/>
      <c r="BX142" s="52"/>
      <c r="BY142" s="52"/>
      <c r="BZ142" s="53">
        <f t="shared" si="77"/>
        <v>0</v>
      </c>
      <c r="CB142" s="47">
        <v>46379</v>
      </c>
      <c r="CC142" s="56">
        <v>19693.759999999998</v>
      </c>
      <c r="CD142" s="57">
        <v>1941.95</v>
      </c>
      <c r="CE142" s="70"/>
      <c r="CF142" s="58"/>
      <c r="CG142" s="27"/>
      <c r="CH142" s="51"/>
      <c r="CI142" s="52"/>
      <c r="CJ142" s="52"/>
      <c r="CK142" s="53">
        <f t="shared" si="78"/>
        <v>0</v>
      </c>
      <c r="CM142" s="47">
        <v>46379</v>
      </c>
      <c r="CN142" s="56">
        <v>12190.34</v>
      </c>
      <c r="CO142" s="57">
        <v>1748.95</v>
      </c>
      <c r="CP142" s="70"/>
      <c r="CQ142" s="62"/>
      <c r="CR142" s="27"/>
      <c r="CS142" s="51"/>
      <c r="CT142" s="52"/>
      <c r="CU142" s="52"/>
      <c r="CV142" s="53">
        <f t="shared" si="79"/>
        <v>0</v>
      </c>
      <c r="CX142" s="47">
        <v>46379</v>
      </c>
      <c r="CY142" s="56">
        <v>7056.82</v>
      </c>
      <c r="CZ142" s="57">
        <v>3166.76</v>
      </c>
      <c r="DA142" s="70"/>
      <c r="DB142" s="59"/>
      <c r="DC142" s="27"/>
      <c r="DD142" s="51"/>
      <c r="DE142" s="52"/>
      <c r="DF142" s="52"/>
      <c r="DG142" s="53">
        <f t="shared" si="80"/>
        <v>0</v>
      </c>
      <c r="DI142" s="47">
        <v>46379</v>
      </c>
      <c r="DJ142" s="56">
        <v>2282.0500000000002</v>
      </c>
      <c r="DK142" s="71"/>
      <c r="DL142" s="70"/>
      <c r="DM142" s="62"/>
      <c r="DN142" s="27"/>
      <c r="DO142" s="51"/>
      <c r="DP142" s="52"/>
      <c r="DQ142" s="52"/>
      <c r="DR142" s="53">
        <f t="shared" si="81"/>
        <v>0</v>
      </c>
      <c r="DT142" s="47">
        <v>46379</v>
      </c>
      <c r="DU142" s="56">
        <v>1136.03</v>
      </c>
      <c r="DV142" s="57">
        <v>366.2</v>
      </c>
      <c r="DW142" s="70"/>
      <c r="DX142" s="62"/>
      <c r="DY142" s="27"/>
      <c r="DZ142" s="51"/>
      <c r="EA142" s="52"/>
      <c r="EB142" s="52"/>
      <c r="EC142" s="53">
        <f t="shared" si="82"/>
        <v>0</v>
      </c>
      <c r="EE142" s="47">
        <v>46379</v>
      </c>
      <c r="EF142" s="56">
        <v>7727.47</v>
      </c>
      <c r="EG142" s="57">
        <v>1989.26</v>
      </c>
      <c r="EH142" s="70"/>
      <c r="EI142" s="59">
        <v>101.17</v>
      </c>
      <c r="EJ142" s="27"/>
      <c r="EK142" s="51"/>
      <c r="EL142" s="52"/>
      <c r="EM142" s="52"/>
      <c r="EN142" s="53">
        <f t="shared" si="83"/>
        <v>101.17</v>
      </c>
      <c r="EP142" s="47">
        <v>46379</v>
      </c>
      <c r="EQ142" s="64">
        <v>706.2</v>
      </c>
      <c r="ER142" s="56">
        <v>470.28</v>
      </c>
      <c r="ES142" s="70"/>
      <c r="ET142" s="59"/>
      <c r="EV142" s="51"/>
      <c r="EW142" s="52"/>
      <c r="EX142" s="52"/>
      <c r="EY142" s="53">
        <f t="shared" si="84"/>
        <v>0</v>
      </c>
    </row>
    <row r="143" spans="2:155" hidden="1" x14ac:dyDescent="0.25">
      <c r="B143" s="47">
        <v>46380</v>
      </c>
      <c r="C143" s="48">
        <v>14651.91</v>
      </c>
      <c r="D143" s="49">
        <v>2691.38</v>
      </c>
      <c r="E143" s="50">
        <v>2496</v>
      </c>
      <c r="F143" s="49">
        <v>418.04</v>
      </c>
      <c r="G143" s="50">
        <v>13.31</v>
      </c>
      <c r="H143" s="27"/>
      <c r="I143" s="51"/>
      <c r="J143" s="52"/>
      <c r="K143" s="52"/>
      <c r="L143" s="53">
        <f t="shared" si="71"/>
        <v>13.31</v>
      </c>
      <c r="N143" s="47">
        <v>46380</v>
      </c>
      <c r="O143" s="54">
        <v>1639.43</v>
      </c>
      <c r="P143" s="54">
        <v>604.71</v>
      </c>
      <c r="Q143" s="70"/>
      <c r="R143" s="55"/>
      <c r="S143" s="27"/>
      <c r="T143" s="51"/>
      <c r="U143" s="52"/>
      <c r="V143" s="52"/>
      <c r="W143" s="53">
        <f t="shared" si="72"/>
        <v>0</v>
      </c>
      <c r="Y143" s="47">
        <v>46380</v>
      </c>
      <c r="Z143" s="56">
        <v>5821.87</v>
      </c>
      <c r="AA143" s="57">
        <v>1589.87</v>
      </c>
      <c r="AB143" s="104"/>
      <c r="AC143" s="59">
        <v>26.12</v>
      </c>
      <c r="AD143" s="27"/>
      <c r="AE143" s="51"/>
      <c r="AF143" s="52"/>
      <c r="AG143" s="52"/>
      <c r="AH143" s="53">
        <f t="shared" si="73"/>
        <v>26.12</v>
      </c>
      <c r="AJ143" s="47">
        <v>46380</v>
      </c>
      <c r="AK143" s="56">
        <v>4285.8999999999996</v>
      </c>
      <c r="AL143" s="57">
        <v>517.78</v>
      </c>
      <c r="AM143" s="70"/>
      <c r="AN143" s="58"/>
      <c r="AO143" s="27"/>
      <c r="AP143" s="51"/>
      <c r="AQ143" s="52"/>
      <c r="AR143" s="52"/>
      <c r="AS143" s="53">
        <f t="shared" si="74"/>
        <v>0</v>
      </c>
      <c r="AU143" s="47">
        <v>46380</v>
      </c>
      <c r="AV143" s="57">
        <v>246</v>
      </c>
      <c r="AW143" s="57">
        <v>20</v>
      </c>
      <c r="AX143" s="70"/>
      <c r="AY143" s="59"/>
      <c r="AZ143" s="27"/>
      <c r="BA143" s="51"/>
      <c r="BB143" s="52"/>
      <c r="BC143" s="52"/>
      <c r="BD143" s="53">
        <f t="shared" si="75"/>
        <v>0</v>
      </c>
      <c r="BF143" s="47">
        <v>46380</v>
      </c>
      <c r="BG143" s="56">
        <v>5209.8</v>
      </c>
      <c r="BH143" s="57">
        <v>762.85</v>
      </c>
      <c r="BI143" s="70"/>
      <c r="BJ143" s="59">
        <v>20.28</v>
      </c>
      <c r="BK143" s="27"/>
      <c r="BL143" s="51"/>
      <c r="BM143" s="52"/>
      <c r="BN143" s="52"/>
      <c r="BO143" s="53">
        <f t="shared" si="76"/>
        <v>20.28</v>
      </c>
      <c r="BQ143" s="47">
        <v>46380</v>
      </c>
      <c r="BR143" s="57">
        <v>281.02999999999997</v>
      </c>
      <c r="BS143" s="57">
        <v>673.99</v>
      </c>
      <c r="BT143" s="70"/>
      <c r="BU143" s="61"/>
      <c r="BV143" s="27"/>
      <c r="BW143" s="51"/>
      <c r="BX143" s="52"/>
      <c r="BY143" s="52"/>
      <c r="BZ143" s="53">
        <f t="shared" si="77"/>
        <v>0</v>
      </c>
      <c r="CB143" s="47">
        <v>46380</v>
      </c>
      <c r="CC143" s="56">
        <v>17816</v>
      </c>
      <c r="CD143" s="57">
        <v>1908.43</v>
      </c>
      <c r="CE143" s="70"/>
      <c r="CF143" s="58"/>
      <c r="CG143" s="27"/>
      <c r="CH143" s="51"/>
      <c r="CI143" s="52"/>
      <c r="CJ143" s="52"/>
      <c r="CK143" s="53">
        <f t="shared" si="78"/>
        <v>0</v>
      </c>
      <c r="CM143" s="47">
        <v>46380</v>
      </c>
      <c r="CN143" s="56">
        <v>8946.02</v>
      </c>
      <c r="CO143" s="57">
        <v>1464.39</v>
      </c>
      <c r="CP143" s="70"/>
      <c r="CQ143" s="62"/>
      <c r="CR143" s="27"/>
      <c r="CS143" s="51"/>
      <c r="CT143" s="52"/>
      <c r="CU143" s="52"/>
      <c r="CV143" s="53">
        <f t="shared" si="79"/>
        <v>0</v>
      </c>
      <c r="CX143" s="47">
        <v>46380</v>
      </c>
      <c r="CY143" s="56">
        <v>3050.13</v>
      </c>
      <c r="CZ143" s="57">
        <v>1572.6</v>
      </c>
      <c r="DA143" s="70"/>
      <c r="DB143" s="59"/>
      <c r="DC143" s="27"/>
      <c r="DD143" s="51"/>
      <c r="DE143" s="52"/>
      <c r="DF143" s="52"/>
      <c r="DG143" s="53">
        <f t="shared" si="80"/>
        <v>0</v>
      </c>
      <c r="DI143" s="47">
        <v>46380</v>
      </c>
      <c r="DJ143" s="56">
        <v>1925.78</v>
      </c>
      <c r="DK143" s="71"/>
      <c r="DL143" s="70"/>
      <c r="DM143" s="62"/>
      <c r="DN143" s="27"/>
      <c r="DO143" s="51"/>
      <c r="DP143" s="52"/>
      <c r="DQ143" s="52"/>
      <c r="DR143" s="53">
        <f t="shared" si="81"/>
        <v>0</v>
      </c>
      <c r="DT143" s="47">
        <v>46380</v>
      </c>
      <c r="DU143" s="56">
        <v>1716.66</v>
      </c>
      <c r="DV143" s="57">
        <v>347.9</v>
      </c>
      <c r="DW143" s="70"/>
      <c r="DX143" s="62"/>
      <c r="DY143" s="27"/>
      <c r="DZ143" s="51"/>
      <c r="EA143" s="52"/>
      <c r="EB143" s="52"/>
      <c r="EC143" s="53">
        <f t="shared" si="82"/>
        <v>0</v>
      </c>
      <c r="EE143" s="47">
        <v>46380</v>
      </c>
      <c r="EF143" s="56">
        <v>5033.68</v>
      </c>
      <c r="EG143" s="57">
        <v>1785.11</v>
      </c>
      <c r="EH143" s="70"/>
      <c r="EI143" s="59">
        <v>113.29</v>
      </c>
      <c r="EJ143" s="27"/>
      <c r="EK143" s="51"/>
      <c r="EL143" s="52"/>
      <c r="EM143" s="52"/>
      <c r="EN143" s="53">
        <f t="shared" si="83"/>
        <v>113.29</v>
      </c>
      <c r="EP143" s="47">
        <v>46380</v>
      </c>
      <c r="EQ143" s="64">
        <v>592.02</v>
      </c>
      <c r="ER143" s="56">
        <v>601.59</v>
      </c>
      <c r="ES143" s="70"/>
      <c r="ET143" s="59"/>
      <c r="EV143" s="51"/>
      <c r="EW143" s="52"/>
      <c r="EX143" s="52"/>
      <c r="EY143" s="53">
        <f t="shared" si="84"/>
        <v>0</v>
      </c>
    </row>
    <row r="144" spans="2:155" hidden="1" x14ac:dyDescent="0.25">
      <c r="B144" s="47">
        <v>46381</v>
      </c>
      <c r="C144" s="48">
        <v>10642.86</v>
      </c>
      <c r="D144" s="49">
        <v>1865</v>
      </c>
      <c r="E144" s="50">
        <v>1078.6199999999999</v>
      </c>
      <c r="F144" s="49">
        <v>307.93</v>
      </c>
      <c r="G144" s="50">
        <v>3.75</v>
      </c>
      <c r="H144" s="27"/>
      <c r="I144" s="51"/>
      <c r="J144" s="52"/>
      <c r="K144" s="52"/>
      <c r="L144" s="53">
        <f t="shared" si="71"/>
        <v>3.75</v>
      </c>
      <c r="N144" s="47">
        <v>46381</v>
      </c>
      <c r="O144" s="54">
        <v>1748.52</v>
      </c>
      <c r="P144" s="54">
        <v>447.27</v>
      </c>
      <c r="Q144" s="70"/>
      <c r="R144" s="69"/>
      <c r="S144" s="27"/>
      <c r="T144" s="51"/>
      <c r="U144" s="52"/>
      <c r="V144" s="52"/>
      <c r="W144" s="53">
        <f t="shared" si="72"/>
        <v>0</v>
      </c>
      <c r="Y144" s="47">
        <v>46381</v>
      </c>
      <c r="Z144" s="56">
        <v>2635.62</v>
      </c>
      <c r="AA144" s="57">
        <v>797.1</v>
      </c>
      <c r="AB144" s="104"/>
      <c r="AC144" s="59">
        <v>83.78</v>
      </c>
      <c r="AD144" s="27"/>
      <c r="AE144" s="51"/>
      <c r="AF144" s="52"/>
      <c r="AG144" s="52"/>
      <c r="AH144" s="53">
        <f t="shared" si="73"/>
        <v>83.78</v>
      </c>
      <c r="AJ144" s="47">
        <v>46381</v>
      </c>
      <c r="AK144" s="56">
        <v>3396.79</v>
      </c>
      <c r="AL144" s="57">
        <v>267.77999999999997</v>
      </c>
      <c r="AM144" s="70"/>
      <c r="AN144" s="58"/>
      <c r="AO144" s="27"/>
      <c r="AP144" s="51"/>
      <c r="AQ144" s="52"/>
      <c r="AR144" s="52"/>
      <c r="AS144" s="53">
        <f t="shared" si="74"/>
        <v>0</v>
      </c>
      <c r="AU144" s="47">
        <v>46381</v>
      </c>
      <c r="AV144" s="57">
        <v>281.52</v>
      </c>
      <c r="AW144" s="57">
        <v>30</v>
      </c>
      <c r="AX144" s="70"/>
      <c r="AY144" s="59"/>
      <c r="AZ144" s="27"/>
      <c r="BA144" s="51"/>
      <c r="BB144" s="52"/>
      <c r="BC144" s="52"/>
      <c r="BD144" s="53">
        <f t="shared" si="75"/>
        <v>0</v>
      </c>
      <c r="BF144" s="47">
        <v>46381</v>
      </c>
      <c r="BG144" s="56">
        <v>2975.29</v>
      </c>
      <c r="BH144" s="57">
        <v>591.26</v>
      </c>
      <c r="BI144" s="70"/>
      <c r="BJ144" s="59"/>
      <c r="BK144" s="27"/>
      <c r="BL144" s="51"/>
      <c r="BM144" s="52"/>
      <c r="BN144" s="52"/>
      <c r="BO144" s="53">
        <f t="shared" si="76"/>
        <v>0</v>
      </c>
      <c r="BQ144" s="47">
        <v>46381</v>
      </c>
      <c r="BR144" s="57">
        <v>200</v>
      </c>
      <c r="BS144" s="57">
        <v>425.19</v>
      </c>
      <c r="BT144" s="70"/>
      <c r="BU144" s="61"/>
      <c r="BV144" s="27"/>
      <c r="BW144" s="51"/>
      <c r="BX144" s="52"/>
      <c r="BY144" s="52"/>
      <c r="BZ144" s="53">
        <f t="shared" si="77"/>
        <v>0</v>
      </c>
      <c r="CB144" s="47">
        <v>46381</v>
      </c>
      <c r="CC144" s="56">
        <v>13651.69</v>
      </c>
      <c r="CD144" s="57">
        <v>1526.6</v>
      </c>
      <c r="CE144" s="70"/>
      <c r="CF144" s="58"/>
      <c r="CG144" s="27"/>
      <c r="CH144" s="51"/>
      <c r="CI144" s="52"/>
      <c r="CJ144" s="52"/>
      <c r="CK144" s="53">
        <f t="shared" si="78"/>
        <v>0</v>
      </c>
      <c r="CM144" s="47">
        <v>46381</v>
      </c>
      <c r="CN144" s="56">
        <v>2267.71</v>
      </c>
      <c r="CO144" s="57">
        <v>540.96</v>
      </c>
      <c r="CP144" s="70"/>
      <c r="CQ144" s="62"/>
      <c r="CR144" s="27"/>
      <c r="CS144" s="51"/>
      <c r="CT144" s="52"/>
      <c r="CU144" s="52"/>
      <c r="CV144" s="53">
        <f t="shared" si="79"/>
        <v>0</v>
      </c>
      <c r="CX144" s="47">
        <v>46381</v>
      </c>
      <c r="CY144" s="56">
        <v>4124.22</v>
      </c>
      <c r="CZ144" s="57">
        <v>874.12</v>
      </c>
      <c r="DA144" s="70"/>
      <c r="DB144" s="59"/>
      <c r="DC144" s="27"/>
      <c r="DD144" s="51"/>
      <c r="DE144" s="52"/>
      <c r="DF144" s="52"/>
      <c r="DG144" s="53">
        <f t="shared" si="80"/>
        <v>0</v>
      </c>
      <c r="DI144" s="47">
        <v>46381</v>
      </c>
      <c r="DJ144" s="56">
        <v>1310.08</v>
      </c>
      <c r="DK144" s="71"/>
      <c r="DL144" s="70"/>
      <c r="DM144" s="62"/>
      <c r="DN144" s="27"/>
      <c r="DO144" s="51"/>
      <c r="DP144" s="52"/>
      <c r="DQ144" s="52"/>
      <c r="DR144" s="53">
        <f t="shared" si="81"/>
        <v>0</v>
      </c>
      <c r="DT144" s="47">
        <v>46381</v>
      </c>
      <c r="DU144" s="56">
        <v>530.54999999999995</v>
      </c>
      <c r="DV144" s="57">
        <v>376.61</v>
      </c>
      <c r="DW144" s="70"/>
      <c r="DX144" s="62"/>
      <c r="DY144" s="27"/>
      <c r="DZ144" s="51"/>
      <c r="EA144" s="52"/>
      <c r="EB144" s="52"/>
      <c r="EC144" s="53">
        <f t="shared" si="82"/>
        <v>0</v>
      </c>
      <c r="EE144" s="47">
        <v>46381</v>
      </c>
      <c r="EF144" s="56">
        <v>3391.58</v>
      </c>
      <c r="EG144" s="57">
        <v>955.14</v>
      </c>
      <c r="EH144" s="70"/>
      <c r="EI144" s="59">
        <v>96.94</v>
      </c>
      <c r="EJ144" s="27"/>
      <c r="EK144" s="51"/>
      <c r="EL144" s="52"/>
      <c r="EM144" s="52"/>
      <c r="EN144" s="53">
        <f t="shared" si="83"/>
        <v>96.94</v>
      </c>
      <c r="EP144" s="47">
        <v>46381</v>
      </c>
      <c r="EQ144" s="64">
        <v>405.16</v>
      </c>
      <c r="ER144" s="56">
        <v>403.09</v>
      </c>
      <c r="ES144" s="70"/>
      <c r="ET144" s="59"/>
      <c r="EV144" s="51"/>
      <c r="EW144" s="52"/>
      <c r="EX144" s="52"/>
      <c r="EY144" s="53">
        <f t="shared" si="84"/>
        <v>0</v>
      </c>
    </row>
    <row r="145" spans="2:155" hidden="1" x14ac:dyDescent="0.25">
      <c r="B145" s="47">
        <v>46382</v>
      </c>
      <c r="C145" s="48">
        <v>15159.55</v>
      </c>
      <c r="D145" s="49">
        <v>2443.79</v>
      </c>
      <c r="E145" s="50">
        <v>2547.9</v>
      </c>
      <c r="F145" s="49">
        <v>390.72</v>
      </c>
      <c r="G145" s="50">
        <v>8.19</v>
      </c>
      <c r="H145" s="27"/>
      <c r="I145" s="51"/>
      <c r="J145" s="52"/>
      <c r="K145" s="52"/>
      <c r="L145" s="53">
        <f t="shared" si="71"/>
        <v>8.19</v>
      </c>
      <c r="N145" s="47">
        <v>46382</v>
      </c>
      <c r="O145" s="54">
        <v>3822.34</v>
      </c>
      <c r="P145" s="54">
        <v>1018.7</v>
      </c>
      <c r="Q145" s="70"/>
      <c r="R145" s="69"/>
      <c r="S145" s="27"/>
      <c r="T145" s="51"/>
      <c r="U145" s="52"/>
      <c r="V145" s="52"/>
      <c r="W145" s="53">
        <f t="shared" si="72"/>
        <v>0</v>
      </c>
      <c r="Y145" s="47">
        <v>46382</v>
      </c>
      <c r="Z145" s="56">
        <v>6363.38</v>
      </c>
      <c r="AA145" s="57">
        <v>1478.44</v>
      </c>
      <c r="AB145" s="104"/>
      <c r="AC145" s="59">
        <v>182.24</v>
      </c>
      <c r="AD145" s="27"/>
      <c r="AE145" s="51"/>
      <c r="AF145" s="52"/>
      <c r="AG145" s="52"/>
      <c r="AH145" s="53">
        <f t="shared" si="73"/>
        <v>182.24</v>
      </c>
      <c r="AJ145" s="47">
        <v>46382</v>
      </c>
      <c r="AK145" s="56">
        <v>2866.03</v>
      </c>
      <c r="AL145" s="57">
        <v>259.76</v>
      </c>
      <c r="AM145" s="70"/>
      <c r="AN145" s="58"/>
      <c r="AO145" s="27"/>
      <c r="AP145" s="51"/>
      <c r="AQ145" s="52"/>
      <c r="AR145" s="52"/>
      <c r="AS145" s="53">
        <f t="shared" si="74"/>
        <v>0</v>
      </c>
      <c r="AU145" s="47">
        <v>46382</v>
      </c>
      <c r="AV145" s="57">
        <v>627.77</v>
      </c>
      <c r="AW145" s="57">
        <v>118.8</v>
      </c>
      <c r="AX145" s="70"/>
      <c r="AY145" s="59"/>
      <c r="AZ145" s="27"/>
      <c r="BA145" s="51"/>
      <c r="BB145" s="52"/>
      <c r="BC145" s="52"/>
      <c r="BD145" s="53">
        <f t="shared" si="75"/>
        <v>0</v>
      </c>
      <c r="BF145" s="47">
        <v>46382</v>
      </c>
      <c r="BG145" s="56">
        <v>3045.29</v>
      </c>
      <c r="BH145" s="57">
        <v>693.17</v>
      </c>
      <c r="BI145" s="70"/>
      <c r="BJ145" s="59"/>
      <c r="BK145" s="27"/>
      <c r="BL145" s="51"/>
      <c r="BM145" s="52"/>
      <c r="BN145" s="52"/>
      <c r="BO145" s="53">
        <f t="shared" si="76"/>
        <v>0</v>
      </c>
      <c r="BQ145" s="47">
        <v>46382</v>
      </c>
      <c r="BR145" s="57">
        <v>155</v>
      </c>
      <c r="BS145" s="57">
        <v>608.21</v>
      </c>
      <c r="BT145" s="70"/>
      <c r="BU145" s="61"/>
      <c r="BV145" s="27"/>
      <c r="BW145" s="51"/>
      <c r="BX145" s="52"/>
      <c r="BY145" s="52"/>
      <c r="BZ145" s="53">
        <f t="shared" si="77"/>
        <v>0</v>
      </c>
      <c r="CB145" s="47">
        <v>46382</v>
      </c>
      <c r="CC145" s="56">
        <v>17300.66</v>
      </c>
      <c r="CD145" s="57">
        <v>1530.32</v>
      </c>
      <c r="CE145" s="70"/>
      <c r="CF145" s="58"/>
      <c r="CG145" s="27"/>
      <c r="CH145" s="51"/>
      <c r="CI145" s="52"/>
      <c r="CJ145" s="52"/>
      <c r="CK145" s="53">
        <f t="shared" si="78"/>
        <v>0</v>
      </c>
      <c r="CM145" s="47">
        <v>46382</v>
      </c>
      <c r="CN145" s="56">
        <v>6333.85</v>
      </c>
      <c r="CO145" s="57">
        <v>1545.69</v>
      </c>
      <c r="CP145" s="70"/>
      <c r="CQ145" s="62"/>
      <c r="CR145" s="27"/>
      <c r="CS145" s="51"/>
      <c r="CT145" s="52"/>
      <c r="CU145" s="52"/>
      <c r="CV145" s="53">
        <f t="shared" si="79"/>
        <v>0</v>
      </c>
      <c r="CX145" s="47">
        <v>46382</v>
      </c>
      <c r="CY145" s="56">
        <v>3394.45</v>
      </c>
      <c r="CZ145" s="57">
        <v>843.19</v>
      </c>
      <c r="DA145" s="70"/>
      <c r="DB145" s="59"/>
      <c r="DC145" s="27"/>
      <c r="DD145" s="51"/>
      <c r="DE145" s="52"/>
      <c r="DF145" s="52"/>
      <c r="DG145" s="53">
        <f t="shared" si="80"/>
        <v>0</v>
      </c>
      <c r="DI145" s="47">
        <v>46382</v>
      </c>
      <c r="DJ145" s="56">
        <v>1458.44</v>
      </c>
      <c r="DK145" s="71"/>
      <c r="DL145" s="70"/>
      <c r="DM145" s="62"/>
      <c r="DN145" s="27"/>
      <c r="DO145" s="51"/>
      <c r="DP145" s="52"/>
      <c r="DQ145" s="52"/>
      <c r="DR145" s="53">
        <f t="shared" si="81"/>
        <v>0</v>
      </c>
      <c r="DT145" s="47">
        <v>46382</v>
      </c>
      <c r="DU145" s="56">
        <v>2172.37</v>
      </c>
      <c r="DV145" s="57">
        <v>392.95</v>
      </c>
      <c r="DW145" s="70"/>
      <c r="DX145" s="62"/>
      <c r="DY145" s="27"/>
      <c r="DZ145" s="51"/>
      <c r="EA145" s="52"/>
      <c r="EB145" s="52"/>
      <c r="EC145" s="53">
        <f t="shared" si="82"/>
        <v>0</v>
      </c>
      <c r="EE145" s="47">
        <v>46382</v>
      </c>
      <c r="EF145" s="56">
        <v>8007</v>
      </c>
      <c r="EG145" s="57">
        <v>1728.82</v>
      </c>
      <c r="EH145" s="70"/>
      <c r="EI145" s="59">
        <v>143.62</v>
      </c>
      <c r="EJ145" s="27"/>
      <c r="EK145" s="51"/>
      <c r="EL145" s="52"/>
      <c r="EM145" s="52"/>
      <c r="EN145" s="53">
        <f t="shared" si="83"/>
        <v>143.62</v>
      </c>
      <c r="EP145" s="47">
        <v>46382</v>
      </c>
      <c r="EQ145" s="64">
        <v>559.34</v>
      </c>
      <c r="ER145" s="56">
        <v>499.25</v>
      </c>
      <c r="ES145" s="70"/>
      <c r="ET145" s="59"/>
      <c r="EV145" s="51"/>
      <c r="EW145" s="52"/>
      <c r="EX145" s="52"/>
      <c r="EY145" s="53">
        <f t="shared" si="84"/>
        <v>0</v>
      </c>
    </row>
    <row r="146" spans="2:155" hidden="1" x14ac:dyDescent="0.25">
      <c r="B146" s="47">
        <v>46383</v>
      </c>
      <c r="C146" s="48">
        <v>13335.91</v>
      </c>
      <c r="D146" s="49">
        <v>3251.13</v>
      </c>
      <c r="E146" s="50">
        <v>1999.27</v>
      </c>
      <c r="F146" s="49">
        <v>450.52</v>
      </c>
      <c r="G146" s="50">
        <v>8.9600000000000009</v>
      </c>
      <c r="H146" s="27"/>
      <c r="I146" s="51"/>
      <c r="J146" s="52"/>
      <c r="K146" s="52"/>
      <c r="L146" s="53">
        <f t="shared" si="71"/>
        <v>8.9600000000000009</v>
      </c>
      <c r="N146" s="47">
        <v>46383</v>
      </c>
      <c r="O146" s="54">
        <v>3040.45</v>
      </c>
      <c r="P146" s="54">
        <v>926.56</v>
      </c>
      <c r="Q146" s="70"/>
      <c r="R146" s="69"/>
      <c r="S146" s="27"/>
      <c r="T146" s="51"/>
      <c r="U146" s="52"/>
      <c r="V146" s="52"/>
      <c r="W146" s="53">
        <f t="shared" si="72"/>
        <v>0</v>
      </c>
      <c r="Y146" s="47">
        <v>46383</v>
      </c>
      <c r="Z146" s="56">
        <v>4799.6099999999997</v>
      </c>
      <c r="AA146" s="72">
        <v>1251.8800000000001</v>
      </c>
      <c r="AB146" s="104"/>
      <c r="AC146" s="59">
        <v>74.06</v>
      </c>
      <c r="AD146" s="27"/>
      <c r="AE146" s="51"/>
      <c r="AF146" s="52"/>
      <c r="AG146" s="52"/>
      <c r="AH146" s="53">
        <f t="shared" si="73"/>
        <v>74.06</v>
      </c>
      <c r="AJ146" s="47">
        <v>46383</v>
      </c>
      <c r="AK146" s="56">
        <v>1818.93</v>
      </c>
      <c r="AL146" s="57">
        <v>194.66</v>
      </c>
      <c r="AM146" s="70"/>
      <c r="AN146" s="58"/>
      <c r="AO146" s="27"/>
      <c r="AP146" s="51"/>
      <c r="AQ146" s="52"/>
      <c r="AR146" s="52"/>
      <c r="AS146" s="53">
        <f t="shared" si="74"/>
        <v>0</v>
      </c>
      <c r="AU146" s="47">
        <v>46383</v>
      </c>
      <c r="AV146" s="57">
        <v>916.27</v>
      </c>
      <c r="AW146" s="57">
        <v>161.34</v>
      </c>
      <c r="AX146" s="70"/>
      <c r="AY146" s="59"/>
      <c r="AZ146" s="27"/>
      <c r="BA146" s="51"/>
      <c r="BB146" s="52"/>
      <c r="BC146" s="52"/>
      <c r="BD146" s="53">
        <f t="shared" si="75"/>
        <v>0</v>
      </c>
      <c r="BF146" s="47">
        <v>46383</v>
      </c>
      <c r="BG146" s="56">
        <v>4096.84</v>
      </c>
      <c r="BH146" s="57">
        <v>524.24</v>
      </c>
      <c r="BI146" s="70"/>
      <c r="BJ146" s="59"/>
      <c r="BK146" s="27"/>
      <c r="BL146" s="51"/>
      <c r="BM146" s="52"/>
      <c r="BN146" s="52"/>
      <c r="BO146" s="53">
        <f t="shared" si="76"/>
        <v>0</v>
      </c>
      <c r="BQ146" s="47">
        <v>46383</v>
      </c>
      <c r="BR146" s="57">
        <v>334.06</v>
      </c>
      <c r="BS146" s="57">
        <v>638.15</v>
      </c>
      <c r="BT146" s="70"/>
      <c r="BU146" s="61"/>
      <c r="BV146" s="27"/>
      <c r="BW146" s="51"/>
      <c r="BX146" s="52"/>
      <c r="BY146" s="52"/>
      <c r="BZ146" s="53">
        <f t="shared" si="77"/>
        <v>0</v>
      </c>
      <c r="CB146" s="47">
        <v>46383</v>
      </c>
      <c r="CC146" s="56">
        <v>18241.759999999998</v>
      </c>
      <c r="CD146" s="57">
        <v>1592.59</v>
      </c>
      <c r="CE146" s="70"/>
      <c r="CF146" s="58"/>
      <c r="CG146" s="27"/>
      <c r="CH146" s="51"/>
      <c r="CI146" s="52"/>
      <c r="CJ146" s="52"/>
      <c r="CK146" s="53">
        <f t="shared" si="78"/>
        <v>0</v>
      </c>
      <c r="CM146" s="47">
        <v>46383</v>
      </c>
      <c r="CN146" s="56">
        <v>4433.5600000000004</v>
      </c>
      <c r="CO146" s="57">
        <v>1331.53</v>
      </c>
      <c r="CP146" s="70"/>
      <c r="CQ146" s="62"/>
      <c r="CR146" s="27"/>
      <c r="CS146" s="51"/>
      <c r="CT146" s="52"/>
      <c r="CU146" s="52"/>
      <c r="CV146" s="53">
        <f t="shared" si="79"/>
        <v>0</v>
      </c>
      <c r="CX146" s="47">
        <v>46383</v>
      </c>
      <c r="CY146" s="56">
        <v>5017.38</v>
      </c>
      <c r="CZ146" s="57">
        <v>2163.19</v>
      </c>
      <c r="DA146" s="70"/>
      <c r="DB146" s="59"/>
      <c r="DC146" s="27"/>
      <c r="DD146" s="51"/>
      <c r="DE146" s="52"/>
      <c r="DF146" s="52"/>
      <c r="DG146" s="53">
        <f t="shared" si="80"/>
        <v>0</v>
      </c>
      <c r="DI146" s="47">
        <v>46383</v>
      </c>
      <c r="DJ146" s="56">
        <v>2583.92</v>
      </c>
      <c r="DK146" s="71"/>
      <c r="DL146" s="70"/>
      <c r="DM146" s="62"/>
      <c r="DN146" s="27"/>
      <c r="DO146" s="51"/>
      <c r="DP146" s="52"/>
      <c r="DQ146" s="52"/>
      <c r="DR146" s="53">
        <f t="shared" si="81"/>
        <v>0</v>
      </c>
      <c r="DT146" s="47">
        <v>46383</v>
      </c>
      <c r="DU146" s="56">
        <v>1533.61</v>
      </c>
      <c r="DV146" s="57">
        <v>431.24</v>
      </c>
      <c r="DW146" s="70"/>
      <c r="DX146" s="62"/>
      <c r="DY146" s="27"/>
      <c r="DZ146" s="51"/>
      <c r="EA146" s="52"/>
      <c r="EB146" s="52"/>
      <c r="EC146" s="53">
        <f t="shared" si="82"/>
        <v>0</v>
      </c>
      <c r="EE146" s="47">
        <v>46383</v>
      </c>
      <c r="EF146" s="56">
        <v>5874.96</v>
      </c>
      <c r="EG146" s="57">
        <v>1611.27</v>
      </c>
      <c r="EH146" s="70"/>
      <c r="EI146" s="59">
        <v>106.65</v>
      </c>
      <c r="EJ146" s="27"/>
      <c r="EK146" s="51"/>
      <c r="EL146" s="52"/>
      <c r="EM146" s="52"/>
      <c r="EN146" s="53">
        <f t="shared" si="83"/>
        <v>106.65</v>
      </c>
      <c r="EP146" s="47">
        <v>46383</v>
      </c>
      <c r="EQ146" s="64">
        <v>903.27</v>
      </c>
      <c r="ER146" s="56">
        <v>461.74</v>
      </c>
      <c r="ES146" s="70"/>
      <c r="ET146" s="59"/>
      <c r="EV146" s="51"/>
      <c r="EW146" s="52"/>
      <c r="EX146" s="52"/>
      <c r="EY146" s="53">
        <f t="shared" si="84"/>
        <v>0</v>
      </c>
    </row>
    <row r="147" spans="2:155" hidden="1" x14ac:dyDescent="0.25">
      <c r="B147" s="47">
        <v>46384</v>
      </c>
      <c r="C147" s="48">
        <v>15198.95</v>
      </c>
      <c r="D147" s="49">
        <v>1786.5</v>
      </c>
      <c r="E147" s="50">
        <v>1628.63</v>
      </c>
      <c r="F147" s="49">
        <v>340.97</v>
      </c>
      <c r="G147" s="50">
        <v>8.0500000000000007</v>
      </c>
      <c r="H147" s="27"/>
      <c r="I147" s="51"/>
      <c r="J147" s="52"/>
      <c r="K147" s="52"/>
      <c r="L147" s="53">
        <f t="shared" si="71"/>
        <v>8.0500000000000007</v>
      </c>
      <c r="N147" s="47">
        <v>46384</v>
      </c>
      <c r="O147" s="54">
        <v>3003.15</v>
      </c>
      <c r="P147" s="54">
        <v>615.25</v>
      </c>
      <c r="Q147" s="70"/>
      <c r="R147" s="55"/>
      <c r="S147" s="27"/>
      <c r="T147" s="51"/>
      <c r="U147" s="52"/>
      <c r="V147" s="52"/>
      <c r="W147" s="53">
        <f t="shared" si="72"/>
        <v>0</v>
      </c>
      <c r="Y147" s="47">
        <v>46384</v>
      </c>
      <c r="Z147" s="56">
        <v>3793.03</v>
      </c>
      <c r="AA147" s="57">
        <v>1411.7</v>
      </c>
      <c r="AB147" s="104"/>
      <c r="AC147" s="59">
        <v>100.81</v>
      </c>
      <c r="AD147" s="27"/>
      <c r="AE147" s="51"/>
      <c r="AF147" s="52"/>
      <c r="AG147" s="52"/>
      <c r="AH147" s="53">
        <f t="shared" si="73"/>
        <v>100.81</v>
      </c>
      <c r="AJ147" s="47">
        <v>46384</v>
      </c>
      <c r="AK147" s="56">
        <v>1933.64</v>
      </c>
      <c r="AL147" s="57">
        <v>408.76</v>
      </c>
      <c r="AM147" s="70"/>
      <c r="AN147" s="58"/>
      <c r="AO147" s="27"/>
      <c r="AP147" s="51"/>
      <c r="AQ147" s="52"/>
      <c r="AR147" s="52"/>
      <c r="AS147" s="53">
        <f t="shared" si="74"/>
        <v>0</v>
      </c>
      <c r="AU147" s="47">
        <v>46384</v>
      </c>
      <c r="AV147" s="57">
        <v>726.88</v>
      </c>
      <c r="AW147" s="57">
        <v>20.07</v>
      </c>
      <c r="AX147" s="70"/>
      <c r="AY147" s="59"/>
      <c r="AZ147" s="27"/>
      <c r="BA147" s="51"/>
      <c r="BB147" s="52"/>
      <c r="BC147" s="52"/>
      <c r="BD147" s="53">
        <f t="shared" si="75"/>
        <v>0</v>
      </c>
      <c r="BF147" s="47">
        <v>46384</v>
      </c>
      <c r="BG147" s="56">
        <v>3902.44</v>
      </c>
      <c r="BH147" s="57">
        <v>462.47</v>
      </c>
      <c r="BI147" s="70"/>
      <c r="BJ147" s="59"/>
      <c r="BK147" s="27"/>
      <c r="BL147" s="51"/>
      <c r="BM147" s="52"/>
      <c r="BN147" s="52"/>
      <c r="BO147" s="53">
        <f t="shared" si="76"/>
        <v>0</v>
      </c>
      <c r="BQ147" s="47">
        <v>46384</v>
      </c>
      <c r="BR147" s="57">
        <v>304.27999999999997</v>
      </c>
      <c r="BS147" s="57">
        <v>434.23</v>
      </c>
      <c r="BT147" s="70"/>
      <c r="BU147" s="61"/>
      <c r="BV147" s="27"/>
      <c r="BW147" s="51"/>
      <c r="BX147" s="52"/>
      <c r="BY147" s="52"/>
      <c r="BZ147" s="53">
        <f t="shared" si="77"/>
        <v>0</v>
      </c>
      <c r="CB147" s="47">
        <v>46384</v>
      </c>
      <c r="CC147" s="56">
        <v>15571.59</v>
      </c>
      <c r="CD147" s="57">
        <v>1645.37</v>
      </c>
      <c r="CE147" s="70"/>
      <c r="CF147" s="58"/>
      <c r="CG147" s="27"/>
      <c r="CH147" s="51"/>
      <c r="CI147" s="52"/>
      <c r="CJ147" s="52"/>
      <c r="CK147" s="53">
        <f t="shared" si="78"/>
        <v>0</v>
      </c>
      <c r="CM147" s="47">
        <v>46384</v>
      </c>
      <c r="CN147" s="56">
        <v>6075.78</v>
      </c>
      <c r="CO147" s="57">
        <v>1129.78</v>
      </c>
      <c r="CP147" s="70"/>
      <c r="CQ147" s="62"/>
      <c r="CR147" s="27"/>
      <c r="CS147" s="51"/>
      <c r="CT147" s="52"/>
      <c r="CU147" s="52"/>
      <c r="CV147" s="53">
        <f t="shared" si="79"/>
        <v>0</v>
      </c>
      <c r="CX147" s="47">
        <v>46384</v>
      </c>
      <c r="CY147" s="56">
        <v>4820.03</v>
      </c>
      <c r="CZ147" s="57">
        <v>2034.68</v>
      </c>
      <c r="DA147" s="70"/>
      <c r="DB147" s="59"/>
      <c r="DC147" s="27"/>
      <c r="DD147" s="51"/>
      <c r="DE147" s="52"/>
      <c r="DF147" s="52"/>
      <c r="DG147" s="53">
        <f t="shared" si="80"/>
        <v>0</v>
      </c>
      <c r="DI147" s="47">
        <v>46384</v>
      </c>
      <c r="DJ147" s="56">
        <v>1956.73</v>
      </c>
      <c r="DK147" s="71"/>
      <c r="DL147" s="70"/>
      <c r="DM147" s="62"/>
      <c r="DN147" s="27"/>
      <c r="DO147" s="51"/>
      <c r="DP147" s="52"/>
      <c r="DQ147" s="52"/>
      <c r="DR147" s="53">
        <f t="shared" si="81"/>
        <v>0</v>
      </c>
      <c r="DT147" s="47">
        <v>46384</v>
      </c>
      <c r="DU147" s="56">
        <v>1315</v>
      </c>
      <c r="DV147" s="57">
        <v>118.41</v>
      </c>
      <c r="DW147" s="70"/>
      <c r="DX147" s="62"/>
      <c r="DY147" s="27"/>
      <c r="DZ147" s="51"/>
      <c r="EA147" s="52"/>
      <c r="EB147" s="52"/>
      <c r="EC147" s="53">
        <f t="shared" si="82"/>
        <v>0</v>
      </c>
      <c r="EE147" s="47">
        <v>46384</v>
      </c>
      <c r="EF147" s="56">
        <v>5326.39</v>
      </c>
      <c r="EG147" s="57">
        <v>1025.3699999999999</v>
      </c>
      <c r="EH147" s="70"/>
      <c r="EI147" s="59">
        <v>122.19</v>
      </c>
      <c r="EJ147" s="27"/>
      <c r="EK147" s="51"/>
      <c r="EL147" s="52"/>
      <c r="EM147" s="52"/>
      <c r="EN147" s="53">
        <f t="shared" si="83"/>
        <v>122.19</v>
      </c>
      <c r="EP147" s="47">
        <v>46384</v>
      </c>
      <c r="EQ147" s="64">
        <v>654.98</v>
      </c>
      <c r="ER147" s="56">
        <v>451.09</v>
      </c>
      <c r="ES147" s="70"/>
      <c r="ET147" s="59"/>
      <c r="EV147" s="51"/>
      <c r="EW147" s="52"/>
      <c r="EX147" s="52"/>
      <c r="EY147" s="53">
        <f t="shared" si="84"/>
        <v>0</v>
      </c>
    </row>
    <row r="148" spans="2:155" hidden="1" x14ac:dyDescent="0.25">
      <c r="B148" s="47">
        <v>46385</v>
      </c>
      <c r="C148" s="73">
        <v>13490.94</v>
      </c>
      <c r="D148" s="74">
        <v>2562.35</v>
      </c>
      <c r="E148" s="50">
        <v>2495.27</v>
      </c>
      <c r="F148" s="74">
        <v>543.21</v>
      </c>
      <c r="G148" s="50">
        <v>10.95</v>
      </c>
      <c r="H148" s="27"/>
      <c r="I148" s="51"/>
      <c r="J148" s="52"/>
      <c r="K148" s="52"/>
      <c r="L148" s="53">
        <f t="shared" si="71"/>
        <v>10.95</v>
      </c>
      <c r="N148" s="47">
        <v>46385</v>
      </c>
      <c r="O148" s="54">
        <v>3471.23</v>
      </c>
      <c r="P148" s="54">
        <v>764.43</v>
      </c>
      <c r="Q148" s="70"/>
      <c r="R148" s="55"/>
      <c r="S148" s="27"/>
      <c r="T148" s="51"/>
      <c r="U148" s="52"/>
      <c r="V148" s="52"/>
      <c r="W148" s="53">
        <f t="shared" si="72"/>
        <v>0</v>
      </c>
      <c r="Y148" s="47">
        <v>46385</v>
      </c>
      <c r="Z148" s="56">
        <v>4357.8999999999996</v>
      </c>
      <c r="AA148" s="57">
        <v>1284.47</v>
      </c>
      <c r="AB148" s="104"/>
      <c r="AC148" s="59">
        <v>39.04</v>
      </c>
      <c r="AD148" s="27"/>
      <c r="AE148" s="51"/>
      <c r="AF148" s="52"/>
      <c r="AG148" s="52"/>
      <c r="AH148" s="53">
        <f t="shared" si="73"/>
        <v>39.04</v>
      </c>
      <c r="AJ148" s="47">
        <v>46385</v>
      </c>
      <c r="AK148" s="56">
        <v>1742.66</v>
      </c>
      <c r="AL148" s="57">
        <v>253.47</v>
      </c>
      <c r="AM148" s="70"/>
      <c r="AN148" s="58"/>
      <c r="AO148" s="27"/>
      <c r="AP148" s="51"/>
      <c r="AQ148" s="52"/>
      <c r="AR148" s="52"/>
      <c r="AS148" s="53">
        <f t="shared" si="74"/>
        <v>0</v>
      </c>
      <c r="AU148" s="47">
        <v>46385</v>
      </c>
      <c r="AV148" s="57">
        <v>694.92</v>
      </c>
      <c r="AW148" s="57">
        <v>446.53</v>
      </c>
      <c r="AX148" s="70"/>
      <c r="AY148" s="59">
        <v>77.38</v>
      </c>
      <c r="AZ148" s="27"/>
      <c r="BA148" s="51"/>
      <c r="BB148" s="52"/>
      <c r="BC148" s="52"/>
      <c r="BD148" s="53">
        <f t="shared" si="75"/>
        <v>77.38</v>
      </c>
      <c r="BF148" s="47">
        <v>46385</v>
      </c>
      <c r="BG148" s="56">
        <v>4496.29</v>
      </c>
      <c r="BH148" s="57">
        <v>595.49</v>
      </c>
      <c r="BI148" s="70"/>
      <c r="BJ148" s="59"/>
      <c r="BK148" s="27"/>
      <c r="BL148" s="51"/>
      <c r="BM148" s="52"/>
      <c r="BN148" s="52"/>
      <c r="BO148" s="53">
        <f t="shared" si="76"/>
        <v>0</v>
      </c>
      <c r="BQ148" s="47">
        <v>46385</v>
      </c>
      <c r="BR148" s="57">
        <v>316.61</v>
      </c>
      <c r="BS148" s="57">
        <v>526.94000000000005</v>
      </c>
      <c r="BT148" s="70"/>
      <c r="BU148" s="61"/>
      <c r="BV148" s="27"/>
      <c r="BW148" s="51"/>
      <c r="BX148" s="52"/>
      <c r="BY148" s="52"/>
      <c r="BZ148" s="53">
        <f t="shared" si="77"/>
        <v>0</v>
      </c>
      <c r="CB148" s="47">
        <v>46385</v>
      </c>
      <c r="CC148" s="56">
        <v>18581.32</v>
      </c>
      <c r="CD148" s="57">
        <v>1797.13</v>
      </c>
      <c r="CE148" s="70"/>
      <c r="CF148" s="58"/>
      <c r="CG148" s="27"/>
      <c r="CH148" s="51"/>
      <c r="CI148" s="52"/>
      <c r="CJ148" s="52"/>
      <c r="CK148" s="53">
        <f t="shared" si="78"/>
        <v>0</v>
      </c>
      <c r="CM148" s="47">
        <v>46385</v>
      </c>
      <c r="CN148" s="56">
        <v>7494.15</v>
      </c>
      <c r="CO148" s="57">
        <v>1380.77</v>
      </c>
      <c r="CP148" s="70"/>
      <c r="CQ148" s="62"/>
      <c r="CR148" s="27"/>
      <c r="CS148" s="51"/>
      <c r="CT148" s="52"/>
      <c r="CU148" s="52"/>
      <c r="CV148" s="53">
        <f t="shared" si="79"/>
        <v>0</v>
      </c>
      <c r="CX148" s="47">
        <v>46385</v>
      </c>
      <c r="CY148" s="56">
        <v>4764.57</v>
      </c>
      <c r="CZ148" s="57">
        <v>1669.15</v>
      </c>
      <c r="DA148" s="70"/>
      <c r="DB148" s="59"/>
      <c r="DC148" s="27"/>
      <c r="DD148" s="51"/>
      <c r="DE148" s="52"/>
      <c r="DF148" s="52"/>
      <c r="DG148" s="53">
        <f t="shared" si="80"/>
        <v>0</v>
      </c>
      <c r="DI148" s="47">
        <v>46385</v>
      </c>
      <c r="DJ148" s="56">
        <v>1529.54</v>
      </c>
      <c r="DK148" s="71"/>
      <c r="DL148" s="70"/>
      <c r="DM148" s="62"/>
      <c r="DN148" s="27"/>
      <c r="DO148" s="51"/>
      <c r="DP148" s="52"/>
      <c r="DQ148" s="52"/>
      <c r="DR148" s="53">
        <f t="shared" si="81"/>
        <v>0</v>
      </c>
      <c r="DT148" s="47">
        <v>46385</v>
      </c>
      <c r="DU148" s="56">
        <v>1716.26</v>
      </c>
      <c r="DV148" s="57">
        <v>300.83</v>
      </c>
      <c r="DW148" s="70"/>
      <c r="DX148" s="62"/>
      <c r="DY148" s="27"/>
      <c r="DZ148" s="51"/>
      <c r="EA148" s="52"/>
      <c r="EB148" s="52"/>
      <c r="EC148" s="53">
        <f t="shared" si="82"/>
        <v>0</v>
      </c>
      <c r="EE148" s="47">
        <v>46385</v>
      </c>
      <c r="EF148" s="56">
        <v>7541.18</v>
      </c>
      <c r="EG148" s="57">
        <v>1682.05</v>
      </c>
      <c r="EH148" s="70"/>
      <c r="EI148" s="59">
        <v>144.9</v>
      </c>
      <c r="EJ148" s="27"/>
      <c r="EK148" s="51"/>
      <c r="EL148" s="52"/>
      <c r="EM148" s="52"/>
      <c r="EN148" s="53">
        <f t="shared" si="83"/>
        <v>144.9</v>
      </c>
      <c r="EP148" s="47">
        <v>46385</v>
      </c>
      <c r="EQ148" s="64">
        <v>1098.6300000000001</v>
      </c>
      <c r="ER148" s="56">
        <v>535.55999999999995</v>
      </c>
      <c r="ES148" s="70"/>
      <c r="ET148" s="59"/>
      <c r="EV148" s="51"/>
      <c r="EW148" s="52"/>
      <c r="EX148" s="52"/>
      <c r="EY148" s="53">
        <f t="shared" si="84"/>
        <v>0</v>
      </c>
    </row>
    <row r="149" spans="2:155" hidden="1" x14ac:dyDescent="0.25">
      <c r="B149" s="47">
        <v>46386</v>
      </c>
      <c r="C149" s="73">
        <v>18599.740000000002</v>
      </c>
      <c r="D149" s="74">
        <v>3122.16</v>
      </c>
      <c r="E149" s="50">
        <v>2852.12</v>
      </c>
      <c r="F149" s="74">
        <v>571.16</v>
      </c>
      <c r="G149" s="50">
        <v>11.35</v>
      </c>
      <c r="H149" s="27"/>
      <c r="I149" s="51"/>
      <c r="J149" s="52"/>
      <c r="K149" s="52"/>
      <c r="L149" s="53">
        <f t="shared" si="71"/>
        <v>11.35</v>
      </c>
      <c r="N149" s="47">
        <v>46386</v>
      </c>
      <c r="O149" s="54">
        <v>3689.54</v>
      </c>
      <c r="P149" s="54">
        <v>861.53</v>
      </c>
      <c r="Q149" s="70"/>
      <c r="R149" s="55"/>
      <c r="S149" s="27"/>
      <c r="T149" s="51"/>
      <c r="U149" s="52"/>
      <c r="V149" s="52"/>
      <c r="W149" s="53">
        <f>SUM(R149:V149)</f>
        <v>0</v>
      </c>
      <c r="Y149" s="47">
        <v>46386</v>
      </c>
      <c r="Z149" s="56">
        <v>4788.3</v>
      </c>
      <c r="AA149" s="57">
        <v>1540.57</v>
      </c>
      <c r="AB149" s="104"/>
      <c r="AC149" s="59">
        <v>91.78</v>
      </c>
      <c r="AD149" s="27"/>
      <c r="AE149" s="51"/>
      <c r="AF149" s="52"/>
      <c r="AG149" s="52"/>
      <c r="AH149" s="53">
        <f t="shared" si="73"/>
        <v>91.78</v>
      </c>
      <c r="AJ149" s="47">
        <v>46386</v>
      </c>
      <c r="AK149" s="56">
        <v>3317.73</v>
      </c>
      <c r="AL149" s="57">
        <v>428.38</v>
      </c>
      <c r="AM149" s="70"/>
      <c r="AN149" s="58"/>
      <c r="AO149" s="27"/>
      <c r="AP149" s="51"/>
      <c r="AQ149" s="52"/>
      <c r="AR149" s="52"/>
      <c r="AS149" s="53"/>
      <c r="AU149" s="47">
        <v>46386</v>
      </c>
      <c r="AV149" s="57">
        <v>427.22</v>
      </c>
      <c r="AW149" s="57">
        <v>216.92</v>
      </c>
      <c r="AX149" s="70"/>
      <c r="AY149" s="59"/>
      <c r="AZ149" s="27"/>
      <c r="BA149" s="51"/>
      <c r="BB149" s="52"/>
      <c r="BC149" s="52"/>
      <c r="BD149" s="53"/>
      <c r="BF149" s="47">
        <v>46386</v>
      </c>
      <c r="BG149" s="56">
        <v>5235.1400000000003</v>
      </c>
      <c r="BH149" s="57">
        <v>675.5</v>
      </c>
      <c r="BI149" s="70"/>
      <c r="BJ149" s="59">
        <v>15.28</v>
      </c>
      <c r="BK149" s="27"/>
      <c r="BL149" s="51"/>
      <c r="BM149" s="52"/>
      <c r="BN149" s="52"/>
      <c r="BO149" s="53"/>
      <c r="BQ149" s="47">
        <v>46386</v>
      </c>
      <c r="BR149" s="57">
        <v>180</v>
      </c>
      <c r="BS149" s="57">
        <v>577</v>
      </c>
      <c r="BT149" s="70"/>
      <c r="BU149" s="61"/>
      <c r="BV149" s="27"/>
      <c r="BW149" s="51"/>
      <c r="BX149" s="52"/>
      <c r="BY149" s="52"/>
      <c r="BZ149" s="53"/>
      <c r="CB149" s="47">
        <v>46386</v>
      </c>
      <c r="CC149" s="56">
        <v>17355.37</v>
      </c>
      <c r="CD149" s="57">
        <v>1028.81</v>
      </c>
      <c r="CE149" s="70"/>
      <c r="CF149" s="58"/>
      <c r="CG149" s="27"/>
      <c r="CH149" s="51"/>
      <c r="CI149" s="52"/>
      <c r="CJ149" s="52"/>
      <c r="CK149" s="53"/>
      <c r="CM149" s="47">
        <v>46386</v>
      </c>
      <c r="CN149" s="56">
        <v>8434.4</v>
      </c>
      <c r="CO149" s="57">
        <v>1600.43</v>
      </c>
      <c r="CP149" s="70"/>
      <c r="CQ149" s="62"/>
      <c r="CR149" s="27"/>
      <c r="CS149" s="51"/>
      <c r="CT149" s="52"/>
      <c r="CU149" s="52"/>
      <c r="CV149" s="53"/>
      <c r="CX149" s="47">
        <v>46386</v>
      </c>
      <c r="CY149" s="56">
        <v>7236.65</v>
      </c>
      <c r="CZ149" s="57">
        <v>2568.96</v>
      </c>
      <c r="DA149" s="70"/>
      <c r="DB149" s="59">
        <v>39</v>
      </c>
      <c r="DC149" s="27"/>
      <c r="DD149" s="51"/>
      <c r="DE149" s="52"/>
      <c r="DF149" s="52"/>
      <c r="DG149" s="53"/>
      <c r="DI149" s="47">
        <v>46386</v>
      </c>
      <c r="DJ149" s="56">
        <v>1486.4</v>
      </c>
      <c r="DK149" s="71"/>
      <c r="DL149" s="70"/>
      <c r="DM149" s="62"/>
      <c r="DN149" s="27"/>
      <c r="DO149" s="51"/>
      <c r="DP149" s="52"/>
      <c r="DQ149" s="52"/>
      <c r="DR149" s="53"/>
      <c r="DT149" s="47">
        <v>46386</v>
      </c>
      <c r="DU149" s="56">
        <v>2097.75</v>
      </c>
      <c r="DV149" s="57">
        <v>745.29</v>
      </c>
      <c r="DW149" s="70"/>
      <c r="DX149" s="62"/>
      <c r="DY149" s="27"/>
      <c r="DZ149" s="51"/>
      <c r="EA149" s="52"/>
      <c r="EB149" s="52"/>
      <c r="EC149" s="53"/>
      <c r="EE149" s="47">
        <v>46386</v>
      </c>
      <c r="EF149" s="56">
        <v>6060.52</v>
      </c>
      <c r="EG149" s="57">
        <v>1309.43</v>
      </c>
      <c r="EH149" s="70"/>
      <c r="EI149" s="59">
        <v>158.44</v>
      </c>
      <c r="EJ149" s="27"/>
      <c r="EK149" s="51"/>
      <c r="EL149" s="52"/>
      <c r="EM149" s="52"/>
      <c r="EN149" s="53"/>
      <c r="EP149" s="47">
        <v>46386</v>
      </c>
      <c r="EQ149" s="64">
        <v>621.35</v>
      </c>
      <c r="ER149" s="56">
        <v>428.44</v>
      </c>
      <c r="ES149" s="70"/>
      <c r="ET149" s="59"/>
      <c r="EV149" s="51"/>
      <c r="EW149" s="52"/>
      <c r="EX149" s="52"/>
      <c r="EY149" s="53"/>
    </row>
    <row r="150" spans="2:155" ht="15.75" hidden="1" thickBot="1" x14ac:dyDescent="0.3">
      <c r="B150" s="75">
        <v>46387</v>
      </c>
      <c r="C150" s="92">
        <v>17042</v>
      </c>
      <c r="D150" s="93">
        <v>2132.08</v>
      </c>
      <c r="E150" s="94">
        <v>1430.46</v>
      </c>
      <c r="F150" s="93">
        <v>416.58</v>
      </c>
      <c r="G150" s="94">
        <v>5.08</v>
      </c>
      <c r="H150" s="27"/>
      <c r="I150" s="51"/>
      <c r="J150" s="52"/>
      <c r="K150" s="52"/>
      <c r="L150" s="53">
        <f t="shared" si="71"/>
        <v>5.08</v>
      </c>
      <c r="N150" s="112">
        <v>46387</v>
      </c>
      <c r="O150" s="95">
        <v>2236.0700000000002</v>
      </c>
      <c r="P150" s="95">
        <v>575.13</v>
      </c>
      <c r="Q150" s="70"/>
      <c r="R150" s="55"/>
      <c r="S150" s="27"/>
      <c r="T150" s="51"/>
      <c r="U150" s="52"/>
      <c r="V150" s="52"/>
      <c r="W150" s="53">
        <f t="shared" si="72"/>
        <v>0</v>
      </c>
      <c r="Y150" s="47">
        <v>46387</v>
      </c>
      <c r="Z150" s="56">
        <v>5747.16</v>
      </c>
      <c r="AA150" s="57">
        <v>1746.38</v>
      </c>
      <c r="AB150" s="104"/>
      <c r="AC150" s="59">
        <v>6.42</v>
      </c>
      <c r="AD150" s="27"/>
      <c r="AE150" s="51"/>
      <c r="AF150" s="52"/>
      <c r="AG150" s="52"/>
      <c r="AH150" s="53">
        <f t="shared" si="73"/>
        <v>6.42</v>
      </c>
      <c r="AJ150" s="75">
        <v>46387</v>
      </c>
      <c r="AK150" s="56">
        <v>3369.9</v>
      </c>
      <c r="AL150" s="57">
        <v>251.94</v>
      </c>
      <c r="AM150" s="70"/>
      <c r="AN150" s="62"/>
      <c r="AO150" s="27"/>
      <c r="AP150" s="51"/>
      <c r="AQ150" s="52"/>
      <c r="AR150" s="52"/>
      <c r="AS150" s="53">
        <f t="shared" si="74"/>
        <v>0</v>
      </c>
      <c r="AU150" s="47">
        <v>46387</v>
      </c>
      <c r="AV150" s="97">
        <v>350.04</v>
      </c>
      <c r="AW150" s="97">
        <v>87.44</v>
      </c>
      <c r="AX150" s="70"/>
      <c r="AY150" s="59"/>
      <c r="AZ150" s="27"/>
      <c r="BA150" s="51"/>
      <c r="BB150" s="52"/>
      <c r="BC150" s="52"/>
      <c r="BD150" s="53">
        <f t="shared" si="75"/>
        <v>0</v>
      </c>
      <c r="BF150" s="47">
        <v>46387</v>
      </c>
      <c r="BG150" s="56">
        <v>5372.25</v>
      </c>
      <c r="BH150" s="57">
        <v>596.45000000000005</v>
      </c>
      <c r="BI150" s="70"/>
      <c r="BJ150" s="59"/>
      <c r="BK150" s="27"/>
      <c r="BL150" s="51"/>
      <c r="BM150" s="52"/>
      <c r="BN150" s="52"/>
      <c r="BO150" s="53">
        <f t="shared" si="76"/>
        <v>0</v>
      </c>
      <c r="BQ150" s="47">
        <v>46387</v>
      </c>
      <c r="BR150" s="57">
        <v>106</v>
      </c>
      <c r="BS150" s="57">
        <v>356.03</v>
      </c>
      <c r="BT150" s="70"/>
      <c r="BU150" s="61"/>
      <c r="BV150" s="27"/>
      <c r="BW150" s="51"/>
      <c r="BX150" s="52"/>
      <c r="BY150" s="52"/>
      <c r="BZ150" s="53">
        <f t="shared" si="77"/>
        <v>0</v>
      </c>
      <c r="CB150" s="75">
        <v>46387</v>
      </c>
      <c r="CC150" s="56">
        <v>20627.080000000002</v>
      </c>
      <c r="CD150" s="57">
        <v>1471.95</v>
      </c>
      <c r="CE150" s="70"/>
      <c r="CF150" s="62"/>
      <c r="CG150" s="27"/>
      <c r="CH150" s="51"/>
      <c r="CI150" s="52"/>
      <c r="CJ150" s="52"/>
      <c r="CK150" s="53">
        <f t="shared" si="78"/>
        <v>0</v>
      </c>
      <c r="CM150" s="47">
        <v>46387</v>
      </c>
      <c r="CN150" s="56">
        <v>5240.24</v>
      </c>
      <c r="CO150" s="57">
        <v>1469.27</v>
      </c>
      <c r="CP150" s="70"/>
      <c r="CQ150" s="62"/>
      <c r="CR150" s="27"/>
      <c r="CS150" s="51"/>
      <c r="CT150" s="52"/>
      <c r="CU150" s="52"/>
      <c r="CV150" s="53">
        <f t="shared" si="79"/>
        <v>0</v>
      </c>
      <c r="CX150" s="47">
        <v>46387</v>
      </c>
      <c r="CY150" s="56">
        <v>3213.65</v>
      </c>
      <c r="CZ150" s="57">
        <v>2005.64</v>
      </c>
      <c r="DA150" s="70"/>
      <c r="DB150" s="59"/>
      <c r="DC150" s="27"/>
      <c r="DD150" s="51"/>
      <c r="DE150" s="52"/>
      <c r="DF150" s="52"/>
      <c r="DG150" s="53">
        <f t="shared" si="80"/>
        <v>0</v>
      </c>
      <c r="DI150" s="47">
        <v>46387</v>
      </c>
      <c r="DJ150" s="56">
        <v>2276.37</v>
      </c>
      <c r="DK150" s="71"/>
      <c r="DL150" s="70"/>
      <c r="DM150" s="62"/>
      <c r="DN150" s="27"/>
      <c r="DO150" s="51"/>
      <c r="DP150" s="52"/>
      <c r="DQ150" s="52"/>
      <c r="DR150" s="53">
        <f t="shared" si="81"/>
        <v>0</v>
      </c>
      <c r="DT150" s="47">
        <v>46387</v>
      </c>
      <c r="DU150" s="56">
        <v>665.04</v>
      </c>
      <c r="DV150" s="57">
        <v>237.92</v>
      </c>
      <c r="DW150" s="70"/>
      <c r="DX150" s="62"/>
      <c r="DY150" s="27"/>
      <c r="DZ150" s="51"/>
      <c r="EA150" s="52"/>
      <c r="EB150" s="52"/>
      <c r="EC150" s="53">
        <f t="shared" si="82"/>
        <v>0</v>
      </c>
      <c r="EE150" s="47">
        <v>46387</v>
      </c>
      <c r="EF150" s="56">
        <v>5041.37</v>
      </c>
      <c r="EG150" s="57">
        <v>1489.99</v>
      </c>
      <c r="EH150" s="70"/>
      <c r="EI150" s="59">
        <v>89.83</v>
      </c>
      <c r="EJ150" s="27"/>
      <c r="EK150" s="51"/>
      <c r="EL150" s="52"/>
      <c r="EM150" s="52"/>
      <c r="EN150" s="53">
        <f t="shared" si="83"/>
        <v>89.83</v>
      </c>
      <c r="EP150" s="47">
        <v>46387</v>
      </c>
      <c r="EQ150" s="98">
        <v>813.69</v>
      </c>
      <c r="ER150" s="99">
        <v>439.28</v>
      </c>
      <c r="ES150" s="70"/>
      <c r="ET150" s="59"/>
      <c r="EV150" s="51"/>
      <c r="EW150" s="52"/>
      <c r="EX150" s="52"/>
      <c r="EY150" s="53">
        <f t="shared" ref="EY150" si="85">SUM(ET150:EX150)</f>
        <v>0</v>
      </c>
    </row>
    <row r="151" spans="2:155" ht="19.5" hidden="1" thickBot="1" x14ac:dyDescent="0.35">
      <c r="B151" s="32"/>
      <c r="C151" s="105">
        <f>SUM(C120:C150)</f>
        <v>544249.80000000005</v>
      </c>
      <c r="D151" s="105">
        <f>SUM(D120:D150)</f>
        <v>92398.25</v>
      </c>
      <c r="E151" s="105">
        <f>SUM(E120:E150)</f>
        <v>97906.430000000008</v>
      </c>
      <c r="F151" s="100">
        <f>SUM(F120:F150)</f>
        <v>11492.65</v>
      </c>
      <c r="G151" s="32"/>
      <c r="H151" s="106"/>
      <c r="I151" s="107">
        <f>SUM(I120:I150)</f>
        <v>0</v>
      </c>
      <c r="J151" s="108">
        <f>SUM(J120:J150)</f>
        <v>0</v>
      </c>
      <c r="K151" s="108">
        <f>SUM(K120:K150)</f>
        <v>0</v>
      </c>
      <c r="L151" s="108">
        <f>SUM(L120:L150)</f>
        <v>326.55</v>
      </c>
      <c r="M151" s="32"/>
      <c r="N151" s="32"/>
      <c r="O151" s="105">
        <f>SUM(O120:O150)</f>
        <v>122823.39999999998</v>
      </c>
      <c r="P151" s="105">
        <f>SUM(P120:P150)</f>
        <v>16596.480000000007</v>
      </c>
      <c r="Q151" s="100">
        <f>SUM(Q120:Q150)</f>
        <v>0</v>
      </c>
      <c r="R151" s="100">
        <f>SUM(R120:R150)</f>
        <v>0</v>
      </c>
      <c r="S151" s="106"/>
      <c r="T151" s="107">
        <f>SUM(T120:T150)</f>
        <v>0</v>
      </c>
      <c r="U151" s="108">
        <f>SUM(U120:U150)</f>
        <v>0</v>
      </c>
      <c r="V151" s="108">
        <f>SUM(V120:V150)</f>
        <v>0</v>
      </c>
      <c r="W151" s="108">
        <f>SUM(W120:W150)</f>
        <v>0</v>
      </c>
      <c r="X151" s="32"/>
      <c r="Y151" s="32"/>
      <c r="Z151" s="105">
        <f>SUM(Z120:Z150)</f>
        <v>150028.29999999996</v>
      </c>
      <c r="AA151" s="105">
        <f>SUM(AA120:AA150)</f>
        <v>44168.04</v>
      </c>
      <c r="AB151" s="105">
        <f>SUM(AB120:AB150)</f>
        <v>0</v>
      </c>
      <c r="AC151" s="100">
        <f>SUM(AC120:AC150)</f>
        <v>2983.28</v>
      </c>
      <c r="AD151" s="106"/>
      <c r="AE151" s="107">
        <f>SUM(AE120:AE150)</f>
        <v>0</v>
      </c>
      <c r="AF151" s="108">
        <f>SUM(AF120:AF150)</f>
        <v>0</v>
      </c>
      <c r="AG151" s="108">
        <f>SUM(AG120:AG150)</f>
        <v>0</v>
      </c>
      <c r="AH151" s="108">
        <f>SUM(AH120:AH150)</f>
        <v>2983.28</v>
      </c>
      <c r="AI151" s="32"/>
      <c r="AJ151" s="32"/>
      <c r="AK151" s="105">
        <f>SUM(AK120:AK150)</f>
        <v>85552.289999999979</v>
      </c>
      <c r="AL151" s="105">
        <f>SUM(AL120:AL150)</f>
        <v>11758.61</v>
      </c>
      <c r="AM151" s="100">
        <f>SUM(AM120:AM150)</f>
        <v>0</v>
      </c>
      <c r="AN151" s="100">
        <f>SUM(AN120:AN150)</f>
        <v>0</v>
      </c>
      <c r="AO151" s="106"/>
      <c r="AP151" s="107">
        <f>SUM(AP120:AP150)</f>
        <v>0</v>
      </c>
      <c r="AQ151" s="108">
        <f>SUM(AQ120:AQ150)</f>
        <v>0</v>
      </c>
      <c r="AR151" s="108">
        <f>SUM(AR120:AR150)</f>
        <v>0</v>
      </c>
      <c r="AS151" s="108">
        <f>SUM(AS120:AS150)</f>
        <v>0</v>
      </c>
      <c r="AT151" s="32"/>
      <c r="AU151" s="32"/>
      <c r="AV151" s="105">
        <f>SUM(AV120:AV150)</f>
        <v>22994.320000000003</v>
      </c>
      <c r="AW151" s="105">
        <f>SUM(AW120:AW150)</f>
        <v>1597.27</v>
      </c>
      <c r="AX151" s="100">
        <f>SUM(AX120:AX150)</f>
        <v>0</v>
      </c>
      <c r="AY151" s="100">
        <f>SUM(AY120:AY150)</f>
        <v>1053.57</v>
      </c>
      <c r="AZ151" s="106"/>
      <c r="BA151" s="107">
        <f>SUM(BA120:BA150)</f>
        <v>0</v>
      </c>
      <c r="BB151" s="108">
        <f>SUM(BB120:BB150)</f>
        <v>0</v>
      </c>
      <c r="BC151" s="108">
        <f>SUM(BC120:BC150)</f>
        <v>0</v>
      </c>
      <c r="BD151" s="108">
        <f>SUM(BD120:BD150)</f>
        <v>1053.57</v>
      </c>
      <c r="BE151" s="32"/>
      <c r="BF151" s="32"/>
      <c r="BG151" s="105">
        <f>SUM(BG120:BG150)</f>
        <v>134257.79999999999</v>
      </c>
      <c r="BH151" s="105">
        <f>SUM(BH120:BH150)</f>
        <v>19219.430000000008</v>
      </c>
      <c r="BI151" s="100">
        <f>SUM(BI120:BI150)</f>
        <v>0</v>
      </c>
      <c r="BJ151" s="105">
        <f>SUM(BJ120:BJ150)</f>
        <v>211.49</v>
      </c>
      <c r="BK151" s="106"/>
      <c r="BL151" s="107">
        <f>SUM(BL120:BL150)</f>
        <v>0</v>
      </c>
      <c r="BM151" s="108">
        <f>SUM(BM120:BM150)</f>
        <v>0</v>
      </c>
      <c r="BN151" s="108">
        <f>SUM(BN120:BN150)</f>
        <v>0</v>
      </c>
      <c r="BO151" s="108">
        <f>SUM(BO120:BO150)</f>
        <v>196.21</v>
      </c>
      <c r="BP151" s="32"/>
      <c r="BQ151" s="32"/>
      <c r="BR151" s="105">
        <f>SUM(BR120:BR150)</f>
        <v>11548.730000000001</v>
      </c>
      <c r="BS151" s="105">
        <f>SUM(BS120:BS150)</f>
        <v>15416.360000000002</v>
      </c>
      <c r="BT151" s="100">
        <f>SUM(BT120:BT150)</f>
        <v>0</v>
      </c>
      <c r="BU151" s="105">
        <f>SUM(BU120:BU150)</f>
        <v>110</v>
      </c>
      <c r="BV151" s="106"/>
      <c r="BW151" s="107">
        <f>SUM(BW120:BW150)</f>
        <v>0</v>
      </c>
      <c r="BX151" s="108">
        <f>SUM(BX120:BX150)</f>
        <v>0</v>
      </c>
      <c r="BY151" s="108">
        <f>SUM(BY120:BY150)</f>
        <v>0</v>
      </c>
      <c r="BZ151" s="108">
        <f>SUM(BZ120:BZ150)</f>
        <v>110</v>
      </c>
      <c r="CA151" s="32"/>
      <c r="CB151" s="32"/>
      <c r="CC151" s="105">
        <f>SUM(CC120:CC150)</f>
        <v>627975.41999999993</v>
      </c>
      <c r="CD151" s="105">
        <f>SUM(CD120:CD150)</f>
        <v>65397.509999999995</v>
      </c>
      <c r="CE151" s="100">
        <f>SUM(CE120:CE150)</f>
        <v>0</v>
      </c>
      <c r="CF151" s="109">
        <f>SUM(CF120:CF150)</f>
        <v>0</v>
      </c>
      <c r="CG151" s="106"/>
      <c r="CH151" s="107">
        <f>SUM(CH120:CH150)</f>
        <v>0</v>
      </c>
      <c r="CI151" s="108">
        <f>SUM(CI120:CI150)</f>
        <v>0</v>
      </c>
      <c r="CJ151" s="108">
        <f>SUM(CJ120:CJ150)</f>
        <v>0</v>
      </c>
      <c r="CK151" s="108">
        <f>SUM(CK120:CK150)</f>
        <v>0</v>
      </c>
      <c r="CL151" s="32"/>
      <c r="CM151" s="32"/>
      <c r="CN151" s="105">
        <f>SUM(CN120:CN150)</f>
        <v>268482.74999999994</v>
      </c>
      <c r="CO151" s="105">
        <f>SUM(CO120:CO150)</f>
        <v>50169.589999999982</v>
      </c>
      <c r="CP151" s="100">
        <f>SUM(CP120:CP150)</f>
        <v>0</v>
      </c>
      <c r="CQ151" s="105">
        <f>SUM(CQ120:CQ150)</f>
        <v>0</v>
      </c>
      <c r="CR151" s="106"/>
      <c r="CS151" s="107">
        <f>SUM(CS120:CS150)</f>
        <v>0</v>
      </c>
      <c r="CT151" s="108">
        <f>SUM(CT120:CT150)</f>
        <v>0</v>
      </c>
      <c r="CU151" s="108">
        <f>SUM(CU120:CU150)</f>
        <v>0</v>
      </c>
      <c r="CV151" s="108">
        <f>SUM(CV120:CV150)</f>
        <v>0</v>
      </c>
      <c r="CW151" s="32"/>
      <c r="CX151" s="32"/>
      <c r="CY151" s="105">
        <f>SUM(CY120:CY150)</f>
        <v>156565.59</v>
      </c>
      <c r="CZ151" s="105">
        <f>SUM(CZ120:CZ150)</f>
        <v>45621.540000000008</v>
      </c>
      <c r="DA151" s="100">
        <f>SUM(DA120:DA150)</f>
        <v>0</v>
      </c>
      <c r="DB151" s="105">
        <f>SUM(DB120:DB150)</f>
        <v>47.13</v>
      </c>
      <c r="DC151" s="106"/>
      <c r="DD151" s="107">
        <f>SUM(DD120:DD150)</f>
        <v>0</v>
      </c>
      <c r="DE151" s="108">
        <f>SUM(DE120:DE150)</f>
        <v>0</v>
      </c>
      <c r="DF151" s="108">
        <f>SUM(DF120:DF150)</f>
        <v>0</v>
      </c>
      <c r="DG151" s="108">
        <f>SUM(DG120:DG150)</f>
        <v>8.1300000000000008</v>
      </c>
      <c r="DH151" s="32"/>
      <c r="DI151" s="32"/>
      <c r="DJ151" s="105">
        <f>SUM(DJ120:DJ150)</f>
        <v>60581.760000000017</v>
      </c>
      <c r="DK151" s="105">
        <f>SUM(DK120:DK150)</f>
        <v>0</v>
      </c>
      <c r="DL151" s="100">
        <f>SUM(DL120:DL150)</f>
        <v>0</v>
      </c>
      <c r="DM151" s="105">
        <f>SUM(DM120:DM150)</f>
        <v>0</v>
      </c>
      <c r="DN151" s="106"/>
      <c r="DO151" s="107">
        <f>SUM(DO120:DO150)</f>
        <v>0</v>
      </c>
      <c r="DP151" s="108">
        <f>SUM(DP120:DP150)</f>
        <v>0</v>
      </c>
      <c r="DQ151" s="108">
        <f>SUM(DQ120:DQ150)</f>
        <v>0</v>
      </c>
      <c r="DR151" s="108">
        <f>SUM(DR120:DR150)</f>
        <v>0</v>
      </c>
      <c r="DS151" s="32"/>
      <c r="DT151" s="32"/>
      <c r="DU151" s="105">
        <f>SUM(DU120:DU150)</f>
        <v>52052.720000000008</v>
      </c>
      <c r="DV151" s="105">
        <f>SUM(DV120:DV150)</f>
        <v>9374.74</v>
      </c>
      <c r="DW151" s="100">
        <f>SUM(DW120:DW150)</f>
        <v>0</v>
      </c>
      <c r="DX151" s="105">
        <f>SUM(DX120:DX150)</f>
        <v>0</v>
      </c>
      <c r="DY151" s="106"/>
      <c r="DZ151" s="107">
        <f>SUM(DZ120:DZ150)</f>
        <v>0</v>
      </c>
      <c r="EA151" s="108">
        <f>SUM(EA120:EA150)</f>
        <v>0</v>
      </c>
      <c r="EB151" s="108">
        <f>SUM(EB120:EB150)</f>
        <v>0</v>
      </c>
      <c r="EC151" s="108">
        <f>SUM(EC120:EC150)</f>
        <v>0</v>
      </c>
      <c r="ED151" s="32"/>
      <c r="EE151" s="32"/>
      <c r="EF151" s="105">
        <f>SUM(EF120:EF150)</f>
        <v>188491.96999999994</v>
      </c>
      <c r="EG151" s="105">
        <f>SUM(EG120:EG150)</f>
        <v>49679.32</v>
      </c>
      <c r="EH151" s="100">
        <f>SUM(EH120:EH150)</f>
        <v>0</v>
      </c>
      <c r="EI151" s="105">
        <f>SUM(EI120:EI150)</f>
        <v>3996.68</v>
      </c>
      <c r="EJ151" s="106"/>
      <c r="EK151" s="107">
        <f>SUM(EK120:EK150)</f>
        <v>0</v>
      </c>
      <c r="EL151" s="108">
        <f>SUM(EL120:EL150)</f>
        <v>0</v>
      </c>
      <c r="EM151" s="108">
        <f>SUM(EM120:EM150)</f>
        <v>0</v>
      </c>
      <c r="EN151" s="108">
        <f>SUM(EN120:EN150)</f>
        <v>3838.24</v>
      </c>
      <c r="EO151" s="32"/>
      <c r="EP151" s="32"/>
      <c r="EQ151" s="105">
        <f>SUM(EQ120:EQ150)</f>
        <v>24759.939999999995</v>
      </c>
      <c r="ER151" s="105">
        <f>SUM(ER120:ER150)</f>
        <v>14943.670000000002</v>
      </c>
      <c r="ES151" s="100">
        <f>SUM(ES120:ES150)</f>
        <v>0</v>
      </c>
      <c r="ET151" s="105">
        <f>SUM(ET120:ET150)</f>
        <v>5.01</v>
      </c>
      <c r="EV151" s="107">
        <f>SUM(EV120:EV150)</f>
        <v>0</v>
      </c>
      <c r="EW151" s="108">
        <f>SUM(EW120:EW150)</f>
        <v>0</v>
      </c>
      <c r="EX151" s="108">
        <f>SUM(EX120:EX150)</f>
        <v>0</v>
      </c>
      <c r="EY151" s="108">
        <f>SUM(EY120:EY150)</f>
        <v>5.01</v>
      </c>
    </row>
    <row r="152" spans="2:155" hidden="1" x14ac:dyDescent="0.25"/>
    <row r="153" spans="2:155" hidden="1" x14ac:dyDescent="0.25"/>
    <row r="154" spans="2:155" hidden="1" x14ac:dyDescent="0.25"/>
    <row r="155" spans="2:155" ht="21" hidden="1" x14ac:dyDescent="0.35">
      <c r="C155" s="1" t="s">
        <v>0</v>
      </c>
      <c r="O155" s="1" t="s">
        <v>1</v>
      </c>
      <c r="AA155" s="1" t="s">
        <v>2</v>
      </c>
      <c r="AL155" s="1" t="s">
        <v>3</v>
      </c>
      <c r="AW155" s="1" t="s">
        <v>4</v>
      </c>
      <c r="BH155" s="1" t="s">
        <v>5</v>
      </c>
      <c r="BS155" s="1" t="s">
        <v>6</v>
      </c>
      <c r="CD155" s="1" t="s">
        <v>7</v>
      </c>
      <c r="CO155" s="1" t="s">
        <v>8</v>
      </c>
      <c r="CZ155" s="1" t="s">
        <v>9</v>
      </c>
      <c r="DK155" s="1" t="s">
        <v>10</v>
      </c>
      <c r="DV155" s="1" t="s">
        <v>11</v>
      </c>
      <c r="EG155" s="1" t="s">
        <v>12</v>
      </c>
      <c r="ER155" s="1" t="s">
        <v>13</v>
      </c>
    </row>
    <row r="156" spans="2:155" ht="15.75" hidden="1" thickBot="1" x14ac:dyDescent="0.3"/>
    <row r="157" spans="2:155" hidden="1" x14ac:dyDescent="0.25">
      <c r="B157" s="2" t="s">
        <v>14</v>
      </c>
      <c r="C157" s="3" t="s">
        <v>15</v>
      </c>
      <c r="D157" s="4" t="s">
        <v>15</v>
      </c>
      <c r="E157" s="4" t="s">
        <v>15</v>
      </c>
      <c r="F157" s="5" t="s">
        <v>16</v>
      </c>
      <c r="G157" s="5" t="s">
        <v>16</v>
      </c>
      <c r="H157" s="6"/>
      <c r="I157" s="7" t="s">
        <v>16</v>
      </c>
      <c r="J157" s="8" t="s">
        <v>16</v>
      </c>
      <c r="K157" s="9" t="s">
        <v>16</v>
      </c>
      <c r="L157" s="10" t="s">
        <v>17</v>
      </c>
      <c r="N157" s="2" t="s">
        <v>14</v>
      </c>
      <c r="O157" s="3" t="s">
        <v>15</v>
      </c>
      <c r="P157" s="4" t="s">
        <v>15</v>
      </c>
      <c r="Q157" s="5" t="s">
        <v>16</v>
      </c>
      <c r="R157" s="11" t="s">
        <v>16</v>
      </c>
      <c r="S157" s="6"/>
      <c r="T157" s="7" t="s">
        <v>16</v>
      </c>
      <c r="U157" s="8" t="s">
        <v>16</v>
      </c>
      <c r="V157" s="9" t="s">
        <v>16</v>
      </c>
      <c r="W157" s="10" t="s">
        <v>17</v>
      </c>
      <c r="Y157" s="2" t="s">
        <v>14</v>
      </c>
      <c r="Z157" s="3" t="s">
        <v>15</v>
      </c>
      <c r="AA157" s="4" t="s">
        <v>15</v>
      </c>
      <c r="AB157" s="4" t="s">
        <v>16</v>
      </c>
      <c r="AC157" s="11" t="s">
        <v>16</v>
      </c>
      <c r="AD157" s="6"/>
      <c r="AE157" s="7" t="s">
        <v>16</v>
      </c>
      <c r="AF157" s="8" t="s">
        <v>16</v>
      </c>
      <c r="AG157" s="9" t="s">
        <v>16</v>
      </c>
      <c r="AH157" s="10" t="s">
        <v>17</v>
      </c>
      <c r="AJ157" s="2" t="s">
        <v>14</v>
      </c>
      <c r="AK157" s="3" t="s">
        <v>15</v>
      </c>
      <c r="AL157" s="4" t="s">
        <v>15</v>
      </c>
      <c r="AM157" s="5" t="s">
        <v>16</v>
      </c>
      <c r="AN157" s="11" t="s">
        <v>16</v>
      </c>
      <c r="AO157" s="6"/>
      <c r="AP157" s="7" t="s">
        <v>16</v>
      </c>
      <c r="AQ157" s="8" t="s">
        <v>16</v>
      </c>
      <c r="AR157" s="9" t="s">
        <v>16</v>
      </c>
      <c r="AS157" s="10" t="s">
        <v>17</v>
      </c>
      <c r="AU157" s="2" t="s">
        <v>14</v>
      </c>
      <c r="AV157" s="3" t="s">
        <v>15</v>
      </c>
      <c r="AW157" s="4" t="s">
        <v>15</v>
      </c>
      <c r="AX157" s="5" t="s">
        <v>16</v>
      </c>
      <c r="AY157" s="11" t="s">
        <v>16</v>
      </c>
      <c r="AZ157" s="6"/>
      <c r="BA157" s="7" t="s">
        <v>16</v>
      </c>
      <c r="BB157" s="8" t="s">
        <v>16</v>
      </c>
      <c r="BC157" s="9" t="s">
        <v>16</v>
      </c>
      <c r="BD157" s="10" t="s">
        <v>17</v>
      </c>
      <c r="BF157" s="2" t="s">
        <v>14</v>
      </c>
      <c r="BG157" s="3" t="s">
        <v>15</v>
      </c>
      <c r="BH157" s="4" t="s">
        <v>15</v>
      </c>
      <c r="BI157" s="5" t="s">
        <v>16</v>
      </c>
      <c r="BJ157" s="11" t="s">
        <v>16</v>
      </c>
      <c r="BK157" s="6"/>
      <c r="BL157" s="7" t="s">
        <v>16</v>
      </c>
      <c r="BM157" s="8" t="s">
        <v>16</v>
      </c>
      <c r="BN157" s="9" t="s">
        <v>16</v>
      </c>
      <c r="BO157" s="10" t="s">
        <v>17</v>
      </c>
      <c r="BQ157" s="2" t="s">
        <v>14</v>
      </c>
      <c r="BR157" s="3" t="s">
        <v>15</v>
      </c>
      <c r="BS157" s="4" t="s">
        <v>15</v>
      </c>
      <c r="BT157" s="5" t="s">
        <v>16</v>
      </c>
      <c r="BU157" s="11" t="s">
        <v>16</v>
      </c>
      <c r="BV157" s="6"/>
      <c r="BW157" s="7" t="s">
        <v>16</v>
      </c>
      <c r="BX157" s="8" t="s">
        <v>16</v>
      </c>
      <c r="BY157" s="9" t="s">
        <v>16</v>
      </c>
      <c r="BZ157" s="10" t="s">
        <v>17</v>
      </c>
      <c r="CB157" s="2" t="s">
        <v>14</v>
      </c>
      <c r="CC157" s="3" t="s">
        <v>15</v>
      </c>
      <c r="CD157" s="4" t="s">
        <v>15</v>
      </c>
      <c r="CE157" s="5" t="s">
        <v>16</v>
      </c>
      <c r="CF157" s="5" t="s">
        <v>16</v>
      </c>
      <c r="CG157" s="6"/>
      <c r="CH157" s="7" t="s">
        <v>16</v>
      </c>
      <c r="CI157" s="8" t="s">
        <v>16</v>
      </c>
      <c r="CJ157" s="9" t="s">
        <v>16</v>
      </c>
      <c r="CK157" s="10" t="s">
        <v>17</v>
      </c>
      <c r="CM157" s="2" t="s">
        <v>14</v>
      </c>
      <c r="CN157" s="3" t="s">
        <v>15</v>
      </c>
      <c r="CO157" s="4" t="s">
        <v>15</v>
      </c>
      <c r="CP157" s="5" t="s">
        <v>16</v>
      </c>
      <c r="CQ157" s="11" t="s">
        <v>16</v>
      </c>
      <c r="CR157" s="6"/>
      <c r="CS157" s="7" t="s">
        <v>16</v>
      </c>
      <c r="CT157" s="8" t="s">
        <v>16</v>
      </c>
      <c r="CU157" s="9" t="s">
        <v>16</v>
      </c>
      <c r="CV157" s="10" t="s">
        <v>17</v>
      </c>
      <c r="CX157" s="2" t="s">
        <v>14</v>
      </c>
      <c r="CY157" s="3" t="s">
        <v>15</v>
      </c>
      <c r="CZ157" s="4" t="s">
        <v>15</v>
      </c>
      <c r="DA157" s="5" t="s">
        <v>16</v>
      </c>
      <c r="DB157" s="11" t="s">
        <v>16</v>
      </c>
      <c r="DC157" s="6"/>
      <c r="DD157" s="7" t="s">
        <v>16</v>
      </c>
      <c r="DE157" s="8" t="s">
        <v>16</v>
      </c>
      <c r="DF157" s="9" t="s">
        <v>16</v>
      </c>
      <c r="DG157" s="10" t="s">
        <v>17</v>
      </c>
      <c r="DI157" s="2" t="s">
        <v>14</v>
      </c>
      <c r="DJ157" s="3" t="s">
        <v>15</v>
      </c>
      <c r="DK157" s="4" t="s">
        <v>15</v>
      </c>
      <c r="DL157" s="5" t="s">
        <v>16</v>
      </c>
      <c r="DM157" s="11" t="s">
        <v>16</v>
      </c>
      <c r="DN157" s="6"/>
      <c r="DO157" s="7" t="s">
        <v>16</v>
      </c>
      <c r="DP157" s="8" t="s">
        <v>16</v>
      </c>
      <c r="DQ157" s="9" t="s">
        <v>16</v>
      </c>
      <c r="DR157" s="10" t="s">
        <v>17</v>
      </c>
      <c r="DT157" s="2" t="s">
        <v>14</v>
      </c>
      <c r="DU157" s="3" t="s">
        <v>15</v>
      </c>
      <c r="DV157" s="4" t="s">
        <v>15</v>
      </c>
      <c r="DW157" s="5" t="s">
        <v>16</v>
      </c>
      <c r="DX157" s="11" t="s">
        <v>16</v>
      </c>
      <c r="DY157" s="6"/>
      <c r="DZ157" s="7" t="s">
        <v>16</v>
      </c>
      <c r="EA157" s="8" t="s">
        <v>16</v>
      </c>
      <c r="EB157" s="9" t="s">
        <v>16</v>
      </c>
      <c r="EC157" s="10" t="s">
        <v>17</v>
      </c>
      <c r="EE157" s="2" t="s">
        <v>14</v>
      </c>
      <c r="EF157" s="3" t="s">
        <v>15</v>
      </c>
      <c r="EG157" s="4" t="s">
        <v>15</v>
      </c>
      <c r="EH157" s="5" t="s">
        <v>16</v>
      </c>
      <c r="EI157" s="11" t="s">
        <v>16</v>
      </c>
      <c r="EJ157" s="6"/>
      <c r="EK157" s="7" t="s">
        <v>16</v>
      </c>
      <c r="EL157" s="8" t="s">
        <v>16</v>
      </c>
      <c r="EM157" s="9" t="s">
        <v>16</v>
      </c>
      <c r="EN157" s="10" t="s">
        <v>17</v>
      </c>
      <c r="EP157" s="2" t="s">
        <v>14</v>
      </c>
      <c r="EQ157" s="3" t="s">
        <v>15</v>
      </c>
      <c r="ER157" s="4" t="s">
        <v>15</v>
      </c>
      <c r="ES157" s="5" t="s">
        <v>16</v>
      </c>
      <c r="ET157" s="11" t="s">
        <v>16</v>
      </c>
      <c r="EV157" s="7" t="s">
        <v>16</v>
      </c>
      <c r="EW157" s="8" t="s">
        <v>16</v>
      </c>
      <c r="EX157" s="9" t="s">
        <v>16</v>
      </c>
      <c r="EY157" s="10" t="s">
        <v>17</v>
      </c>
    </row>
    <row r="158" spans="2:155" ht="15.75" hidden="1" thickBot="1" x14ac:dyDescent="0.3">
      <c r="B158" s="87"/>
      <c r="C158" s="13" t="s">
        <v>18</v>
      </c>
      <c r="D158" s="14" t="s">
        <v>19</v>
      </c>
      <c r="E158" s="14" t="s">
        <v>20</v>
      </c>
      <c r="F158" s="15" t="s">
        <v>20</v>
      </c>
      <c r="G158" s="15" t="s">
        <v>27</v>
      </c>
      <c r="H158" s="6"/>
      <c r="I158" s="16" t="s">
        <v>21</v>
      </c>
      <c r="J158" s="17" t="s">
        <v>22</v>
      </c>
      <c r="K158" s="18" t="s">
        <v>23</v>
      </c>
      <c r="L158" s="19" t="s">
        <v>24</v>
      </c>
      <c r="N158" s="12"/>
      <c r="O158" s="13" t="s">
        <v>18</v>
      </c>
      <c r="P158" s="14" t="s">
        <v>19</v>
      </c>
      <c r="Q158" s="15" t="s">
        <v>19</v>
      </c>
      <c r="R158" s="20" t="s">
        <v>25</v>
      </c>
      <c r="S158" s="6"/>
      <c r="T158" s="16" t="s">
        <v>21</v>
      </c>
      <c r="U158" s="17" t="s">
        <v>22</v>
      </c>
      <c r="V158" s="18" t="s">
        <v>23</v>
      </c>
      <c r="W158" s="19" t="s">
        <v>24</v>
      </c>
      <c r="Y158" s="12"/>
      <c r="Z158" s="13" t="s">
        <v>18</v>
      </c>
      <c r="AA158" s="14" t="s">
        <v>19</v>
      </c>
      <c r="AB158" s="14" t="s">
        <v>19</v>
      </c>
      <c r="AC158" s="20" t="s">
        <v>25</v>
      </c>
      <c r="AD158" s="6"/>
      <c r="AE158" s="16" t="s">
        <v>21</v>
      </c>
      <c r="AF158" s="17" t="s">
        <v>22</v>
      </c>
      <c r="AG158" s="18" t="s">
        <v>23</v>
      </c>
      <c r="AH158" s="21" t="s">
        <v>24</v>
      </c>
      <c r="AJ158" s="12"/>
      <c r="AK158" s="13" t="s">
        <v>18</v>
      </c>
      <c r="AL158" s="14" t="s">
        <v>19</v>
      </c>
      <c r="AM158" s="15" t="s">
        <v>19</v>
      </c>
      <c r="AN158" s="20" t="s">
        <v>25</v>
      </c>
      <c r="AO158" s="6"/>
      <c r="AP158" s="16" t="s">
        <v>21</v>
      </c>
      <c r="AQ158" s="17" t="s">
        <v>22</v>
      </c>
      <c r="AR158" s="18" t="s">
        <v>23</v>
      </c>
      <c r="AS158" s="21" t="s">
        <v>24</v>
      </c>
      <c r="AU158" s="12"/>
      <c r="AV158" s="13" t="s">
        <v>18</v>
      </c>
      <c r="AW158" s="14" t="s">
        <v>19</v>
      </c>
      <c r="AX158" s="15" t="s">
        <v>19</v>
      </c>
      <c r="AY158" s="20" t="s">
        <v>25</v>
      </c>
      <c r="AZ158" s="6"/>
      <c r="BA158" s="16" t="s">
        <v>21</v>
      </c>
      <c r="BB158" s="17" t="s">
        <v>22</v>
      </c>
      <c r="BC158" s="18" t="s">
        <v>23</v>
      </c>
      <c r="BD158" s="21" t="s">
        <v>24</v>
      </c>
      <c r="BF158" s="12"/>
      <c r="BG158" s="13" t="s">
        <v>18</v>
      </c>
      <c r="BH158" s="14" t="s">
        <v>19</v>
      </c>
      <c r="BI158" s="15" t="s">
        <v>19</v>
      </c>
      <c r="BJ158" s="20" t="s">
        <v>25</v>
      </c>
      <c r="BK158" s="6"/>
      <c r="BL158" s="16" t="s">
        <v>21</v>
      </c>
      <c r="BM158" s="17" t="s">
        <v>22</v>
      </c>
      <c r="BN158" s="18" t="s">
        <v>23</v>
      </c>
      <c r="BO158" s="21" t="s">
        <v>24</v>
      </c>
      <c r="BQ158" s="12"/>
      <c r="BR158" s="13" t="s">
        <v>18</v>
      </c>
      <c r="BS158" s="14" t="s">
        <v>19</v>
      </c>
      <c r="BT158" s="15" t="s">
        <v>19</v>
      </c>
      <c r="BU158" s="20" t="s">
        <v>25</v>
      </c>
      <c r="BV158" s="6"/>
      <c r="BW158" s="16" t="s">
        <v>21</v>
      </c>
      <c r="BX158" s="17" t="s">
        <v>22</v>
      </c>
      <c r="BY158" s="18" t="s">
        <v>23</v>
      </c>
      <c r="BZ158" s="21" t="s">
        <v>24</v>
      </c>
      <c r="CB158" s="12"/>
      <c r="CC158" s="13" t="s">
        <v>18</v>
      </c>
      <c r="CD158" s="14" t="s">
        <v>19</v>
      </c>
      <c r="CE158" s="15" t="s">
        <v>19</v>
      </c>
      <c r="CF158" s="15" t="s">
        <v>25</v>
      </c>
      <c r="CG158" s="6"/>
      <c r="CH158" s="16" t="s">
        <v>21</v>
      </c>
      <c r="CI158" s="17" t="s">
        <v>22</v>
      </c>
      <c r="CJ158" s="18" t="s">
        <v>23</v>
      </c>
      <c r="CK158" s="21" t="s">
        <v>24</v>
      </c>
      <c r="CM158" s="12"/>
      <c r="CN158" s="13" t="s">
        <v>18</v>
      </c>
      <c r="CO158" s="14" t="s">
        <v>19</v>
      </c>
      <c r="CP158" s="15" t="s">
        <v>19</v>
      </c>
      <c r="CQ158" s="20" t="s">
        <v>25</v>
      </c>
      <c r="CR158" s="6"/>
      <c r="CS158" s="16" t="s">
        <v>21</v>
      </c>
      <c r="CT158" s="17" t="s">
        <v>22</v>
      </c>
      <c r="CU158" s="18" t="s">
        <v>23</v>
      </c>
      <c r="CV158" s="21" t="s">
        <v>24</v>
      </c>
      <c r="CX158" s="12"/>
      <c r="CY158" s="13" t="s">
        <v>18</v>
      </c>
      <c r="CZ158" s="14" t="s">
        <v>19</v>
      </c>
      <c r="DA158" s="15" t="s">
        <v>19</v>
      </c>
      <c r="DB158" s="20" t="s">
        <v>25</v>
      </c>
      <c r="DC158" s="6"/>
      <c r="DD158" s="16" t="s">
        <v>21</v>
      </c>
      <c r="DE158" s="17" t="s">
        <v>22</v>
      </c>
      <c r="DF158" s="18" t="s">
        <v>23</v>
      </c>
      <c r="DG158" s="21" t="s">
        <v>24</v>
      </c>
      <c r="DI158" s="12"/>
      <c r="DJ158" s="13" t="s">
        <v>18</v>
      </c>
      <c r="DK158" s="14" t="s">
        <v>19</v>
      </c>
      <c r="DL158" s="15" t="s">
        <v>19</v>
      </c>
      <c r="DM158" s="20" t="s">
        <v>25</v>
      </c>
      <c r="DN158" s="6"/>
      <c r="DO158" s="16" t="s">
        <v>21</v>
      </c>
      <c r="DP158" s="17" t="s">
        <v>22</v>
      </c>
      <c r="DQ158" s="18" t="s">
        <v>23</v>
      </c>
      <c r="DR158" s="21" t="s">
        <v>24</v>
      </c>
      <c r="DT158" s="12"/>
      <c r="DU158" s="13" t="s">
        <v>18</v>
      </c>
      <c r="DV158" s="14" t="s">
        <v>19</v>
      </c>
      <c r="DW158" s="15" t="s">
        <v>19</v>
      </c>
      <c r="DX158" s="20" t="s">
        <v>25</v>
      </c>
      <c r="DY158" s="6"/>
      <c r="DZ158" s="16" t="s">
        <v>21</v>
      </c>
      <c r="EA158" s="17" t="s">
        <v>22</v>
      </c>
      <c r="EB158" s="18" t="s">
        <v>23</v>
      </c>
      <c r="EC158" s="21" t="s">
        <v>24</v>
      </c>
      <c r="EE158" s="12"/>
      <c r="EF158" s="13" t="s">
        <v>18</v>
      </c>
      <c r="EG158" s="14" t="s">
        <v>19</v>
      </c>
      <c r="EH158" s="15" t="s">
        <v>19</v>
      </c>
      <c r="EI158" s="20" t="s">
        <v>25</v>
      </c>
      <c r="EJ158" s="6"/>
      <c r="EK158" s="16" t="s">
        <v>21</v>
      </c>
      <c r="EL158" s="17" t="s">
        <v>22</v>
      </c>
      <c r="EM158" s="18" t="s">
        <v>23</v>
      </c>
      <c r="EN158" s="21" t="s">
        <v>24</v>
      </c>
      <c r="EP158" s="12"/>
      <c r="EQ158" s="13" t="s">
        <v>18</v>
      </c>
      <c r="ER158" s="14" t="s">
        <v>19</v>
      </c>
      <c r="ES158" s="15" t="s">
        <v>19</v>
      </c>
      <c r="ET158" s="20" t="s">
        <v>25</v>
      </c>
      <c r="EV158" s="16" t="s">
        <v>21</v>
      </c>
      <c r="EW158" s="17" t="s">
        <v>22</v>
      </c>
      <c r="EX158" s="18" t="s">
        <v>23</v>
      </c>
      <c r="EY158" s="21" t="s">
        <v>24</v>
      </c>
    </row>
    <row r="159" spans="2:155" hidden="1" x14ac:dyDescent="0.25">
      <c r="B159" s="22">
        <v>46023</v>
      </c>
      <c r="C159" s="23">
        <v>8563.61</v>
      </c>
      <c r="D159" s="24">
        <v>915.51</v>
      </c>
      <c r="E159" s="25">
        <v>1547.27</v>
      </c>
      <c r="F159" s="26">
        <v>346.32</v>
      </c>
      <c r="G159" s="101"/>
      <c r="H159" s="27"/>
      <c r="I159" s="28"/>
      <c r="J159" s="29"/>
      <c r="K159" s="29"/>
      <c r="L159" s="30">
        <f>SUM(G159:K159)</f>
        <v>0</v>
      </c>
      <c r="N159" s="22">
        <f>+B159</f>
        <v>46023</v>
      </c>
      <c r="O159" s="31">
        <v>1031.3499999999999</v>
      </c>
      <c r="P159" s="31">
        <v>558.6</v>
      </c>
      <c r="Q159" s="36"/>
      <c r="R159" s="26"/>
      <c r="S159" s="27"/>
      <c r="T159" s="239">
        <v>27.501250000000002</v>
      </c>
      <c r="U159" s="239"/>
      <c r="V159" s="239"/>
      <c r="W159" s="30">
        <f>SUM(R159:V159)</f>
        <v>27.501250000000002</v>
      </c>
      <c r="Y159" s="22">
        <f>+N159</f>
        <v>46023</v>
      </c>
      <c r="Z159" s="34">
        <v>3629.04</v>
      </c>
      <c r="AA159" s="35">
        <v>1047.67</v>
      </c>
      <c r="AB159" s="43"/>
      <c r="AC159" s="37">
        <v>178.96</v>
      </c>
      <c r="AD159" s="27"/>
      <c r="AE159" s="239"/>
      <c r="AF159" s="30"/>
      <c r="AG159" s="29"/>
      <c r="AH159" s="30">
        <f>SUM(AC159:AG159)</f>
        <v>178.96</v>
      </c>
      <c r="AJ159" s="22">
        <f>+Y159</f>
        <v>46023</v>
      </c>
      <c r="AK159" s="34">
        <v>2562.36</v>
      </c>
      <c r="AL159" s="35">
        <v>506.95</v>
      </c>
      <c r="AM159" s="36"/>
      <c r="AN159" s="36"/>
      <c r="AO159" s="27"/>
      <c r="AP159" s="28"/>
      <c r="AQ159" s="29"/>
      <c r="AR159" s="29"/>
      <c r="AS159" s="30">
        <f>SUM(AN159:AR159)</f>
        <v>0</v>
      </c>
      <c r="AU159" s="22">
        <f>+AJ159</f>
        <v>46023</v>
      </c>
      <c r="AV159" s="39">
        <v>443.38</v>
      </c>
      <c r="AW159" s="39">
        <v>122.08</v>
      </c>
      <c r="AX159" s="36"/>
      <c r="AY159" s="37">
        <v>48.6</v>
      </c>
      <c r="AZ159" s="27"/>
      <c r="BA159" s="239">
        <v>17.854699999999994</v>
      </c>
      <c r="BB159" s="30"/>
      <c r="BC159" s="29"/>
      <c r="BD159" s="30">
        <f>SUM(AY159:BC159)</f>
        <v>66.454700000000003</v>
      </c>
      <c r="BF159" s="22">
        <f>+AU159</f>
        <v>46023</v>
      </c>
      <c r="BG159" s="34">
        <v>2351.77</v>
      </c>
      <c r="BH159" s="35">
        <v>379.86</v>
      </c>
      <c r="BI159" s="36"/>
      <c r="BJ159" s="37"/>
      <c r="BK159" s="27"/>
      <c r="BL159" s="28">
        <v>82.865019999999987</v>
      </c>
      <c r="BM159" s="30">
        <v>39.133287497142845</v>
      </c>
      <c r="BN159" s="29"/>
      <c r="BO159" s="30">
        <f>SUM(BJ159:BN159)</f>
        <v>121.99830749714283</v>
      </c>
      <c r="BQ159" s="22">
        <f>+BF159</f>
        <v>46023</v>
      </c>
      <c r="BR159" s="35">
        <v>80</v>
      </c>
      <c r="BS159" s="35">
        <v>569.04</v>
      </c>
      <c r="BT159" s="36"/>
      <c r="BU159" s="114"/>
      <c r="BV159" s="27"/>
      <c r="BW159" s="28"/>
      <c r="BX159" s="29"/>
      <c r="BY159" s="29"/>
      <c r="BZ159" s="30">
        <f>SUM(BU159:BY159)</f>
        <v>0</v>
      </c>
      <c r="CB159" s="22">
        <f>+BQ159</f>
        <v>46023</v>
      </c>
      <c r="CC159" s="34">
        <v>10517.42</v>
      </c>
      <c r="CD159" s="35">
        <v>1357.11</v>
      </c>
      <c r="CE159" s="36"/>
      <c r="CF159" s="116"/>
      <c r="CG159" s="27"/>
      <c r="CH159" s="28"/>
      <c r="CI159" s="29"/>
      <c r="CJ159" s="29"/>
      <c r="CK159" s="30">
        <f>SUM(CF159:CJ159)</f>
        <v>0</v>
      </c>
      <c r="CM159" s="22">
        <f>+CB159</f>
        <v>46023</v>
      </c>
      <c r="CN159" s="34">
        <v>2761.9</v>
      </c>
      <c r="CO159" s="35">
        <v>352.95</v>
      </c>
      <c r="CP159" s="36"/>
      <c r="CQ159" s="41"/>
      <c r="CR159" s="27"/>
      <c r="CS159" s="239"/>
      <c r="CT159" s="30">
        <v>13.086590933714284</v>
      </c>
      <c r="CU159" s="29"/>
      <c r="CV159" s="30">
        <f>SUM(CQ159:CU159)</f>
        <v>13.086590933714284</v>
      </c>
      <c r="CX159" s="22">
        <f>+CM159</f>
        <v>46023</v>
      </c>
      <c r="CY159" s="34">
        <v>2695.94</v>
      </c>
      <c r="CZ159" s="35">
        <v>1276.1400000000001</v>
      </c>
      <c r="DA159" s="36"/>
      <c r="DB159" s="37"/>
      <c r="DC159" s="27"/>
      <c r="DD159" s="239">
        <v>33.521020000000021</v>
      </c>
      <c r="DE159" s="30">
        <v>15.533701700571385</v>
      </c>
      <c r="DF159" s="29"/>
      <c r="DG159" s="30">
        <f>SUM(DB159:DF159)</f>
        <v>49.054721700571406</v>
      </c>
      <c r="DI159" s="22">
        <f>+CX159</f>
        <v>46023</v>
      </c>
      <c r="DJ159" s="34">
        <v>905.4</v>
      </c>
      <c r="DK159" s="43"/>
      <c r="DL159" s="36"/>
      <c r="DM159" s="41"/>
      <c r="DN159" s="27"/>
      <c r="DO159" s="28"/>
      <c r="DP159" s="29"/>
      <c r="DQ159" s="29"/>
      <c r="DR159" s="30">
        <f>SUM(DM159:DQ159)</f>
        <v>0</v>
      </c>
      <c r="DT159" s="22">
        <f>+DI159</f>
        <v>46023</v>
      </c>
      <c r="DU159" s="34">
        <v>289.24</v>
      </c>
      <c r="DV159" s="35">
        <v>103.05</v>
      </c>
      <c r="DW159" s="36"/>
      <c r="DX159" s="41"/>
      <c r="DY159" s="27"/>
      <c r="DZ159" s="239"/>
      <c r="EA159" s="30">
        <v>54.21668441142856</v>
      </c>
      <c r="EB159" s="29"/>
      <c r="EC159" s="30">
        <f>SUM(DX159:EB159)</f>
        <v>54.21668441142856</v>
      </c>
      <c r="EE159" s="22">
        <f>+DT159</f>
        <v>46023</v>
      </c>
      <c r="EF159" s="34">
        <v>2257.16</v>
      </c>
      <c r="EG159" s="35">
        <v>486.28</v>
      </c>
      <c r="EH159" s="36"/>
      <c r="EI159" s="37">
        <v>107.81</v>
      </c>
      <c r="EJ159" s="27"/>
      <c r="EK159" s="239"/>
      <c r="EL159" s="29"/>
      <c r="EM159" s="29"/>
      <c r="EN159" s="30">
        <f>SUM(EI159:EM159)</f>
        <v>107.81</v>
      </c>
      <c r="EP159" s="22">
        <f>+EE159</f>
        <v>46023</v>
      </c>
      <c r="EQ159" s="45">
        <v>458.21</v>
      </c>
      <c r="ER159" s="46">
        <v>361.67</v>
      </c>
      <c r="ES159" s="36"/>
      <c r="ET159" s="37"/>
      <c r="EV159" s="28"/>
      <c r="EW159" s="29"/>
      <c r="EX159" s="29"/>
      <c r="EY159" s="53">
        <f>SUM(ET159:EX159)</f>
        <v>0</v>
      </c>
    </row>
    <row r="160" spans="2:155" hidden="1" x14ac:dyDescent="0.25">
      <c r="B160" s="47">
        <v>46024</v>
      </c>
      <c r="C160" s="48">
        <v>13006.11</v>
      </c>
      <c r="D160" s="49">
        <v>1795.5</v>
      </c>
      <c r="E160" s="50">
        <v>2411.69</v>
      </c>
      <c r="F160" s="49">
        <v>407.78</v>
      </c>
      <c r="G160" s="50"/>
      <c r="H160" s="27"/>
      <c r="I160" s="51"/>
      <c r="J160" s="52"/>
      <c r="K160" s="52"/>
      <c r="L160" s="53">
        <f t="shared" ref="L160:L189" si="86">SUM(G160:K160)</f>
        <v>0</v>
      </c>
      <c r="N160" s="47">
        <f>+B160</f>
        <v>46024</v>
      </c>
      <c r="O160" s="54">
        <v>1828.29</v>
      </c>
      <c r="P160" s="54">
        <v>600.39</v>
      </c>
      <c r="Q160" s="58"/>
      <c r="R160" s="55"/>
      <c r="S160" s="27"/>
      <c r="T160" s="240">
        <v>311.80246</v>
      </c>
      <c r="U160" s="240">
        <v>17.929052434285708</v>
      </c>
      <c r="V160" s="240"/>
      <c r="W160" s="53">
        <f t="shared" ref="W160:W187" si="87">SUM(R160:V160)</f>
        <v>329.73151243428572</v>
      </c>
      <c r="Y160" s="47">
        <f>+N160</f>
        <v>46024</v>
      </c>
      <c r="Z160" s="56">
        <v>4992.58</v>
      </c>
      <c r="AA160" s="57">
        <v>1218.1500000000001</v>
      </c>
      <c r="AB160" s="63"/>
      <c r="AC160" s="59">
        <v>157.53</v>
      </c>
      <c r="AD160" s="27"/>
      <c r="AE160" s="240">
        <v>83.571949999999987</v>
      </c>
      <c r="AF160" s="53"/>
      <c r="AG160" s="52"/>
      <c r="AH160" s="53">
        <f t="shared" ref="AH160:AH189" si="88">SUM(AC160:AG160)</f>
        <v>241.10194999999999</v>
      </c>
      <c r="AJ160" s="47">
        <f>+Y160</f>
        <v>46024</v>
      </c>
      <c r="AK160" s="56">
        <v>4113.6099999999997</v>
      </c>
      <c r="AL160" s="57">
        <v>266.52999999999997</v>
      </c>
      <c r="AM160" s="58"/>
      <c r="AN160" s="58"/>
      <c r="AO160" s="27"/>
      <c r="AP160" s="51"/>
      <c r="AQ160" s="52"/>
      <c r="AR160" s="52"/>
      <c r="AS160" s="53">
        <f t="shared" ref="AS160:AS187" si="89">SUM(AN160:AR160)</f>
        <v>0</v>
      </c>
      <c r="AU160" s="113">
        <f>+AJ160</f>
        <v>46024</v>
      </c>
      <c r="AV160" s="57">
        <v>1305</v>
      </c>
      <c r="AW160" s="57">
        <v>81.39</v>
      </c>
      <c r="AX160" s="58"/>
      <c r="AY160" s="59"/>
      <c r="AZ160" s="27"/>
      <c r="BA160" s="240">
        <v>741.32684599999982</v>
      </c>
      <c r="BB160" s="53"/>
      <c r="BC160" s="52"/>
      <c r="BD160" s="53">
        <f t="shared" ref="BD160:BD186" si="90">SUM(AY160:BC160)</f>
        <v>741.32684599999982</v>
      </c>
      <c r="BF160" s="47">
        <f>+AU160</f>
        <v>46024</v>
      </c>
      <c r="BG160" s="56">
        <v>3602.22</v>
      </c>
      <c r="BH160" s="57">
        <v>566.39</v>
      </c>
      <c r="BI160" s="58"/>
      <c r="BJ160" s="59"/>
      <c r="BK160" s="27"/>
      <c r="BL160" s="51">
        <v>170.4205</v>
      </c>
      <c r="BM160" s="53">
        <v>35.782916319999998</v>
      </c>
      <c r="BN160" s="52"/>
      <c r="BO160" s="53">
        <f t="shared" ref="BO160:BO188" si="91">SUM(BJ160:BN160)</f>
        <v>206.20341632</v>
      </c>
      <c r="BQ160" s="47">
        <f>+BF160</f>
        <v>46024</v>
      </c>
      <c r="BR160" s="57">
        <v>90</v>
      </c>
      <c r="BS160" s="57">
        <v>427.62</v>
      </c>
      <c r="BT160" s="58"/>
      <c r="BU160" s="61"/>
      <c r="BV160" s="27"/>
      <c r="BW160" s="51"/>
      <c r="BX160" s="52"/>
      <c r="BY160" s="52"/>
      <c r="BZ160" s="53">
        <f t="shared" ref="BZ160:BZ187" si="92">SUM(BU160:BY160)</f>
        <v>0</v>
      </c>
      <c r="CB160" s="47">
        <f>+BQ160</f>
        <v>46024</v>
      </c>
      <c r="CC160" s="56">
        <v>16243.99</v>
      </c>
      <c r="CD160" s="57">
        <v>1499.68</v>
      </c>
      <c r="CE160" s="58"/>
      <c r="CF160" s="117"/>
      <c r="CG160" s="27"/>
      <c r="CH160" s="51"/>
      <c r="CI160" s="52"/>
      <c r="CJ160" s="52"/>
      <c r="CK160" s="53">
        <f t="shared" ref="CK160:CK187" si="93">SUM(CF160:CJ160)</f>
        <v>0</v>
      </c>
      <c r="CM160" s="47">
        <f>+CB160</f>
        <v>46024</v>
      </c>
      <c r="CN160" s="56">
        <v>5483.64</v>
      </c>
      <c r="CO160" s="57">
        <v>1123.93</v>
      </c>
      <c r="CP160" s="58"/>
      <c r="CQ160" s="62"/>
      <c r="CR160" s="27"/>
      <c r="CS160" s="240">
        <v>18.438799999999986</v>
      </c>
      <c r="CT160" s="53">
        <v>43.300646244571382</v>
      </c>
      <c r="CU160" s="52"/>
      <c r="CV160" s="53">
        <f t="shared" ref="CV160:CV189" si="94">SUM(CQ160:CU160)</f>
        <v>61.739446244571369</v>
      </c>
      <c r="CX160" s="47">
        <f>+CM160</f>
        <v>46024</v>
      </c>
      <c r="CY160" s="56">
        <v>6693.59</v>
      </c>
      <c r="CZ160" s="57">
        <v>2764.18</v>
      </c>
      <c r="DA160" s="58"/>
      <c r="DB160" s="59"/>
      <c r="DC160" s="27"/>
      <c r="DD160" s="240">
        <v>121.819926</v>
      </c>
      <c r="DE160" s="53">
        <v>72.299383387428293</v>
      </c>
      <c r="DF160" s="52"/>
      <c r="DG160" s="53">
        <f t="shared" ref="DG160:DG188" si="95">SUM(DB160:DF160)</f>
        <v>194.1193093874283</v>
      </c>
      <c r="DI160" s="47">
        <f>+CX160</f>
        <v>46024</v>
      </c>
      <c r="DJ160" s="56">
        <v>1729.4</v>
      </c>
      <c r="DK160" s="63"/>
      <c r="DL160" s="58"/>
      <c r="DM160" s="62"/>
      <c r="DN160" s="27"/>
      <c r="DO160" s="51"/>
      <c r="DP160" s="52"/>
      <c r="DQ160" s="52"/>
      <c r="DR160" s="53">
        <f t="shared" ref="DR160:DR187" si="96">SUM(DM160:DQ160)</f>
        <v>0</v>
      </c>
      <c r="DT160" s="47">
        <f>+DI160</f>
        <v>46024</v>
      </c>
      <c r="DU160" s="56">
        <v>1510.11</v>
      </c>
      <c r="DV160" s="57">
        <v>0</v>
      </c>
      <c r="DW160" s="58"/>
      <c r="DX160" s="62"/>
      <c r="DY160" s="27"/>
      <c r="DZ160" s="240">
        <v>71.851709999999983</v>
      </c>
      <c r="EA160" s="53"/>
      <c r="EB160" s="52"/>
      <c r="EC160" s="53">
        <f t="shared" ref="EC160:EC188" si="97">SUM(DX160:EB160)</f>
        <v>71.851709999999983</v>
      </c>
      <c r="EE160" s="47">
        <f>+DT160</f>
        <v>46024</v>
      </c>
      <c r="EF160" s="56">
        <v>6297.45</v>
      </c>
      <c r="EG160" s="57">
        <v>1414.2</v>
      </c>
      <c r="EH160" s="58"/>
      <c r="EI160" s="59">
        <v>127.73</v>
      </c>
      <c r="EJ160" s="27"/>
      <c r="EK160" s="240"/>
      <c r="EL160" s="52"/>
      <c r="EM160" s="52"/>
      <c r="EN160" s="53">
        <f t="shared" ref="EN160:EN188" si="98">SUM(EI160:EM160)</f>
        <v>127.73</v>
      </c>
      <c r="EP160" s="47">
        <f>+EE160</f>
        <v>46024</v>
      </c>
      <c r="EQ160" s="64">
        <v>735.34</v>
      </c>
      <c r="ER160" s="65">
        <v>292.01</v>
      </c>
      <c r="ES160" s="58"/>
      <c r="ET160" s="59"/>
      <c r="EV160" s="51"/>
      <c r="EW160" s="52"/>
      <c r="EX160" s="52"/>
      <c r="EY160" s="53">
        <f t="shared" ref="EY160:EY187" si="99">SUM(ET160:EX160)</f>
        <v>0</v>
      </c>
    </row>
    <row r="161" spans="2:155" hidden="1" x14ac:dyDescent="0.25">
      <c r="B161" s="47">
        <v>46025</v>
      </c>
      <c r="C161" s="48">
        <v>14167.42</v>
      </c>
      <c r="D161" s="49">
        <v>2183.66</v>
      </c>
      <c r="E161" s="50">
        <v>2177.37</v>
      </c>
      <c r="F161" s="55">
        <v>386.35</v>
      </c>
      <c r="G161" s="102"/>
      <c r="H161" s="27"/>
      <c r="I161" s="51"/>
      <c r="J161" s="52"/>
      <c r="K161" s="52"/>
      <c r="L161" s="53">
        <f t="shared" si="86"/>
        <v>0</v>
      </c>
      <c r="N161" s="47">
        <f t="shared" ref="N161:N189" si="100">+B161</f>
        <v>46025</v>
      </c>
      <c r="O161" s="54">
        <v>2182.7600000000002</v>
      </c>
      <c r="P161" s="54">
        <v>811.56</v>
      </c>
      <c r="Q161" s="58"/>
      <c r="R161" s="55"/>
      <c r="S161" s="27"/>
      <c r="T161" s="240">
        <v>221.40706999999992</v>
      </c>
      <c r="U161" s="240">
        <v>170.92325339428567</v>
      </c>
      <c r="V161" s="240"/>
      <c r="W161" s="53">
        <f t="shared" si="87"/>
        <v>392.33032339428559</v>
      </c>
      <c r="Y161" s="47">
        <f t="shared" ref="Y161:Y189" si="101">+N161</f>
        <v>46025</v>
      </c>
      <c r="Z161" s="56">
        <v>5771.51</v>
      </c>
      <c r="AA161" s="57">
        <v>1241.9100000000001</v>
      </c>
      <c r="AB161" s="63"/>
      <c r="AC161" s="59">
        <v>108.63</v>
      </c>
      <c r="AD161" s="27"/>
      <c r="AE161" s="240">
        <v>28.907280000000014</v>
      </c>
      <c r="AF161" s="53"/>
      <c r="AG161" s="52"/>
      <c r="AH161" s="53">
        <f t="shared" si="88"/>
        <v>137.53728000000001</v>
      </c>
      <c r="AJ161" s="47">
        <f t="shared" ref="AJ161:AJ189" si="102">+Y161</f>
        <v>46025</v>
      </c>
      <c r="AK161" s="56">
        <v>3595.56</v>
      </c>
      <c r="AL161" s="57">
        <v>437.05</v>
      </c>
      <c r="AM161" s="58"/>
      <c r="AN161" s="58"/>
      <c r="AO161" s="27"/>
      <c r="AP161" s="51"/>
      <c r="AQ161" s="52"/>
      <c r="AR161" s="52"/>
      <c r="AS161" s="53">
        <f t="shared" si="89"/>
        <v>0</v>
      </c>
      <c r="AU161" s="113">
        <f t="shared" ref="AU161:AU189" si="103">+AJ161</f>
        <v>46025</v>
      </c>
      <c r="AV161" s="57">
        <v>973.11</v>
      </c>
      <c r="AW161" s="57">
        <v>64.03</v>
      </c>
      <c r="AX161" s="58"/>
      <c r="AY161" s="59">
        <v>26.45</v>
      </c>
      <c r="AZ161" s="27"/>
      <c r="BA161" s="240">
        <v>383.34026699999993</v>
      </c>
      <c r="BB161" s="53"/>
      <c r="BC161" s="52"/>
      <c r="BD161" s="53">
        <f t="shared" si="90"/>
        <v>409.79026699999991</v>
      </c>
      <c r="BF161" s="47">
        <f>+AU161</f>
        <v>46025</v>
      </c>
      <c r="BG161" s="56">
        <v>3947.87</v>
      </c>
      <c r="BH161" s="57">
        <v>590.70000000000005</v>
      </c>
      <c r="BI161" s="58"/>
      <c r="BJ161" s="59"/>
      <c r="BK161" s="27"/>
      <c r="BL161" s="51">
        <v>310.39059999999989</v>
      </c>
      <c r="BM161" s="53"/>
      <c r="BN161" s="52"/>
      <c r="BO161" s="53">
        <f t="shared" si="91"/>
        <v>310.39059999999989</v>
      </c>
      <c r="BQ161" s="47">
        <f t="shared" ref="BQ161:BQ189" si="104">+BF161</f>
        <v>46025</v>
      </c>
      <c r="BR161" s="57">
        <v>1030.02</v>
      </c>
      <c r="BS161" s="57">
        <v>602.03</v>
      </c>
      <c r="BT161" s="58"/>
      <c r="BU161" s="61"/>
      <c r="BV161" s="27"/>
      <c r="BW161" s="51"/>
      <c r="BX161" s="52"/>
      <c r="BY161" s="52"/>
      <c r="BZ161" s="53">
        <f t="shared" si="92"/>
        <v>0</v>
      </c>
      <c r="CB161" s="47">
        <f t="shared" ref="CB161:CB189" si="105">+BQ161</f>
        <v>46025</v>
      </c>
      <c r="CC161" s="56">
        <v>15826.77</v>
      </c>
      <c r="CD161" s="57">
        <v>1553.68</v>
      </c>
      <c r="CE161" s="58"/>
      <c r="CF161" s="117"/>
      <c r="CG161" s="27"/>
      <c r="CH161" s="51"/>
      <c r="CI161" s="52"/>
      <c r="CJ161" s="52"/>
      <c r="CK161" s="53">
        <f t="shared" si="93"/>
        <v>0</v>
      </c>
      <c r="CM161" s="47">
        <f t="shared" ref="CM161:CM189" si="106">+CB161</f>
        <v>46025</v>
      </c>
      <c r="CN161" s="56">
        <v>4391</v>
      </c>
      <c r="CO161" s="57">
        <v>906.78</v>
      </c>
      <c r="CP161" s="58"/>
      <c r="CQ161" s="62"/>
      <c r="CR161" s="27"/>
      <c r="CS161" s="240">
        <v>50.169679999999971</v>
      </c>
      <c r="CT161" s="53">
        <v>9.2143159599999862</v>
      </c>
      <c r="CU161" s="52"/>
      <c r="CV161" s="53">
        <f t="shared" si="94"/>
        <v>59.383995959999957</v>
      </c>
      <c r="CX161" s="47">
        <f t="shared" ref="CX161:CX189" si="107">+CM161</f>
        <v>46025</v>
      </c>
      <c r="CY161" s="56">
        <v>8556.83</v>
      </c>
      <c r="CZ161" s="57">
        <v>3425.55</v>
      </c>
      <c r="DA161" s="58"/>
      <c r="DB161" s="59"/>
      <c r="DC161" s="27"/>
      <c r="DD161" s="240">
        <v>66.038127999999872</v>
      </c>
      <c r="DE161" s="53">
        <v>101.37519501714257</v>
      </c>
      <c r="DF161" s="52"/>
      <c r="DG161" s="53">
        <f t="shared" si="95"/>
        <v>167.41332301714243</v>
      </c>
      <c r="DI161" s="47">
        <f t="shared" ref="DI161:DI189" si="108">+CX161</f>
        <v>46025</v>
      </c>
      <c r="DJ161" s="56">
        <v>903.09</v>
      </c>
      <c r="DK161" s="63"/>
      <c r="DL161" s="58"/>
      <c r="DM161" s="62"/>
      <c r="DN161" s="27"/>
      <c r="DO161" s="51"/>
      <c r="DP161" s="52"/>
      <c r="DQ161" s="52"/>
      <c r="DR161" s="53">
        <f t="shared" si="96"/>
        <v>0</v>
      </c>
      <c r="DT161" s="47">
        <f t="shared" ref="DT161:DT189" si="109">+DI161</f>
        <v>46025</v>
      </c>
      <c r="DU161" s="56">
        <v>326.89999999999998</v>
      </c>
      <c r="DV161" s="57">
        <v>0</v>
      </c>
      <c r="DW161" s="58"/>
      <c r="DX161" s="62"/>
      <c r="DY161" s="27"/>
      <c r="DZ161" s="240">
        <v>86.649959999999993</v>
      </c>
      <c r="EA161" s="53"/>
      <c r="EB161" s="52"/>
      <c r="EC161" s="53">
        <f t="shared" si="97"/>
        <v>86.649959999999993</v>
      </c>
      <c r="EE161" s="47">
        <f t="shared" ref="EE161:EE189" si="110">+DT161</f>
        <v>46025</v>
      </c>
      <c r="EF161" s="56">
        <v>6761</v>
      </c>
      <c r="EG161" s="57">
        <v>1513.28</v>
      </c>
      <c r="EH161" s="58"/>
      <c r="EI161" s="59">
        <v>105.82</v>
      </c>
      <c r="EJ161" s="27"/>
      <c r="EK161" s="240">
        <v>25.17804000000001</v>
      </c>
      <c r="EL161" s="52"/>
      <c r="EM161" s="52"/>
      <c r="EN161" s="53">
        <f t="shared" si="98"/>
        <v>130.99804</v>
      </c>
      <c r="EP161" s="47">
        <f t="shared" ref="EP161:EP189" si="111">+EE161</f>
        <v>46025</v>
      </c>
      <c r="EQ161" s="64">
        <v>864.19</v>
      </c>
      <c r="ER161" s="56">
        <v>411.15</v>
      </c>
      <c r="ES161" s="58"/>
      <c r="ET161" s="59"/>
      <c r="EV161" s="51"/>
      <c r="EW161" s="52"/>
      <c r="EX161" s="52"/>
      <c r="EY161" s="53">
        <f t="shared" si="99"/>
        <v>0</v>
      </c>
    </row>
    <row r="162" spans="2:155" hidden="1" x14ac:dyDescent="0.25">
      <c r="B162" s="47">
        <v>46026</v>
      </c>
      <c r="C162" s="48">
        <v>11157.91</v>
      </c>
      <c r="D162" s="49">
        <v>1554.47</v>
      </c>
      <c r="E162" s="50">
        <v>2092.2199999999998</v>
      </c>
      <c r="F162" s="55">
        <v>359.91</v>
      </c>
      <c r="G162" s="102"/>
      <c r="H162" s="27"/>
      <c r="I162" s="51"/>
      <c r="J162" s="52"/>
      <c r="K162" s="52"/>
      <c r="L162" s="53">
        <f t="shared" si="86"/>
        <v>0</v>
      </c>
      <c r="N162" s="47">
        <f t="shared" si="100"/>
        <v>46026</v>
      </c>
      <c r="O162" s="54">
        <v>3416.41</v>
      </c>
      <c r="P162" s="54">
        <v>927.13</v>
      </c>
      <c r="Q162" s="58"/>
      <c r="R162" s="55"/>
      <c r="S162" s="27"/>
      <c r="T162" s="240">
        <v>171.69101999999998</v>
      </c>
      <c r="U162" s="240"/>
      <c r="V162" s="240"/>
      <c r="W162" s="53">
        <f t="shared" si="87"/>
        <v>171.69101999999998</v>
      </c>
      <c r="Y162" s="47">
        <f t="shared" si="101"/>
        <v>46026</v>
      </c>
      <c r="Z162" s="56">
        <v>6086.06</v>
      </c>
      <c r="AA162" s="57">
        <v>1108.73</v>
      </c>
      <c r="AB162" s="63"/>
      <c r="AC162" s="59">
        <v>127.84</v>
      </c>
      <c r="AD162" s="27"/>
      <c r="AE162" s="240"/>
      <c r="AF162" s="53"/>
      <c r="AG162" s="52"/>
      <c r="AH162" s="53">
        <f t="shared" si="88"/>
        <v>127.84</v>
      </c>
      <c r="AJ162" s="47">
        <f t="shared" si="102"/>
        <v>46026</v>
      </c>
      <c r="AK162" s="56">
        <v>2642.17</v>
      </c>
      <c r="AL162" s="57">
        <v>254.26</v>
      </c>
      <c r="AM162" s="58"/>
      <c r="AN162" s="58"/>
      <c r="AO162" s="27"/>
      <c r="AP162" s="51"/>
      <c r="AQ162" s="52"/>
      <c r="AR162" s="52"/>
      <c r="AS162" s="53">
        <f t="shared" si="89"/>
        <v>0</v>
      </c>
      <c r="AU162" s="113">
        <f t="shared" si="103"/>
        <v>46026</v>
      </c>
      <c r="AV162" s="57">
        <v>783.25</v>
      </c>
      <c r="AW162" s="57">
        <v>57.3</v>
      </c>
      <c r="AX162" s="58"/>
      <c r="AY162" s="59"/>
      <c r="AZ162" s="27"/>
      <c r="BA162" s="240">
        <v>230.67672099999982</v>
      </c>
      <c r="BB162" s="53"/>
      <c r="BC162" s="52"/>
      <c r="BD162" s="53">
        <f t="shared" si="90"/>
        <v>230.67672099999982</v>
      </c>
      <c r="BF162" s="47">
        <f>+AU162</f>
        <v>46026</v>
      </c>
      <c r="BG162" s="56">
        <v>2489.92</v>
      </c>
      <c r="BH162" s="57">
        <v>473.1</v>
      </c>
      <c r="BI162" s="58"/>
      <c r="BJ162" s="59"/>
      <c r="BK162" s="27"/>
      <c r="BL162" s="51">
        <v>101.75176999999998</v>
      </c>
      <c r="BM162" s="53"/>
      <c r="BN162" s="52"/>
      <c r="BO162" s="53">
        <f t="shared" si="91"/>
        <v>101.75176999999998</v>
      </c>
      <c r="BQ162" s="47">
        <f t="shared" si="104"/>
        <v>46026</v>
      </c>
      <c r="BR162" s="57">
        <v>286.02</v>
      </c>
      <c r="BS162" s="57">
        <v>640.51</v>
      </c>
      <c r="BT162" s="58"/>
      <c r="BU162" s="61"/>
      <c r="BV162" s="27"/>
      <c r="BW162" s="51"/>
      <c r="BX162" s="52"/>
      <c r="BY162" s="52"/>
      <c r="BZ162" s="53">
        <f t="shared" si="92"/>
        <v>0</v>
      </c>
      <c r="CB162" s="47">
        <f t="shared" si="105"/>
        <v>46026</v>
      </c>
      <c r="CC162" s="56">
        <v>15064.43</v>
      </c>
      <c r="CD162" s="57">
        <v>1363.46</v>
      </c>
      <c r="CE162" s="58"/>
      <c r="CF162" s="117"/>
      <c r="CG162" s="27"/>
      <c r="CH162" s="51"/>
      <c r="CI162" s="52"/>
      <c r="CJ162" s="52"/>
      <c r="CK162" s="53">
        <f t="shared" si="93"/>
        <v>0</v>
      </c>
      <c r="CM162" s="47">
        <f t="shared" si="106"/>
        <v>46026</v>
      </c>
      <c r="CN162" s="56">
        <v>6329.46</v>
      </c>
      <c r="CO162" s="57">
        <v>1119.81</v>
      </c>
      <c r="CP162" s="58"/>
      <c r="CQ162" s="62"/>
      <c r="CR162" s="27"/>
      <c r="CS162" s="240"/>
      <c r="CT162" s="53">
        <v>80.527218156571365</v>
      </c>
      <c r="CU162" s="52"/>
      <c r="CV162" s="53">
        <f t="shared" si="94"/>
        <v>80.527218156571365</v>
      </c>
      <c r="CX162" s="47">
        <f t="shared" si="107"/>
        <v>46026</v>
      </c>
      <c r="CY162" s="56">
        <v>10044.08</v>
      </c>
      <c r="CZ162" s="57">
        <v>4903.99</v>
      </c>
      <c r="DA162" s="58"/>
      <c r="DB162" s="59"/>
      <c r="DC162" s="27"/>
      <c r="DD162" s="240">
        <v>79.235171999999949</v>
      </c>
      <c r="DE162" s="53">
        <v>14.924163533714221</v>
      </c>
      <c r="DF162" s="52"/>
      <c r="DG162" s="53">
        <f t="shared" si="95"/>
        <v>94.15933553371417</v>
      </c>
      <c r="DI162" s="47">
        <f t="shared" si="108"/>
        <v>46026</v>
      </c>
      <c r="DJ162" s="56">
        <v>1040.01</v>
      </c>
      <c r="DK162" s="63"/>
      <c r="DL162" s="58"/>
      <c r="DM162" s="62"/>
      <c r="DN162" s="27"/>
      <c r="DO162" s="51"/>
      <c r="DP162" s="52"/>
      <c r="DQ162" s="52"/>
      <c r="DR162" s="53">
        <f t="shared" si="96"/>
        <v>0</v>
      </c>
      <c r="DT162" s="47">
        <f t="shared" si="109"/>
        <v>46026</v>
      </c>
      <c r="DU162" s="56">
        <v>230</v>
      </c>
      <c r="DV162" s="57">
        <v>52.98</v>
      </c>
      <c r="DW162" s="58"/>
      <c r="DX162" s="62"/>
      <c r="DY162" s="27"/>
      <c r="DZ162" s="240">
        <v>68.198539999999994</v>
      </c>
      <c r="EA162" s="53"/>
      <c r="EB162" s="52"/>
      <c r="EC162" s="53">
        <f t="shared" si="97"/>
        <v>68.198539999999994</v>
      </c>
      <c r="EE162" s="47">
        <f t="shared" si="110"/>
        <v>46026</v>
      </c>
      <c r="EF162" s="56">
        <v>4353.2</v>
      </c>
      <c r="EG162" s="57">
        <v>1603.03</v>
      </c>
      <c r="EH162" s="58"/>
      <c r="EI162" s="59">
        <v>104.55</v>
      </c>
      <c r="EJ162" s="27"/>
      <c r="EK162" s="240"/>
      <c r="EL162" s="52"/>
      <c r="EM162" s="52"/>
      <c r="EN162" s="53">
        <f t="shared" si="98"/>
        <v>104.55</v>
      </c>
      <c r="EP162" s="47">
        <f t="shared" si="111"/>
        <v>46026</v>
      </c>
      <c r="EQ162" s="64">
        <v>222.04</v>
      </c>
      <c r="ER162" s="56">
        <v>306.27</v>
      </c>
      <c r="ES162" s="58"/>
      <c r="ET162" s="59"/>
      <c r="EV162" s="51"/>
      <c r="EW162" s="52"/>
      <c r="EX162" s="52"/>
      <c r="EY162" s="53">
        <f t="shared" si="99"/>
        <v>0</v>
      </c>
    </row>
    <row r="163" spans="2:155" hidden="1" x14ac:dyDescent="0.25">
      <c r="B163" s="47">
        <v>46027</v>
      </c>
      <c r="C163" s="48">
        <v>12093.14</v>
      </c>
      <c r="D163" s="49">
        <v>2187.0500000000002</v>
      </c>
      <c r="E163" s="50">
        <v>3911.89</v>
      </c>
      <c r="F163" s="66">
        <v>538.22</v>
      </c>
      <c r="G163" s="50"/>
      <c r="H163" s="27"/>
      <c r="I163" s="51"/>
      <c r="J163" s="52"/>
      <c r="K163" s="52"/>
      <c r="L163" s="53">
        <f t="shared" si="86"/>
        <v>0</v>
      </c>
      <c r="N163" s="47">
        <f t="shared" si="100"/>
        <v>46027</v>
      </c>
      <c r="O163" s="54">
        <v>2110.52</v>
      </c>
      <c r="P163" s="54">
        <v>501.81</v>
      </c>
      <c r="Q163" s="58"/>
      <c r="R163" s="55"/>
      <c r="S163" s="27"/>
      <c r="T163" s="240">
        <v>315.19395999999983</v>
      </c>
      <c r="U163" s="240"/>
      <c r="V163" s="240"/>
      <c r="W163" s="53">
        <f t="shared" si="87"/>
        <v>315.19395999999983</v>
      </c>
      <c r="Y163" s="47">
        <f t="shared" si="101"/>
        <v>46027</v>
      </c>
      <c r="Z163" s="56">
        <v>7298.95</v>
      </c>
      <c r="AA163" s="57">
        <v>1136.71</v>
      </c>
      <c r="AB163" s="63"/>
      <c r="AC163" s="59">
        <v>155.44999999999999</v>
      </c>
      <c r="AD163" s="27"/>
      <c r="AE163" s="240">
        <v>158.49999999999994</v>
      </c>
      <c r="AF163" s="53"/>
      <c r="AG163" s="52"/>
      <c r="AH163" s="53">
        <f t="shared" si="88"/>
        <v>313.94999999999993</v>
      </c>
      <c r="AJ163" s="47">
        <f t="shared" si="102"/>
        <v>46027</v>
      </c>
      <c r="AK163" s="56">
        <v>2929.77</v>
      </c>
      <c r="AL163" s="57">
        <v>456.21</v>
      </c>
      <c r="AM163" s="58"/>
      <c r="AN163" s="58"/>
      <c r="AO163" s="27"/>
      <c r="AP163" s="51"/>
      <c r="AQ163" s="52"/>
      <c r="AR163" s="52"/>
      <c r="AS163" s="53">
        <f t="shared" si="89"/>
        <v>0</v>
      </c>
      <c r="AU163" s="113">
        <f t="shared" si="103"/>
        <v>46027</v>
      </c>
      <c r="AV163" s="57">
        <v>826.34</v>
      </c>
      <c r="AW163" s="57">
        <v>60.76</v>
      </c>
      <c r="AX163" s="58"/>
      <c r="AY163" s="59">
        <v>75.28</v>
      </c>
      <c r="AZ163" s="27"/>
      <c r="BA163" s="240">
        <v>466.04347599999994</v>
      </c>
      <c r="BB163" s="53"/>
      <c r="BC163" s="52"/>
      <c r="BD163" s="53">
        <f t="shared" si="90"/>
        <v>541.32347599999991</v>
      </c>
      <c r="BF163" s="47">
        <f>+AU163</f>
        <v>46027</v>
      </c>
      <c r="BG163" s="56">
        <v>2886.66</v>
      </c>
      <c r="BH163" s="57">
        <v>683.24</v>
      </c>
      <c r="BI163" s="58"/>
      <c r="BJ163" s="59"/>
      <c r="BK163" s="27"/>
      <c r="BL163" s="51">
        <v>603.91710999999998</v>
      </c>
      <c r="BM163" s="53">
        <v>102.68619866285715</v>
      </c>
      <c r="BN163" s="52"/>
      <c r="BO163" s="53">
        <f t="shared" si="91"/>
        <v>706.6033086628571</v>
      </c>
      <c r="BQ163" s="47">
        <f t="shared" si="104"/>
        <v>46027</v>
      </c>
      <c r="BR163" s="57">
        <v>302.94</v>
      </c>
      <c r="BS163" s="57">
        <v>319.22000000000003</v>
      </c>
      <c r="BT163" s="58"/>
      <c r="BU163" s="61"/>
      <c r="BV163" s="27"/>
      <c r="BW163" s="51"/>
      <c r="BX163" s="52"/>
      <c r="BY163" s="52"/>
      <c r="BZ163" s="53">
        <f t="shared" si="92"/>
        <v>0</v>
      </c>
      <c r="CB163" s="47">
        <f t="shared" si="105"/>
        <v>46027</v>
      </c>
      <c r="CC163" s="56">
        <v>16620.59</v>
      </c>
      <c r="CD163" s="57">
        <v>1664.82</v>
      </c>
      <c r="CE163" s="58"/>
      <c r="CF163" s="117"/>
      <c r="CG163" s="27"/>
      <c r="CH163" s="51"/>
      <c r="CI163" s="52"/>
      <c r="CJ163" s="52"/>
      <c r="CK163" s="53">
        <f t="shared" si="93"/>
        <v>0</v>
      </c>
      <c r="CM163" s="47">
        <f t="shared" si="106"/>
        <v>46027</v>
      </c>
      <c r="CN163" s="56">
        <v>8135.47</v>
      </c>
      <c r="CO163" s="57">
        <v>1080.49</v>
      </c>
      <c r="CP163" s="58"/>
      <c r="CQ163" s="62"/>
      <c r="CR163" s="27"/>
      <c r="CS163" s="240">
        <v>116.88975999999994</v>
      </c>
      <c r="CT163" s="53">
        <v>218.34429896342832</v>
      </c>
      <c r="CU163" s="52"/>
      <c r="CV163" s="53">
        <f t="shared" si="94"/>
        <v>335.23405896342825</v>
      </c>
      <c r="CX163" s="47">
        <f t="shared" si="107"/>
        <v>46027</v>
      </c>
      <c r="CY163" s="56">
        <v>5443.64</v>
      </c>
      <c r="CZ163" s="57">
        <v>2171.36</v>
      </c>
      <c r="DA163" s="58"/>
      <c r="DB163" s="59"/>
      <c r="DC163" s="27"/>
      <c r="DD163" s="240">
        <v>107.24336999999996</v>
      </c>
      <c r="DE163" s="53"/>
      <c r="DF163" s="52"/>
      <c r="DG163" s="53">
        <f t="shared" si="95"/>
        <v>107.24336999999996</v>
      </c>
      <c r="DI163" s="47">
        <f t="shared" si="108"/>
        <v>46027</v>
      </c>
      <c r="DJ163" s="56">
        <v>2112.79</v>
      </c>
      <c r="DK163" s="63"/>
      <c r="DL163" s="58"/>
      <c r="DM163" s="62"/>
      <c r="DN163" s="27"/>
      <c r="DO163" s="51"/>
      <c r="DP163" s="52"/>
      <c r="DQ163" s="52"/>
      <c r="DR163" s="53">
        <f t="shared" si="96"/>
        <v>0</v>
      </c>
      <c r="DT163" s="47">
        <f t="shared" si="109"/>
        <v>46027</v>
      </c>
      <c r="DU163" s="56">
        <v>2034.37</v>
      </c>
      <c r="DV163" s="57">
        <v>378.02</v>
      </c>
      <c r="DW163" s="58"/>
      <c r="DX163" s="62"/>
      <c r="DY163" s="27"/>
      <c r="DZ163" s="240">
        <v>66.699920000000006</v>
      </c>
      <c r="EA163" s="53">
        <v>34.125929485714281</v>
      </c>
      <c r="EB163" s="52"/>
      <c r="EC163" s="53">
        <f t="shared" si="97"/>
        <v>100.82584948571429</v>
      </c>
      <c r="EE163" s="47">
        <f t="shared" si="110"/>
        <v>46027</v>
      </c>
      <c r="EF163" s="56">
        <v>6359.19</v>
      </c>
      <c r="EG163" s="57">
        <v>1131.05</v>
      </c>
      <c r="EH163" s="58"/>
      <c r="EI163" s="59">
        <v>106.37</v>
      </c>
      <c r="EJ163" s="27"/>
      <c r="EK163" s="240"/>
      <c r="EL163" s="52"/>
      <c r="EM163" s="52"/>
      <c r="EN163" s="53">
        <f t="shared" si="98"/>
        <v>106.37</v>
      </c>
      <c r="EP163" s="47">
        <f t="shared" si="111"/>
        <v>46027</v>
      </c>
      <c r="EQ163" s="64">
        <v>714.87</v>
      </c>
      <c r="ER163" s="56">
        <v>387.3</v>
      </c>
      <c r="ES163" s="58"/>
      <c r="ET163" s="59"/>
      <c r="EV163" s="51"/>
      <c r="EW163" s="52"/>
      <c r="EX163" s="52"/>
      <c r="EY163" s="53">
        <f t="shared" si="99"/>
        <v>0</v>
      </c>
    </row>
    <row r="164" spans="2:155" hidden="1" x14ac:dyDescent="0.25">
      <c r="B164" s="47">
        <v>46028</v>
      </c>
      <c r="C164" s="48">
        <v>14258.56</v>
      </c>
      <c r="D164" s="49">
        <v>2911.29</v>
      </c>
      <c r="E164" s="50">
        <v>2716.93</v>
      </c>
      <c r="F164" s="55">
        <v>562.67999999999995</v>
      </c>
      <c r="G164" s="102"/>
      <c r="H164" s="27"/>
      <c r="I164" s="51"/>
      <c r="J164" s="52"/>
      <c r="K164" s="52"/>
      <c r="L164" s="53">
        <f t="shared" si="86"/>
        <v>0</v>
      </c>
      <c r="N164" s="47">
        <f t="shared" si="100"/>
        <v>46028</v>
      </c>
      <c r="O164" s="54">
        <v>2723.98</v>
      </c>
      <c r="P164" s="54">
        <v>476.62</v>
      </c>
      <c r="Q164" s="58"/>
      <c r="R164" s="55"/>
      <c r="S164" s="27"/>
      <c r="T164" s="240">
        <v>497.30211999999983</v>
      </c>
      <c r="U164" s="240"/>
      <c r="V164" s="240"/>
      <c r="W164" s="53">
        <f t="shared" si="87"/>
        <v>497.30211999999983</v>
      </c>
      <c r="Y164" s="47">
        <f t="shared" si="101"/>
        <v>46028</v>
      </c>
      <c r="Z164" s="56">
        <v>4353.4399999999996</v>
      </c>
      <c r="AA164" s="57">
        <v>1104.19</v>
      </c>
      <c r="AB164" s="63"/>
      <c r="AC164" s="59">
        <v>146.22999999999999</v>
      </c>
      <c r="AD164" s="27"/>
      <c r="AE164" s="240"/>
      <c r="AF164" s="53"/>
      <c r="AG164" s="52"/>
      <c r="AH164" s="53">
        <f t="shared" si="88"/>
        <v>146.22999999999999</v>
      </c>
      <c r="AJ164" s="47">
        <f t="shared" si="102"/>
        <v>46028</v>
      </c>
      <c r="AK164" s="56">
        <v>3047.18</v>
      </c>
      <c r="AL164" s="57">
        <v>269.83</v>
      </c>
      <c r="AM164" s="58"/>
      <c r="AN164" s="58"/>
      <c r="AO164" s="27"/>
      <c r="AP164" s="51"/>
      <c r="AQ164" s="52"/>
      <c r="AR164" s="52"/>
      <c r="AS164" s="53">
        <f t="shared" si="89"/>
        <v>0</v>
      </c>
      <c r="AU164" s="113">
        <f t="shared" si="103"/>
        <v>46028</v>
      </c>
      <c r="AV164" s="57">
        <v>318.37</v>
      </c>
      <c r="AW164" s="57">
        <v>83.97</v>
      </c>
      <c r="AX164" s="58"/>
      <c r="AY164" s="59">
        <v>33.32</v>
      </c>
      <c r="AZ164" s="27"/>
      <c r="BA164" s="240">
        <v>318.35893299999998</v>
      </c>
      <c r="BB164" s="53">
        <v>23.704208742857119</v>
      </c>
      <c r="BC164" s="52"/>
      <c r="BD164" s="53">
        <f t="shared" si="90"/>
        <v>375.38314174285711</v>
      </c>
      <c r="BF164" s="47">
        <f t="shared" ref="BF164:BF189" si="112">+AU164</f>
        <v>46028</v>
      </c>
      <c r="BG164" s="56">
        <v>3344.71</v>
      </c>
      <c r="BH164" s="57">
        <v>693.33</v>
      </c>
      <c r="BI164" s="58"/>
      <c r="BJ164" s="59"/>
      <c r="BK164" s="27"/>
      <c r="BL164" s="51">
        <v>333.39387999999997</v>
      </c>
      <c r="BM164" s="53">
        <v>61.93475012571426</v>
      </c>
      <c r="BN164" s="52"/>
      <c r="BO164" s="53">
        <f t="shared" si="91"/>
        <v>395.3286301257142</v>
      </c>
      <c r="BQ164" s="47">
        <f t="shared" si="104"/>
        <v>46028</v>
      </c>
      <c r="BR164" s="57">
        <v>437.8</v>
      </c>
      <c r="BS164" s="57">
        <v>371.39</v>
      </c>
      <c r="BT164" s="58"/>
      <c r="BU164" s="61"/>
      <c r="BV164" s="27"/>
      <c r="BW164" s="51"/>
      <c r="BX164" s="52"/>
      <c r="BY164" s="52"/>
      <c r="BZ164" s="53">
        <f t="shared" si="92"/>
        <v>0</v>
      </c>
      <c r="CB164" s="47">
        <f t="shared" si="105"/>
        <v>46028</v>
      </c>
      <c r="CC164" s="56">
        <v>18275.38</v>
      </c>
      <c r="CD164" s="57">
        <v>1951.04</v>
      </c>
      <c r="CE164" s="58"/>
      <c r="CF164" s="117"/>
      <c r="CG164" s="27"/>
      <c r="CH164" s="51"/>
      <c r="CI164" s="52"/>
      <c r="CJ164" s="52"/>
      <c r="CK164" s="53">
        <f t="shared" si="93"/>
        <v>0</v>
      </c>
      <c r="CM164" s="47">
        <f t="shared" si="106"/>
        <v>46028</v>
      </c>
      <c r="CN164" s="56">
        <v>8136.86</v>
      </c>
      <c r="CO164" s="57">
        <v>1681.18</v>
      </c>
      <c r="CP164" s="58"/>
      <c r="CQ164" s="62"/>
      <c r="CR164" s="27"/>
      <c r="CS164" s="240">
        <v>35.430479999999989</v>
      </c>
      <c r="CT164" s="53">
        <v>247.42570811199982</v>
      </c>
      <c r="CU164" s="52"/>
      <c r="CV164" s="53">
        <f t="shared" si="94"/>
        <v>282.85618811199981</v>
      </c>
      <c r="CX164" s="47">
        <f t="shared" si="107"/>
        <v>46028</v>
      </c>
      <c r="CY164" s="56">
        <v>3476.73</v>
      </c>
      <c r="CZ164" s="57">
        <v>1121.5999999999999</v>
      </c>
      <c r="DA164" s="58"/>
      <c r="DB164" s="59"/>
      <c r="DC164" s="27"/>
      <c r="DD164" s="240">
        <v>51.615405999999993</v>
      </c>
      <c r="DE164" s="53">
        <v>166.60919058571403</v>
      </c>
      <c r="DF164" s="52"/>
      <c r="DG164" s="53">
        <f t="shared" si="95"/>
        <v>218.22459658571404</v>
      </c>
      <c r="DI164" s="47">
        <f t="shared" si="108"/>
        <v>46028</v>
      </c>
      <c r="DJ164" s="56">
        <v>1172.73</v>
      </c>
      <c r="DK164" s="63"/>
      <c r="DL164" s="58"/>
      <c r="DM164" s="62"/>
      <c r="DN164" s="27"/>
      <c r="DO164" s="51"/>
      <c r="DP164" s="52"/>
      <c r="DQ164" s="52"/>
      <c r="DR164" s="53">
        <f t="shared" si="96"/>
        <v>0</v>
      </c>
      <c r="DT164" s="47">
        <f t="shared" si="109"/>
        <v>46028</v>
      </c>
      <c r="DU164" s="56">
        <v>945.7</v>
      </c>
      <c r="DV164" s="57">
        <v>378.26</v>
      </c>
      <c r="DW164" s="58"/>
      <c r="DX164" s="62"/>
      <c r="DY164" s="27"/>
      <c r="DZ164" s="240">
        <v>217.93456000000003</v>
      </c>
      <c r="EA164" s="53">
        <v>893.1996490285718</v>
      </c>
      <c r="EB164" s="52"/>
      <c r="EC164" s="53">
        <f t="shared" si="97"/>
        <v>1111.1342090285718</v>
      </c>
      <c r="EE164" s="47">
        <f t="shared" si="110"/>
        <v>46028</v>
      </c>
      <c r="EF164" s="56">
        <v>5687.48</v>
      </c>
      <c r="EG164" s="57">
        <v>2049.1799999999998</v>
      </c>
      <c r="EH164" s="58"/>
      <c r="EI164" s="59">
        <v>157.97</v>
      </c>
      <c r="EJ164" s="27"/>
      <c r="EK164" s="240"/>
      <c r="EL164" s="52"/>
      <c r="EM164" s="52"/>
      <c r="EN164" s="53">
        <f t="shared" si="98"/>
        <v>157.97</v>
      </c>
      <c r="EP164" s="47">
        <f t="shared" si="111"/>
        <v>46028</v>
      </c>
      <c r="EQ164" s="64">
        <v>244.2</v>
      </c>
      <c r="ER164" s="56">
        <v>437.92</v>
      </c>
      <c r="ES164" s="58"/>
      <c r="ET164" s="59"/>
      <c r="EV164" s="51"/>
      <c r="EW164" s="52"/>
      <c r="EX164" s="52"/>
      <c r="EY164" s="53">
        <f t="shared" si="99"/>
        <v>0</v>
      </c>
    </row>
    <row r="165" spans="2:155" hidden="1" x14ac:dyDescent="0.25">
      <c r="B165" s="47">
        <v>46029</v>
      </c>
      <c r="C165" s="48">
        <v>17342.46</v>
      </c>
      <c r="D165" s="49">
        <v>2682.2</v>
      </c>
      <c r="E165" s="50">
        <v>2324.84</v>
      </c>
      <c r="F165" s="55">
        <v>453.41</v>
      </c>
      <c r="G165" s="102"/>
      <c r="H165" s="27"/>
      <c r="I165" s="51"/>
      <c r="J165" s="52"/>
      <c r="K165" s="52"/>
      <c r="L165" s="53">
        <f t="shared" si="86"/>
        <v>0</v>
      </c>
      <c r="N165" s="47">
        <f t="shared" si="100"/>
        <v>46029</v>
      </c>
      <c r="O165" s="54">
        <v>1802.51</v>
      </c>
      <c r="P165" s="54">
        <v>493.09</v>
      </c>
      <c r="Q165" s="58"/>
      <c r="R165" s="55"/>
      <c r="S165" s="27"/>
      <c r="T165" s="240">
        <v>450.83367999999996</v>
      </c>
      <c r="U165" s="240">
        <v>25.006157519999988</v>
      </c>
      <c r="V165" s="240"/>
      <c r="W165" s="53">
        <f t="shared" si="87"/>
        <v>475.83983751999995</v>
      </c>
      <c r="Y165" s="47">
        <f t="shared" si="101"/>
        <v>46029</v>
      </c>
      <c r="Z165" s="56">
        <v>3839.77</v>
      </c>
      <c r="AA165" s="57">
        <v>1071.93</v>
      </c>
      <c r="AB165" s="63"/>
      <c r="AC165" s="59">
        <v>70.08</v>
      </c>
      <c r="AD165" s="27"/>
      <c r="AE165" s="240">
        <v>207.23440999999985</v>
      </c>
      <c r="AF165" s="53"/>
      <c r="AG165" s="52"/>
      <c r="AH165" s="53">
        <f t="shared" si="88"/>
        <v>277.31440999999984</v>
      </c>
      <c r="AJ165" s="47">
        <f t="shared" si="102"/>
        <v>46029</v>
      </c>
      <c r="AK165" s="56">
        <v>2971.29</v>
      </c>
      <c r="AL165" s="57">
        <v>580.69000000000005</v>
      </c>
      <c r="AM165" s="58"/>
      <c r="AN165" s="58"/>
      <c r="AO165" s="27"/>
      <c r="AP165" s="51"/>
      <c r="AQ165" s="52"/>
      <c r="AR165" s="52"/>
      <c r="AS165" s="53">
        <f t="shared" si="89"/>
        <v>0</v>
      </c>
      <c r="AU165" s="113">
        <f t="shared" si="103"/>
        <v>46029</v>
      </c>
      <c r="AV165" s="57">
        <v>154.61000000000001</v>
      </c>
      <c r="AW165" s="57">
        <v>0</v>
      </c>
      <c r="AX165" s="58"/>
      <c r="AY165" s="59"/>
      <c r="AZ165" s="27"/>
      <c r="BA165" s="240">
        <v>540.26285299999995</v>
      </c>
      <c r="BB165" s="53">
        <v>53.085466217142823</v>
      </c>
      <c r="BC165" s="52"/>
      <c r="BD165" s="53">
        <f t="shared" si="90"/>
        <v>593.34831921714272</v>
      </c>
      <c r="BF165" s="47">
        <f t="shared" si="112"/>
        <v>46029</v>
      </c>
      <c r="BG165" s="56">
        <v>3465.96</v>
      </c>
      <c r="BH165" s="57">
        <v>689.42</v>
      </c>
      <c r="BI165" s="58"/>
      <c r="BJ165" s="59"/>
      <c r="BK165" s="27"/>
      <c r="BL165" s="51">
        <v>375.09578999999974</v>
      </c>
      <c r="BM165" s="53"/>
      <c r="BN165" s="52"/>
      <c r="BO165" s="53">
        <f t="shared" si="91"/>
        <v>375.09578999999974</v>
      </c>
      <c r="BQ165" s="47">
        <f t="shared" si="104"/>
        <v>46029</v>
      </c>
      <c r="BR165" s="57">
        <v>238.91</v>
      </c>
      <c r="BS165" s="57">
        <v>272.02</v>
      </c>
      <c r="BT165" s="58"/>
      <c r="BU165" s="61"/>
      <c r="BV165" s="27"/>
      <c r="BW165" s="51"/>
      <c r="BX165" s="52"/>
      <c r="BY165" s="52"/>
      <c r="BZ165" s="53">
        <f t="shared" si="92"/>
        <v>0</v>
      </c>
      <c r="CB165" s="47">
        <f t="shared" si="105"/>
        <v>46029</v>
      </c>
      <c r="CC165" s="56">
        <v>19574.72</v>
      </c>
      <c r="CD165" s="57">
        <v>1886.08</v>
      </c>
      <c r="CE165" s="58"/>
      <c r="CF165" s="117"/>
      <c r="CG165" s="27"/>
      <c r="CH165" s="51"/>
      <c r="CI165" s="52"/>
      <c r="CJ165" s="52"/>
      <c r="CK165" s="53">
        <f t="shared" si="93"/>
        <v>0</v>
      </c>
      <c r="CM165" s="47">
        <f t="shared" si="106"/>
        <v>46029</v>
      </c>
      <c r="CN165" s="56">
        <v>7876.23</v>
      </c>
      <c r="CO165" s="57">
        <v>1257.29</v>
      </c>
      <c r="CP165" s="58"/>
      <c r="CQ165" s="62"/>
      <c r="CR165" s="27"/>
      <c r="CS165" s="240">
        <v>200.29176999999996</v>
      </c>
      <c r="CT165" s="53">
        <v>120.16607783771414</v>
      </c>
      <c r="CU165" s="52"/>
      <c r="CV165" s="53">
        <f t="shared" si="94"/>
        <v>320.4578478377141</v>
      </c>
      <c r="CX165" s="47">
        <f t="shared" si="107"/>
        <v>46029</v>
      </c>
      <c r="CY165" s="56">
        <v>3263.11</v>
      </c>
      <c r="CZ165" s="57">
        <v>2534.39</v>
      </c>
      <c r="DA165" s="58"/>
      <c r="DB165" s="59"/>
      <c r="DC165" s="27"/>
      <c r="DD165" s="240">
        <v>170.11462999999964</v>
      </c>
      <c r="DE165" s="53">
        <v>73.539530118856987</v>
      </c>
      <c r="DF165" s="52"/>
      <c r="DG165" s="53">
        <f t="shared" si="95"/>
        <v>243.65416011885662</v>
      </c>
      <c r="DI165" s="47">
        <f t="shared" si="108"/>
        <v>46029</v>
      </c>
      <c r="DJ165" s="56">
        <v>1518.07</v>
      </c>
      <c r="DK165" s="63"/>
      <c r="DL165" s="58"/>
      <c r="DM165" s="62"/>
      <c r="DN165" s="27"/>
      <c r="DO165" s="51"/>
      <c r="DP165" s="52"/>
      <c r="DQ165" s="52"/>
      <c r="DR165" s="53">
        <f t="shared" si="96"/>
        <v>0</v>
      </c>
      <c r="DT165" s="47">
        <f t="shared" si="109"/>
        <v>46029</v>
      </c>
      <c r="DU165" s="56">
        <v>2639.63</v>
      </c>
      <c r="DV165" s="57">
        <v>223.94</v>
      </c>
      <c r="DW165" s="58"/>
      <c r="DX165" s="62"/>
      <c r="DY165" s="27"/>
      <c r="DZ165" s="240">
        <v>249.03035999999997</v>
      </c>
      <c r="EA165" s="53"/>
      <c r="EB165" s="52"/>
      <c r="EC165" s="53">
        <f t="shared" si="97"/>
        <v>249.03035999999997</v>
      </c>
      <c r="EE165" s="47">
        <f t="shared" si="110"/>
        <v>46029</v>
      </c>
      <c r="EF165" s="56">
        <v>6170.69</v>
      </c>
      <c r="EG165" s="57">
        <v>1325.4</v>
      </c>
      <c r="EH165" s="58"/>
      <c r="EI165" s="59">
        <v>164.06</v>
      </c>
      <c r="EJ165" s="27"/>
      <c r="EK165" s="240"/>
      <c r="EL165" s="52"/>
      <c r="EM165" s="52"/>
      <c r="EN165" s="53">
        <f t="shared" si="98"/>
        <v>164.06</v>
      </c>
      <c r="EP165" s="47">
        <f t="shared" si="111"/>
        <v>46029</v>
      </c>
      <c r="EQ165" s="64">
        <v>411.98</v>
      </c>
      <c r="ER165" s="56">
        <v>316.19</v>
      </c>
      <c r="ES165" s="58"/>
      <c r="ET165" s="59"/>
      <c r="EV165" s="51"/>
      <c r="EW165" s="52"/>
      <c r="EX165" s="52"/>
      <c r="EY165" s="53">
        <f t="shared" si="99"/>
        <v>0</v>
      </c>
    </row>
    <row r="166" spans="2:155" hidden="1" x14ac:dyDescent="0.25">
      <c r="B166" s="47">
        <v>46030</v>
      </c>
      <c r="C166" s="48">
        <v>16217.9</v>
      </c>
      <c r="D166" s="49">
        <v>2382.83</v>
      </c>
      <c r="E166" s="50">
        <v>3242.43</v>
      </c>
      <c r="F166" s="55">
        <v>464.38</v>
      </c>
      <c r="G166" s="102"/>
      <c r="H166" s="27"/>
      <c r="I166" s="51"/>
      <c r="J166" s="52"/>
      <c r="K166" s="52"/>
      <c r="L166" s="53">
        <f t="shared" si="86"/>
        <v>0</v>
      </c>
      <c r="N166" s="47">
        <f t="shared" si="100"/>
        <v>46030</v>
      </c>
      <c r="O166" s="54">
        <v>2031.25</v>
      </c>
      <c r="P166" s="54">
        <v>826.63</v>
      </c>
      <c r="Q166" s="58"/>
      <c r="R166" s="55"/>
      <c r="S166" s="27"/>
      <c r="T166" s="240">
        <v>411.95474999999999</v>
      </c>
      <c r="U166" s="240"/>
      <c r="V166" s="240"/>
      <c r="W166" s="53">
        <f t="shared" si="87"/>
        <v>411.95474999999999</v>
      </c>
      <c r="Y166" s="47">
        <f t="shared" si="101"/>
        <v>46030</v>
      </c>
      <c r="Z166" s="56">
        <v>5352.95</v>
      </c>
      <c r="AA166" s="57">
        <v>1204.18</v>
      </c>
      <c r="AB166" s="63"/>
      <c r="AC166" s="59">
        <v>205.29</v>
      </c>
      <c r="AD166" s="27"/>
      <c r="AE166" s="240">
        <v>146.78390999999985</v>
      </c>
      <c r="AF166" s="53"/>
      <c r="AG166" s="52"/>
      <c r="AH166" s="53">
        <f t="shared" si="88"/>
        <v>352.07390999999984</v>
      </c>
      <c r="AJ166" s="47">
        <f t="shared" si="102"/>
        <v>46030</v>
      </c>
      <c r="AK166" s="56">
        <v>3161.26</v>
      </c>
      <c r="AL166" s="57">
        <v>326.68</v>
      </c>
      <c r="AM166" s="58"/>
      <c r="AN166" s="58"/>
      <c r="AO166" s="27"/>
      <c r="AP166" s="51"/>
      <c r="AQ166" s="52"/>
      <c r="AR166" s="52"/>
      <c r="AS166" s="53">
        <f t="shared" si="89"/>
        <v>0</v>
      </c>
      <c r="AU166" s="113">
        <f t="shared" si="103"/>
        <v>46030</v>
      </c>
      <c r="AV166" s="57">
        <v>1223.81</v>
      </c>
      <c r="AW166" s="57">
        <v>45.1</v>
      </c>
      <c r="AX166" s="58"/>
      <c r="AY166" s="59">
        <v>50.4</v>
      </c>
      <c r="AZ166" s="27"/>
      <c r="BA166" s="240">
        <v>926.26456499999983</v>
      </c>
      <c r="BB166" s="53"/>
      <c r="BC166" s="52"/>
      <c r="BD166" s="53">
        <f t="shared" si="90"/>
        <v>976.66456499999981</v>
      </c>
      <c r="BF166" s="47">
        <f t="shared" si="112"/>
        <v>46030</v>
      </c>
      <c r="BG166" s="56">
        <v>3156.14</v>
      </c>
      <c r="BH166" s="57">
        <v>691.96</v>
      </c>
      <c r="BI166" s="58"/>
      <c r="BJ166" s="59"/>
      <c r="BK166" s="27"/>
      <c r="BL166" s="51">
        <v>392.19170999999972</v>
      </c>
      <c r="BM166" s="53"/>
      <c r="BN166" s="52"/>
      <c r="BO166" s="53">
        <f t="shared" si="91"/>
        <v>392.19170999999972</v>
      </c>
      <c r="BQ166" s="47">
        <f t="shared" si="104"/>
        <v>46030</v>
      </c>
      <c r="BR166" s="57">
        <v>388.94</v>
      </c>
      <c r="BS166" s="57">
        <v>167.84</v>
      </c>
      <c r="BT166" s="58"/>
      <c r="BU166" s="61"/>
      <c r="BV166" s="27"/>
      <c r="BW166" s="51"/>
      <c r="BX166" s="52"/>
      <c r="BY166" s="52"/>
      <c r="BZ166" s="53">
        <f t="shared" si="92"/>
        <v>0</v>
      </c>
      <c r="CB166" s="47">
        <f t="shared" si="105"/>
        <v>46030</v>
      </c>
      <c r="CC166" s="56">
        <v>18580.63</v>
      </c>
      <c r="CD166" s="57">
        <v>2358.42</v>
      </c>
      <c r="CE166" s="58"/>
      <c r="CF166" s="117"/>
      <c r="CG166" s="27"/>
      <c r="CH166" s="51"/>
      <c r="CI166" s="52"/>
      <c r="CJ166" s="52"/>
      <c r="CK166" s="53">
        <f t="shared" si="93"/>
        <v>0</v>
      </c>
      <c r="CM166" s="47">
        <f t="shared" si="106"/>
        <v>46030</v>
      </c>
      <c r="CN166" s="56">
        <v>8224.4</v>
      </c>
      <c r="CO166" s="57">
        <v>1732.19</v>
      </c>
      <c r="CP166" s="58"/>
      <c r="CQ166" s="62"/>
      <c r="CR166" s="27"/>
      <c r="CS166" s="240">
        <v>48.831019999999995</v>
      </c>
      <c r="CT166" s="53">
        <v>343.29638445485693</v>
      </c>
      <c r="CU166" s="52"/>
      <c r="CV166" s="53">
        <f t="shared" si="94"/>
        <v>392.1274044548569</v>
      </c>
      <c r="CX166" s="47">
        <f t="shared" si="107"/>
        <v>46030</v>
      </c>
      <c r="CY166" s="56">
        <v>4858.9399999999996</v>
      </c>
      <c r="CZ166" s="57">
        <v>1348.87</v>
      </c>
      <c r="DA166" s="58"/>
      <c r="DB166" s="59"/>
      <c r="DC166" s="27"/>
      <c r="DD166" s="240">
        <v>139.38195999999968</v>
      </c>
      <c r="DE166" s="53"/>
      <c r="DF166" s="52"/>
      <c r="DG166" s="53">
        <f t="shared" si="95"/>
        <v>139.38195999999968</v>
      </c>
      <c r="DI166" s="47">
        <f t="shared" si="108"/>
        <v>46030</v>
      </c>
      <c r="DJ166" s="56">
        <v>1426.01</v>
      </c>
      <c r="DK166" s="63"/>
      <c r="DL166" s="58"/>
      <c r="DM166" s="62"/>
      <c r="DN166" s="27"/>
      <c r="DO166" s="51"/>
      <c r="DP166" s="52"/>
      <c r="DQ166" s="52"/>
      <c r="DR166" s="53">
        <f t="shared" si="96"/>
        <v>0</v>
      </c>
      <c r="DT166" s="47">
        <f t="shared" si="109"/>
        <v>46030</v>
      </c>
      <c r="DU166" s="56">
        <v>2363.85</v>
      </c>
      <c r="DV166" s="57">
        <v>194.94</v>
      </c>
      <c r="DW166" s="58"/>
      <c r="DX166" s="62"/>
      <c r="DY166" s="27"/>
      <c r="DZ166" s="240">
        <v>422.93651999999997</v>
      </c>
      <c r="EA166" s="53">
        <v>45.950656982857168</v>
      </c>
      <c r="EB166" s="52"/>
      <c r="EC166" s="53">
        <f t="shared" si="97"/>
        <v>468.88717698285711</v>
      </c>
      <c r="EE166" s="47">
        <f t="shared" si="110"/>
        <v>46030</v>
      </c>
      <c r="EF166" s="56">
        <v>6043.45</v>
      </c>
      <c r="EG166" s="57">
        <v>1010.65</v>
      </c>
      <c r="EH166" s="58"/>
      <c r="EI166" s="59">
        <v>128.6</v>
      </c>
      <c r="EJ166" s="27"/>
      <c r="EK166" s="240"/>
      <c r="EL166" s="52"/>
      <c r="EM166" s="52"/>
      <c r="EN166" s="53">
        <f t="shared" si="98"/>
        <v>128.6</v>
      </c>
      <c r="EP166" s="47">
        <f t="shared" si="111"/>
        <v>46030</v>
      </c>
      <c r="EQ166" s="64">
        <v>447.07</v>
      </c>
      <c r="ER166" s="56">
        <v>327.16000000000003</v>
      </c>
      <c r="ES166" s="58"/>
      <c r="ET166" s="59"/>
      <c r="EV166" s="51"/>
      <c r="EW166" s="52"/>
      <c r="EX166" s="52"/>
      <c r="EY166" s="53">
        <f t="shared" si="99"/>
        <v>0</v>
      </c>
    </row>
    <row r="167" spans="2:155" hidden="1" x14ac:dyDescent="0.25">
      <c r="B167" s="47">
        <v>46031</v>
      </c>
      <c r="C167" s="48">
        <v>14469.12</v>
      </c>
      <c r="D167" s="49">
        <v>3418.69</v>
      </c>
      <c r="E167" s="50">
        <v>3926.28</v>
      </c>
      <c r="F167" s="49">
        <v>537.70000000000005</v>
      </c>
      <c r="G167" s="50"/>
      <c r="H167" s="27"/>
      <c r="I167" s="51"/>
      <c r="J167" s="52"/>
      <c r="K167" s="52"/>
      <c r="L167" s="53">
        <f t="shared" si="86"/>
        <v>0</v>
      </c>
      <c r="N167" s="47">
        <f t="shared" si="100"/>
        <v>46031</v>
      </c>
      <c r="O167" s="54">
        <v>2476.3000000000002</v>
      </c>
      <c r="P167" s="54">
        <v>645.52</v>
      </c>
      <c r="Q167" s="58"/>
      <c r="R167" s="55"/>
      <c r="S167" s="27"/>
      <c r="T167" s="240"/>
      <c r="U167" s="240">
        <v>73.969552697142817</v>
      </c>
      <c r="V167" s="240"/>
      <c r="W167" s="53">
        <f t="shared" si="87"/>
        <v>73.969552697142817</v>
      </c>
      <c r="Y167" s="47">
        <f t="shared" si="101"/>
        <v>46031</v>
      </c>
      <c r="Z167" s="56">
        <v>3575.22</v>
      </c>
      <c r="AA167" s="57">
        <v>1254.74</v>
      </c>
      <c r="AB167" s="63"/>
      <c r="AC167" s="59">
        <v>54.33</v>
      </c>
      <c r="AD167" s="27"/>
      <c r="AE167" s="240">
        <v>131.29661999999996</v>
      </c>
      <c r="AF167" s="53"/>
      <c r="AG167" s="52"/>
      <c r="AH167" s="53">
        <f t="shared" si="88"/>
        <v>185.62661999999995</v>
      </c>
      <c r="AJ167" s="47">
        <f t="shared" si="102"/>
        <v>46031</v>
      </c>
      <c r="AK167" s="56">
        <v>2650.03</v>
      </c>
      <c r="AL167" s="57">
        <v>391.38</v>
      </c>
      <c r="AM167" s="58"/>
      <c r="AN167" s="58"/>
      <c r="AO167" s="27"/>
      <c r="AP167" s="51"/>
      <c r="AQ167" s="52"/>
      <c r="AR167" s="52"/>
      <c r="AS167" s="53">
        <f t="shared" si="89"/>
        <v>0</v>
      </c>
      <c r="AU167" s="113">
        <f t="shared" si="103"/>
        <v>46031</v>
      </c>
      <c r="AV167" s="57">
        <v>394.68</v>
      </c>
      <c r="AW167" s="57">
        <v>206.25</v>
      </c>
      <c r="AX167" s="58"/>
      <c r="AY167" s="59"/>
      <c r="AZ167" s="27"/>
      <c r="BA167" s="240">
        <v>318.83847900000001</v>
      </c>
      <c r="BB167" s="53"/>
      <c r="BC167" s="52"/>
      <c r="BD167" s="53">
        <f t="shared" si="90"/>
        <v>318.83847900000001</v>
      </c>
      <c r="BF167" s="47">
        <f t="shared" si="112"/>
        <v>46031</v>
      </c>
      <c r="BG167" s="56">
        <v>2916.97</v>
      </c>
      <c r="BH167" s="57">
        <v>815.91</v>
      </c>
      <c r="BI167" s="58"/>
      <c r="BJ167" s="59"/>
      <c r="BK167" s="27"/>
      <c r="BL167" s="51">
        <v>335.31305999999989</v>
      </c>
      <c r="BM167" s="53">
        <v>100.41429812114285</v>
      </c>
      <c r="BN167" s="52"/>
      <c r="BO167" s="53">
        <f t="shared" si="91"/>
        <v>435.72735812114274</v>
      </c>
      <c r="BQ167" s="47">
        <f t="shared" si="104"/>
        <v>46031</v>
      </c>
      <c r="BR167" s="57">
        <v>290.02</v>
      </c>
      <c r="BS167" s="57">
        <v>309.2</v>
      </c>
      <c r="BT167" s="58"/>
      <c r="BU167" s="61"/>
      <c r="BV167" s="27"/>
      <c r="BW167" s="51"/>
      <c r="BX167" s="52"/>
      <c r="BY167" s="52"/>
      <c r="BZ167" s="53">
        <f t="shared" si="92"/>
        <v>0</v>
      </c>
      <c r="CB167" s="47">
        <f t="shared" si="105"/>
        <v>46031</v>
      </c>
      <c r="CC167" s="56">
        <v>18192.64</v>
      </c>
      <c r="CD167" s="57">
        <v>2012.57</v>
      </c>
      <c r="CE167" s="58"/>
      <c r="CF167" s="117"/>
      <c r="CG167" s="27"/>
      <c r="CH167" s="51"/>
      <c r="CI167" s="52"/>
      <c r="CJ167" s="52"/>
      <c r="CK167" s="53">
        <f t="shared" si="93"/>
        <v>0</v>
      </c>
      <c r="CM167" s="47">
        <f t="shared" si="106"/>
        <v>46031</v>
      </c>
      <c r="CN167" s="56">
        <v>6988.05</v>
      </c>
      <c r="CO167" s="57">
        <v>1289.8699999999999</v>
      </c>
      <c r="CP167" s="58"/>
      <c r="CQ167" s="62"/>
      <c r="CR167" s="27"/>
      <c r="CS167" s="240">
        <v>186.43436999999997</v>
      </c>
      <c r="CT167" s="53">
        <v>175.95143876457138</v>
      </c>
      <c r="CU167" s="52"/>
      <c r="CV167" s="53">
        <f t="shared" si="94"/>
        <v>362.38580876457138</v>
      </c>
      <c r="CX167" s="47">
        <f t="shared" si="107"/>
        <v>46031</v>
      </c>
      <c r="CY167" s="56">
        <v>5578.1</v>
      </c>
      <c r="CZ167" s="57">
        <v>2392.79</v>
      </c>
      <c r="DA167" s="58"/>
      <c r="DB167" s="59"/>
      <c r="DC167" s="27"/>
      <c r="DD167" s="240">
        <v>379.15860699999968</v>
      </c>
      <c r="DE167" s="53">
        <v>245.22911667599945</v>
      </c>
      <c r="DF167" s="52"/>
      <c r="DG167" s="53">
        <f t="shared" si="95"/>
        <v>624.38772367599915</v>
      </c>
      <c r="DI167" s="47">
        <f t="shared" si="108"/>
        <v>46031</v>
      </c>
      <c r="DJ167" s="56">
        <v>1838.88</v>
      </c>
      <c r="DK167" s="63"/>
      <c r="DL167" s="58"/>
      <c r="DM167" s="62"/>
      <c r="DN167" s="27"/>
      <c r="DO167" s="51"/>
      <c r="DP167" s="52"/>
      <c r="DQ167" s="52"/>
      <c r="DR167" s="53">
        <f t="shared" si="96"/>
        <v>0</v>
      </c>
      <c r="DT167" s="47">
        <f t="shared" si="109"/>
        <v>46031</v>
      </c>
      <c r="DU167" s="56">
        <v>1276.3800000000001</v>
      </c>
      <c r="DV167" s="57">
        <v>370.19</v>
      </c>
      <c r="DW167" s="58"/>
      <c r="DX167" s="62"/>
      <c r="DY167" s="27"/>
      <c r="DZ167" s="240">
        <v>314.32143999999994</v>
      </c>
      <c r="EA167" s="53">
        <v>32.256477462857148</v>
      </c>
      <c r="EB167" s="52"/>
      <c r="EC167" s="53">
        <f t="shared" si="97"/>
        <v>346.5779174628571</v>
      </c>
      <c r="EE167" s="47">
        <f t="shared" si="110"/>
        <v>46031</v>
      </c>
      <c r="EF167" s="56">
        <v>5307.1</v>
      </c>
      <c r="EG167" s="57">
        <v>1268.5999999999999</v>
      </c>
      <c r="EH167" s="58"/>
      <c r="EI167" s="59">
        <v>201.84</v>
      </c>
      <c r="EJ167" s="27"/>
      <c r="EK167" s="240"/>
      <c r="EL167" s="52"/>
      <c r="EM167" s="52"/>
      <c r="EN167" s="53">
        <f t="shared" si="98"/>
        <v>201.84</v>
      </c>
      <c r="EP167" s="47">
        <f t="shared" si="111"/>
        <v>46031</v>
      </c>
      <c r="EQ167" s="64">
        <v>355.54</v>
      </c>
      <c r="ER167" s="56">
        <v>385.88</v>
      </c>
      <c r="ES167" s="58"/>
      <c r="ET167" s="59"/>
      <c r="EV167" s="51"/>
      <c r="EW167" s="52"/>
      <c r="EX167" s="52"/>
      <c r="EY167" s="53">
        <f t="shared" si="99"/>
        <v>0</v>
      </c>
    </row>
    <row r="168" spans="2:155" hidden="1" x14ac:dyDescent="0.25">
      <c r="B168" s="47">
        <v>46032</v>
      </c>
      <c r="C168" s="48">
        <v>16023.02</v>
      </c>
      <c r="D168" s="49">
        <v>3096.04</v>
      </c>
      <c r="E168" s="50">
        <v>3929.47</v>
      </c>
      <c r="F168" s="49">
        <v>434.84</v>
      </c>
      <c r="G168" s="50"/>
      <c r="H168" s="27"/>
      <c r="I168" s="51"/>
      <c r="J168" s="52"/>
      <c r="K168" s="52"/>
      <c r="L168" s="53">
        <f t="shared" si="86"/>
        <v>0</v>
      </c>
      <c r="N168" s="47">
        <f t="shared" si="100"/>
        <v>46032</v>
      </c>
      <c r="O168" s="54">
        <v>1804.6</v>
      </c>
      <c r="P168" s="54">
        <v>769.82</v>
      </c>
      <c r="Q168" s="58"/>
      <c r="R168" s="55"/>
      <c r="S168" s="27"/>
      <c r="T168" s="240">
        <v>232.69500000000002</v>
      </c>
      <c r="U168" s="240">
        <v>26.06657869714283</v>
      </c>
      <c r="V168" s="240"/>
      <c r="W168" s="53">
        <f t="shared" si="87"/>
        <v>258.76157869714285</v>
      </c>
      <c r="Y168" s="47">
        <f t="shared" si="101"/>
        <v>46032</v>
      </c>
      <c r="Z168" s="56">
        <v>5082.01</v>
      </c>
      <c r="AA168" s="57">
        <v>1361.11</v>
      </c>
      <c r="AB168" s="63"/>
      <c r="AC168" s="59">
        <v>96.76</v>
      </c>
      <c r="AD168" s="27"/>
      <c r="AE168" s="240">
        <v>97.294369999999944</v>
      </c>
      <c r="AF168" s="53"/>
      <c r="AG168" s="52"/>
      <c r="AH168" s="53">
        <f t="shared" si="88"/>
        <v>194.05436999999995</v>
      </c>
      <c r="AJ168" s="47">
        <f t="shared" si="102"/>
        <v>46032</v>
      </c>
      <c r="AK168" s="56">
        <v>1762.98</v>
      </c>
      <c r="AL168" s="57">
        <v>206.54</v>
      </c>
      <c r="AM168" s="58"/>
      <c r="AN168" s="58"/>
      <c r="AO168" s="27"/>
      <c r="AP168" s="51"/>
      <c r="AQ168" s="52"/>
      <c r="AR168" s="52"/>
      <c r="AS168" s="53">
        <f t="shared" si="89"/>
        <v>0</v>
      </c>
      <c r="AU168" s="113">
        <f t="shared" si="103"/>
        <v>46032</v>
      </c>
      <c r="AV168" s="57">
        <v>633</v>
      </c>
      <c r="AW168" s="57">
        <v>22.02</v>
      </c>
      <c r="AX168" s="58"/>
      <c r="AY168" s="59">
        <v>67.52</v>
      </c>
      <c r="AZ168" s="27"/>
      <c r="BA168" s="240">
        <v>628.73696399999972</v>
      </c>
      <c r="BB168" s="53"/>
      <c r="BC168" s="52"/>
      <c r="BD168" s="53">
        <f t="shared" si="90"/>
        <v>696.2569639999997</v>
      </c>
      <c r="BF168" s="47">
        <f t="shared" si="112"/>
        <v>46032</v>
      </c>
      <c r="BG168" s="56">
        <v>7417.15</v>
      </c>
      <c r="BH168" s="57">
        <v>600.30999999999995</v>
      </c>
      <c r="BI168" s="58"/>
      <c r="BJ168" s="59"/>
      <c r="BK168" s="27"/>
      <c r="BL168" s="51">
        <v>274.19987999999989</v>
      </c>
      <c r="BM168" s="53">
        <v>97.969912523428604</v>
      </c>
      <c r="BN168" s="52"/>
      <c r="BO168" s="53">
        <f t="shared" si="91"/>
        <v>372.1697925234285</v>
      </c>
      <c r="BQ168" s="47">
        <f t="shared" si="104"/>
        <v>46032</v>
      </c>
      <c r="BR168" s="57">
        <v>955.58</v>
      </c>
      <c r="BS168" s="57">
        <v>293.82</v>
      </c>
      <c r="BT168" s="58"/>
      <c r="BU168" s="61"/>
      <c r="BV168" s="27"/>
      <c r="BW168" s="51"/>
      <c r="BX168" s="52"/>
      <c r="BY168" s="52"/>
      <c r="BZ168" s="53">
        <f t="shared" si="92"/>
        <v>0</v>
      </c>
      <c r="CB168" s="47">
        <f t="shared" si="105"/>
        <v>46032</v>
      </c>
      <c r="CC168" s="56">
        <v>19288.71</v>
      </c>
      <c r="CD168" s="57">
        <v>2087.44</v>
      </c>
      <c r="CE168" s="58"/>
      <c r="CF168" s="118"/>
      <c r="CG168" s="27"/>
      <c r="CH168" s="51"/>
      <c r="CI168" s="52"/>
      <c r="CJ168" s="52"/>
      <c r="CK168" s="53">
        <f t="shared" si="93"/>
        <v>0</v>
      </c>
      <c r="CM168" s="47">
        <f t="shared" si="106"/>
        <v>46032</v>
      </c>
      <c r="CN168" s="56">
        <v>6927.89</v>
      </c>
      <c r="CO168" s="57">
        <v>1644.15</v>
      </c>
      <c r="CP168" s="58"/>
      <c r="CQ168" s="62"/>
      <c r="CR168" s="27"/>
      <c r="CS168" s="240">
        <v>111.69564999999999</v>
      </c>
      <c r="CT168" s="53">
        <v>55.426157691428507</v>
      </c>
      <c r="CU168" s="52"/>
      <c r="CV168" s="53">
        <f t="shared" si="94"/>
        <v>167.1218076914285</v>
      </c>
      <c r="CX168" s="47">
        <f t="shared" si="107"/>
        <v>46032</v>
      </c>
      <c r="CY168" s="56">
        <v>6655.64</v>
      </c>
      <c r="CZ168" s="57">
        <v>2082.66</v>
      </c>
      <c r="DA168" s="58"/>
      <c r="DB168" s="59"/>
      <c r="DC168" s="27"/>
      <c r="DD168" s="240">
        <v>73.357332999999898</v>
      </c>
      <c r="DE168" s="53">
        <v>95.829752657714039</v>
      </c>
      <c r="DF168" s="52"/>
      <c r="DG168" s="53">
        <f t="shared" si="95"/>
        <v>169.18708565771394</v>
      </c>
      <c r="DI168" s="47">
        <f t="shared" si="108"/>
        <v>46032</v>
      </c>
      <c r="DJ168" s="56">
        <v>1410.85</v>
      </c>
      <c r="DK168" s="63"/>
      <c r="DL168" s="58"/>
      <c r="DM168" s="62"/>
      <c r="DN168" s="27"/>
      <c r="DO168" s="51"/>
      <c r="DP168" s="52"/>
      <c r="DQ168" s="52"/>
      <c r="DR168" s="53">
        <f t="shared" si="96"/>
        <v>0</v>
      </c>
      <c r="DT168" s="47">
        <f t="shared" si="109"/>
        <v>46032</v>
      </c>
      <c r="DU168" s="56">
        <v>602</v>
      </c>
      <c r="DV168" s="57">
        <v>223.6</v>
      </c>
      <c r="DW168" s="58"/>
      <c r="DX168" s="62"/>
      <c r="DY168" s="27"/>
      <c r="DZ168" s="240">
        <v>645.8874619999998</v>
      </c>
      <c r="EA168" s="53">
        <v>95.651540182857161</v>
      </c>
      <c r="EB168" s="52"/>
      <c r="EC168" s="53">
        <f t="shared" si="97"/>
        <v>741.53900218285696</v>
      </c>
      <c r="EE168" s="47">
        <f t="shared" si="110"/>
        <v>46032</v>
      </c>
      <c r="EF168" s="56">
        <v>7263.38</v>
      </c>
      <c r="EG168" s="57">
        <v>1673.94</v>
      </c>
      <c r="EH168" s="58"/>
      <c r="EI168" s="59">
        <v>129.71</v>
      </c>
      <c r="EJ168" s="27"/>
      <c r="EK168" s="240"/>
      <c r="EL168" s="52"/>
      <c r="EM168" s="52"/>
      <c r="EN168" s="53">
        <f t="shared" si="98"/>
        <v>129.71</v>
      </c>
      <c r="EP168" s="47">
        <f t="shared" si="111"/>
        <v>46032</v>
      </c>
      <c r="EQ168" s="64">
        <v>305</v>
      </c>
      <c r="ER168" s="56">
        <v>483.32</v>
      </c>
      <c r="ES168" s="58"/>
      <c r="ET168" s="59"/>
      <c r="EV168" s="51"/>
      <c r="EW168" s="52"/>
      <c r="EX168" s="52"/>
      <c r="EY168" s="53">
        <f t="shared" si="99"/>
        <v>0</v>
      </c>
    </row>
    <row r="169" spans="2:155" hidden="1" x14ac:dyDescent="0.25">
      <c r="B169" s="47">
        <v>46033</v>
      </c>
      <c r="C169" s="48">
        <v>14478.2</v>
      </c>
      <c r="D169" s="49">
        <v>2411.84</v>
      </c>
      <c r="E169" s="50">
        <v>2459.2399999999998</v>
      </c>
      <c r="F169" s="49">
        <v>256.85000000000002</v>
      </c>
      <c r="G169" s="50"/>
      <c r="H169" s="27"/>
      <c r="I169" s="51"/>
      <c r="J169" s="52"/>
      <c r="K169" s="52"/>
      <c r="L169" s="53">
        <f t="shared" si="86"/>
        <v>0</v>
      </c>
      <c r="N169" s="47">
        <f t="shared" si="100"/>
        <v>46033</v>
      </c>
      <c r="O169" s="54">
        <v>2482.84</v>
      </c>
      <c r="P169" s="54">
        <v>374.5</v>
      </c>
      <c r="Q169" s="58"/>
      <c r="R169" s="55"/>
      <c r="S169" s="27"/>
      <c r="T169" s="240">
        <v>37.266750000000002</v>
      </c>
      <c r="U169" s="240">
        <v>60.20477975999998</v>
      </c>
      <c r="V169" s="240"/>
      <c r="W169" s="53">
        <f t="shared" si="87"/>
        <v>97.471529759999981</v>
      </c>
      <c r="Y169" s="47">
        <f t="shared" si="101"/>
        <v>46033</v>
      </c>
      <c r="Z169" s="56">
        <v>4731.82</v>
      </c>
      <c r="AA169" s="57">
        <v>1555.2</v>
      </c>
      <c r="AB169" s="63"/>
      <c r="AC169" s="59">
        <v>154.4</v>
      </c>
      <c r="AD169" s="27"/>
      <c r="AE169" s="240">
        <v>64.172919999999991</v>
      </c>
      <c r="AF169" s="53"/>
      <c r="AG169" s="52"/>
      <c r="AH169" s="53">
        <f t="shared" si="88"/>
        <v>218.57292000000001</v>
      </c>
      <c r="AJ169" s="47">
        <f t="shared" si="102"/>
        <v>46033</v>
      </c>
      <c r="AK169" s="56">
        <v>2964.15</v>
      </c>
      <c r="AL169" s="57">
        <v>468.89</v>
      </c>
      <c r="AM169" s="58"/>
      <c r="AN169" s="58"/>
      <c r="AO169" s="27"/>
      <c r="AP169" s="51"/>
      <c r="AQ169" s="52"/>
      <c r="AR169" s="52"/>
      <c r="AS169" s="53">
        <f t="shared" si="89"/>
        <v>0</v>
      </c>
      <c r="AU169" s="113">
        <f t="shared" si="103"/>
        <v>46033</v>
      </c>
      <c r="AV169" s="57">
        <v>194</v>
      </c>
      <c r="AW169" s="57">
        <v>30</v>
      </c>
      <c r="AX169" s="58"/>
      <c r="AY169" s="59"/>
      <c r="AZ169" s="27"/>
      <c r="BA169" s="240">
        <v>403.15819499999998</v>
      </c>
      <c r="BB169" s="53"/>
      <c r="BC169" s="52"/>
      <c r="BD169" s="53">
        <f t="shared" si="90"/>
        <v>403.15819499999998</v>
      </c>
      <c r="BF169" s="47">
        <f t="shared" si="112"/>
        <v>46033</v>
      </c>
      <c r="BG169" s="56">
        <v>4163.25</v>
      </c>
      <c r="BH169" s="57">
        <v>739.16</v>
      </c>
      <c r="BI169" s="58"/>
      <c r="BJ169" s="59"/>
      <c r="BK169" s="27"/>
      <c r="BL169" s="51">
        <v>442.87191999999993</v>
      </c>
      <c r="BM169" s="53">
        <v>65.201756467428567</v>
      </c>
      <c r="BN169" s="52"/>
      <c r="BO169" s="53">
        <f t="shared" si="91"/>
        <v>508.07367646742853</v>
      </c>
      <c r="BQ169" s="47">
        <f t="shared" si="104"/>
        <v>46033</v>
      </c>
      <c r="BR169" s="57">
        <v>240</v>
      </c>
      <c r="BS169" s="57">
        <v>481.25</v>
      </c>
      <c r="BT169" s="58"/>
      <c r="BU169" s="61"/>
      <c r="BV169" s="27"/>
      <c r="BW169" s="51"/>
      <c r="BX169" s="52"/>
      <c r="BY169" s="52"/>
      <c r="BZ169" s="53">
        <f t="shared" si="92"/>
        <v>0</v>
      </c>
      <c r="CB169" s="47">
        <f t="shared" si="105"/>
        <v>46033</v>
      </c>
      <c r="CC169" s="56">
        <v>19840.599999999999</v>
      </c>
      <c r="CD169" s="57">
        <v>1443.37</v>
      </c>
      <c r="CE169" s="58"/>
      <c r="CF169" s="117"/>
      <c r="CG169" s="27"/>
      <c r="CH169" s="51"/>
      <c r="CI169" s="52"/>
      <c r="CJ169" s="52"/>
      <c r="CK169" s="53">
        <f t="shared" si="93"/>
        <v>0</v>
      </c>
      <c r="CM169" s="47">
        <f t="shared" si="106"/>
        <v>46033</v>
      </c>
      <c r="CN169" s="56">
        <v>5159.87</v>
      </c>
      <c r="CO169" s="57">
        <v>833.54</v>
      </c>
      <c r="CP169" s="58"/>
      <c r="CQ169" s="62"/>
      <c r="CR169" s="27"/>
      <c r="CS169" s="240">
        <v>11.248719999999999</v>
      </c>
      <c r="CT169" s="53">
        <v>103.58072421142842</v>
      </c>
      <c r="CU169" s="52"/>
      <c r="CV169" s="53">
        <f t="shared" si="94"/>
        <v>114.82944421142841</v>
      </c>
      <c r="CX169" s="47">
        <f t="shared" si="107"/>
        <v>46033</v>
      </c>
      <c r="CY169" s="56">
        <v>7571.51</v>
      </c>
      <c r="CZ169" s="57">
        <v>2334.2399999999998</v>
      </c>
      <c r="DA169" s="58"/>
      <c r="DB169" s="59"/>
      <c r="DC169" s="27"/>
      <c r="DD169" s="240">
        <v>57.778766999999931</v>
      </c>
      <c r="DE169" s="53">
        <v>37.577876471542822</v>
      </c>
      <c r="DF169" s="52"/>
      <c r="DG169" s="53">
        <f t="shared" si="95"/>
        <v>95.356643471542753</v>
      </c>
      <c r="DI169" s="47">
        <f t="shared" si="108"/>
        <v>46033</v>
      </c>
      <c r="DJ169" s="56">
        <v>2074.89</v>
      </c>
      <c r="DK169" s="63"/>
      <c r="DL169" s="58"/>
      <c r="DM169" s="62"/>
      <c r="DN169" s="27"/>
      <c r="DO169" s="51"/>
      <c r="DP169" s="52"/>
      <c r="DQ169" s="52"/>
      <c r="DR169" s="53">
        <f t="shared" si="96"/>
        <v>0</v>
      </c>
      <c r="DT169" s="47">
        <f t="shared" si="109"/>
        <v>46033</v>
      </c>
      <c r="DU169" s="56">
        <v>1291.33</v>
      </c>
      <c r="DV169" s="57">
        <v>452.38</v>
      </c>
      <c r="DW169" s="58"/>
      <c r="DX169" s="62"/>
      <c r="DY169" s="27"/>
      <c r="DZ169" s="240"/>
      <c r="EA169" s="53">
        <v>74.147221874285748</v>
      </c>
      <c r="EB169" s="52"/>
      <c r="EC169" s="53">
        <f t="shared" si="97"/>
        <v>74.147221874285748</v>
      </c>
      <c r="EE169" s="47">
        <f t="shared" si="110"/>
        <v>46033</v>
      </c>
      <c r="EF169" s="56">
        <v>3815.12</v>
      </c>
      <c r="EG169" s="57">
        <v>987.71</v>
      </c>
      <c r="EH169" s="58"/>
      <c r="EI169" s="59">
        <v>86.51</v>
      </c>
      <c r="EJ169" s="27"/>
      <c r="EK169" s="240"/>
      <c r="EL169" s="52"/>
      <c r="EM169" s="52"/>
      <c r="EN169" s="53">
        <f t="shared" si="98"/>
        <v>86.51</v>
      </c>
      <c r="EP169" s="47">
        <f t="shared" si="111"/>
        <v>46033</v>
      </c>
      <c r="EQ169" s="64">
        <v>439.77</v>
      </c>
      <c r="ER169" s="56">
        <v>428.64</v>
      </c>
      <c r="ES169" s="58"/>
      <c r="ET169" s="59"/>
      <c r="EV169" s="51"/>
      <c r="EW169" s="52"/>
      <c r="EX169" s="52"/>
      <c r="EY169" s="53">
        <f t="shared" si="99"/>
        <v>0</v>
      </c>
    </row>
    <row r="170" spans="2:155" hidden="1" x14ac:dyDescent="0.25">
      <c r="B170" s="47">
        <v>46034</v>
      </c>
      <c r="C170" s="48">
        <v>17259.89</v>
      </c>
      <c r="D170" s="49">
        <v>3432.55</v>
      </c>
      <c r="E170" s="50">
        <v>3060.21</v>
      </c>
      <c r="F170" s="49">
        <v>567.5</v>
      </c>
      <c r="G170" s="50"/>
      <c r="H170" s="27"/>
      <c r="I170" s="51"/>
      <c r="J170" s="52"/>
      <c r="K170" s="52"/>
      <c r="L170" s="53">
        <f t="shared" si="86"/>
        <v>0</v>
      </c>
      <c r="N170" s="47">
        <f t="shared" si="100"/>
        <v>46034</v>
      </c>
      <c r="O170" s="54">
        <v>2450.91</v>
      </c>
      <c r="P170" s="54">
        <v>221.08</v>
      </c>
      <c r="Q170" s="58"/>
      <c r="R170" s="55"/>
      <c r="S170" s="27"/>
      <c r="T170" s="240">
        <v>468.07124999999996</v>
      </c>
      <c r="U170" s="240">
        <v>192.55040324571428</v>
      </c>
      <c r="V170" s="240"/>
      <c r="W170" s="53">
        <f t="shared" si="87"/>
        <v>660.62165324571424</v>
      </c>
      <c r="Y170" s="47">
        <f t="shared" si="101"/>
        <v>46034</v>
      </c>
      <c r="Z170" s="56">
        <v>4637.62</v>
      </c>
      <c r="AA170" s="57">
        <v>1122.43</v>
      </c>
      <c r="AB170" s="63"/>
      <c r="AC170" s="59">
        <v>86.56</v>
      </c>
      <c r="AD170" s="27"/>
      <c r="AE170" s="240">
        <v>32.478809999999982</v>
      </c>
      <c r="AF170" s="53">
        <v>35.809254171428563</v>
      </c>
      <c r="AG170" s="52"/>
      <c r="AH170" s="53">
        <f t="shared" si="88"/>
        <v>154.84806417142855</v>
      </c>
      <c r="AJ170" s="47">
        <f t="shared" si="102"/>
        <v>46034</v>
      </c>
      <c r="AK170" s="56">
        <v>2077.27</v>
      </c>
      <c r="AL170" s="57">
        <v>311.17</v>
      </c>
      <c r="AM170" s="58"/>
      <c r="AN170" s="58"/>
      <c r="AO170" s="27"/>
      <c r="AP170" s="51"/>
      <c r="AQ170" s="52"/>
      <c r="AR170" s="52"/>
      <c r="AS170" s="53">
        <f t="shared" si="89"/>
        <v>0</v>
      </c>
      <c r="AU170" s="113">
        <f t="shared" si="103"/>
        <v>46034</v>
      </c>
      <c r="AV170" s="57">
        <v>723.75</v>
      </c>
      <c r="AW170" s="57">
        <v>35</v>
      </c>
      <c r="AX170" s="58"/>
      <c r="AY170" s="59">
        <v>32.700000000000003</v>
      </c>
      <c r="AZ170" s="27"/>
      <c r="BA170" s="240">
        <v>753.8731049999999</v>
      </c>
      <c r="BB170" s="53"/>
      <c r="BC170" s="52"/>
      <c r="BD170" s="53">
        <f t="shared" si="90"/>
        <v>786.57310499999994</v>
      </c>
      <c r="BF170" s="47">
        <f t="shared" si="112"/>
        <v>46034</v>
      </c>
      <c r="BG170" s="56">
        <v>4293.22</v>
      </c>
      <c r="BH170" s="57">
        <v>652.75</v>
      </c>
      <c r="BI170" s="58"/>
      <c r="BJ170" s="59"/>
      <c r="BK170" s="27"/>
      <c r="BL170" s="51">
        <v>705.0587899999997</v>
      </c>
      <c r="BM170" s="53"/>
      <c r="BN170" s="52"/>
      <c r="BO170" s="53">
        <f t="shared" si="91"/>
        <v>705.0587899999997</v>
      </c>
      <c r="BQ170" s="47">
        <f t="shared" si="104"/>
        <v>46034</v>
      </c>
      <c r="BR170" s="57">
        <v>286.33</v>
      </c>
      <c r="BS170" s="57">
        <v>463.29</v>
      </c>
      <c r="BT170" s="58"/>
      <c r="BU170" s="61"/>
      <c r="BV170" s="27"/>
      <c r="BW170" s="51"/>
      <c r="BX170" s="52"/>
      <c r="BY170" s="52"/>
      <c r="BZ170" s="53">
        <f t="shared" si="92"/>
        <v>0</v>
      </c>
      <c r="CB170" s="47">
        <f t="shared" si="105"/>
        <v>46034</v>
      </c>
      <c r="CC170" s="56">
        <v>19377.98</v>
      </c>
      <c r="CD170" s="57">
        <v>2607.42</v>
      </c>
      <c r="CE170" s="58"/>
      <c r="CF170" s="117"/>
      <c r="CG170" s="27"/>
      <c r="CH170" s="51"/>
      <c r="CI170" s="52"/>
      <c r="CJ170" s="52"/>
      <c r="CK170" s="53">
        <f t="shared" si="93"/>
        <v>0</v>
      </c>
      <c r="CM170" s="47">
        <f t="shared" si="106"/>
        <v>46034</v>
      </c>
      <c r="CN170" s="56">
        <v>7683.06</v>
      </c>
      <c r="CO170" s="57">
        <v>1603.81</v>
      </c>
      <c r="CP170" s="58"/>
      <c r="CQ170" s="62"/>
      <c r="CR170" s="27"/>
      <c r="CS170" s="240"/>
      <c r="CT170" s="53">
        <v>483.18971213485679</v>
      </c>
      <c r="CU170" s="52"/>
      <c r="CV170" s="53">
        <f t="shared" si="94"/>
        <v>483.18971213485679</v>
      </c>
      <c r="CX170" s="47">
        <f t="shared" si="107"/>
        <v>46034</v>
      </c>
      <c r="CY170" s="56">
        <v>3599.94</v>
      </c>
      <c r="CZ170" s="57">
        <v>1568.98</v>
      </c>
      <c r="DA170" s="58"/>
      <c r="DB170" s="59"/>
      <c r="DC170" s="27"/>
      <c r="DD170" s="240">
        <v>141.46828599999964</v>
      </c>
      <c r="DE170" s="53">
        <v>39.872059474857053</v>
      </c>
      <c r="DF170" s="52"/>
      <c r="DG170" s="53">
        <f t="shared" si="95"/>
        <v>181.34034547485669</v>
      </c>
      <c r="DI170" s="47">
        <f t="shared" si="108"/>
        <v>46034</v>
      </c>
      <c r="DJ170" s="56">
        <v>1566.39</v>
      </c>
      <c r="DK170" s="63"/>
      <c r="DL170" s="58"/>
      <c r="DM170" s="62"/>
      <c r="DN170" s="27"/>
      <c r="DO170" s="51"/>
      <c r="DP170" s="52"/>
      <c r="DQ170" s="52"/>
      <c r="DR170" s="53">
        <f t="shared" si="96"/>
        <v>0</v>
      </c>
      <c r="DT170" s="47">
        <f t="shared" si="109"/>
        <v>46034</v>
      </c>
      <c r="DU170" s="56">
        <v>1880.35</v>
      </c>
      <c r="DV170" s="57">
        <v>314.29000000000002</v>
      </c>
      <c r="DW170" s="58"/>
      <c r="DX170" s="62"/>
      <c r="DY170" s="27"/>
      <c r="DZ170" s="240">
        <v>225.01427999999993</v>
      </c>
      <c r="EA170" s="53">
        <v>127.640840912</v>
      </c>
      <c r="EB170" s="52"/>
      <c r="EC170" s="53">
        <f t="shared" si="97"/>
        <v>352.65512091199992</v>
      </c>
      <c r="EE170" s="47">
        <f t="shared" si="110"/>
        <v>46034</v>
      </c>
      <c r="EF170" s="56">
        <v>6787.47</v>
      </c>
      <c r="EG170" s="57">
        <v>1804.96</v>
      </c>
      <c r="EH170" s="58"/>
      <c r="EI170" s="59">
        <v>137.08000000000001</v>
      </c>
      <c r="EJ170" s="27"/>
      <c r="EK170" s="240"/>
      <c r="EL170" s="52"/>
      <c r="EM170" s="52"/>
      <c r="EN170" s="53">
        <f t="shared" si="98"/>
        <v>137.08000000000001</v>
      </c>
      <c r="EP170" s="47">
        <f t="shared" si="111"/>
        <v>46034</v>
      </c>
      <c r="EQ170" s="64">
        <v>615</v>
      </c>
      <c r="ER170" s="56">
        <v>384.5</v>
      </c>
      <c r="ES170" s="58"/>
      <c r="ET170" s="59"/>
      <c r="EV170" s="51"/>
      <c r="EW170" s="52"/>
      <c r="EX170" s="52"/>
      <c r="EY170" s="53">
        <f t="shared" si="99"/>
        <v>0</v>
      </c>
    </row>
    <row r="171" spans="2:155" hidden="1" x14ac:dyDescent="0.25">
      <c r="B171" s="47">
        <v>46035</v>
      </c>
      <c r="C171" s="48">
        <v>16897.12</v>
      </c>
      <c r="D171" s="49">
        <v>2667.13</v>
      </c>
      <c r="E171" s="50">
        <v>3433.88</v>
      </c>
      <c r="F171" s="49">
        <v>464.32</v>
      </c>
      <c r="G171" s="50"/>
      <c r="H171" s="27"/>
      <c r="I171" s="51"/>
      <c r="J171" s="52"/>
      <c r="K171" s="52"/>
      <c r="L171" s="53">
        <f t="shared" si="86"/>
        <v>0</v>
      </c>
      <c r="N171" s="47">
        <f t="shared" si="100"/>
        <v>46035</v>
      </c>
      <c r="O171" s="54">
        <v>1958.95</v>
      </c>
      <c r="P171" s="54">
        <v>659.02</v>
      </c>
      <c r="Q171" s="58"/>
      <c r="R171" s="69"/>
      <c r="S171" s="27"/>
      <c r="T171" s="240">
        <v>208.25036999999998</v>
      </c>
      <c r="U171" s="240"/>
      <c r="V171" s="240"/>
      <c r="W171" s="53">
        <f t="shared" si="87"/>
        <v>208.25036999999998</v>
      </c>
      <c r="Y171" s="47">
        <f t="shared" si="101"/>
        <v>46035</v>
      </c>
      <c r="Z171" s="56">
        <v>3938.08</v>
      </c>
      <c r="AA171" s="57">
        <v>977.18</v>
      </c>
      <c r="AB171" s="63"/>
      <c r="AC171" s="59">
        <v>106.01</v>
      </c>
      <c r="AD171" s="27"/>
      <c r="AE171" s="240">
        <v>312.11428999999987</v>
      </c>
      <c r="AF171" s="52"/>
      <c r="AG171" s="52"/>
      <c r="AH171" s="53">
        <f t="shared" si="88"/>
        <v>418.12428999999986</v>
      </c>
      <c r="AJ171" s="47">
        <f t="shared" si="102"/>
        <v>46035</v>
      </c>
      <c r="AK171" s="56">
        <v>3391.56</v>
      </c>
      <c r="AL171" s="57">
        <v>699.92</v>
      </c>
      <c r="AM171" s="58"/>
      <c r="AN171" s="58"/>
      <c r="AO171" s="27"/>
      <c r="AP171" s="51"/>
      <c r="AQ171" s="52"/>
      <c r="AR171" s="52"/>
      <c r="AS171" s="53">
        <f t="shared" si="89"/>
        <v>0</v>
      </c>
      <c r="AU171" s="113">
        <f t="shared" si="103"/>
        <v>46035</v>
      </c>
      <c r="AV171" s="57">
        <v>813.06</v>
      </c>
      <c r="AW171" s="57">
        <v>0</v>
      </c>
      <c r="AX171" s="58"/>
      <c r="AY171" s="59"/>
      <c r="AZ171" s="27"/>
      <c r="BA171" s="240">
        <v>217.11584699999997</v>
      </c>
      <c r="BB171" s="53"/>
      <c r="BC171" s="52"/>
      <c r="BD171" s="53">
        <f t="shared" si="90"/>
        <v>217.11584699999997</v>
      </c>
      <c r="BF171" s="47">
        <f t="shared" si="112"/>
        <v>46035</v>
      </c>
      <c r="BG171" s="56">
        <v>3293.45</v>
      </c>
      <c r="BH171" s="57">
        <v>658.49</v>
      </c>
      <c r="BI171" s="58"/>
      <c r="BJ171" s="59"/>
      <c r="BK171" s="27"/>
      <c r="BL171" s="51">
        <v>522.99714999999981</v>
      </c>
      <c r="BM171" s="53">
        <v>51.087237577142844</v>
      </c>
      <c r="BN171" s="52"/>
      <c r="BO171" s="53">
        <f t="shared" si="91"/>
        <v>574.08438757714271</v>
      </c>
      <c r="BQ171" s="47">
        <f t="shared" si="104"/>
        <v>46035</v>
      </c>
      <c r="BR171" s="57">
        <v>319.76</v>
      </c>
      <c r="BS171" s="57">
        <v>343.44</v>
      </c>
      <c r="BT171" s="58"/>
      <c r="BU171" s="61"/>
      <c r="BV171" s="27"/>
      <c r="BW171" s="51"/>
      <c r="BX171" s="52"/>
      <c r="BY171" s="52"/>
      <c r="BZ171" s="53">
        <f t="shared" si="92"/>
        <v>0</v>
      </c>
      <c r="CB171" s="47">
        <f t="shared" si="105"/>
        <v>46035</v>
      </c>
      <c r="CC171" s="56">
        <v>19820.39</v>
      </c>
      <c r="CD171" s="57">
        <v>2822.24</v>
      </c>
      <c r="CE171" s="58"/>
      <c r="CF171" s="118"/>
      <c r="CG171" s="27"/>
      <c r="CH171" s="51"/>
      <c r="CI171" s="52"/>
      <c r="CJ171" s="52"/>
      <c r="CK171" s="53">
        <f t="shared" si="93"/>
        <v>0</v>
      </c>
      <c r="CM171" s="47">
        <f t="shared" si="106"/>
        <v>46035</v>
      </c>
      <c r="CN171" s="56">
        <v>8185.57</v>
      </c>
      <c r="CO171" s="57">
        <v>1256.28</v>
      </c>
      <c r="CP171" s="58"/>
      <c r="CQ171" s="62"/>
      <c r="CR171" s="27"/>
      <c r="CS171" s="240">
        <v>65.455529999999968</v>
      </c>
      <c r="CT171" s="53">
        <v>377.93512511847615</v>
      </c>
      <c r="CU171" s="52"/>
      <c r="CV171" s="53">
        <f t="shared" si="94"/>
        <v>443.3906551184761</v>
      </c>
      <c r="CX171" s="47">
        <f t="shared" si="107"/>
        <v>46035</v>
      </c>
      <c r="CY171" s="56">
        <v>2252.6799999999998</v>
      </c>
      <c r="CZ171" s="57">
        <v>1490.62</v>
      </c>
      <c r="DA171" s="58"/>
      <c r="DB171" s="59"/>
      <c r="DC171" s="27"/>
      <c r="DD171" s="240">
        <v>193.5182879999997</v>
      </c>
      <c r="DE171" s="53">
        <v>75.484915443047498</v>
      </c>
      <c r="DF171" s="52"/>
      <c r="DG171" s="53">
        <f t="shared" si="95"/>
        <v>269.0032034430472</v>
      </c>
      <c r="DI171" s="47">
        <f t="shared" si="108"/>
        <v>46035</v>
      </c>
      <c r="DJ171" s="56">
        <v>1602.04</v>
      </c>
      <c r="DK171" s="63"/>
      <c r="DL171" s="58"/>
      <c r="DM171" s="62"/>
      <c r="DN171" s="27"/>
      <c r="DO171" s="51"/>
      <c r="DP171" s="52"/>
      <c r="DQ171" s="52"/>
      <c r="DR171" s="53">
        <f t="shared" si="96"/>
        <v>0</v>
      </c>
      <c r="DT171" s="47">
        <f t="shared" si="109"/>
        <v>46035</v>
      </c>
      <c r="DU171" s="56">
        <v>2648.52</v>
      </c>
      <c r="DV171" s="57">
        <v>508.05</v>
      </c>
      <c r="DW171" s="58"/>
      <c r="DX171" s="62"/>
      <c r="DY171" s="27"/>
      <c r="DZ171" s="240">
        <v>113.27203999999993</v>
      </c>
      <c r="EA171" s="53">
        <v>42.400786531428565</v>
      </c>
      <c r="EB171" s="52"/>
      <c r="EC171" s="53">
        <f t="shared" si="97"/>
        <v>155.67282653142848</v>
      </c>
      <c r="EE171" s="47">
        <f t="shared" si="110"/>
        <v>46035</v>
      </c>
      <c r="EF171" s="56">
        <v>7453.88</v>
      </c>
      <c r="EG171" s="57">
        <v>1330.92</v>
      </c>
      <c r="EH171" s="58"/>
      <c r="EI171" s="59">
        <v>114.77</v>
      </c>
      <c r="EJ171" s="27"/>
      <c r="EK171" s="240"/>
      <c r="EL171" s="52"/>
      <c r="EM171" s="52"/>
      <c r="EN171" s="53">
        <f t="shared" si="98"/>
        <v>114.77</v>
      </c>
      <c r="EP171" s="47">
        <f t="shared" si="111"/>
        <v>46035</v>
      </c>
      <c r="EQ171" s="64">
        <v>207.75</v>
      </c>
      <c r="ER171" s="56">
        <v>483.77</v>
      </c>
      <c r="ES171" s="58"/>
      <c r="ET171" s="59"/>
      <c r="EV171" s="51"/>
      <c r="EW171" s="52"/>
      <c r="EX171" s="52"/>
      <c r="EY171" s="53">
        <f t="shared" si="99"/>
        <v>0</v>
      </c>
    </row>
    <row r="172" spans="2:155" hidden="1" x14ac:dyDescent="0.25">
      <c r="B172" s="47">
        <v>46036</v>
      </c>
      <c r="C172" s="48">
        <v>15997.8</v>
      </c>
      <c r="D172" s="49">
        <v>2883.36</v>
      </c>
      <c r="E172" s="50">
        <v>2927.08</v>
      </c>
      <c r="F172" s="49">
        <v>436.5</v>
      </c>
      <c r="G172" s="50"/>
      <c r="H172" s="27"/>
      <c r="I172" s="51"/>
      <c r="J172" s="52"/>
      <c r="K172" s="52"/>
      <c r="L172" s="53">
        <f t="shared" si="86"/>
        <v>0</v>
      </c>
      <c r="N172" s="47">
        <f t="shared" si="100"/>
        <v>46036</v>
      </c>
      <c r="O172" s="54">
        <v>2006.7</v>
      </c>
      <c r="P172" s="54">
        <v>579.94000000000005</v>
      </c>
      <c r="Q172" s="58"/>
      <c r="R172" s="55"/>
      <c r="S172" s="27"/>
      <c r="T172" s="240">
        <v>63.713249999999988</v>
      </c>
      <c r="U172" s="240"/>
      <c r="V172" s="240"/>
      <c r="W172" s="53">
        <f t="shared" si="87"/>
        <v>63.713249999999988</v>
      </c>
      <c r="Y172" s="47">
        <f t="shared" si="101"/>
        <v>46036</v>
      </c>
      <c r="Z172" s="56">
        <v>5007.8500000000004</v>
      </c>
      <c r="AA172" s="57">
        <v>1063.57</v>
      </c>
      <c r="AB172" s="63"/>
      <c r="AC172" s="59">
        <v>67.87</v>
      </c>
      <c r="AD172" s="27"/>
      <c r="AE172" s="240">
        <v>48.037079999999975</v>
      </c>
      <c r="AF172" s="52"/>
      <c r="AG172" s="52"/>
      <c r="AH172" s="53">
        <f t="shared" si="88"/>
        <v>115.90707999999998</v>
      </c>
      <c r="AJ172" s="47">
        <f t="shared" si="102"/>
        <v>46036</v>
      </c>
      <c r="AK172" s="56">
        <v>3330.9</v>
      </c>
      <c r="AL172" s="57">
        <v>254.6</v>
      </c>
      <c r="AM172" s="58"/>
      <c r="AN172" s="58"/>
      <c r="AO172" s="27"/>
      <c r="AP172" s="51"/>
      <c r="AQ172" s="52"/>
      <c r="AR172" s="52"/>
      <c r="AS172" s="53">
        <f t="shared" si="89"/>
        <v>0</v>
      </c>
      <c r="AU172" s="113">
        <f t="shared" si="103"/>
        <v>46036</v>
      </c>
      <c r="AV172" s="57">
        <v>749</v>
      </c>
      <c r="AW172" s="57">
        <v>23.48</v>
      </c>
      <c r="AX172" s="58"/>
      <c r="AY172" s="59"/>
      <c r="AZ172" s="27"/>
      <c r="BA172" s="240">
        <v>1318.1185229999996</v>
      </c>
      <c r="BB172" s="53">
        <v>26.428246407619071</v>
      </c>
      <c r="BC172" s="52"/>
      <c r="BD172" s="53">
        <f t="shared" si="90"/>
        <v>1344.5467694076187</v>
      </c>
      <c r="BF172" s="47">
        <f t="shared" si="112"/>
        <v>46036</v>
      </c>
      <c r="BG172" s="56">
        <v>4373.87</v>
      </c>
      <c r="BH172" s="57">
        <v>722.7</v>
      </c>
      <c r="BI172" s="58"/>
      <c r="BJ172" s="59"/>
      <c r="BK172" s="27"/>
      <c r="BL172" s="51">
        <v>205.20305999999988</v>
      </c>
      <c r="BM172" s="53"/>
      <c r="BN172" s="52"/>
      <c r="BO172" s="53">
        <f t="shared" si="91"/>
        <v>205.20305999999988</v>
      </c>
      <c r="BQ172" s="47">
        <f t="shared" si="104"/>
        <v>46036</v>
      </c>
      <c r="BR172" s="57">
        <v>128</v>
      </c>
      <c r="BS172" s="57">
        <v>102.88</v>
      </c>
      <c r="BT172" s="58"/>
      <c r="BU172" s="61"/>
      <c r="BV172" s="27"/>
      <c r="BW172" s="51"/>
      <c r="BX172" s="52"/>
      <c r="BY172" s="52"/>
      <c r="BZ172" s="53">
        <f t="shared" si="92"/>
        <v>0</v>
      </c>
      <c r="CB172" s="47">
        <f t="shared" si="105"/>
        <v>46036</v>
      </c>
      <c r="CC172" s="56">
        <v>17545.66</v>
      </c>
      <c r="CD172" s="57">
        <v>1682.31</v>
      </c>
      <c r="CE172" s="58"/>
      <c r="CF172" s="117"/>
      <c r="CG172" s="27"/>
      <c r="CH172" s="51"/>
      <c r="CI172" s="52"/>
      <c r="CJ172" s="52"/>
      <c r="CK172" s="53">
        <f t="shared" si="93"/>
        <v>0</v>
      </c>
      <c r="CM172" s="47">
        <f t="shared" si="106"/>
        <v>46036</v>
      </c>
      <c r="CN172" s="56">
        <v>8584.51</v>
      </c>
      <c r="CO172" s="57">
        <v>1285.99</v>
      </c>
      <c r="CP172" s="58"/>
      <c r="CQ172" s="62"/>
      <c r="CR172" s="27"/>
      <c r="CS172" s="240">
        <v>84.955289999999934</v>
      </c>
      <c r="CT172" s="53">
        <v>164.11725669066669</v>
      </c>
      <c r="CU172" s="52"/>
      <c r="CV172" s="53">
        <f t="shared" si="94"/>
        <v>249.07254669066663</v>
      </c>
      <c r="CX172" s="47">
        <f t="shared" si="107"/>
        <v>46036</v>
      </c>
      <c r="CY172" s="56">
        <v>3679.34</v>
      </c>
      <c r="CZ172" s="57">
        <v>1693.18</v>
      </c>
      <c r="DA172" s="58"/>
      <c r="DB172" s="59"/>
      <c r="DC172" s="27"/>
      <c r="DD172" s="240">
        <v>224.36505599999964</v>
      </c>
      <c r="DE172" s="53">
        <v>42.429942192761871</v>
      </c>
      <c r="DF172" s="52"/>
      <c r="DG172" s="53">
        <f t="shared" si="95"/>
        <v>266.79499819276151</v>
      </c>
      <c r="DI172" s="47">
        <f t="shared" si="108"/>
        <v>46036</v>
      </c>
      <c r="DJ172" s="56">
        <v>1234.07</v>
      </c>
      <c r="DK172" s="63"/>
      <c r="DL172" s="58"/>
      <c r="DM172" s="62"/>
      <c r="DN172" s="27"/>
      <c r="DO172" s="51"/>
      <c r="DP172" s="52"/>
      <c r="DQ172" s="52"/>
      <c r="DR172" s="53">
        <f t="shared" si="96"/>
        <v>0</v>
      </c>
      <c r="DT172" s="47">
        <f t="shared" si="109"/>
        <v>46036</v>
      </c>
      <c r="DU172" s="56">
        <v>1524.96</v>
      </c>
      <c r="DV172" s="57">
        <v>461.19</v>
      </c>
      <c r="DW172" s="58"/>
      <c r="DX172" s="62"/>
      <c r="DY172" s="27"/>
      <c r="DZ172" s="240">
        <v>146.18104</v>
      </c>
      <c r="EA172" s="53">
        <v>34.822838306666654</v>
      </c>
      <c r="EB172" s="52"/>
      <c r="EC172" s="53">
        <f t="shared" si="97"/>
        <v>181.00387830666665</v>
      </c>
      <c r="EE172" s="47">
        <f t="shared" si="110"/>
        <v>46036</v>
      </c>
      <c r="EF172" s="56">
        <v>6181.58</v>
      </c>
      <c r="EG172" s="57">
        <v>1757.91</v>
      </c>
      <c r="EH172" s="58"/>
      <c r="EI172" s="59">
        <v>80.98</v>
      </c>
      <c r="EJ172" s="27"/>
      <c r="EK172" s="240">
        <v>110.5</v>
      </c>
      <c r="EL172" s="52"/>
      <c r="EM172" s="52"/>
      <c r="EN172" s="53">
        <f t="shared" si="98"/>
        <v>191.48000000000002</v>
      </c>
      <c r="EP172" s="47">
        <f t="shared" si="111"/>
        <v>46036</v>
      </c>
      <c r="EQ172" s="64">
        <v>206.45</v>
      </c>
      <c r="ER172" s="56">
        <v>441.98</v>
      </c>
      <c r="ES172" s="58"/>
      <c r="ET172" s="59"/>
      <c r="EV172" s="51"/>
      <c r="EW172" s="52"/>
      <c r="EX172" s="52"/>
      <c r="EY172" s="53">
        <f t="shared" si="99"/>
        <v>0</v>
      </c>
    </row>
    <row r="173" spans="2:155" hidden="1" x14ac:dyDescent="0.25">
      <c r="B173" s="47">
        <v>46037</v>
      </c>
      <c r="C173" s="48">
        <v>16409.080000000002</v>
      </c>
      <c r="D173" s="49">
        <v>2223.6</v>
      </c>
      <c r="E173" s="50">
        <v>5092.2</v>
      </c>
      <c r="F173" s="49">
        <v>522.87</v>
      </c>
      <c r="G173" s="50"/>
      <c r="H173" s="27"/>
      <c r="I173" s="51"/>
      <c r="J173" s="52"/>
      <c r="K173" s="52"/>
      <c r="L173" s="53">
        <f t="shared" si="86"/>
        <v>0</v>
      </c>
      <c r="N173" s="47">
        <f t="shared" si="100"/>
        <v>46037</v>
      </c>
      <c r="O173" s="54">
        <v>1278.55</v>
      </c>
      <c r="P173" s="54">
        <v>346.77</v>
      </c>
      <c r="Q173" s="58"/>
      <c r="R173" s="55"/>
      <c r="S173" s="27"/>
      <c r="T173" s="240">
        <v>247.78032000000002</v>
      </c>
      <c r="U173" s="240"/>
      <c r="V173" s="240"/>
      <c r="W173" s="53">
        <f t="shared" si="87"/>
        <v>247.78032000000002</v>
      </c>
      <c r="Y173" s="47">
        <f t="shared" si="101"/>
        <v>46037</v>
      </c>
      <c r="Z173" s="56">
        <v>4004.27</v>
      </c>
      <c r="AA173" s="57">
        <v>1099.55</v>
      </c>
      <c r="AB173" s="63"/>
      <c r="AC173" s="59">
        <v>80.989999999999995</v>
      </c>
      <c r="AD173" s="27"/>
      <c r="AE173" s="240">
        <v>97.126919999999984</v>
      </c>
      <c r="AF173" s="52"/>
      <c r="AG173" s="52"/>
      <c r="AH173" s="53">
        <f t="shared" si="88"/>
        <v>178.11691999999999</v>
      </c>
      <c r="AJ173" s="47">
        <f t="shared" si="102"/>
        <v>46037</v>
      </c>
      <c r="AK173" s="56">
        <v>2633.52</v>
      </c>
      <c r="AL173" s="57">
        <v>384.92</v>
      </c>
      <c r="AM173" s="58"/>
      <c r="AN173" s="58"/>
      <c r="AO173" s="27"/>
      <c r="AP173" s="51"/>
      <c r="AQ173" s="52"/>
      <c r="AR173" s="52"/>
      <c r="AS173" s="53">
        <f t="shared" si="89"/>
        <v>0</v>
      </c>
      <c r="AU173" s="113">
        <f t="shared" si="103"/>
        <v>46037</v>
      </c>
      <c r="AV173" s="57">
        <v>454.5</v>
      </c>
      <c r="AW173" s="57">
        <v>40</v>
      </c>
      <c r="AX173" s="58"/>
      <c r="AY173" s="59">
        <v>59.4</v>
      </c>
      <c r="AZ173" s="27"/>
      <c r="BA173" s="240">
        <v>704.60648799999979</v>
      </c>
      <c r="BB173" s="53"/>
      <c r="BC173" s="52"/>
      <c r="BD173" s="53">
        <f t="shared" si="90"/>
        <v>764.00648799999976</v>
      </c>
      <c r="BF173" s="47">
        <f t="shared" si="112"/>
        <v>46037</v>
      </c>
      <c r="BG173" s="56">
        <v>2619.27</v>
      </c>
      <c r="BH173" s="57">
        <v>892.87</v>
      </c>
      <c r="BI173" s="58"/>
      <c r="BJ173" s="59"/>
      <c r="BK173" s="27"/>
      <c r="BL173" s="51">
        <v>612.17370000000005</v>
      </c>
      <c r="BM173" s="53">
        <v>69.031341302095242</v>
      </c>
      <c r="BN173" s="52"/>
      <c r="BO173" s="53">
        <f t="shared" si="91"/>
        <v>681.20504130209531</v>
      </c>
      <c r="BQ173" s="47">
        <f t="shared" si="104"/>
        <v>46037</v>
      </c>
      <c r="BR173" s="57">
        <v>90</v>
      </c>
      <c r="BS173" s="57">
        <v>410.43</v>
      </c>
      <c r="BT173" s="58"/>
      <c r="BU173" s="61"/>
      <c r="BV173" s="27"/>
      <c r="BW173" s="51"/>
      <c r="BX173" s="52"/>
      <c r="BY173" s="52"/>
      <c r="BZ173" s="53">
        <f t="shared" si="92"/>
        <v>0</v>
      </c>
      <c r="CB173" s="47">
        <f t="shared" si="105"/>
        <v>46037</v>
      </c>
      <c r="CC173" s="56">
        <v>19694.919999999998</v>
      </c>
      <c r="CD173" s="57">
        <v>2136.35</v>
      </c>
      <c r="CE173" s="58"/>
      <c r="CF173" s="117"/>
      <c r="CG173" s="27"/>
      <c r="CH173" s="51"/>
      <c r="CI173" s="52"/>
      <c r="CJ173" s="52"/>
      <c r="CK173" s="53">
        <f t="shared" si="93"/>
        <v>0</v>
      </c>
      <c r="CM173" s="47">
        <f t="shared" si="106"/>
        <v>46037</v>
      </c>
      <c r="CN173" s="56">
        <v>10086.51</v>
      </c>
      <c r="CO173" s="57">
        <v>2240.38</v>
      </c>
      <c r="CP173" s="58"/>
      <c r="CQ173" s="62"/>
      <c r="CR173" s="27"/>
      <c r="CS173" s="240">
        <v>29.523689999999988</v>
      </c>
      <c r="CT173" s="53">
        <v>392.24797090780953</v>
      </c>
      <c r="CU173" s="52"/>
      <c r="CV173" s="53">
        <f t="shared" si="94"/>
        <v>421.77166090780952</v>
      </c>
      <c r="CX173" s="47">
        <f t="shared" si="107"/>
        <v>46037</v>
      </c>
      <c r="CY173" s="56">
        <v>3905.93</v>
      </c>
      <c r="CZ173" s="57">
        <v>1329.96</v>
      </c>
      <c r="DA173" s="58"/>
      <c r="DB173" s="59"/>
      <c r="DC173" s="27"/>
      <c r="DD173" s="240">
        <v>59.201783999999961</v>
      </c>
      <c r="DE173" s="53">
        <v>14.017749801142855</v>
      </c>
      <c r="DF173" s="52"/>
      <c r="DG173" s="53">
        <f t="shared" si="95"/>
        <v>73.219533801142816</v>
      </c>
      <c r="DI173" s="47">
        <f t="shared" si="108"/>
        <v>46037</v>
      </c>
      <c r="DJ173" s="56">
        <v>1315</v>
      </c>
      <c r="DK173" s="63"/>
      <c r="DL173" s="58"/>
      <c r="DM173" s="62"/>
      <c r="DN173" s="27"/>
      <c r="DO173" s="51"/>
      <c r="DP173" s="52"/>
      <c r="DQ173" s="52"/>
      <c r="DR173" s="53">
        <f t="shared" si="96"/>
        <v>0</v>
      </c>
      <c r="DT173" s="47">
        <f t="shared" si="109"/>
        <v>46037</v>
      </c>
      <c r="DU173" s="56">
        <v>1305.21</v>
      </c>
      <c r="DV173" s="57">
        <v>90.2</v>
      </c>
      <c r="DW173" s="58"/>
      <c r="DX173" s="62"/>
      <c r="DY173" s="27"/>
      <c r="DZ173" s="240">
        <v>117.59775</v>
      </c>
      <c r="EA173" s="53">
        <v>32.2145747329524</v>
      </c>
      <c r="EB173" s="52"/>
      <c r="EC173" s="53">
        <f t="shared" si="97"/>
        <v>149.81232473295239</v>
      </c>
      <c r="EE173" s="47">
        <f t="shared" si="110"/>
        <v>46037</v>
      </c>
      <c r="EF173" s="56">
        <v>7242.64</v>
      </c>
      <c r="EG173" s="57">
        <v>1096.2</v>
      </c>
      <c r="EH173" s="58"/>
      <c r="EI173" s="59">
        <v>134.59</v>
      </c>
      <c r="EJ173" s="27"/>
      <c r="EK173" s="240"/>
      <c r="EL173" s="52"/>
      <c r="EM173" s="52"/>
      <c r="EN173" s="53">
        <f t="shared" si="98"/>
        <v>134.59</v>
      </c>
      <c r="EP173" s="47">
        <f t="shared" si="111"/>
        <v>46037</v>
      </c>
      <c r="EQ173" s="64">
        <v>345</v>
      </c>
      <c r="ER173" s="56">
        <v>354.06</v>
      </c>
      <c r="ES173" s="58"/>
      <c r="ET173" s="59"/>
      <c r="EV173" s="51"/>
      <c r="EW173" s="52"/>
      <c r="EX173" s="52"/>
      <c r="EY173" s="53">
        <f t="shared" si="99"/>
        <v>0</v>
      </c>
    </row>
    <row r="174" spans="2:155" hidden="1" x14ac:dyDescent="0.25">
      <c r="B174" s="47">
        <v>46038</v>
      </c>
      <c r="C174" s="48">
        <v>14473.67</v>
      </c>
      <c r="D174" s="49">
        <v>2116.15</v>
      </c>
      <c r="E174" s="50">
        <v>3356.83</v>
      </c>
      <c r="F174" s="49">
        <v>528.22</v>
      </c>
      <c r="G174" s="50"/>
      <c r="H174" s="27"/>
      <c r="I174" s="51"/>
      <c r="J174" s="52"/>
      <c r="K174" s="52"/>
      <c r="L174" s="53">
        <f t="shared" si="86"/>
        <v>0</v>
      </c>
      <c r="N174" s="47">
        <f t="shared" si="100"/>
        <v>46038</v>
      </c>
      <c r="O174" s="54">
        <v>1820.09</v>
      </c>
      <c r="P174" s="54">
        <v>405.32</v>
      </c>
      <c r="Q174" s="58"/>
      <c r="R174" s="55"/>
      <c r="S174" s="27"/>
      <c r="T174" s="240">
        <v>883.7447599999997</v>
      </c>
      <c r="U174" s="240">
        <v>25.86352042476193</v>
      </c>
      <c r="V174" s="240"/>
      <c r="W174" s="53">
        <f t="shared" si="87"/>
        <v>909.60828042476169</v>
      </c>
      <c r="Y174" s="47">
        <f t="shared" si="101"/>
        <v>46038</v>
      </c>
      <c r="Z174" s="56">
        <v>4035.94</v>
      </c>
      <c r="AA174" s="57">
        <v>1093.53</v>
      </c>
      <c r="AB174" s="63"/>
      <c r="AC174" s="59">
        <v>137.94999999999999</v>
      </c>
      <c r="AD174" s="27"/>
      <c r="AE174" s="240">
        <v>34.146749999999997</v>
      </c>
      <c r="AF174" s="52"/>
      <c r="AG174" s="52"/>
      <c r="AH174" s="53">
        <f t="shared" si="88"/>
        <v>172.09674999999999</v>
      </c>
      <c r="AJ174" s="47">
        <f t="shared" si="102"/>
        <v>46038</v>
      </c>
      <c r="AK174" s="56">
        <v>3555.11</v>
      </c>
      <c r="AL174" s="57">
        <v>238.9</v>
      </c>
      <c r="AM174" s="58"/>
      <c r="AN174" s="58"/>
      <c r="AO174" s="27"/>
      <c r="AP174" s="51"/>
      <c r="AQ174" s="52"/>
      <c r="AR174" s="52"/>
      <c r="AS174" s="53">
        <f t="shared" si="89"/>
        <v>0</v>
      </c>
      <c r="AU174" s="113">
        <f t="shared" si="103"/>
        <v>46038</v>
      </c>
      <c r="AV174" s="57">
        <v>1206.8699999999999</v>
      </c>
      <c r="AW174" s="57">
        <v>0</v>
      </c>
      <c r="AX174" s="58"/>
      <c r="AY174" s="59"/>
      <c r="AZ174" s="27"/>
      <c r="BA174" s="240">
        <v>967.02260000000001</v>
      </c>
      <c r="BB174" s="53"/>
      <c r="BC174" s="52"/>
      <c r="BD174" s="53">
        <f t="shared" si="90"/>
        <v>967.02260000000001</v>
      </c>
      <c r="BF174" s="47">
        <f t="shared" si="112"/>
        <v>46038</v>
      </c>
      <c r="BG174" s="56">
        <v>4152.43</v>
      </c>
      <c r="BH174" s="57">
        <v>633.86</v>
      </c>
      <c r="BI174" s="58"/>
      <c r="BJ174" s="59"/>
      <c r="BK174" s="27"/>
      <c r="BL174" s="51">
        <v>363.04066999999998</v>
      </c>
      <c r="BM174" s="53">
        <v>67.627948182095281</v>
      </c>
      <c r="BN174" s="52"/>
      <c r="BO174" s="53">
        <f t="shared" si="91"/>
        <v>430.66861818209526</v>
      </c>
      <c r="BQ174" s="47">
        <f t="shared" si="104"/>
        <v>46038</v>
      </c>
      <c r="BR174" s="57">
        <v>315.01</v>
      </c>
      <c r="BS174" s="57">
        <v>785.01</v>
      </c>
      <c r="BT174" s="58"/>
      <c r="BU174" s="61"/>
      <c r="BV174" s="27"/>
      <c r="BW174" s="51"/>
      <c r="BX174" s="52"/>
      <c r="BY174" s="52"/>
      <c r="BZ174" s="53">
        <f t="shared" si="92"/>
        <v>0</v>
      </c>
      <c r="CB174" s="47">
        <f t="shared" si="105"/>
        <v>46038</v>
      </c>
      <c r="CC174" s="56">
        <v>23180.45</v>
      </c>
      <c r="CD174" s="57">
        <v>3077.76</v>
      </c>
      <c r="CE174" s="58"/>
      <c r="CF174" s="117"/>
      <c r="CG174" s="27"/>
      <c r="CH174" s="51"/>
      <c r="CI174" s="52"/>
      <c r="CJ174" s="52"/>
      <c r="CK174" s="53">
        <f t="shared" si="93"/>
        <v>0</v>
      </c>
      <c r="CM174" s="47">
        <f t="shared" si="106"/>
        <v>46038</v>
      </c>
      <c r="CN174" s="56">
        <v>8642.11</v>
      </c>
      <c r="CO174" s="57">
        <v>1922.31</v>
      </c>
      <c r="CP174" s="58"/>
      <c r="CQ174" s="62"/>
      <c r="CR174" s="27"/>
      <c r="CS174" s="240">
        <v>102.46291999999997</v>
      </c>
      <c r="CT174" s="53">
        <v>237.16773847161909</v>
      </c>
      <c r="CU174" s="52"/>
      <c r="CV174" s="53">
        <f t="shared" si="94"/>
        <v>339.63065847161909</v>
      </c>
      <c r="CX174" s="47">
        <f t="shared" si="107"/>
        <v>46038</v>
      </c>
      <c r="CY174" s="56">
        <v>4794.8500000000004</v>
      </c>
      <c r="CZ174" s="57">
        <v>1338.71</v>
      </c>
      <c r="DA174" s="58"/>
      <c r="DB174" s="59"/>
      <c r="DC174" s="27"/>
      <c r="DD174" s="240">
        <v>86.740007000000134</v>
      </c>
      <c r="DE174" s="53">
        <v>32.104186276571426</v>
      </c>
      <c r="DF174" s="52"/>
      <c r="DG174" s="53">
        <f t="shared" si="95"/>
        <v>118.84419327657156</v>
      </c>
      <c r="DI174" s="47">
        <f t="shared" si="108"/>
        <v>46038</v>
      </c>
      <c r="DJ174" s="56">
        <v>1397.08</v>
      </c>
      <c r="DK174" s="63"/>
      <c r="DL174" s="58"/>
      <c r="DM174" s="62"/>
      <c r="DN174" s="27"/>
      <c r="DO174" s="51"/>
      <c r="DP174" s="52"/>
      <c r="DQ174" s="52"/>
      <c r="DR174" s="53">
        <f t="shared" si="96"/>
        <v>0</v>
      </c>
      <c r="DT174" s="47">
        <f t="shared" si="109"/>
        <v>46038</v>
      </c>
      <c r="DU174" s="56">
        <v>1773.03</v>
      </c>
      <c r="DV174" s="57">
        <v>214.05</v>
      </c>
      <c r="DW174" s="58"/>
      <c r="DX174" s="62"/>
      <c r="DY174" s="27"/>
      <c r="DZ174" s="240">
        <v>238.55644000000004</v>
      </c>
      <c r="EA174" s="53">
        <v>30.771638302857141</v>
      </c>
      <c r="EB174" s="52"/>
      <c r="EC174" s="53">
        <f t="shared" si="97"/>
        <v>269.32807830285719</v>
      </c>
      <c r="EE174" s="47">
        <f t="shared" si="110"/>
        <v>46038</v>
      </c>
      <c r="EF174" s="56">
        <v>7819.38</v>
      </c>
      <c r="EG174" s="57">
        <v>1458.17</v>
      </c>
      <c r="EH174" s="58"/>
      <c r="EI174" s="59">
        <v>174.45</v>
      </c>
      <c r="EJ174" s="27"/>
      <c r="EK174" s="240"/>
      <c r="EL174" s="52"/>
      <c r="EM174" s="52"/>
      <c r="EN174" s="53">
        <f t="shared" si="98"/>
        <v>174.45</v>
      </c>
      <c r="EP174" s="47">
        <f t="shared" si="111"/>
        <v>46038</v>
      </c>
      <c r="EQ174" s="64">
        <v>594.28</v>
      </c>
      <c r="ER174" s="56">
        <v>361.17</v>
      </c>
      <c r="ES174" s="58"/>
      <c r="ET174" s="59"/>
      <c r="EV174" s="51"/>
      <c r="EW174" s="52"/>
      <c r="EX174" s="52"/>
      <c r="EY174" s="53">
        <f t="shared" si="99"/>
        <v>0</v>
      </c>
    </row>
    <row r="175" spans="2:155" hidden="1" x14ac:dyDescent="0.25">
      <c r="B175" s="47">
        <v>46039</v>
      </c>
      <c r="C175" s="48">
        <v>17874.43</v>
      </c>
      <c r="D175" s="49">
        <v>2949.91</v>
      </c>
      <c r="E175" s="50">
        <v>3540.57</v>
      </c>
      <c r="F175" s="49">
        <v>451.56</v>
      </c>
      <c r="G175" s="50"/>
      <c r="H175" s="27"/>
      <c r="I175" s="51"/>
      <c r="J175" s="52"/>
      <c r="K175" s="52"/>
      <c r="L175" s="53">
        <f t="shared" si="86"/>
        <v>0</v>
      </c>
      <c r="N175" s="47">
        <f t="shared" si="100"/>
        <v>46039</v>
      </c>
      <c r="O175" s="54">
        <v>3131.62</v>
      </c>
      <c r="P175" s="54">
        <v>881.41</v>
      </c>
      <c r="Q175" s="58"/>
      <c r="R175" s="55"/>
      <c r="S175" s="27"/>
      <c r="T175" s="240">
        <v>562.12199999999996</v>
      </c>
      <c r="U175" s="240"/>
      <c r="V175" s="240"/>
      <c r="W175" s="53">
        <f t="shared" si="87"/>
        <v>562.12199999999996</v>
      </c>
      <c r="Y175" s="47">
        <f t="shared" si="101"/>
        <v>46039</v>
      </c>
      <c r="Z175" s="56">
        <v>5050.78</v>
      </c>
      <c r="AA175" s="57">
        <v>1157.33</v>
      </c>
      <c r="AB175" s="63"/>
      <c r="AC175" s="59">
        <v>169.87</v>
      </c>
      <c r="AD175" s="27"/>
      <c r="AE175" s="240">
        <v>75.388499999999965</v>
      </c>
      <c r="AF175" s="52"/>
      <c r="AG175" s="52"/>
      <c r="AH175" s="53">
        <f t="shared" si="88"/>
        <v>245.25849999999997</v>
      </c>
      <c r="AJ175" s="47">
        <f t="shared" si="102"/>
        <v>46039</v>
      </c>
      <c r="AK175" s="56">
        <v>3683.06</v>
      </c>
      <c r="AL175" s="57">
        <v>437.06</v>
      </c>
      <c r="AM175" s="58"/>
      <c r="AN175" s="58"/>
      <c r="AO175" s="27"/>
      <c r="AP175" s="51"/>
      <c r="AQ175" s="52"/>
      <c r="AR175" s="52"/>
      <c r="AS175" s="53">
        <f t="shared" si="89"/>
        <v>0</v>
      </c>
      <c r="AU175" s="113">
        <f t="shared" si="103"/>
        <v>46039</v>
      </c>
      <c r="AV175" s="57">
        <v>523.34</v>
      </c>
      <c r="AW175" s="57">
        <v>149.03</v>
      </c>
      <c r="AX175" s="58"/>
      <c r="AY175" s="59"/>
      <c r="AZ175" s="27"/>
      <c r="BA175" s="240">
        <v>309.12394000000006</v>
      </c>
      <c r="BB175" s="53"/>
      <c r="BC175" s="52"/>
      <c r="BD175" s="53">
        <f t="shared" si="90"/>
        <v>309.12394000000006</v>
      </c>
      <c r="BF175" s="47">
        <f t="shared" si="112"/>
        <v>46039</v>
      </c>
      <c r="BG175" s="56">
        <v>3839.4</v>
      </c>
      <c r="BH175" s="57">
        <v>548.33000000000004</v>
      </c>
      <c r="BI175" s="58"/>
      <c r="BJ175" s="59"/>
      <c r="BK175" s="27"/>
      <c r="BL175" s="51">
        <v>71.100000000000009</v>
      </c>
      <c r="BM175" s="53">
        <v>88.521674704761878</v>
      </c>
      <c r="BN175" s="52"/>
      <c r="BO175" s="53">
        <f t="shared" si="91"/>
        <v>159.62167470476189</v>
      </c>
      <c r="BQ175" s="47">
        <f t="shared" si="104"/>
        <v>46039</v>
      </c>
      <c r="BR175" s="57">
        <v>395.52</v>
      </c>
      <c r="BS175" s="57">
        <v>483.56</v>
      </c>
      <c r="BT175" s="58"/>
      <c r="BU175" s="61"/>
      <c r="BV175" s="27"/>
      <c r="BW175" s="51"/>
      <c r="BX175" s="52"/>
      <c r="BY175" s="52"/>
      <c r="BZ175" s="53">
        <f t="shared" si="92"/>
        <v>0</v>
      </c>
      <c r="CB175" s="47">
        <f t="shared" si="105"/>
        <v>46039</v>
      </c>
      <c r="CC175" s="56">
        <v>21426.560000000001</v>
      </c>
      <c r="CD175" s="57">
        <v>1853.14</v>
      </c>
      <c r="CE175" s="58"/>
      <c r="CF175" s="117"/>
      <c r="CG175" s="27"/>
      <c r="CH175" s="51"/>
      <c r="CI175" s="52"/>
      <c r="CJ175" s="52"/>
      <c r="CK175" s="53">
        <f t="shared" si="93"/>
        <v>0</v>
      </c>
      <c r="CM175" s="47">
        <f t="shared" si="106"/>
        <v>46039</v>
      </c>
      <c r="CN175" s="56">
        <v>6319.22</v>
      </c>
      <c r="CO175" s="57">
        <v>1356.98</v>
      </c>
      <c r="CP175" s="58"/>
      <c r="CQ175" s="62"/>
      <c r="CR175" s="27"/>
      <c r="CS175" s="240">
        <v>103.72724999999998</v>
      </c>
      <c r="CT175" s="53">
        <v>187.40563653980951</v>
      </c>
      <c r="CU175" s="52"/>
      <c r="CV175" s="53">
        <f t="shared" si="94"/>
        <v>291.13288653980948</v>
      </c>
      <c r="CX175" s="47">
        <f t="shared" si="107"/>
        <v>46039</v>
      </c>
      <c r="CY175" s="56">
        <v>5320.96</v>
      </c>
      <c r="CZ175" s="57">
        <v>2260.58</v>
      </c>
      <c r="DA175" s="58"/>
      <c r="DB175" s="59"/>
      <c r="DC175" s="27"/>
      <c r="DD175" s="240">
        <v>41.85000400000024</v>
      </c>
      <c r="DE175" s="53"/>
      <c r="DF175" s="52"/>
      <c r="DG175" s="53">
        <f t="shared" si="95"/>
        <v>41.85000400000024</v>
      </c>
      <c r="DI175" s="47">
        <f t="shared" si="108"/>
        <v>46039</v>
      </c>
      <c r="DJ175" s="56">
        <v>1015.54</v>
      </c>
      <c r="DK175" s="63"/>
      <c r="DL175" s="58"/>
      <c r="DM175" s="62"/>
      <c r="DN175" s="27"/>
      <c r="DO175" s="51"/>
      <c r="DP175" s="52"/>
      <c r="DQ175" s="52"/>
      <c r="DR175" s="53">
        <f t="shared" si="96"/>
        <v>0</v>
      </c>
      <c r="DT175" s="47">
        <f t="shared" si="109"/>
        <v>46039</v>
      </c>
      <c r="DU175" s="56">
        <v>1116.6400000000001</v>
      </c>
      <c r="DV175" s="57">
        <v>501.39</v>
      </c>
      <c r="DW175" s="58"/>
      <c r="DX175" s="62"/>
      <c r="DY175" s="27"/>
      <c r="DZ175" s="240">
        <v>149.56928999999997</v>
      </c>
      <c r="EA175" s="53">
        <v>131.14714909142856</v>
      </c>
      <c r="EB175" s="52"/>
      <c r="EC175" s="53">
        <f t="shared" si="97"/>
        <v>280.71643909142853</v>
      </c>
      <c r="EE175" s="47">
        <f t="shared" si="110"/>
        <v>46039</v>
      </c>
      <c r="EF175" s="56">
        <v>6576.12</v>
      </c>
      <c r="EG175" s="57">
        <v>1653</v>
      </c>
      <c r="EH175" s="58"/>
      <c r="EI175" s="59">
        <v>123.06</v>
      </c>
      <c r="EJ175" s="27"/>
      <c r="EK175" s="240"/>
      <c r="EL175" s="52"/>
      <c r="EM175" s="52"/>
      <c r="EN175" s="53">
        <f t="shared" si="98"/>
        <v>123.06</v>
      </c>
      <c r="EP175" s="47">
        <f t="shared" si="111"/>
        <v>46039</v>
      </c>
      <c r="EQ175" s="64">
        <v>503.05</v>
      </c>
      <c r="ER175" s="56">
        <v>500.66</v>
      </c>
      <c r="ES175" s="58"/>
      <c r="ET175" s="59"/>
      <c r="EV175" s="51"/>
      <c r="EW175" s="52"/>
      <c r="EX175" s="52"/>
      <c r="EY175" s="53">
        <f t="shared" si="99"/>
        <v>0</v>
      </c>
    </row>
    <row r="176" spans="2:155" hidden="1" x14ac:dyDescent="0.25">
      <c r="B176" s="47">
        <v>46040</v>
      </c>
      <c r="C176" s="48">
        <v>13267.61</v>
      </c>
      <c r="D176" s="49">
        <v>2174.5700000000002</v>
      </c>
      <c r="E176" s="50">
        <v>2827.44</v>
      </c>
      <c r="F176" s="49">
        <v>254.06</v>
      </c>
      <c r="G176" s="50"/>
      <c r="H176" s="27"/>
      <c r="I176" s="51"/>
      <c r="J176" s="52"/>
      <c r="K176" s="52"/>
      <c r="L176" s="53">
        <f t="shared" si="86"/>
        <v>0</v>
      </c>
      <c r="N176" s="47">
        <f t="shared" si="100"/>
        <v>46040</v>
      </c>
      <c r="O176" s="54">
        <v>1126.28</v>
      </c>
      <c r="P176" s="54">
        <v>311.89999999999998</v>
      </c>
      <c r="Q176" s="58"/>
      <c r="R176" s="69"/>
      <c r="S176" s="27"/>
      <c r="T176" s="240">
        <v>169.64544000000001</v>
      </c>
      <c r="U176" s="240">
        <v>27.794743847619088</v>
      </c>
      <c r="V176" s="240"/>
      <c r="W176" s="53">
        <f t="shared" si="87"/>
        <v>197.4401838476191</v>
      </c>
      <c r="Y176" s="47">
        <f t="shared" si="101"/>
        <v>46040</v>
      </c>
      <c r="Z176" s="56">
        <v>5834.89</v>
      </c>
      <c r="AA176" s="57">
        <v>963.44</v>
      </c>
      <c r="AB176" s="63"/>
      <c r="AC176" s="59">
        <v>172.98</v>
      </c>
      <c r="AD176" s="27"/>
      <c r="AE176" s="240"/>
      <c r="AF176" s="52"/>
      <c r="AG176" s="52"/>
      <c r="AH176" s="53">
        <f t="shared" si="88"/>
        <v>172.98</v>
      </c>
      <c r="AJ176" s="47">
        <f t="shared" si="102"/>
        <v>46040</v>
      </c>
      <c r="AK176" s="56">
        <v>2769.29</v>
      </c>
      <c r="AL176" s="57">
        <v>265.54000000000002</v>
      </c>
      <c r="AM176" s="58"/>
      <c r="AN176" s="58"/>
      <c r="AO176" s="27"/>
      <c r="AP176" s="51"/>
      <c r="AQ176" s="52"/>
      <c r="AR176" s="52"/>
      <c r="AS176" s="53">
        <f t="shared" si="89"/>
        <v>0</v>
      </c>
      <c r="AU176" s="113">
        <f t="shared" si="103"/>
        <v>46040</v>
      </c>
      <c r="AV176" s="57">
        <v>343.01</v>
      </c>
      <c r="AW176" s="57">
        <v>0</v>
      </c>
      <c r="AX176" s="58"/>
      <c r="AY176" s="59">
        <v>71.400000000000006</v>
      </c>
      <c r="AZ176" s="27"/>
      <c r="BA176" s="240">
        <v>830.81681199999969</v>
      </c>
      <c r="BB176" s="53"/>
      <c r="BC176" s="52"/>
      <c r="BD176" s="53">
        <f t="shared" si="90"/>
        <v>902.21681199999966</v>
      </c>
      <c r="BF176" s="47">
        <f t="shared" si="112"/>
        <v>46040</v>
      </c>
      <c r="BG176" s="56">
        <v>3312.72</v>
      </c>
      <c r="BH176" s="57">
        <v>279.52999999999997</v>
      </c>
      <c r="BI176" s="58"/>
      <c r="BJ176" s="59"/>
      <c r="BK176" s="27"/>
      <c r="BL176" s="51">
        <v>103.61330999999997</v>
      </c>
      <c r="BM176" s="53"/>
      <c r="BN176" s="52"/>
      <c r="BO176" s="53">
        <f t="shared" si="91"/>
        <v>103.61330999999997</v>
      </c>
      <c r="BQ176" s="47">
        <f t="shared" si="104"/>
        <v>46040</v>
      </c>
      <c r="BR176" s="57">
        <v>132</v>
      </c>
      <c r="BS176" s="57">
        <v>569.9</v>
      </c>
      <c r="BT176" s="58"/>
      <c r="BU176" s="61"/>
      <c r="BV176" s="27"/>
      <c r="BW176" s="51"/>
      <c r="BX176" s="52"/>
      <c r="BY176" s="52"/>
      <c r="BZ176" s="53">
        <f t="shared" si="92"/>
        <v>0</v>
      </c>
      <c r="CB176" s="47">
        <f t="shared" si="105"/>
        <v>46040</v>
      </c>
      <c r="CC176" s="56">
        <v>16237.3</v>
      </c>
      <c r="CD176" s="57">
        <v>2210.94</v>
      </c>
      <c r="CE176" s="58"/>
      <c r="CF176" s="117"/>
      <c r="CG176" s="27"/>
      <c r="CH176" s="51"/>
      <c r="CI176" s="52"/>
      <c r="CJ176" s="52"/>
      <c r="CK176" s="53">
        <f t="shared" si="93"/>
        <v>0</v>
      </c>
      <c r="CM176" s="47">
        <f t="shared" si="106"/>
        <v>46040</v>
      </c>
      <c r="CN176" s="56">
        <v>3675.49</v>
      </c>
      <c r="CO176" s="57">
        <v>730.48</v>
      </c>
      <c r="CP176" s="58"/>
      <c r="CQ176" s="62"/>
      <c r="CR176" s="27"/>
      <c r="CS176" s="240"/>
      <c r="CT176" s="53">
        <v>116.64380634666662</v>
      </c>
      <c r="CU176" s="52"/>
      <c r="CV176" s="53">
        <f t="shared" si="94"/>
        <v>116.64380634666662</v>
      </c>
      <c r="CX176" s="47">
        <f t="shared" si="107"/>
        <v>46040</v>
      </c>
      <c r="CY176" s="56">
        <v>7724.62</v>
      </c>
      <c r="CZ176" s="57">
        <v>1436.32</v>
      </c>
      <c r="DA176" s="58"/>
      <c r="DB176" s="59"/>
      <c r="DC176" s="27"/>
      <c r="DD176" s="240">
        <v>16.377298000000039</v>
      </c>
      <c r="DE176" s="53">
        <v>42.875659968000036</v>
      </c>
      <c r="DF176" s="52"/>
      <c r="DG176" s="53">
        <f t="shared" si="95"/>
        <v>59.252957968000075</v>
      </c>
      <c r="DI176" s="47">
        <f t="shared" si="108"/>
        <v>46040</v>
      </c>
      <c r="DJ176" s="56">
        <v>1304.3</v>
      </c>
      <c r="DK176" s="63"/>
      <c r="DL176" s="58"/>
      <c r="DM176" s="62"/>
      <c r="DN176" s="27"/>
      <c r="DO176" s="51"/>
      <c r="DP176" s="52"/>
      <c r="DQ176" s="52"/>
      <c r="DR176" s="53">
        <f t="shared" si="96"/>
        <v>0</v>
      </c>
      <c r="DT176" s="47">
        <f t="shared" si="109"/>
        <v>46040</v>
      </c>
      <c r="DU176" s="56">
        <v>690.57</v>
      </c>
      <c r="DV176" s="57">
        <v>509.51</v>
      </c>
      <c r="DW176" s="58"/>
      <c r="DX176" s="62"/>
      <c r="DY176" s="27"/>
      <c r="DZ176" s="240">
        <v>162.38410000000005</v>
      </c>
      <c r="EA176" s="53">
        <v>53.193852207619045</v>
      </c>
      <c r="EB176" s="52"/>
      <c r="EC176" s="53">
        <f t="shared" si="97"/>
        <v>215.57795220761909</v>
      </c>
      <c r="EE176" s="47">
        <f t="shared" si="110"/>
        <v>46040</v>
      </c>
      <c r="EF176" s="56">
        <v>3894.44</v>
      </c>
      <c r="EG176" s="57">
        <v>851.42</v>
      </c>
      <c r="EH176" s="58"/>
      <c r="EI176" s="59">
        <v>85.41</v>
      </c>
      <c r="EJ176" s="27"/>
      <c r="EK176" s="240"/>
      <c r="EL176" s="52"/>
      <c r="EM176" s="52"/>
      <c r="EN176" s="53">
        <f t="shared" si="98"/>
        <v>85.41</v>
      </c>
      <c r="EP176" s="47">
        <f t="shared" si="111"/>
        <v>46040</v>
      </c>
      <c r="EQ176" s="64">
        <v>411.02</v>
      </c>
      <c r="ER176" s="56">
        <v>716.08</v>
      </c>
      <c r="ES176" s="58"/>
      <c r="ET176" s="59"/>
      <c r="EV176" s="51"/>
      <c r="EW176" s="52"/>
      <c r="EX176" s="52"/>
      <c r="EY176" s="53">
        <f t="shared" si="99"/>
        <v>0</v>
      </c>
    </row>
    <row r="177" spans="2:157" hidden="1" x14ac:dyDescent="0.25">
      <c r="B177" s="47">
        <v>46041</v>
      </c>
      <c r="C177" s="48">
        <v>18694.189999999999</v>
      </c>
      <c r="D177" s="49">
        <v>3353.94</v>
      </c>
      <c r="E177" s="50">
        <v>3557.31</v>
      </c>
      <c r="F177" s="49">
        <v>485.96</v>
      </c>
      <c r="G177" s="50"/>
      <c r="H177" s="27"/>
      <c r="I177" s="51"/>
      <c r="J177" s="52"/>
      <c r="K177" s="52"/>
      <c r="L177" s="53">
        <f t="shared" si="86"/>
        <v>0</v>
      </c>
      <c r="N177" s="47">
        <f t="shared" si="100"/>
        <v>46041</v>
      </c>
      <c r="O177" s="54">
        <v>803.59</v>
      </c>
      <c r="P177" s="54">
        <v>335.09</v>
      </c>
      <c r="Q177" s="58"/>
      <c r="R177" s="55"/>
      <c r="S177" s="27"/>
      <c r="T177" s="240">
        <v>542.02511999999956</v>
      </c>
      <c r="U177" s="240">
        <v>13.732369681904771</v>
      </c>
      <c r="V177" s="240"/>
      <c r="W177" s="53">
        <f t="shared" si="87"/>
        <v>555.7574896819043</v>
      </c>
      <c r="Y177" s="47">
        <f t="shared" si="101"/>
        <v>46041</v>
      </c>
      <c r="Z177" s="56">
        <v>4258.7700000000004</v>
      </c>
      <c r="AA177" s="57">
        <v>1433.37</v>
      </c>
      <c r="AB177" s="63"/>
      <c r="AC177" s="59">
        <v>35.880000000000003</v>
      </c>
      <c r="AD177" s="27"/>
      <c r="AE177" s="240">
        <v>59.889160000000018</v>
      </c>
      <c r="AF177" s="52"/>
      <c r="AG177" s="52"/>
      <c r="AH177" s="53">
        <f t="shared" si="88"/>
        <v>95.769160000000028</v>
      </c>
      <c r="AJ177" s="47">
        <f t="shared" si="102"/>
        <v>46041</v>
      </c>
      <c r="AK177" s="56">
        <v>2667.99</v>
      </c>
      <c r="AL177" s="57">
        <v>474.65</v>
      </c>
      <c r="AM177" s="58"/>
      <c r="AN177" s="58"/>
      <c r="AO177" s="27"/>
      <c r="AP177" s="51"/>
      <c r="AQ177" s="52"/>
      <c r="AR177" s="52"/>
      <c r="AS177" s="53">
        <f t="shared" si="89"/>
        <v>0</v>
      </c>
      <c r="AU177" s="113">
        <f t="shared" si="103"/>
        <v>46041</v>
      </c>
      <c r="AV177" s="57">
        <v>613.16</v>
      </c>
      <c r="AW177" s="57">
        <v>30</v>
      </c>
      <c r="AX177" s="58"/>
      <c r="AY177" s="59">
        <v>56.4</v>
      </c>
      <c r="AZ177" s="27"/>
      <c r="BA177" s="240">
        <v>644.6795079999996</v>
      </c>
      <c r="BB177" s="53"/>
      <c r="BC177" s="52"/>
      <c r="BD177" s="53">
        <f t="shared" si="90"/>
        <v>701.07950799999958</v>
      </c>
      <c r="BF177" s="47">
        <f t="shared" si="112"/>
        <v>46041</v>
      </c>
      <c r="BG177" s="56">
        <v>3399.88</v>
      </c>
      <c r="BH177" s="57">
        <v>508.98</v>
      </c>
      <c r="BI177" s="58"/>
      <c r="BJ177" s="59">
        <v>14.18</v>
      </c>
      <c r="BK177" s="27"/>
      <c r="BL177" s="51">
        <v>884.54109000000017</v>
      </c>
      <c r="BM177" s="53">
        <v>37.247710358095247</v>
      </c>
      <c r="BN177" s="52"/>
      <c r="BO177" s="53">
        <f t="shared" si="91"/>
        <v>935.96880035809534</v>
      </c>
      <c r="BQ177" s="47">
        <f t="shared" si="104"/>
        <v>46041</v>
      </c>
      <c r="BR177" s="57">
        <v>306.02</v>
      </c>
      <c r="BS177" s="57">
        <v>414.82</v>
      </c>
      <c r="BT177" s="58"/>
      <c r="BU177" s="61"/>
      <c r="BV177" s="27"/>
      <c r="BW177" s="51"/>
      <c r="BX177" s="52"/>
      <c r="BY177" s="52"/>
      <c r="BZ177" s="53">
        <f t="shared" si="92"/>
        <v>0</v>
      </c>
      <c r="CB177" s="47">
        <f t="shared" si="105"/>
        <v>46041</v>
      </c>
      <c r="CC177" s="56">
        <v>21510.63</v>
      </c>
      <c r="CD177" s="57">
        <v>2187.1</v>
      </c>
      <c r="CE177" s="58"/>
      <c r="CF177" s="117"/>
      <c r="CG177" s="27"/>
      <c r="CH177" s="51"/>
      <c r="CI177" s="52"/>
      <c r="CJ177" s="52"/>
      <c r="CK177" s="53">
        <f t="shared" si="93"/>
        <v>0</v>
      </c>
      <c r="CM177" s="47">
        <f t="shared" si="106"/>
        <v>46041</v>
      </c>
      <c r="CN177" s="56">
        <v>4587.1499999999996</v>
      </c>
      <c r="CO177" s="57">
        <v>824.6</v>
      </c>
      <c r="CP177" s="58"/>
      <c r="CQ177" s="62"/>
      <c r="CR177" s="27"/>
      <c r="CS177" s="240"/>
      <c r="CT177" s="53">
        <v>677.29333260600163</v>
      </c>
      <c r="CU177" s="52"/>
      <c r="CV177" s="53">
        <f t="shared" si="94"/>
        <v>677.29333260600163</v>
      </c>
      <c r="CX177" s="47">
        <f t="shared" si="107"/>
        <v>46041</v>
      </c>
      <c r="CY177" s="56">
        <v>4410.51</v>
      </c>
      <c r="CZ177" s="57">
        <v>1346.26</v>
      </c>
      <c r="DA177" s="58"/>
      <c r="DB177" s="59"/>
      <c r="DC177" s="27"/>
      <c r="DD177" s="240">
        <v>57.157523000000168</v>
      </c>
      <c r="DE177" s="53">
        <v>28.272002087619029</v>
      </c>
      <c r="DF177" s="52"/>
      <c r="DG177" s="53">
        <f t="shared" si="95"/>
        <v>85.429525087619197</v>
      </c>
      <c r="DI177" s="47">
        <f t="shared" si="108"/>
        <v>46041</v>
      </c>
      <c r="DJ177" s="56">
        <v>1713.2</v>
      </c>
      <c r="DK177" s="63"/>
      <c r="DL177" s="58"/>
      <c r="DM177" s="62"/>
      <c r="DN177" s="27"/>
      <c r="DO177" s="51"/>
      <c r="DP177" s="52"/>
      <c r="DQ177" s="52"/>
      <c r="DR177" s="53">
        <f t="shared" si="96"/>
        <v>0</v>
      </c>
      <c r="DT177" s="47">
        <f t="shared" si="109"/>
        <v>46041</v>
      </c>
      <c r="DU177" s="56">
        <v>1379.29</v>
      </c>
      <c r="DV177" s="57">
        <v>270.5</v>
      </c>
      <c r="DW177" s="58"/>
      <c r="DX177" s="62"/>
      <c r="DY177" s="27"/>
      <c r="DZ177" s="240">
        <v>209.33039000000002</v>
      </c>
      <c r="EA177" s="53">
        <v>43.328360400000008</v>
      </c>
      <c r="EB177" s="52"/>
      <c r="EC177" s="53">
        <f t="shared" si="97"/>
        <v>252.65875040000003</v>
      </c>
      <c r="EE177" s="47">
        <f t="shared" si="110"/>
        <v>46041</v>
      </c>
      <c r="EF177" s="56">
        <v>8517.7099999999991</v>
      </c>
      <c r="EG177" s="57">
        <v>1265.3</v>
      </c>
      <c r="EH177" s="58"/>
      <c r="EI177" s="59">
        <v>139.41</v>
      </c>
      <c r="EJ177" s="27"/>
      <c r="EK177" s="240"/>
      <c r="EL177" s="52"/>
      <c r="EM177" s="52"/>
      <c r="EN177" s="53">
        <f t="shared" si="98"/>
        <v>139.41</v>
      </c>
      <c r="EP177" s="47">
        <f t="shared" si="111"/>
        <v>46041</v>
      </c>
      <c r="EQ177" s="64">
        <v>645.27</v>
      </c>
      <c r="ER177" s="56">
        <v>347.97</v>
      </c>
      <c r="ES177" s="58"/>
      <c r="ET177" s="59"/>
      <c r="EV177" s="51"/>
      <c r="EW177" s="52"/>
      <c r="EX177" s="52"/>
      <c r="EY177" s="53">
        <f t="shared" si="99"/>
        <v>0</v>
      </c>
    </row>
    <row r="178" spans="2:157" hidden="1" x14ac:dyDescent="0.25">
      <c r="B178" s="47">
        <v>46042</v>
      </c>
      <c r="C178" s="48">
        <v>16798.580000000002</v>
      </c>
      <c r="D178" s="49">
        <v>2503.33</v>
      </c>
      <c r="E178" s="50">
        <v>3637.03</v>
      </c>
      <c r="F178" s="49">
        <v>642.33000000000004</v>
      </c>
      <c r="G178" s="50"/>
      <c r="H178" s="27"/>
      <c r="I178" s="51"/>
      <c r="J178" s="52"/>
      <c r="K178" s="52"/>
      <c r="L178" s="53">
        <f t="shared" si="86"/>
        <v>0</v>
      </c>
      <c r="N178" s="47">
        <f t="shared" si="100"/>
        <v>46042</v>
      </c>
      <c r="O178" s="54">
        <v>2482.2399999999998</v>
      </c>
      <c r="P178" s="54">
        <v>621.9</v>
      </c>
      <c r="Q178" s="58"/>
      <c r="R178" s="55"/>
      <c r="S178" s="27"/>
      <c r="T178" s="240">
        <v>670.6870799999997</v>
      </c>
      <c r="U178" s="240">
        <v>61.159711131428651</v>
      </c>
      <c r="V178" s="240"/>
      <c r="W178" s="53">
        <f t="shared" si="87"/>
        <v>731.84679113142829</v>
      </c>
      <c r="Y178" s="47">
        <f t="shared" si="101"/>
        <v>46042</v>
      </c>
      <c r="Z178" s="56">
        <v>4949.04</v>
      </c>
      <c r="AA178" s="57">
        <v>1300.23</v>
      </c>
      <c r="AB178" s="63"/>
      <c r="AC178" s="59">
        <v>37.54</v>
      </c>
      <c r="AD178" s="27"/>
      <c r="AE178" s="240">
        <v>828.22831999999994</v>
      </c>
      <c r="AF178" s="52"/>
      <c r="AG178" s="52"/>
      <c r="AH178" s="53">
        <f t="shared" si="88"/>
        <v>865.7683199999999</v>
      </c>
      <c r="AJ178" s="47">
        <f t="shared" si="102"/>
        <v>46042</v>
      </c>
      <c r="AK178" s="56">
        <v>2509.88</v>
      </c>
      <c r="AL178" s="57">
        <v>338.95</v>
      </c>
      <c r="AM178" s="58"/>
      <c r="AN178" s="58"/>
      <c r="AO178" s="27"/>
      <c r="AP178" s="51"/>
      <c r="AQ178" s="52"/>
      <c r="AR178" s="52"/>
      <c r="AS178" s="53">
        <f t="shared" si="89"/>
        <v>0</v>
      </c>
      <c r="AU178" s="113">
        <f t="shared" si="103"/>
        <v>46042</v>
      </c>
      <c r="AV178" s="57">
        <v>118.03</v>
      </c>
      <c r="AW178" s="57">
        <v>0</v>
      </c>
      <c r="AX178" s="58"/>
      <c r="AY178" s="59">
        <v>24</v>
      </c>
      <c r="AZ178" s="27"/>
      <c r="BA178" s="240">
        <v>552.71481599999993</v>
      </c>
      <c r="BB178" s="53"/>
      <c r="BC178" s="52"/>
      <c r="BD178" s="53">
        <f t="shared" si="90"/>
        <v>576.71481599999993</v>
      </c>
      <c r="BF178" s="47">
        <f t="shared" si="112"/>
        <v>46042</v>
      </c>
      <c r="BG178" s="56">
        <v>3241.38</v>
      </c>
      <c r="BH178" s="57">
        <v>699.94</v>
      </c>
      <c r="BI178" s="58"/>
      <c r="BJ178" s="59">
        <v>18.77</v>
      </c>
      <c r="BK178" s="27"/>
      <c r="BL178" s="51">
        <v>370.57659000000001</v>
      </c>
      <c r="BM178" s="53">
        <v>86.090379102857185</v>
      </c>
      <c r="BN178" s="52"/>
      <c r="BO178" s="53">
        <f t="shared" si="91"/>
        <v>475.43696910285718</v>
      </c>
      <c r="BQ178" s="47">
        <f t="shared" si="104"/>
        <v>46042</v>
      </c>
      <c r="BR178" s="57">
        <v>461.81</v>
      </c>
      <c r="BS178" s="57">
        <v>390.12</v>
      </c>
      <c r="BT178" s="58"/>
      <c r="BU178" s="61"/>
      <c r="BV178" s="27"/>
      <c r="BW178" s="51"/>
      <c r="BX178" s="52"/>
      <c r="BY178" s="52"/>
      <c r="BZ178" s="53">
        <f t="shared" si="92"/>
        <v>0</v>
      </c>
      <c r="CB178" s="47">
        <f t="shared" si="105"/>
        <v>46042</v>
      </c>
      <c r="CC178" s="56">
        <v>21504.31</v>
      </c>
      <c r="CD178" s="57">
        <v>1620.51</v>
      </c>
      <c r="CE178" s="58"/>
      <c r="CF178" s="117"/>
      <c r="CG178" s="27"/>
      <c r="CH178" s="51"/>
      <c r="CI178" s="52"/>
      <c r="CJ178" s="52"/>
      <c r="CK178" s="53">
        <f t="shared" si="93"/>
        <v>0</v>
      </c>
      <c r="CM178" s="47">
        <f t="shared" si="106"/>
        <v>46042</v>
      </c>
      <c r="CN178" s="56">
        <v>8188.96</v>
      </c>
      <c r="CO178" s="57">
        <v>1778.45</v>
      </c>
      <c r="CP178" s="58"/>
      <c r="CQ178" s="62"/>
      <c r="CR178" s="27"/>
      <c r="CS178" s="240">
        <v>48.097495451788937</v>
      </c>
      <c r="CT178" s="53">
        <v>411.65032512171229</v>
      </c>
      <c r="CU178" s="52"/>
      <c r="CV178" s="53">
        <f t="shared" si="94"/>
        <v>459.7478205735012</v>
      </c>
      <c r="CX178" s="47">
        <f t="shared" si="107"/>
        <v>46042</v>
      </c>
      <c r="CY178" s="56">
        <v>4986.08</v>
      </c>
      <c r="CZ178" s="57">
        <v>1423.12</v>
      </c>
      <c r="DA178" s="58"/>
      <c r="DB178" s="59"/>
      <c r="DC178" s="27"/>
      <c r="DD178" s="240">
        <v>81.647899000000052</v>
      </c>
      <c r="DE178" s="53">
        <v>114.40417891285739</v>
      </c>
      <c r="DF178" s="52"/>
      <c r="DG178" s="53">
        <f t="shared" si="95"/>
        <v>196.05207791285744</v>
      </c>
      <c r="DI178" s="47">
        <f t="shared" si="108"/>
        <v>46042</v>
      </c>
      <c r="DJ178" s="56">
        <v>1495.03</v>
      </c>
      <c r="DK178" s="63"/>
      <c r="DL178" s="58"/>
      <c r="DM178" s="62"/>
      <c r="DN178" s="27"/>
      <c r="DO178" s="51"/>
      <c r="DP178" s="52"/>
      <c r="DQ178" s="52"/>
      <c r="DR178" s="53">
        <f t="shared" si="96"/>
        <v>0</v>
      </c>
      <c r="DT178" s="47">
        <f t="shared" si="109"/>
        <v>46042</v>
      </c>
      <c r="DU178" s="56">
        <v>2057.56</v>
      </c>
      <c r="DV178" s="57">
        <v>194.26</v>
      </c>
      <c r="DW178" s="58"/>
      <c r="DX178" s="62"/>
      <c r="DY178" s="27"/>
      <c r="DZ178" s="240">
        <v>60.268350000000027</v>
      </c>
      <c r="EA178" s="53">
        <v>79.816306542857205</v>
      </c>
      <c r="EB178" s="52"/>
      <c r="EC178" s="53">
        <f t="shared" si="97"/>
        <v>140.08465654285723</v>
      </c>
      <c r="EE178" s="47">
        <f t="shared" si="110"/>
        <v>46042</v>
      </c>
      <c r="EF178" s="56">
        <v>4871.21</v>
      </c>
      <c r="EG178" s="57">
        <v>1323.84</v>
      </c>
      <c r="EH178" s="58"/>
      <c r="EI178" s="59">
        <v>116.83</v>
      </c>
      <c r="EJ178" s="27"/>
      <c r="EK178" s="240"/>
      <c r="EL178" s="52"/>
      <c r="EM178" s="52"/>
      <c r="EN178" s="53">
        <f t="shared" si="98"/>
        <v>116.83</v>
      </c>
      <c r="EP178" s="47">
        <f t="shared" si="111"/>
        <v>46042</v>
      </c>
      <c r="EQ178" s="64">
        <v>831.13</v>
      </c>
      <c r="ER178" s="56">
        <v>394.78</v>
      </c>
      <c r="ES178" s="58"/>
      <c r="ET178" s="59"/>
      <c r="EV178" s="51"/>
      <c r="EW178" s="52"/>
      <c r="EX178" s="52"/>
      <c r="EY178" s="53">
        <f t="shared" si="99"/>
        <v>0</v>
      </c>
    </row>
    <row r="179" spans="2:157" hidden="1" x14ac:dyDescent="0.25">
      <c r="B179" s="47">
        <v>46043</v>
      </c>
      <c r="C179" s="48">
        <v>19495.13</v>
      </c>
      <c r="D179" s="49">
        <v>2912.12</v>
      </c>
      <c r="E179" s="50">
        <v>3531.33</v>
      </c>
      <c r="F179" s="49">
        <v>715.53</v>
      </c>
      <c r="G179" s="50"/>
      <c r="H179" s="27"/>
      <c r="I179" s="51"/>
      <c r="J179" s="52"/>
      <c r="K179" s="52"/>
      <c r="L179" s="53">
        <f t="shared" si="86"/>
        <v>0</v>
      </c>
      <c r="N179" s="47">
        <f t="shared" si="100"/>
        <v>46043</v>
      </c>
      <c r="O179" s="54">
        <v>1704.61</v>
      </c>
      <c r="P179" s="54">
        <v>189.32</v>
      </c>
      <c r="Q179" s="58"/>
      <c r="R179" s="55"/>
      <c r="S179" s="27"/>
      <c r="T179" s="240">
        <v>549.48811999999975</v>
      </c>
      <c r="U179" s="240">
        <v>43.645425188571437</v>
      </c>
      <c r="V179" s="240"/>
      <c r="W179" s="53">
        <f t="shared" si="87"/>
        <v>593.13354518857113</v>
      </c>
      <c r="Y179" s="47">
        <f t="shared" si="101"/>
        <v>46043</v>
      </c>
      <c r="Z179" s="56">
        <v>5411.03</v>
      </c>
      <c r="AA179" s="57">
        <v>1787.71</v>
      </c>
      <c r="AB179" s="63"/>
      <c r="AC179" s="59">
        <v>136.59</v>
      </c>
      <c r="AD179" s="27"/>
      <c r="AE179" s="240">
        <v>87.853699999999975</v>
      </c>
      <c r="AF179" s="52"/>
      <c r="AG179" s="52"/>
      <c r="AH179" s="53">
        <f t="shared" si="88"/>
        <v>224.44369999999998</v>
      </c>
      <c r="AJ179" s="47">
        <f t="shared" si="102"/>
        <v>46043</v>
      </c>
      <c r="AK179" s="56">
        <v>3698.66</v>
      </c>
      <c r="AL179" s="57">
        <v>556.41999999999996</v>
      </c>
      <c r="AM179" s="58"/>
      <c r="AN179" s="58"/>
      <c r="AO179" s="27"/>
      <c r="AP179" s="51"/>
      <c r="AQ179" s="52"/>
      <c r="AR179" s="52"/>
      <c r="AS179" s="53">
        <f t="shared" si="89"/>
        <v>0</v>
      </c>
      <c r="AU179" s="113">
        <f t="shared" si="103"/>
        <v>46043</v>
      </c>
      <c r="AV179" s="57">
        <v>104</v>
      </c>
      <c r="AW179" s="57">
        <v>75.239999999999995</v>
      </c>
      <c r="AX179" s="58"/>
      <c r="AY179" s="59">
        <v>30.82</v>
      </c>
      <c r="AZ179" s="27"/>
      <c r="BA179" s="240">
        <v>355.06006799999983</v>
      </c>
      <c r="BB179" s="53"/>
      <c r="BC179" s="52"/>
      <c r="BD179" s="53">
        <f t="shared" si="90"/>
        <v>385.88006799999982</v>
      </c>
      <c r="BF179" s="47">
        <f t="shared" si="112"/>
        <v>46043</v>
      </c>
      <c r="BG179" s="56">
        <v>3024.74</v>
      </c>
      <c r="BH179" s="57">
        <v>746.34</v>
      </c>
      <c r="BI179" s="58"/>
      <c r="BJ179" s="59"/>
      <c r="BK179" s="27"/>
      <c r="BL179" s="51">
        <v>428.35509999999994</v>
      </c>
      <c r="BM179" s="53"/>
      <c r="BN179" s="52"/>
      <c r="BO179" s="53">
        <f t="shared" si="91"/>
        <v>428.35509999999994</v>
      </c>
      <c r="BQ179" s="47">
        <f t="shared" si="104"/>
        <v>46043</v>
      </c>
      <c r="BR179" s="57">
        <v>457.61</v>
      </c>
      <c r="BS179" s="57">
        <v>269.97000000000003</v>
      </c>
      <c r="BT179" s="58"/>
      <c r="BU179" s="61"/>
      <c r="BV179" s="27"/>
      <c r="BW179" s="51"/>
      <c r="BX179" s="52"/>
      <c r="BY179" s="52"/>
      <c r="BZ179" s="53">
        <f t="shared" si="92"/>
        <v>0</v>
      </c>
      <c r="CB179" s="47">
        <f t="shared" si="105"/>
        <v>46043</v>
      </c>
      <c r="CC179" s="56">
        <v>15998.58</v>
      </c>
      <c r="CD179" s="57">
        <v>1565.42</v>
      </c>
      <c r="CE179" s="58"/>
      <c r="CF179" s="117"/>
      <c r="CG179" s="27"/>
      <c r="CH179" s="51"/>
      <c r="CI179" s="52"/>
      <c r="CJ179" s="52"/>
      <c r="CK179" s="53">
        <f t="shared" si="93"/>
        <v>0</v>
      </c>
      <c r="CM179" s="47">
        <f t="shared" si="106"/>
        <v>46043</v>
      </c>
      <c r="CN179" s="56">
        <v>10024.27</v>
      </c>
      <c r="CO179" s="57">
        <v>1389.29</v>
      </c>
      <c r="CP179" s="58"/>
      <c r="CQ179" s="62"/>
      <c r="CR179" s="27"/>
      <c r="CS179" s="240">
        <v>84.088016979987842</v>
      </c>
      <c r="CT179" s="53">
        <v>281.73371865539661</v>
      </c>
      <c r="CU179" s="52"/>
      <c r="CV179" s="53">
        <f t="shared" si="94"/>
        <v>365.82173563538447</v>
      </c>
      <c r="CX179" s="47">
        <f t="shared" si="107"/>
        <v>46043</v>
      </c>
      <c r="CY179" s="56">
        <v>3653.94</v>
      </c>
      <c r="CZ179" s="57">
        <v>1165.26</v>
      </c>
      <c r="DA179" s="58"/>
      <c r="DB179" s="59"/>
      <c r="DC179" s="27"/>
      <c r="DD179" s="240">
        <v>73.59343800000002</v>
      </c>
      <c r="DE179" s="53">
        <v>75.226277295428702</v>
      </c>
      <c r="DF179" s="52"/>
      <c r="DG179" s="53">
        <f t="shared" si="95"/>
        <v>148.81971529542872</v>
      </c>
      <c r="DI179" s="47">
        <f t="shared" si="108"/>
        <v>46043</v>
      </c>
      <c r="DJ179" s="56">
        <v>1210.43</v>
      </c>
      <c r="DK179" s="63"/>
      <c r="DL179" s="58"/>
      <c r="DM179" s="62"/>
      <c r="DN179" s="27"/>
      <c r="DO179" s="51"/>
      <c r="DP179" s="52"/>
      <c r="DQ179" s="52"/>
      <c r="DR179" s="53">
        <f t="shared" si="96"/>
        <v>0</v>
      </c>
      <c r="DT179" s="47">
        <f t="shared" si="109"/>
        <v>46043</v>
      </c>
      <c r="DU179" s="56">
        <v>1708.25</v>
      </c>
      <c r="DV179" s="57">
        <v>196.25</v>
      </c>
      <c r="DW179" s="58"/>
      <c r="DX179" s="62"/>
      <c r="DY179" s="27"/>
      <c r="DZ179" s="240">
        <v>131.00261000000006</v>
      </c>
      <c r="EA179" s="53">
        <v>31.918819062857153</v>
      </c>
      <c r="EB179" s="52"/>
      <c r="EC179" s="53">
        <f t="shared" si="97"/>
        <v>162.92142906285721</v>
      </c>
      <c r="EE179" s="47">
        <f t="shared" si="110"/>
        <v>46043</v>
      </c>
      <c r="EF179" s="56">
        <v>5906.69</v>
      </c>
      <c r="EG179" s="57">
        <v>1630.59</v>
      </c>
      <c r="EH179" s="58"/>
      <c r="EI179" s="59">
        <v>152.11000000000001</v>
      </c>
      <c r="EJ179" s="27"/>
      <c r="EK179" s="240"/>
      <c r="EL179" s="52"/>
      <c r="EM179" s="52"/>
      <c r="EN179" s="53">
        <f t="shared" si="98"/>
        <v>152.11000000000001</v>
      </c>
      <c r="EP179" s="47">
        <f t="shared" si="111"/>
        <v>46043</v>
      </c>
      <c r="EQ179" s="64">
        <v>359</v>
      </c>
      <c r="ER179" s="56">
        <v>415.57</v>
      </c>
      <c r="ES179" s="58"/>
      <c r="ET179" s="59"/>
      <c r="EV179" s="51"/>
      <c r="EW179" s="52"/>
      <c r="EX179" s="52"/>
      <c r="EY179" s="53">
        <f t="shared" si="99"/>
        <v>0</v>
      </c>
    </row>
    <row r="180" spans="2:157" hidden="1" x14ac:dyDescent="0.25">
      <c r="B180" s="47">
        <v>46044</v>
      </c>
      <c r="C180" s="48">
        <v>17039.54</v>
      </c>
      <c r="D180" s="49">
        <v>2540.91</v>
      </c>
      <c r="E180" s="50">
        <v>4419.78</v>
      </c>
      <c r="F180" s="49">
        <v>569.77</v>
      </c>
      <c r="G180" s="50"/>
      <c r="H180" s="27"/>
      <c r="I180" s="51"/>
      <c r="J180" s="52"/>
      <c r="K180" s="52"/>
      <c r="L180" s="53">
        <f t="shared" si="86"/>
        <v>0</v>
      </c>
      <c r="N180" s="47">
        <f t="shared" si="100"/>
        <v>46044</v>
      </c>
      <c r="O180" s="54">
        <v>1848.75</v>
      </c>
      <c r="P180" s="54">
        <v>302.79000000000002</v>
      </c>
      <c r="Q180" s="70"/>
      <c r="R180" s="55"/>
      <c r="S180" s="27"/>
      <c r="T180" s="240">
        <v>606.83760000000018</v>
      </c>
      <c r="U180" s="240">
        <v>22.370527502857158</v>
      </c>
      <c r="V180" s="240"/>
      <c r="W180" s="53">
        <f t="shared" si="87"/>
        <v>629.20812750285734</v>
      </c>
      <c r="Y180" s="47">
        <f t="shared" si="101"/>
        <v>46044</v>
      </c>
      <c r="Z180" s="56">
        <v>3759.77</v>
      </c>
      <c r="AA180" s="57">
        <v>1574.12</v>
      </c>
      <c r="AB180" s="104"/>
      <c r="AC180" s="59">
        <v>47.22</v>
      </c>
      <c r="AD180" s="27"/>
      <c r="AE180" s="240"/>
      <c r="AF180" s="52"/>
      <c r="AG180" s="52"/>
      <c r="AH180" s="53">
        <f t="shared" si="88"/>
        <v>47.22</v>
      </c>
      <c r="AJ180" s="47">
        <f t="shared" si="102"/>
        <v>46044</v>
      </c>
      <c r="AK180" s="56">
        <v>3848.88</v>
      </c>
      <c r="AL180" s="57">
        <v>396.13</v>
      </c>
      <c r="AM180" s="70"/>
      <c r="AN180" s="58"/>
      <c r="AO180" s="27"/>
      <c r="AP180" s="51"/>
      <c r="AQ180" s="52"/>
      <c r="AR180" s="52"/>
      <c r="AS180" s="53">
        <f t="shared" si="89"/>
        <v>0</v>
      </c>
      <c r="AU180" s="113">
        <f t="shared" si="103"/>
        <v>46044</v>
      </c>
      <c r="AV180" s="57">
        <v>180</v>
      </c>
      <c r="AW180" s="57">
        <v>0</v>
      </c>
      <c r="AX180" s="70"/>
      <c r="AY180" s="59">
        <v>60.94</v>
      </c>
      <c r="AZ180" s="27"/>
      <c r="BA180" s="240">
        <v>933.96918000000096</v>
      </c>
      <c r="BB180" s="53">
        <v>35.278404356000038</v>
      </c>
      <c r="BC180" s="52"/>
      <c r="BD180" s="53">
        <f t="shared" si="90"/>
        <v>1030.187584356001</v>
      </c>
      <c r="BF180" s="47">
        <f t="shared" si="112"/>
        <v>46044</v>
      </c>
      <c r="BG180" s="56">
        <v>3996.6</v>
      </c>
      <c r="BH180" s="57">
        <v>863.23</v>
      </c>
      <c r="BI180" s="70"/>
      <c r="BJ180" s="59"/>
      <c r="BK180" s="27"/>
      <c r="BL180" s="51">
        <v>486.31523999999996</v>
      </c>
      <c r="BM180" s="53"/>
      <c r="BN180" s="52"/>
      <c r="BO180" s="53">
        <f t="shared" si="91"/>
        <v>486.31523999999996</v>
      </c>
      <c r="BQ180" s="47">
        <f t="shared" si="104"/>
        <v>46044</v>
      </c>
      <c r="BR180" s="57">
        <v>640.95000000000005</v>
      </c>
      <c r="BS180" s="57">
        <v>443.57</v>
      </c>
      <c r="BT180" s="70"/>
      <c r="BU180" s="61"/>
      <c r="BV180" s="27"/>
      <c r="BW180" s="51"/>
      <c r="BX180" s="52"/>
      <c r="BY180" s="52"/>
      <c r="BZ180" s="53">
        <f t="shared" si="92"/>
        <v>0</v>
      </c>
      <c r="CB180" s="47">
        <f t="shared" si="105"/>
        <v>46044</v>
      </c>
      <c r="CC180" s="56">
        <v>22568.26</v>
      </c>
      <c r="CD180" s="57">
        <v>1884.19</v>
      </c>
      <c r="CE180" s="70"/>
      <c r="CF180" s="117"/>
      <c r="CG180" s="27"/>
      <c r="CH180" s="51"/>
      <c r="CI180" s="52"/>
      <c r="CJ180" s="52"/>
      <c r="CK180" s="53">
        <f t="shared" si="93"/>
        <v>0</v>
      </c>
      <c r="CM180" s="47">
        <f t="shared" si="106"/>
        <v>46044</v>
      </c>
      <c r="CN180" s="56">
        <v>7433.46</v>
      </c>
      <c r="CO180" s="57">
        <v>1672.18</v>
      </c>
      <c r="CP180" s="70"/>
      <c r="CQ180" s="62"/>
      <c r="CR180" s="27"/>
      <c r="CS180" s="240"/>
      <c r="CT180" s="53">
        <v>662.10829502254751</v>
      </c>
      <c r="CU180" s="52"/>
      <c r="CV180" s="53">
        <f t="shared" si="94"/>
        <v>662.10829502254751</v>
      </c>
      <c r="CX180" s="47">
        <f t="shared" si="107"/>
        <v>46044</v>
      </c>
      <c r="CY180" s="56">
        <v>6767.9</v>
      </c>
      <c r="CZ180" s="57">
        <v>1323.56</v>
      </c>
      <c r="DA180" s="70"/>
      <c r="DB180" s="59"/>
      <c r="DC180" s="27"/>
      <c r="DD180" s="240">
        <v>4.0312200000000189</v>
      </c>
      <c r="DE180" s="53">
        <v>42.517277832857218</v>
      </c>
      <c r="DF180" s="52"/>
      <c r="DG180" s="53">
        <f t="shared" si="95"/>
        <v>46.548497832857237</v>
      </c>
      <c r="DI180" s="47">
        <f t="shared" si="108"/>
        <v>46044</v>
      </c>
      <c r="DJ180" s="56">
        <v>1730.82</v>
      </c>
      <c r="DK180" s="71"/>
      <c r="DL180" s="70"/>
      <c r="DM180" s="62"/>
      <c r="DN180" s="27"/>
      <c r="DO180" s="51"/>
      <c r="DP180" s="52"/>
      <c r="DQ180" s="52"/>
      <c r="DR180" s="53">
        <f t="shared" si="96"/>
        <v>0</v>
      </c>
      <c r="DT180" s="47">
        <f t="shared" si="109"/>
        <v>46044</v>
      </c>
      <c r="DU180" s="56">
        <v>1475.21</v>
      </c>
      <c r="DV180" s="57">
        <v>182.39</v>
      </c>
      <c r="DW180" s="70"/>
      <c r="DX180" s="62"/>
      <c r="DY180" s="27"/>
      <c r="DZ180" s="240">
        <v>158.31704000000002</v>
      </c>
      <c r="EA180" s="53"/>
      <c r="EB180" s="52"/>
      <c r="EC180" s="53">
        <f t="shared" si="97"/>
        <v>158.31704000000002</v>
      </c>
      <c r="EE180" s="47">
        <f t="shared" si="110"/>
        <v>46044</v>
      </c>
      <c r="EF180" s="56">
        <v>5655.4</v>
      </c>
      <c r="EG180" s="57">
        <v>1757.05</v>
      </c>
      <c r="EH180" s="70"/>
      <c r="EI180" s="59">
        <v>117.75</v>
      </c>
      <c r="EJ180" s="27"/>
      <c r="EK180" s="240">
        <v>9.4868800000000064</v>
      </c>
      <c r="EL180" s="52"/>
      <c r="EM180" s="52"/>
      <c r="EN180" s="53">
        <f t="shared" si="98"/>
        <v>127.23688000000001</v>
      </c>
      <c r="EP180" s="47">
        <f t="shared" si="111"/>
        <v>46044</v>
      </c>
      <c r="EQ180" s="64">
        <v>617.55999999999995</v>
      </c>
      <c r="ER180" s="56">
        <v>539.70000000000005</v>
      </c>
      <c r="ES180" s="70"/>
      <c r="ET180" s="59"/>
      <c r="EV180" s="51"/>
      <c r="EW180" s="52"/>
      <c r="EX180" s="52"/>
      <c r="EY180" s="53">
        <f t="shared" si="99"/>
        <v>0</v>
      </c>
    </row>
    <row r="181" spans="2:157" hidden="1" x14ac:dyDescent="0.25">
      <c r="B181" s="47">
        <v>46045</v>
      </c>
      <c r="C181" s="48">
        <v>17278.43</v>
      </c>
      <c r="D181" s="49">
        <v>2950.51</v>
      </c>
      <c r="E181" s="50">
        <v>3169.36</v>
      </c>
      <c r="F181" s="49">
        <v>565.79</v>
      </c>
      <c r="G181" s="50"/>
      <c r="H181" s="27"/>
      <c r="I181" s="51"/>
      <c r="J181" s="52"/>
      <c r="K181" s="52"/>
      <c r="L181" s="53">
        <f t="shared" si="86"/>
        <v>0</v>
      </c>
      <c r="N181" s="47">
        <f t="shared" si="100"/>
        <v>46045</v>
      </c>
      <c r="O181" s="54">
        <v>1296.3399999999999</v>
      </c>
      <c r="P181" s="54">
        <v>742.65</v>
      </c>
      <c r="Q181" s="70"/>
      <c r="R181" s="55"/>
      <c r="S181" s="27"/>
      <c r="T181" s="240">
        <v>630.56624000000011</v>
      </c>
      <c r="U181" s="240">
        <v>20.408276691428583</v>
      </c>
      <c r="V181" s="240"/>
      <c r="W181" s="53">
        <f t="shared" si="87"/>
        <v>650.97451669142868</v>
      </c>
      <c r="Y181" s="47">
        <f t="shared" si="101"/>
        <v>46045</v>
      </c>
      <c r="Z181" s="56">
        <v>4325.2700000000004</v>
      </c>
      <c r="AA181" s="57">
        <v>1231.3599999999999</v>
      </c>
      <c r="AB181" s="104"/>
      <c r="AC181" s="59">
        <v>199.17</v>
      </c>
      <c r="AD181" s="27"/>
      <c r="AE181" s="240">
        <v>149.21039999999996</v>
      </c>
      <c r="AF181" s="52"/>
      <c r="AG181" s="52"/>
      <c r="AH181" s="53">
        <f t="shared" si="88"/>
        <v>348.38039999999995</v>
      </c>
      <c r="AJ181" s="47">
        <f t="shared" si="102"/>
        <v>46045</v>
      </c>
      <c r="AK181" s="56">
        <v>2563.92</v>
      </c>
      <c r="AL181" s="57">
        <v>413.57</v>
      </c>
      <c r="AM181" s="70"/>
      <c r="AN181" s="58"/>
      <c r="AO181" s="27"/>
      <c r="AP181" s="51"/>
      <c r="AQ181" s="52"/>
      <c r="AR181" s="52"/>
      <c r="AS181" s="53">
        <f t="shared" si="89"/>
        <v>0</v>
      </c>
      <c r="AU181" s="113">
        <f t="shared" si="103"/>
        <v>46045</v>
      </c>
      <c r="AV181" s="57">
        <v>496.74</v>
      </c>
      <c r="AW181" s="57">
        <v>182.09</v>
      </c>
      <c r="AX181" s="70"/>
      <c r="AY181" s="59"/>
      <c r="AZ181" s="27"/>
      <c r="BA181" s="240">
        <v>369.84324000000026</v>
      </c>
      <c r="BB181" s="53"/>
      <c r="BC181" s="52"/>
      <c r="BD181" s="53">
        <f t="shared" si="90"/>
        <v>369.84324000000026</v>
      </c>
      <c r="BF181" s="47">
        <f t="shared" si="112"/>
        <v>46045</v>
      </c>
      <c r="BG181" s="56">
        <v>4010.63</v>
      </c>
      <c r="BH181" s="57">
        <v>490.55</v>
      </c>
      <c r="BI181" s="70"/>
      <c r="BJ181" s="59"/>
      <c r="BK181" s="27"/>
      <c r="BL181" s="51">
        <v>494.78475999999978</v>
      </c>
      <c r="BM181" s="53">
        <v>40.591139888571462</v>
      </c>
      <c r="BN181" s="52"/>
      <c r="BO181" s="53">
        <f t="shared" si="91"/>
        <v>535.37589988857121</v>
      </c>
      <c r="BQ181" s="47">
        <f t="shared" si="104"/>
        <v>46045</v>
      </c>
      <c r="BR181" s="57">
        <v>480</v>
      </c>
      <c r="BS181" s="57">
        <v>302.99</v>
      </c>
      <c r="BT181" s="70"/>
      <c r="BU181" s="61"/>
      <c r="BV181" s="27"/>
      <c r="BW181" s="51"/>
      <c r="BX181" s="52"/>
      <c r="BY181" s="52"/>
      <c r="BZ181" s="53">
        <f t="shared" si="92"/>
        <v>0</v>
      </c>
      <c r="CB181" s="47">
        <f t="shared" si="105"/>
        <v>46045</v>
      </c>
      <c r="CC181" s="56">
        <v>21906.15</v>
      </c>
      <c r="CD181" s="57">
        <v>2442.52</v>
      </c>
      <c r="CE181" s="70"/>
      <c r="CF181" s="117"/>
      <c r="CG181" s="27"/>
      <c r="CH181" s="51"/>
      <c r="CI181" s="52"/>
      <c r="CJ181" s="52"/>
      <c r="CK181" s="53">
        <f t="shared" si="93"/>
        <v>0</v>
      </c>
      <c r="CM181" s="47">
        <f t="shared" si="106"/>
        <v>46045</v>
      </c>
      <c r="CN181" s="56">
        <v>8862.83</v>
      </c>
      <c r="CO181" s="57">
        <v>1614.42</v>
      </c>
      <c r="CP181" s="70"/>
      <c r="CQ181" s="62"/>
      <c r="CR181" s="27"/>
      <c r="CS181" s="240">
        <v>52.23752577319587</v>
      </c>
      <c r="CT181" s="53">
        <v>97.006047535864084</v>
      </c>
      <c r="CU181" s="52"/>
      <c r="CV181" s="53">
        <f t="shared" si="94"/>
        <v>149.24357330905997</v>
      </c>
      <c r="CX181" s="47">
        <f t="shared" si="107"/>
        <v>46045</v>
      </c>
      <c r="CY181" s="56">
        <v>5764.27</v>
      </c>
      <c r="CZ181" s="57">
        <v>2128.4899999999998</v>
      </c>
      <c r="DA181" s="70"/>
      <c r="DB181" s="59"/>
      <c r="DC181" s="27"/>
      <c r="DD181" s="240">
        <v>39.830819000000176</v>
      </c>
      <c r="DE181" s="53">
        <v>33.794556597428652</v>
      </c>
      <c r="DF181" s="52"/>
      <c r="DG181" s="53">
        <f t="shared" si="95"/>
        <v>73.625375597428828</v>
      </c>
      <c r="DI181" s="47">
        <f t="shared" si="108"/>
        <v>46045</v>
      </c>
      <c r="DJ181" s="56">
        <v>1859.08</v>
      </c>
      <c r="DK181" s="71"/>
      <c r="DL181" s="70"/>
      <c r="DM181" s="62"/>
      <c r="DN181" s="27"/>
      <c r="DO181" s="51"/>
      <c r="DP181" s="52"/>
      <c r="DQ181" s="52"/>
      <c r="DR181" s="53">
        <f t="shared" si="96"/>
        <v>0</v>
      </c>
      <c r="DT181" s="47">
        <f t="shared" si="109"/>
        <v>46045</v>
      </c>
      <c r="DU181" s="56">
        <v>1010.04</v>
      </c>
      <c r="DV181" s="57">
        <v>331.85</v>
      </c>
      <c r="DW181" s="70"/>
      <c r="DX181" s="62"/>
      <c r="DY181" s="27"/>
      <c r="DZ181" s="240">
        <v>498.60128000000009</v>
      </c>
      <c r="EA181" s="53">
        <v>46.911380657142885</v>
      </c>
      <c r="EB181" s="52"/>
      <c r="EC181" s="53">
        <f t="shared" si="97"/>
        <v>545.51266065714299</v>
      </c>
      <c r="EE181" s="47">
        <f t="shared" si="110"/>
        <v>46045</v>
      </c>
      <c r="EF181" s="56">
        <v>5257.75</v>
      </c>
      <c r="EG181" s="57">
        <v>1901.85</v>
      </c>
      <c r="EH181" s="70"/>
      <c r="EI181" s="59">
        <v>175.49</v>
      </c>
      <c r="EJ181" s="27"/>
      <c r="EK181" s="240"/>
      <c r="EL181" s="52"/>
      <c r="EM181" s="52"/>
      <c r="EN181" s="53">
        <f t="shared" si="98"/>
        <v>175.49</v>
      </c>
      <c r="EP181" s="47">
        <f t="shared" si="111"/>
        <v>46045</v>
      </c>
      <c r="EQ181" s="64">
        <v>424.38</v>
      </c>
      <c r="ER181" s="56">
        <v>440.44</v>
      </c>
      <c r="ES181" s="70"/>
      <c r="ET181" s="59"/>
      <c r="EV181" s="51"/>
      <c r="EW181" s="52"/>
      <c r="EX181" s="52"/>
      <c r="EY181" s="53">
        <f t="shared" si="99"/>
        <v>0</v>
      </c>
    </row>
    <row r="182" spans="2:157" hidden="1" x14ac:dyDescent="0.25">
      <c r="B182" s="47">
        <v>46046</v>
      </c>
      <c r="C182" s="48">
        <v>17122.78</v>
      </c>
      <c r="D182" s="49">
        <v>3148.24</v>
      </c>
      <c r="E182" s="50">
        <v>2990.17</v>
      </c>
      <c r="F182" s="49">
        <v>453.52</v>
      </c>
      <c r="G182" s="50"/>
      <c r="H182" s="27"/>
      <c r="I182" s="51"/>
      <c r="J182" s="52"/>
      <c r="K182" s="52"/>
      <c r="L182" s="53">
        <f t="shared" si="86"/>
        <v>0</v>
      </c>
      <c r="N182" s="47">
        <f t="shared" si="100"/>
        <v>46046</v>
      </c>
      <c r="O182" s="54">
        <v>3743.48</v>
      </c>
      <c r="P182" s="54">
        <v>308.83</v>
      </c>
      <c r="Q182" s="70"/>
      <c r="R182" s="55"/>
      <c r="S182" s="27"/>
      <c r="T182" s="240">
        <v>439.2143200000001</v>
      </c>
      <c r="U182" s="240"/>
      <c r="V182" s="240"/>
      <c r="W182" s="53">
        <f t="shared" si="87"/>
        <v>439.2143200000001</v>
      </c>
      <c r="Y182" s="47">
        <f t="shared" si="101"/>
        <v>46046</v>
      </c>
      <c r="Z182" s="56">
        <v>4959.49</v>
      </c>
      <c r="AA182" s="57">
        <v>1580.05</v>
      </c>
      <c r="AB182" s="104"/>
      <c r="AC182" s="59">
        <v>127.56</v>
      </c>
      <c r="AD182" s="27"/>
      <c r="AE182" s="240">
        <v>84.671399999999977</v>
      </c>
      <c r="AF182" s="52"/>
      <c r="AG182" s="52"/>
      <c r="AH182" s="53">
        <f t="shared" si="88"/>
        <v>212.23139999999998</v>
      </c>
      <c r="AJ182" s="47">
        <f t="shared" si="102"/>
        <v>46046</v>
      </c>
      <c r="AK182" s="56">
        <v>3402.05</v>
      </c>
      <c r="AL182" s="57">
        <v>234.96</v>
      </c>
      <c r="AM182" s="70"/>
      <c r="AN182" s="58"/>
      <c r="AO182" s="27"/>
      <c r="AP182" s="51"/>
      <c r="AQ182" s="52"/>
      <c r="AR182" s="52"/>
      <c r="AS182" s="53">
        <f t="shared" si="89"/>
        <v>0</v>
      </c>
      <c r="AU182" s="113">
        <f t="shared" si="103"/>
        <v>46046</v>
      </c>
      <c r="AV182" s="57">
        <v>367.12</v>
      </c>
      <c r="AW182" s="57">
        <v>117.65</v>
      </c>
      <c r="AX182" s="70"/>
      <c r="AY182" s="59">
        <v>115.31</v>
      </c>
      <c r="AZ182" s="27"/>
      <c r="BA182" s="240">
        <v>675.62884000000065</v>
      </c>
      <c r="BB182" s="53"/>
      <c r="BC182" s="52"/>
      <c r="BD182" s="53">
        <f t="shared" si="90"/>
        <v>790.93884000000071</v>
      </c>
      <c r="BF182" s="47">
        <f t="shared" si="112"/>
        <v>46046</v>
      </c>
      <c r="BG182" s="56">
        <v>4606.54</v>
      </c>
      <c r="BH182" s="57">
        <v>780.26</v>
      </c>
      <c r="BI182" s="70"/>
      <c r="BJ182" s="59"/>
      <c r="BK182" s="27"/>
      <c r="BL182" s="51">
        <v>287.28055999999992</v>
      </c>
      <c r="BM182" s="53">
        <v>20.683590200000012</v>
      </c>
      <c r="BN182" s="52"/>
      <c r="BO182" s="53">
        <f t="shared" si="91"/>
        <v>307.96415019999995</v>
      </c>
      <c r="BQ182" s="47">
        <f t="shared" si="104"/>
        <v>46046</v>
      </c>
      <c r="BR182" s="57">
        <v>139.07</v>
      </c>
      <c r="BS182" s="57">
        <v>193.7</v>
      </c>
      <c r="BT182" s="70"/>
      <c r="BU182" s="61"/>
      <c r="BV182" s="27"/>
      <c r="BW182" s="51"/>
      <c r="BX182" s="52"/>
      <c r="BY182" s="52"/>
      <c r="BZ182" s="53">
        <f t="shared" si="92"/>
        <v>0</v>
      </c>
      <c r="CB182" s="47">
        <f t="shared" si="105"/>
        <v>46046</v>
      </c>
      <c r="CC182" s="56">
        <v>25922.22</v>
      </c>
      <c r="CD182" s="57">
        <v>2697.04</v>
      </c>
      <c r="CE182" s="70"/>
      <c r="CF182" s="118"/>
      <c r="CG182" s="27"/>
      <c r="CH182" s="51"/>
      <c r="CI182" s="52"/>
      <c r="CJ182" s="52"/>
      <c r="CK182" s="53">
        <f t="shared" si="93"/>
        <v>0</v>
      </c>
      <c r="CM182" s="47">
        <f t="shared" si="106"/>
        <v>46046</v>
      </c>
      <c r="CN182" s="56">
        <v>7153.52</v>
      </c>
      <c r="CO182" s="57">
        <v>1417.89</v>
      </c>
      <c r="CP182" s="70"/>
      <c r="CQ182" s="62"/>
      <c r="CR182" s="27"/>
      <c r="CS182" s="240"/>
      <c r="CT182" s="53">
        <v>94.222890643479403</v>
      </c>
      <c r="CU182" s="52"/>
      <c r="CV182" s="53">
        <f t="shared" si="94"/>
        <v>94.222890643479403</v>
      </c>
      <c r="CX182" s="47">
        <f t="shared" si="107"/>
        <v>46046</v>
      </c>
      <c r="CY182" s="56">
        <v>9121.7199999999993</v>
      </c>
      <c r="CZ182" s="57">
        <v>2012.55</v>
      </c>
      <c r="DA182" s="70"/>
      <c r="DB182" s="59"/>
      <c r="DC182" s="27"/>
      <c r="DD182" s="240">
        <v>37.370990000000035</v>
      </c>
      <c r="DE182" s="53">
        <v>97.336783296000164</v>
      </c>
      <c r="DF182" s="52"/>
      <c r="DG182" s="53">
        <f t="shared" si="95"/>
        <v>134.7077732960002</v>
      </c>
      <c r="DI182" s="47">
        <f t="shared" si="108"/>
        <v>46046</v>
      </c>
      <c r="DJ182" s="56">
        <v>1846.87</v>
      </c>
      <c r="DK182" s="71"/>
      <c r="DL182" s="70"/>
      <c r="DM182" s="62"/>
      <c r="DN182" s="27"/>
      <c r="DO182" s="51"/>
      <c r="DP182" s="52"/>
      <c r="DQ182" s="52"/>
      <c r="DR182" s="53">
        <f t="shared" si="96"/>
        <v>0</v>
      </c>
      <c r="DT182" s="47">
        <f t="shared" si="109"/>
        <v>46046</v>
      </c>
      <c r="DU182" s="56">
        <v>909.55</v>
      </c>
      <c r="DV182" s="57">
        <v>343.64</v>
      </c>
      <c r="DW182" s="70"/>
      <c r="DX182" s="62"/>
      <c r="DY182" s="27"/>
      <c r="DZ182" s="240">
        <v>170.58184</v>
      </c>
      <c r="EA182" s="53">
        <v>1384.4204243485722</v>
      </c>
      <c r="EB182" s="52"/>
      <c r="EC182" s="53">
        <f t="shared" si="97"/>
        <v>1555.0022643485722</v>
      </c>
      <c r="EE182" s="47">
        <f t="shared" si="110"/>
        <v>46046</v>
      </c>
      <c r="EF182" s="56">
        <v>7433.11</v>
      </c>
      <c r="EG182" s="57">
        <v>1439.77</v>
      </c>
      <c r="EH182" s="70"/>
      <c r="EI182" s="59">
        <v>93.32</v>
      </c>
      <c r="EJ182" s="27"/>
      <c r="EK182" s="240"/>
      <c r="EL182" s="52"/>
      <c r="EM182" s="52"/>
      <c r="EN182" s="53">
        <f t="shared" si="98"/>
        <v>93.32</v>
      </c>
      <c r="EP182" s="47">
        <f t="shared" si="111"/>
        <v>46046</v>
      </c>
      <c r="EQ182" s="64">
        <v>460.18</v>
      </c>
      <c r="ER182" s="56">
        <v>384.31</v>
      </c>
      <c r="ES182" s="70"/>
      <c r="ET182" s="59"/>
      <c r="EV182" s="51"/>
      <c r="EW182" s="52"/>
      <c r="EX182" s="52"/>
      <c r="EY182" s="53">
        <f t="shared" si="99"/>
        <v>0</v>
      </c>
    </row>
    <row r="183" spans="2:157" hidden="1" x14ac:dyDescent="0.25">
      <c r="B183" s="47">
        <v>46047</v>
      </c>
      <c r="C183" s="48">
        <v>13232.88</v>
      </c>
      <c r="D183" s="49">
        <v>2051.75</v>
      </c>
      <c r="E183" s="50">
        <v>2326.31</v>
      </c>
      <c r="F183" s="49">
        <v>321.5</v>
      </c>
      <c r="G183" s="50"/>
      <c r="H183" s="27"/>
      <c r="I183" s="51"/>
      <c r="J183" s="52"/>
      <c r="K183" s="52"/>
      <c r="L183" s="53">
        <f t="shared" si="86"/>
        <v>0</v>
      </c>
      <c r="N183" s="47">
        <f t="shared" si="100"/>
        <v>46047</v>
      </c>
      <c r="O183" s="54">
        <v>2175.96</v>
      </c>
      <c r="P183" s="54">
        <v>766.9</v>
      </c>
      <c r="Q183" s="70"/>
      <c r="R183" s="69"/>
      <c r="S183" s="27"/>
      <c r="T183" s="240">
        <v>172.36388000000005</v>
      </c>
      <c r="U183" s="240"/>
      <c r="V183" s="240"/>
      <c r="W183" s="53">
        <f t="shared" si="87"/>
        <v>172.36388000000005</v>
      </c>
      <c r="Y183" s="47">
        <f t="shared" si="101"/>
        <v>46047</v>
      </c>
      <c r="Z183" s="56">
        <v>5146.24</v>
      </c>
      <c r="AA183" s="57">
        <v>1234.8</v>
      </c>
      <c r="AB183" s="104"/>
      <c r="AC183" s="59">
        <v>214.82</v>
      </c>
      <c r="AD183" s="27"/>
      <c r="AE183" s="240"/>
      <c r="AF183" s="52"/>
      <c r="AG183" s="52"/>
      <c r="AH183" s="53">
        <f t="shared" si="88"/>
        <v>214.82</v>
      </c>
      <c r="AJ183" s="47">
        <f t="shared" si="102"/>
        <v>46047</v>
      </c>
      <c r="AK183" s="56">
        <v>1921.49</v>
      </c>
      <c r="AL183" s="57">
        <v>496.86</v>
      </c>
      <c r="AM183" s="70"/>
      <c r="AN183" s="58"/>
      <c r="AO183" s="27"/>
      <c r="AP183" s="51"/>
      <c r="AQ183" s="52"/>
      <c r="AR183" s="52"/>
      <c r="AS183" s="53">
        <f t="shared" si="89"/>
        <v>0</v>
      </c>
      <c r="AU183" s="113">
        <f t="shared" si="103"/>
        <v>46047</v>
      </c>
      <c r="AV183" s="57">
        <v>408.14</v>
      </c>
      <c r="AW183" s="57">
        <v>151.27000000000001</v>
      </c>
      <c r="AX183" s="70"/>
      <c r="AY183" s="59"/>
      <c r="AZ183" s="27"/>
      <c r="BA183" s="240">
        <v>26.165675999999991</v>
      </c>
      <c r="BB183" s="53"/>
      <c r="BC183" s="52"/>
      <c r="BD183" s="53">
        <f t="shared" si="90"/>
        <v>26.165675999999991</v>
      </c>
      <c r="BF183" s="47">
        <f t="shared" si="112"/>
        <v>46047</v>
      </c>
      <c r="BG183" s="56">
        <v>2209.7800000000002</v>
      </c>
      <c r="BH183" s="57">
        <v>476.33</v>
      </c>
      <c r="BI183" s="70"/>
      <c r="BJ183" s="59"/>
      <c r="BK183" s="27"/>
      <c r="BL183" s="51">
        <v>159.97448000000006</v>
      </c>
      <c r="BM183" s="53"/>
      <c r="BN183" s="52"/>
      <c r="BO183" s="53">
        <f t="shared" si="91"/>
        <v>159.97448000000006</v>
      </c>
      <c r="BQ183" s="47">
        <f t="shared" si="104"/>
        <v>46047</v>
      </c>
      <c r="BR183" s="57">
        <v>34.799999999999997</v>
      </c>
      <c r="BS183" s="57">
        <v>321.64</v>
      </c>
      <c r="BT183" s="70"/>
      <c r="BU183" s="61"/>
      <c r="BV183" s="27"/>
      <c r="BW183" s="51"/>
      <c r="BX183" s="52"/>
      <c r="BY183" s="52"/>
      <c r="BZ183" s="53">
        <f t="shared" si="92"/>
        <v>0</v>
      </c>
      <c r="CB183" s="47">
        <f t="shared" si="105"/>
        <v>46047</v>
      </c>
      <c r="CC183" s="56">
        <v>19147.509999999998</v>
      </c>
      <c r="CD183" s="57">
        <v>2044.1</v>
      </c>
      <c r="CE183" s="70"/>
      <c r="CF183" s="117"/>
      <c r="CG183" s="27"/>
      <c r="CH183" s="51"/>
      <c r="CI183" s="52"/>
      <c r="CJ183" s="52"/>
      <c r="CK183" s="53">
        <f t="shared" si="93"/>
        <v>0</v>
      </c>
      <c r="CM183" s="47">
        <f t="shared" si="106"/>
        <v>46047</v>
      </c>
      <c r="CN183" s="56">
        <v>5901.46</v>
      </c>
      <c r="CO183" s="57">
        <v>1148.01</v>
      </c>
      <c r="CP183" s="70"/>
      <c r="CQ183" s="62"/>
      <c r="CR183" s="27"/>
      <c r="CS183" s="240"/>
      <c r="CT183" s="53"/>
      <c r="CU183" s="52"/>
      <c r="CV183" s="53">
        <f t="shared" si="94"/>
        <v>0</v>
      </c>
      <c r="CX183" s="47">
        <f t="shared" si="107"/>
        <v>46047</v>
      </c>
      <c r="CY183" s="56">
        <v>3391.24</v>
      </c>
      <c r="CZ183" s="57">
        <v>2354.88</v>
      </c>
      <c r="DA183" s="70"/>
      <c r="DB183" s="59"/>
      <c r="DC183" s="27"/>
      <c r="DD183" s="240">
        <v>-0.31574299999999766</v>
      </c>
      <c r="DE183" s="53"/>
      <c r="DF183" s="52"/>
      <c r="DG183" s="53">
        <f t="shared" si="95"/>
        <v>-0.31574299999999766</v>
      </c>
      <c r="DI183" s="47">
        <f t="shared" si="108"/>
        <v>46047</v>
      </c>
      <c r="DJ183" s="56">
        <v>1105.0899999999999</v>
      </c>
      <c r="DK183" s="71"/>
      <c r="DL183" s="70"/>
      <c r="DM183" s="62"/>
      <c r="DN183" s="27"/>
      <c r="DO183" s="51"/>
      <c r="DP183" s="52"/>
      <c r="DQ183" s="52"/>
      <c r="DR183" s="53">
        <f t="shared" si="96"/>
        <v>0</v>
      </c>
      <c r="DT183" s="47">
        <f t="shared" si="109"/>
        <v>46047</v>
      </c>
      <c r="DU183" s="56">
        <v>1502.5</v>
      </c>
      <c r="DV183" s="57">
        <v>363.89</v>
      </c>
      <c r="DW183" s="70"/>
      <c r="DX183" s="62"/>
      <c r="DY183" s="27"/>
      <c r="DZ183" s="240">
        <v>88.184060000000017</v>
      </c>
      <c r="EA183" s="53">
        <v>141.19846878857152</v>
      </c>
      <c r="EB183" s="52"/>
      <c r="EC183" s="53">
        <f t="shared" si="97"/>
        <v>229.38252878857153</v>
      </c>
      <c r="EE183" s="47">
        <f t="shared" si="110"/>
        <v>46047</v>
      </c>
      <c r="EF183" s="56">
        <v>3805.39</v>
      </c>
      <c r="EG183" s="57">
        <v>1197.3499999999999</v>
      </c>
      <c r="EH183" s="70"/>
      <c r="EI183" s="59">
        <v>66.150000000000006</v>
      </c>
      <c r="EJ183" s="27"/>
      <c r="EK183" s="51"/>
      <c r="EL183" s="52"/>
      <c r="EM183" s="52"/>
      <c r="EN183" s="53">
        <f t="shared" si="98"/>
        <v>66.150000000000006</v>
      </c>
      <c r="EP183" s="47">
        <f t="shared" si="111"/>
        <v>46047</v>
      </c>
      <c r="EQ183" s="64">
        <v>512.03</v>
      </c>
      <c r="ER183" s="56">
        <v>365.27</v>
      </c>
      <c r="ES183" s="70"/>
      <c r="ET183" s="59"/>
      <c r="EV183" s="51"/>
      <c r="EW183" s="52"/>
      <c r="EX183" s="52"/>
      <c r="EY183" s="53">
        <f t="shared" si="99"/>
        <v>0</v>
      </c>
    </row>
    <row r="184" spans="2:157" hidden="1" x14ac:dyDescent="0.25">
      <c r="B184" s="47">
        <v>46048</v>
      </c>
      <c r="C184" s="48">
        <v>16258.91</v>
      </c>
      <c r="D184" s="49">
        <v>2762.14</v>
      </c>
      <c r="E184" s="50">
        <v>3338.26</v>
      </c>
      <c r="F184" s="49">
        <v>684.51</v>
      </c>
      <c r="G184" s="50"/>
      <c r="H184" s="27"/>
      <c r="I184" s="51"/>
      <c r="J184" s="52"/>
      <c r="K184" s="52"/>
      <c r="L184" s="53">
        <f t="shared" si="86"/>
        <v>0</v>
      </c>
      <c r="N184" s="47">
        <f t="shared" si="100"/>
        <v>46048</v>
      </c>
      <c r="O184" s="54">
        <v>3507.84</v>
      </c>
      <c r="P184" s="54">
        <v>338.34</v>
      </c>
      <c r="Q184" s="70"/>
      <c r="R184" s="69"/>
      <c r="S184" s="27"/>
      <c r="T184" s="240">
        <v>448.51132000000024</v>
      </c>
      <c r="U184" s="240">
        <v>39.464250002857199</v>
      </c>
      <c r="V184" s="240"/>
      <c r="W184" s="53">
        <f t="shared" si="87"/>
        <v>487.97557000285747</v>
      </c>
      <c r="Y184" s="47">
        <f t="shared" si="101"/>
        <v>46048</v>
      </c>
      <c r="Z184" s="56">
        <v>4021.27</v>
      </c>
      <c r="AA184" s="57">
        <v>1089.46</v>
      </c>
      <c r="AB184" s="104"/>
      <c r="AC184" s="59">
        <v>8.85</v>
      </c>
      <c r="AD184" s="27"/>
      <c r="AE184" s="240">
        <v>90.367139999999978</v>
      </c>
      <c r="AF184" s="52"/>
      <c r="AG184" s="52"/>
      <c r="AH184" s="53">
        <f t="shared" si="88"/>
        <v>99.217139999999972</v>
      </c>
      <c r="AJ184" s="47">
        <f t="shared" si="102"/>
        <v>46048</v>
      </c>
      <c r="AK184" s="56">
        <v>3514.78</v>
      </c>
      <c r="AL184" s="57">
        <v>202.61</v>
      </c>
      <c r="AM184" s="70"/>
      <c r="AN184" s="58"/>
      <c r="AO184" s="27"/>
      <c r="AP184" s="51"/>
      <c r="AQ184" s="52"/>
      <c r="AR184" s="52"/>
      <c r="AS184" s="53">
        <f t="shared" si="89"/>
        <v>0</v>
      </c>
      <c r="AU184" s="113">
        <f t="shared" si="103"/>
        <v>46048</v>
      </c>
      <c r="AV184" s="57">
        <v>490</v>
      </c>
      <c r="AW184" s="57">
        <v>199.06</v>
      </c>
      <c r="AX184" s="70"/>
      <c r="AY184" s="59"/>
      <c r="AZ184" s="27"/>
      <c r="BA184" s="240">
        <v>293.3749590000001</v>
      </c>
      <c r="BB184" s="53"/>
      <c r="BC184" s="52"/>
      <c r="BD184" s="53">
        <f t="shared" si="90"/>
        <v>293.3749590000001</v>
      </c>
      <c r="BF184" s="47">
        <f t="shared" si="112"/>
        <v>46048</v>
      </c>
      <c r="BG184" s="56">
        <v>3063.07</v>
      </c>
      <c r="BH184" s="57">
        <v>445.31</v>
      </c>
      <c r="BI184" s="70"/>
      <c r="BJ184" s="59"/>
      <c r="BK184" s="27"/>
      <c r="BL184" s="51">
        <v>319.49727999999993</v>
      </c>
      <c r="BM184" s="53">
        <v>76.487393934857153</v>
      </c>
      <c r="BN184" s="52"/>
      <c r="BO184" s="53">
        <f t="shared" si="91"/>
        <v>395.98467393485708</v>
      </c>
      <c r="BQ184" s="47">
        <f t="shared" si="104"/>
        <v>46048</v>
      </c>
      <c r="BR184" s="57">
        <v>174.73</v>
      </c>
      <c r="BS184" s="57">
        <v>400</v>
      </c>
      <c r="BT184" s="70"/>
      <c r="BU184" s="61"/>
      <c r="BV184" s="27"/>
      <c r="BW184" s="51"/>
      <c r="BX184" s="52"/>
      <c r="BY184" s="52"/>
      <c r="BZ184" s="53">
        <f t="shared" si="92"/>
        <v>0</v>
      </c>
      <c r="CB184" s="47">
        <f t="shared" si="105"/>
        <v>46048</v>
      </c>
      <c r="CC184" s="56">
        <v>20243.150000000001</v>
      </c>
      <c r="CD184" s="57">
        <v>1740.44</v>
      </c>
      <c r="CE184" s="70"/>
      <c r="CF184" s="117"/>
      <c r="CG184" s="27"/>
      <c r="CH184" s="51"/>
      <c r="CI184" s="52"/>
      <c r="CJ184" s="52"/>
      <c r="CK184" s="53">
        <f t="shared" si="93"/>
        <v>0</v>
      </c>
      <c r="CM184" s="47">
        <f t="shared" si="106"/>
        <v>46048</v>
      </c>
      <c r="CN184" s="56">
        <v>7160.18</v>
      </c>
      <c r="CO184" s="57">
        <v>1864.24</v>
      </c>
      <c r="CP184" s="70"/>
      <c r="CQ184" s="62"/>
      <c r="CR184" s="27"/>
      <c r="CS184" s="240">
        <v>43.265154639175243</v>
      </c>
      <c r="CT184" s="53">
        <v>344.09497621142827</v>
      </c>
      <c r="CU184" s="52"/>
      <c r="CV184" s="53">
        <f t="shared" si="94"/>
        <v>387.36013085060353</v>
      </c>
      <c r="CX184" s="47">
        <f t="shared" si="107"/>
        <v>46048</v>
      </c>
      <c r="CY184" s="56">
        <v>2485.39</v>
      </c>
      <c r="CZ184" s="57">
        <v>1611.07</v>
      </c>
      <c r="DA184" s="70"/>
      <c r="DB184" s="59"/>
      <c r="DC184" s="27"/>
      <c r="DD184" s="240">
        <v>-1.0177279999999769</v>
      </c>
      <c r="DE184" s="53">
        <v>75.925652676857311</v>
      </c>
      <c r="DF184" s="52"/>
      <c r="DG184" s="53">
        <f t="shared" si="95"/>
        <v>74.907924676857334</v>
      </c>
      <c r="DI184" s="47">
        <f t="shared" si="108"/>
        <v>46048</v>
      </c>
      <c r="DJ184" s="56">
        <v>621</v>
      </c>
      <c r="DK184" s="71"/>
      <c r="DL184" s="70"/>
      <c r="DM184" s="62"/>
      <c r="DN184" s="27"/>
      <c r="DO184" s="51"/>
      <c r="DP184" s="52"/>
      <c r="DQ184" s="52"/>
      <c r="DR184" s="53">
        <f t="shared" si="96"/>
        <v>0</v>
      </c>
      <c r="DT184" s="47">
        <f t="shared" si="109"/>
        <v>46048</v>
      </c>
      <c r="DU184" s="56">
        <v>592.91</v>
      </c>
      <c r="DV184" s="57">
        <v>249.98</v>
      </c>
      <c r="DW184" s="70"/>
      <c r="DX184" s="62"/>
      <c r="DY184" s="27"/>
      <c r="DZ184" s="240">
        <v>274.65100000000007</v>
      </c>
      <c r="EA184" s="53"/>
      <c r="EB184" s="52"/>
      <c r="EC184" s="53">
        <f t="shared" si="97"/>
        <v>274.65100000000007</v>
      </c>
      <c r="EE184" s="47">
        <f t="shared" si="110"/>
        <v>46048</v>
      </c>
      <c r="EF184" s="56">
        <v>8103.07</v>
      </c>
      <c r="EG184" s="57">
        <v>1239.05</v>
      </c>
      <c r="EH184" s="70"/>
      <c r="EI184" s="59">
        <v>151.72999999999999</v>
      </c>
      <c r="EJ184" s="27"/>
      <c r="EK184" s="51"/>
      <c r="EL184" s="52"/>
      <c r="EM184" s="52"/>
      <c r="EN184" s="53">
        <f t="shared" si="98"/>
        <v>151.72999999999999</v>
      </c>
      <c r="EP184" s="47">
        <f t="shared" si="111"/>
        <v>46048</v>
      </c>
      <c r="EQ184" s="64">
        <v>936.15</v>
      </c>
      <c r="ER184" s="56">
        <v>551.1</v>
      </c>
      <c r="ES184" s="70"/>
      <c r="ET184" s="59"/>
      <c r="EV184" s="51"/>
      <c r="EW184" s="52"/>
      <c r="EX184" s="52"/>
      <c r="EY184" s="53">
        <f t="shared" si="99"/>
        <v>0</v>
      </c>
    </row>
    <row r="185" spans="2:157" hidden="1" x14ac:dyDescent="0.25">
      <c r="B185" s="47">
        <v>46049</v>
      </c>
      <c r="C185" s="48">
        <v>19253.560000000001</v>
      </c>
      <c r="D185" s="49">
        <v>3200.36</v>
      </c>
      <c r="E185" s="50">
        <v>3165.32</v>
      </c>
      <c r="F185" s="49">
        <v>657.36</v>
      </c>
      <c r="G185" s="50"/>
      <c r="H185" s="27"/>
      <c r="I185" s="51"/>
      <c r="J185" s="52"/>
      <c r="K185" s="52"/>
      <c r="L185" s="53">
        <f t="shared" si="86"/>
        <v>0</v>
      </c>
      <c r="N185" s="47">
        <f t="shared" si="100"/>
        <v>46049</v>
      </c>
      <c r="O185" s="54">
        <v>2261.92</v>
      </c>
      <c r="P185" s="54">
        <v>343.65</v>
      </c>
      <c r="Q185" s="70"/>
      <c r="R185" s="69"/>
      <c r="S185" s="27"/>
      <c r="T185" s="240">
        <v>553.75807000000009</v>
      </c>
      <c r="U185" s="240"/>
      <c r="V185" s="240"/>
      <c r="W185" s="53">
        <f t="shared" si="87"/>
        <v>553.75807000000009</v>
      </c>
      <c r="Y185" s="47">
        <f t="shared" si="101"/>
        <v>46049</v>
      </c>
      <c r="Z185" s="56">
        <v>5311.36</v>
      </c>
      <c r="AA185" s="72">
        <v>1361.92</v>
      </c>
      <c r="AB185" s="104"/>
      <c r="AC185" s="59">
        <v>138.85</v>
      </c>
      <c r="AD185" s="27"/>
      <c r="AE185" s="240">
        <v>250.75433999999998</v>
      </c>
      <c r="AF185" s="52"/>
      <c r="AG185" s="52"/>
      <c r="AH185" s="53">
        <f t="shared" si="88"/>
        <v>389.60433999999998</v>
      </c>
      <c r="AJ185" s="47">
        <f t="shared" si="102"/>
        <v>46049</v>
      </c>
      <c r="AK185" s="56">
        <v>3571.17</v>
      </c>
      <c r="AL185" s="57">
        <v>424.22</v>
      </c>
      <c r="AM185" s="70"/>
      <c r="AN185" s="58"/>
      <c r="AO185" s="27"/>
      <c r="AP185" s="51"/>
      <c r="AQ185" s="52"/>
      <c r="AR185" s="52"/>
      <c r="AS185" s="53">
        <f t="shared" si="89"/>
        <v>0</v>
      </c>
      <c r="AU185" s="113">
        <f t="shared" si="103"/>
        <v>46049</v>
      </c>
      <c r="AV185" s="57">
        <v>587.48</v>
      </c>
      <c r="AW185" s="57">
        <v>78.37</v>
      </c>
      <c r="AX185" s="70"/>
      <c r="AY185" s="59">
        <v>51.6</v>
      </c>
      <c r="AZ185" s="27"/>
      <c r="BA185" s="240">
        <v>983.45956100000024</v>
      </c>
      <c r="BB185" s="53"/>
      <c r="BC185" s="52"/>
      <c r="BD185" s="53">
        <f t="shared" si="90"/>
        <v>1035.0595610000003</v>
      </c>
      <c r="BF185" s="47">
        <f t="shared" si="112"/>
        <v>46049</v>
      </c>
      <c r="BG185" s="56">
        <v>3717</v>
      </c>
      <c r="BH185" s="57">
        <v>909.98</v>
      </c>
      <c r="BI185" s="70"/>
      <c r="BJ185" s="59">
        <v>23.63</v>
      </c>
      <c r="BK185" s="27"/>
      <c r="BL185" s="51">
        <v>537.22571999999991</v>
      </c>
      <c r="BM185" s="53"/>
      <c r="BN185" s="52"/>
      <c r="BO185" s="53">
        <f t="shared" si="91"/>
        <v>560.85571999999991</v>
      </c>
      <c r="BQ185" s="47">
        <f t="shared" si="104"/>
        <v>46049</v>
      </c>
      <c r="BR185" s="57">
        <v>293.01</v>
      </c>
      <c r="BS185" s="57">
        <v>201.59</v>
      </c>
      <c r="BT185" s="70"/>
      <c r="BU185" s="61"/>
      <c r="BV185" s="27"/>
      <c r="BW185" s="51"/>
      <c r="BX185" s="52"/>
      <c r="BY185" s="52"/>
      <c r="BZ185" s="53">
        <f t="shared" si="92"/>
        <v>0</v>
      </c>
      <c r="CB185" s="47">
        <f t="shared" si="105"/>
        <v>46049</v>
      </c>
      <c r="CC185" s="56">
        <v>20740.79</v>
      </c>
      <c r="CD185" s="57">
        <v>2180.62</v>
      </c>
      <c r="CE185" s="70"/>
      <c r="CF185" s="117"/>
      <c r="CG185" s="27"/>
      <c r="CH185" s="51"/>
      <c r="CI185" s="52"/>
      <c r="CJ185" s="52"/>
      <c r="CK185" s="53">
        <f t="shared" si="93"/>
        <v>0</v>
      </c>
      <c r="CM185" s="47">
        <f t="shared" si="106"/>
        <v>46049</v>
      </c>
      <c r="CN185" s="56">
        <v>11112.41</v>
      </c>
      <c r="CO185" s="57">
        <v>1804.97</v>
      </c>
      <c r="CP185" s="70"/>
      <c r="CQ185" s="62"/>
      <c r="CR185" s="27"/>
      <c r="CS185" s="240">
        <v>37.969278350515452</v>
      </c>
      <c r="CT185" s="53">
        <v>258.47099868571416</v>
      </c>
      <c r="CU185" s="52"/>
      <c r="CV185" s="53">
        <f t="shared" si="94"/>
        <v>296.44027703622965</v>
      </c>
      <c r="CX185" s="47">
        <f t="shared" si="107"/>
        <v>46049</v>
      </c>
      <c r="CY185" s="56">
        <v>4209.05</v>
      </c>
      <c r="CZ185" s="57">
        <v>985.91</v>
      </c>
      <c r="DA185" s="70"/>
      <c r="DB185" s="59"/>
      <c r="DC185" s="27"/>
      <c r="DD185" s="240">
        <v>-2.3728099999999159</v>
      </c>
      <c r="DE185" s="53">
        <v>22.904114816952386</v>
      </c>
      <c r="DF185" s="52"/>
      <c r="DG185" s="53">
        <f t="shared" si="95"/>
        <v>20.531304816952471</v>
      </c>
      <c r="DI185" s="47">
        <f t="shared" si="108"/>
        <v>46049</v>
      </c>
      <c r="DJ185" s="56">
        <v>0</v>
      </c>
      <c r="DK185" s="71"/>
      <c r="DL185" s="70"/>
      <c r="DM185" s="62"/>
      <c r="DN185" s="27"/>
      <c r="DO185" s="51"/>
      <c r="DP185" s="52"/>
      <c r="DQ185" s="52"/>
      <c r="DR185" s="53">
        <f t="shared" si="96"/>
        <v>0</v>
      </c>
      <c r="DT185" s="47">
        <f t="shared" si="109"/>
        <v>46049</v>
      </c>
      <c r="DU185" s="56">
        <v>2334.79</v>
      </c>
      <c r="DV185" s="57">
        <v>454.68</v>
      </c>
      <c r="DW185" s="70"/>
      <c r="DX185" s="62"/>
      <c r="DY185" s="27"/>
      <c r="DZ185" s="240">
        <v>60.8506</v>
      </c>
      <c r="EA185" s="53"/>
      <c r="EB185" s="52"/>
      <c r="EC185" s="53">
        <f t="shared" si="97"/>
        <v>60.8506</v>
      </c>
      <c r="EE185" s="47">
        <f t="shared" si="110"/>
        <v>46049</v>
      </c>
      <c r="EF185" s="56">
        <v>3049.5</v>
      </c>
      <c r="EG185" s="57">
        <v>1122.6400000000001</v>
      </c>
      <c r="EH185" s="70"/>
      <c r="EI185" s="59">
        <v>36.25</v>
      </c>
      <c r="EJ185" s="27"/>
      <c r="EK185" s="51"/>
      <c r="EL185" s="52"/>
      <c r="EM185" s="52"/>
      <c r="EN185" s="53">
        <f t="shared" si="98"/>
        <v>36.25</v>
      </c>
      <c r="EP185" s="47">
        <f t="shared" si="111"/>
        <v>46049</v>
      </c>
      <c r="EQ185" s="64">
        <v>209.32</v>
      </c>
      <c r="ER185" s="56">
        <v>267.81</v>
      </c>
      <c r="ES185" s="70"/>
      <c r="ET185" s="59"/>
      <c r="EV185" s="51"/>
      <c r="EW185" s="52"/>
      <c r="EX185" s="52"/>
      <c r="EY185" s="53">
        <f t="shared" si="99"/>
        <v>0</v>
      </c>
    </row>
    <row r="186" spans="2:157" hidden="1" x14ac:dyDescent="0.25">
      <c r="B186" s="47">
        <v>46050</v>
      </c>
      <c r="C186" s="48">
        <v>17090.689999999999</v>
      </c>
      <c r="D186" s="49">
        <v>2952.93</v>
      </c>
      <c r="E186" s="50">
        <v>3631.75</v>
      </c>
      <c r="F186" s="49">
        <v>722.2</v>
      </c>
      <c r="G186" s="50"/>
      <c r="H186" s="27"/>
      <c r="I186" s="51"/>
      <c r="J186" s="52"/>
      <c r="K186" s="52"/>
      <c r="L186" s="53">
        <f t="shared" si="86"/>
        <v>0</v>
      </c>
      <c r="N186" s="47">
        <f t="shared" si="100"/>
        <v>46050</v>
      </c>
      <c r="O186" s="54">
        <v>3404.61</v>
      </c>
      <c r="P186" s="54">
        <v>337.95</v>
      </c>
      <c r="Q186" s="70"/>
      <c r="R186" s="55"/>
      <c r="S186" s="27"/>
      <c r="T186" s="240">
        <v>580.2664000000002</v>
      </c>
      <c r="U186" s="240"/>
      <c r="V186" s="240"/>
      <c r="W186" s="53">
        <f t="shared" si="87"/>
        <v>580.2664000000002</v>
      </c>
      <c r="Y186" s="47">
        <f t="shared" si="101"/>
        <v>46050</v>
      </c>
      <c r="Z186" s="56">
        <v>5989.3</v>
      </c>
      <c r="AA186" s="57">
        <v>1425.7</v>
      </c>
      <c r="AB186" s="104"/>
      <c r="AC186" s="59">
        <v>104.94</v>
      </c>
      <c r="AD186" s="27"/>
      <c r="AE186" s="240">
        <v>77.01624000000001</v>
      </c>
      <c r="AF186" s="52"/>
      <c r="AG186" s="52"/>
      <c r="AH186" s="53">
        <f t="shared" si="88"/>
        <v>181.95624000000001</v>
      </c>
      <c r="AJ186" s="47">
        <f t="shared" si="102"/>
        <v>46050</v>
      </c>
      <c r="AK186" s="56">
        <v>4712.95</v>
      </c>
      <c r="AL186" s="57">
        <v>268.48</v>
      </c>
      <c r="AM186" s="70"/>
      <c r="AN186" s="58"/>
      <c r="AO186" s="27"/>
      <c r="AP186" s="51"/>
      <c r="AQ186" s="52"/>
      <c r="AR186" s="52"/>
      <c r="AS186" s="53">
        <f t="shared" si="89"/>
        <v>0</v>
      </c>
      <c r="AU186" s="113">
        <f t="shared" si="103"/>
        <v>46050</v>
      </c>
      <c r="AV186" s="57">
        <v>222.84</v>
      </c>
      <c r="AW186" s="57">
        <v>0</v>
      </c>
      <c r="AX186" s="70"/>
      <c r="AY186" s="59">
        <v>31.22</v>
      </c>
      <c r="AZ186" s="27"/>
      <c r="BA186" s="240">
        <v>927.2045280000001</v>
      </c>
      <c r="BB186" s="53"/>
      <c r="BC186" s="52"/>
      <c r="BD186" s="53">
        <f t="shared" si="90"/>
        <v>958.42452800000012</v>
      </c>
      <c r="BF186" s="47">
        <f t="shared" si="112"/>
        <v>46050</v>
      </c>
      <c r="BG186" s="56">
        <v>4252.6899999999996</v>
      </c>
      <c r="BH186" s="57">
        <v>461.01</v>
      </c>
      <c r="BI186" s="70"/>
      <c r="BJ186" s="59"/>
      <c r="BK186" s="27"/>
      <c r="BL186" s="51">
        <v>451.8820399999999</v>
      </c>
      <c r="BM186" s="53">
        <v>32.066364044952365</v>
      </c>
      <c r="BN186" s="52"/>
      <c r="BO186" s="53">
        <f t="shared" si="91"/>
        <v>483.94840404495227</v>
      </c>
      <c r="BQ186" s="47">
        <f t="shared" si="104"/>
        <v>46050</v>
      </c>
      <c r="BR186" s="57">
        <v>122</v>
      </c>
      <c r="BS186" s="57">
        <v>318.77999999999997</v>
      </c>
      <c r="BT186" s="70"/>
      <c r="BU186" s="61"/>
      <c r="BV186" s="27"/>
      <c r="BW186" s="51"/>
      <c r="BX186" s="52"/>
      <c r="BY186" s="52"/>
      <c r="BZ186" s="53">
        <f t="shared" si="92"/>
        <v>0</v>
      </c>
      <c r="CB186" s="47">
        <f t="shared" si="105"/>
        <v>46050</v>
      </c>
      <c r="CC186" s="56">
        <v>20979.7</v>
      </c>
      <c r="CD186" s="57">
        <v>2275.59</v>
      </c>
      <c r="CE186" s="70"/>
      <c r="CF186" s="117"/>
      <c r="CG186" s="27"/>
      <c r="CH186" s="51"/>
      <c r="CI186" s="52"/>
      <c r="CJ186" s="52"/>
      <c r="CK186" s="53">
        <f t="shared" si="93"/>
        <v>0</v>
      </c>
      <c r="CM186" s="47">
        <f t="shared" si="106"/>
        <v>46050</v>
      </c>
      <c r="CN186" s="56">
        <v>10739.18</v>
      </c>
      <c r="CO186" s="57">
        <v>1585.02</v>
      </c>
      <c r="CP186" s="70"/>
      <c r="CQ186" s="62"/>
      <c r="CR186" s="27"/>
      <c r="CS186" s="240">
        <v>57.083619999999968</v>
      </c>
      <c r="CT186" s="53">
        <v>379.14392346819034</v>
      </c>
      <c r="CU186" s="52"/>
      <c r="CV186" s="53">
        <f t="shared" si="94"/>
        <v>436.22754346819033</v>
      </c>
      <c r="CX186" s="47">
        <f t="shared" si="107"/>
        <v>46050</v>
      </c>
      <c r="CY186" s="56">
        <v>3918.38</v>
      </c>
      <c r="CZ186" s="57">
        <v>1391.42</v>
      </c>
      <c r="DA186" s="70"/>
      <c r="DB186" s="59"/>
      <c r="DC186" s="27"/>
      <c r="DD186" s="240">
        <v>33.761814999999999</v>
      </c>
      <c r="DE186" s="53">
        <v>36.270484341523911</v>
      </c>
      <c r="DF186" s="52"/>
      <c r="DG186" s="53">
        <f t="shared" si="95"/>
        <v>70.03229934152391</v>
      </c>
      <c r="DI186" s="47">
        <f t="shared" si="108"/>
        <v>46050</v>
      </c>
      <c r="DJ186" s="56">
        <v>0</v>
      </c>
      <c r="DK186" s="71"/>
      <c r="DL186" s="70"/>
      <c r="DM186" s="62"/>
      <c r="DN186" s="27"/>
      <c r="DO186" s="51"/>
      <c r="DP186" s="52"/>
      <c r="DQ186" s="52"/>
      <c r="DR186" s="53">
        <f t="shared" si="96"/>
        <v>0</v>
      </c>
      <c r="DT186" s="47">
        <f t="shared" si="109"/>
        <v>46050</v>
      </c>
      <c r="DU186" s="56">
        <v>1947.62</v>
      </c>
      <c r="DV186" s="57">
        <v>51.32</v>
      </c>
      <c r="DW186" s="70"/>
      <c r="DX186" s="62"/>
      <c r="DY186" s="27"/>
      <c r="DZ186" s="240">
        <v>242.36705999999998</v>
      </c>
      <c r="EA186" s="53">
        <v>31.803387558095267</v>
      </c>
      <c r="EB186" s="52"/>
      <c r="EC186" s="53">
        <f t="shared" si="97"/>
        <v>274.17044755809525</v>
      </c>
      <c r="EE186" s="47">
        <f t="shared" si="110"/>
        <v>46050</v>
      </c>
      <c r="EF186" s="56">
        <v>7169.46</v>
      </c>
      <c r="EG186" s="57">
        <v>2027.27</v>
      </c>
      <c r="EH186" s="70"/>
      <c r="EI186" s="59">
        <v>191.42</v>
      </c>
      <c r="EJ186" s="27"/>
      <c r="EK186" s="51"/>
      <c r="EL186" s="52"/>
      <c r="EM186" s="52"/>
      <c r="EN186" s="53">
        <f t="shared" si="98"/>
        <v>191.42</v>
      </c>
      <c r="EP186" s="47">
        <f t="shared" si="111"/>
        <v>46050</v>
      </c>
      <c r="EQ186" s="64">
        <v>989.82</v>
      </c>
      <c r="ER186" s="56">
        <v>523.34</v>
      </c>
      <c r="ES186" s="70"/>
      <c r="ET186" s="59"/>
      <c r="EV186" s="51"/>
      <c r="EW186" s="52"/>
      <c r="EX186" s="52"/>
      <c r="EY186" s="53">
        <f t="shared" si="99"/>
        <v>0</v>
      </c>
    </row>
    <row r="187" spans="2:157" hidden="1" x14ac:dyDescent="0.25">
      <c r="B187" s="47">
        <v>46051</v>
      </c>
      <c r="C187" s="73">
        <v>19481.16</v>
      </c>
      <c r="D187" s="74">
        <v>2182.31</v>
      </c>
      <c r="E187" s="50">
        <v>2934.05</v>
      </c>
      <c r="F187" s="74">
        <v>646.97</v>
      </c>
      <c r="G187" s="50"/>
      <c r="H187" s="27"/>
      <c r="I187" s="51"/>
      <c r="J187" s="52"/>
      <c r="K187" s="52"/>
      <c r="L187" s="53">
        <f t="shared" si="86"/>
        <v>0</v>
      </c>
      <c r="N187" s="47">
        <f t="shared" si="100"/>
        <v>46051</v>
      </c>
      <c r="O187" s="54">
        <v>2494.66</v>
      </c>
      <c r="P187" s="54">
        <v>505.89</v>
      </c>
      <c r="Q187" s="70"/>
      <c r="R187" s="55"/>
      <c r="S187" s="27"/>
      <c r="T187" s="240">
        <v>829.85324000000037</v>
      </c>
      <c r="U187" s="240">
        <v>62.141473531428574</v>
      </c>
      <c r="V187" s="240"/>
      <c r="W187" s="53">
        <f t="shared" si="87"/>
        <v>891.99471353142894</v>
      </c>
      <c r="Y187" s="47">
        <f t="shared" si="101"/>
        <v>46051</v>
      </c>
      <c r="Z187" s="56">
        <v>4057.33</v>
      </c>
      <c r="AA187" s="57">
        <v>1497.53</v>
      </c>
      <c r="AB187" s="104"/>
      <c r="AC187" s="59">
        <v>47.61</v>
      </c>
      <c r="AD187" s="27"/>
      <c r="AE187" s="240">
        <v>51.347399999999993</v>
      </c>
      <c r="AF187" s="52"/>
      <c r="AG187" s="52"/>
      <c r="AH187" s="53">
        <f t="shared" si="88"/>
        <v>98.957399999999993</v>
      </c>
      <c r="AJ187" s="47">
        <f t="shared" si="102"/>
        <v>46051</v>
      </c>
      <c r="AK187" s="56">
        <v>3319.61</v>
      </c>
      <c r="AL187" s="57">
        <v>349.89</v>
      </c>
      <c r="AM187" s="70"/>
      <c r="AN187" s="58"/>
      <c r="AO187" s="27"/>
      <c r="AP187" s="51"/>
      <c r="AQ187" s="52"/>
      <c r="AR187" s="52"/>
      <c r="AS187" s="53">
        <f t="shared" si="89"/>
        <v>0</v>
      </c>
      <c r="AU187" s="113">
        <f t="shared" si="103"/>
        <v>46051</v>
      </c>
      <c r="AV187" s="57">
        <v>337</v>
      </c>
      <c r="AW187" s="57">
        <v>110.78</v>
      </c>
      <c r="AX187" s="70"/>
      <c r="AY187" s="59">
        <v>51</v>
      </c>
      <c r="AZ187" s="27"/>
      <c r="BA187" s="240">
        <v>334.97017600000015</v>
      </c>
      <c r="BB187" s="53">
        <v>20.887533996952413</v>
      </c>
      <c r="BC187" s="52"/>
      <c r="BD187" s="53">
        <f>SUM(AY187:BC187)</f>
        <v>406.85770999695256</v>
      </c>
      <c r="BF187" s="47">
        <f t="shared" si="112"/>
        <v>46051</v>
      </c>
      <c r="BG187" s="56">
        <v>3252.68</v>
      </c>
      <c r="BH187" s="57">
        <v>750.61</v>
      </c>
      <c r="BI187" s="70"/>
      <c r="BJ187" s="59"/>
      <c r="BK187" s="27"/>
      <c r="BL187" s="51">
        <v>303.92815999999993</v>
      </c>
      <c r="BM187" s="53">
        <v>122.09287851428574</v>
      </c>
      <c r="BN187" s="52"/>
      <c r="BO187" s="53">
        <f t="shared" si="91"/>
        <v>426.02103851428569</v>
      </c>
      <c r="BQ187" s="47">
        <f t="shared" si="104"/>
        <v>46051</v>
      </c>
      <c r="BR187" s="57">
        <v>471.03</v>
      </c>
      <c r="BS187" s="57">
        <v>512.85</v>
      </c>
      <c r="BT187" s="70"/>
      <c r="BU187" s="61"/>
      <c r="BV187" s="27"/>
      <c r="BW187" s="51"/>
      <c r="BX187" s="52"/>
      <c r="BY187" s="52"/>
      <c r="BZ187" s="53">
        <f t="shared" si="92"/>
        <v>0</v>
      </c>
      <c r="CB187" s="47">
        <f t="shared" si="105"/>
        <v>46051</v>
      </c>
      <c r="CC187" s="56">
        <v>19653.11</v>
      </c>
      <c r="CD187" s="57">
        <v>1759.93</v>
      </c>
      <c r="CE187" s="70"/>
      <c r="CF187" s="117"/>
      <c r="CG187" s="27"/>
      <c r="CH187" s="51"/>
      <c r="CI187" s="52"/>
      <c r="CJ187" s="52"/>
      <c r="CK187" s="53">
        <f t="shared" si="93"/>
        <v>0</v>
      </c>
      <c r="CM187" s="47">
        <f t="shared" si="106"/>
        <v>46051</v>
      </c>
      <c r="CN187" s="56">
        <v>8072.07</v>
      </c>
      <c r="CO187" s="57">
        <v>1804.87</v>
      </c>
      <c r="CP187" s="70"/>
      <c r="CQ187" s="62"/>
      <c r="CR187" s="27"/>
      <c r="CS187" s="240">
        <v>230.75711999999993</v>
      </c>
      <c r="CT187" s="53">
        <v>424.7496020883807</v>
      </c>
      <c r="CU187" s="52"/>
      <c r="CV187" s="53">
        <f t="shared" si="94"/>
        <v>655.50672208838068</v>
      </c>
      <c r="CX187" s="47">
        <f t="shared" si="107"/>
        <v>46051</v>
      </c>
      <c r="CY187" s="56">
        <v>5357.97</v>
      </c>
      <c r="CZ187" s="57">
        <v>1555.35</v>
      </c>
      <c r="DA187" s="70"/>
      <c r="DB187" s="59"/>
      <c r="DC187" s="27"/>
      <c r="DD187" s="240">
        <v>50.939477000000025</v>
      </c>
      <c r="DE187" s="53">
        <v>32.424482490095272</v>
      </c>
      <c r="DF187" s="52"/>
      <c r="DG187" s="53">
        <f t="shared" si="95"/>
        <v>83.363959490095297</v>
      </c>
      <c r="DI187" s="47">
        <f t="shared" si="108"/>
        <v>46051</v>
      </c>
      <c r="DJ187" s="56">
        <v>0</v>
      </c>
      <c r="DK187" s="71"/>
      <c r="DL187" s="70"/>
      <c r="DM187" s="62"/>
      <c r="DN187" s="27"/>
      <c r="DO187" s="51"/>
      <c r="DP187" s="52"/>
      <c r="DQ187" s="52"/>
      <c r="DR187" s="53">
        <f t="shared" si="96"/>
        <v>0</v>
      </c>
      <c r="DT187" s="47">
        <f t="shared" si="109"/>
        <v>46051</v>
      </c>
      <c r="DU187" s="56">
        <v>752.44</v>
      </c>
      <c r="DV187" s="57">
        <v>134.35</v>
      </c>
      <c r="DW187" s="70"/>
      <c r="DX187" s="62"/>
      <c r="DY187" s="27"/>
      <c r="DZ187" s="240">
        <v>201.02180000000004</v>
      </c>
      <c r="EA187" s="53">
        <v>814.68901175619089</v>
      </c>
      <c r="EB187" s="52"/>
      <c r="EC187" s="53">
        <f t="shared" si="97"/>
        <v>1015.7108117561909</v>
      </c>
      <c r="EE187" s="47">
        <f t="shared" si="110"/>
        <v>46051</v>
      </c>
      <c r="EF187" s="56">
        <v>7715.43</v>
      </c>
      <c r="EG187" s="57">
        <v>1339.25</v>
      </c>
      <c r="EH187" s="70"/>
      <c r="EI187" s="59">
        <v>137.88</v>
      </c>
      <c r="EJ187" s="27"/>
      <c r="EK187" s="51"/>
      <c r="EL187" s="52"/>
      <c r="EM187" s="52"/>
      <c r="EN187" s="53">
        <f t="shared" si="98"/>
        <v>137.88</v>
      </c>
      <c r="EP187" s="47">
        <f t="shared" si="111"/>
        <v>46051</v>
      </c>
      <c r="EQ187" s="64">
        <v>632.67999999999995</v>
      </c>
      <c r="ER187" s="56">
        <v>217.04</v>
      </c>
      <c r="ES187" s="70"/>
      <c r="ET187" s="59"/>
      <c r="EV187" s="51"/>
      <c r="EW187" s="52"/>
      <c r="EX187" s="52"/>
      <c r="EY187" s="53">
        <f t="shared" si="99"/>
        <v>0</v>
      </c>
    </row>
    <row r="188" spans="2:157" hidden="1" x14ac:dyDescent="0.25">
      <c r="B188" s="47">
        <v>46052</v>
      </c>
      <c r="C188" s="73">
        <v>19185.650000000001</v>
      </c>
      <c r="D188" s="74">
        <v>2760.55</v>
      </c>
      <c r="E188" s="50">
        <v>3810.55</v>
      </c>
      <c r="F188" s="74">
        <v>705.03</v>
      </c>
      <c r="G188" s="50"/>
      <c r="H188" s="27"/>
      <c r="I188" s="51"/>
      <c r="J188" s="52"/>
      <c r="K188" s="52"/>
      <c r="L188" s="53">
        <f t="shared" si="86"/>
        <v>0</v>
      </c>
      <c r="N188" s="47">
        <f t="shared" si="100"/>
        <v>46052</v>
      </c>
      <c r="O188" s="54">
        <v>1247.2</v>
      </c>
      <c r="P188" s="54">
        <v>584.26</v>
      </c>
      <c r="Q188" s="70"/>
      <c r="R188" s="55"/>
      <c r="S188" s="27"/>
      <c r="T188" s="240">
        <v>323.58584000000002</v>
      </c>
      <c r="U188" s="240"/>
      <c r="V188" s="240"/>
      <c r="W188" s="53">
        <f>SUM(R188:V188)</f>
        <v>323.58584000000002</v>
      </c>
      <c r="Y188" s="47">
        <f t="shared" si="101"/>
        <v>46052</v>
      </c>
      <c r="Z188" s="56">
        <v>5110.6899999999996</v>
      </c>
      <c r="AA188" s="57">
        <v>1422.76</v>
      </c>
      <c r="AB188" s="104"/>
      <c r="AC188" s="59">
        <v>113.55</v>
      </c>
      <c r="AD188" s="27"/>
      <c r="AE188" s="240">
        <v>175.07423999999989</v>
      </c>
      <c r="AF188" s="52"/>
      <c r="AG188" s="52"/>
      <c r="AH188" s="53">
        <f t="shared" si="88"/>
        <v>288.62423999999987</v>
      </c>
      <c r="AJ188" s="47">
        <f t="shared" si="102"/>
        <v>46052</v>
      </c>
      <c r="AK188" s="56">
        <v>3199.01</v>
      </c>
      <c r="AL188" s="57">
        <v>475.14</v>
      </c>
      <c r="AM188" s="70"/>
      <c r="AN188" s="58"/>
      <c r="AO188" s="27"/>
      <c r="AP188" s="51"/>
      <c r="AQ188" s="52"/>
      <c r="AR188" s="52"/>
      <c r="AS188" s="53"/>
      <c r="AU188" s="113">
        <f t="shared" si="103"/>
        <v>46052</v>
      </c>
      <c r="AV188" s="57">
        <v>564.99</v>
      </c>
      <c r="AW188" s="57">
        <v>28.08</v>
      </c>
      <c r="AX188" s="70"/>
      <c r="AY188" s="59">
        <v>71.23</v>
      </c>
      <c r="AZ188" s="27"/>
      <c r="BA188" s="240">
        <v>610.88541899999996</v>
      </c>
      <c r="BB188" s="52"/>
      <c r="BC188" s="52"/>
      <c r="BD188" s="53">
        <f>SUM(AY188:BC188)</f>
        <v>682.11541899999997</v>
      </c>
      <c r="BF188" s="47">
        <f t="shared" si="112"/>
        <v>46052</v>
      </c>
      <c r="BG188" s="56">
        <v>3769.43</v>
      </c>
      <c r="BH188" s="57">
        <v>781.4</v>
      </c>
      <c r="BI188" s="70"/>
      <c r="BJ188" s="59"/>
      <c r="BK188" s="27"/>
      <c r="BL188" s="51">
        <v>215.52264999999989</v>
      </c>
      <c r="BM188" s="53">
        <v>43.194827316190441</v>
      </c>
      <c r="BN188" s="52"/>
      <c r="BO188" s="53">
        <f t="shared" si="91"/>
        <v>258.7174773161903</v>
      </c>
      <c r="BQ188" s="47">
        <f t="shared" si="104"/>
        <v>46052</v>
      </c>
      <c r="BR188" s="57">
        <v>320</v>
      </c>
      <c r="BS188" s="57">
        <v>352.62</v>
      </c>
      <c r="BT188" s="70"/>
      <c r="BU188" s="61"/>
      <c r="BV188" s="27"/>
      <c r="BW188" s="51"/>
      <c r="BX188" s="52"/>
      <c r="BY188" s="52"/>
      <c r="BZ188" s="53"/>
      <c r="CB188" s="47">
        <f t="shared" si="105"/>
        <v>46052</v>
      </c>
      <c r="CC188" s="56">
        <v>22776.639999999999</v>
      </c>
      <c r="CD188" s="57">
        <v>2306.31</v>
      </c>
      <c r="CE188" s="70"/>
      <c r="CF188" s="118"/>
      <c r="CG188" s="27"/>
      <c r="CH188" s="51"/>
      <c r="CI188" s="52"/>
      <c r="CJ188" s="52"/>
      <c r="CK188" s="53"/>
      <c r="CM188" s="47">
        <f t="shared" si="106"/>
        <v>46052</v>
      </c>
      <c r="CN188" s="56">
        <v>9895.2000000000007</v>
      </c>
      <c r="CO188" s="57">
        <v>1951.57</v>
      </c>
      <c r="CP188" s="70"/>
      <c r="CQ188" s="62"/>
      <c r="CR188" s="27"/>
      <c r="CS188" s="240">
        <v>138.31520999999998</v>
      </c>
      <c r="CT188" s="53">
        <v>81.456397254476187</v>
      </c>
      <c r="CU188" s="52"/>
      <c r="CV188" s="53">
        <f t="shared" si="94"/>
        <v>219.77160725447618</v>
      </c>
      <c r="CX188" s="47">
        <f t="shared" si="107"/>
        <v>46052</v>
      </c>
      <c r="CY188" s="56">
        <v>6142.08</v>
      </c>
      <c r="CZ188" s="57">
        <v>2353.1</v>
      </c>
      <c r="DA188" s="70"/>
      <c r="DB188" s="59"/>
      <c r="DC188" s="27"/>
      <c r="DD188" s="240">
        <v>77.593508000000128</v>
      </c>
      <c r="DE188" s="53">
        <v>15.124214290666714</v>
      </c>
      <c r="DF188" s="52">
        <v>-3.4958438600000079</v>
      </c>
      <c r="DG188" s="53">
        <f t="shared" si="95"/>
        <v>89.221878430666834</v>
      </c>
      <c r="DI188" s="47">
        <f t="shared" si="108"/>
        <v>46052</v>
      </c>
      <c r="DJ188" s="56">
        <v>458</v>
      </c>
      <c r="DK188" s="71"/>
      <c r="DL188" s="70"/>
      <c r="DM188" s="62"/>
      <c r="DN188" s="27"/>
      <c r="DO188" s="51"/>
      <c r="DP188" s="52"/>
      <c r="DQ188" s="52"/>
      <c r="DR188" s="53"/>
      <c r="DT188" s="47">
        <f t="shared" si="109"/>
        <v>46052</v>
      </c>
      <c r="DU188" s="56">
        <v>1368.12</v>
      </c>
      <c r="DV188" s="57">
        <v>430.29</v>
      </c>
      <c r="DW188" s="70"/>
      <c r="DX188" s="62"/>
      <c r="DY188" s="27"/>
      <c r="DZ188" s="240">
        <v>67.918399999999991</v>
      </c>
      <c r="EA188" s="53">
        <v>27.891239009523815</v>
      </c>
      <c r="EB188" s="52"/>
      <c r="EC188" s="53">
        <f t="shared" si="97"/>
        <v>95.809639009523806</v>
      </c>
      <c r="EE188" s="47">
        <f t="shared" si="110"/>
        <v>46052</v>
      </c>
      <c r="EF188" s="56">
        <v>6460.42</v>
      </c>
      <c r="EG188" s="57">
        <v>1596.81</v>
      </c>
      <c r="EH188" s="70"/>
      <c r="EI188" s="59">
        <v>147.02000000000001</v>
      </c>
      <c r="EJ188" s="27"/>
      <c r="EK188" s="51"/>
      <c r="EL188" s="52"/>
      <c r="EM188" s="52"/>
      <c r="EN188" s="53">
        <f t="shared" si="98"/>
        <v>147.02000000000001</v>
      </c>
      <c r="EP188" s="47">
        <f t="shared" si="111"/>
        <v>46052</v>
      </c>
      <c r="EQ188" s="64">
        <v>1015.81</v>
      </c>
      <c r="ER188" s="56">
        <v>434.17</v>
      </c>
      <c r="ES188" s="70"/>
      <c r="ET188" s="59"/>
      <c r="EV188" s="51"/>
      <c r="EW188" s="52"/>
      <c r="EX188" s="52"/>
      <c r="EY188" s="53"/>
    </row>
    <row r="189" spans="2:157" ht="15.75" hidden="1" thickBot="1" x14ac:dyDescent="0.3">
      <c r="B189" s="75">
        <v>46053</v>
      </c>
      <c r="C189" s="115">
        <v>18742.54</v>
      </c>
      <c r="D189" s="74">
        <v>3040.44</v>
      </c>
      <c r="E189" s="74">
        <v>3423.14</v>
      </c>
      <c r="F189" s="74">
        <v>536.22</v>
      </c>
      <c r="G189" s="94"/>
      <c r="H189" s="27"/>
      <c r="I189" s="51"/>
      <c r="J189" s="52"/>
      <c r="K189" s="52"/>
      <c r="L189" s="53">
        <f t="shared" si="86"/>
        <v>0</v>
      </c>
      <c r="N189" s="112">
        <f t="shared" si="100"/>
        <v>46053</v>
      </c>
      <c r="O189" s="54">
        <v>1527.91</v>
      </c>
      <c r="P189" s="54">
        <v>374.81</v>
      </c>
      <c r="Q189" s="70"/>
      <c r="R189" s="55"/>
      <c r="S189" s="27"/>
      <c r="T189" s="240">
        <v>433.13198999999986</v>
      </c>
      <c r="U189" s="240"/>
      <c r="V189" s="240"/>
      <c r="W189" s="53">
        <f t="shared" ref="W189" si="113">SUM(R189:V189)</f>
        <v>433.13198999999986</v>
      </c>
      <c r="Y189" s="75">
        <f t="shared" si="101"/>
        <v>46053</v>
      </c>
      <c r="Z189" s="56">
        <v>5877.18</v>
      </c>
      <c r="AA189" s="57">
        <v>1678.42</v>
      </c>
      <c r="AB189" s="104"/>
      <c r="AC189" s="59">
        <v>197.36</v>
      </c>
      <c r="AD189" s="27"/>
      <c r="AE189" s="240">
        <v>15.616259999999997</v>
      </c>
      <c r="AF189" s="52"/>
      <c r="AG189" s="52"/>
      <c r="AH189" s="53">
        <f t="shared" si="88"/>
        <v>212.97626000000002</v>
      </c>
      <c r="AJ189" s="75">
        <f t="shared" si="102"/>
        <v>46053</v>
      </c>
      <c r="AK189" s="56">
        <v>3236.27</v>
      </c>
      <c r="AL189" s="57">
        <v>887.22</v>
      </c>
      <c r="AM189" s="70"/>
      <c r="AN189" s="62"/>
      <c r="AO189" s="27"/>
      <c r="AP189" s="51"/>
      <c r="AQ189" s="52"/>
      <c r="AR189" s="52"/>
      <c r="AS189" s="53">
        <f t="shared" ref="AS189" si="114">SUM(AN189:AR189)</f>
        <v>0</v>
      </c>
      <c r="AU189" s="112">
        <f t="shared" si="103"/>
        <v>46053</v>
      </c>
      <c r="AV189" s="97">
        <v>252.7</v>
      </c>
      <c r="AW189" s="97">
        <v>107.24</v>
      </c>
      <c r="AX189" s="70"/>
      <c r="AY189" s="59"/>
      <c r="AZ189" s="27"/>
      <c r="BA189" s="240">
        <v>188.74146800000005</v>
      </c>
      <c r="BB189" s="52"/>
      <c r="BC189" s="52"/>
      <c r="BD189" s="53">
        <f t="shared" ref="BD189" si="115">SUM(AY189:BC189)</f>
        <v>188.74146800000005</v>
      </c>
      <c r="BF189" s="75">
        <f t="shared" si="112"/>
        <v>46053</v>
      </c>
      <c r="BG189" s="56">
        <v>3636.6</v>
      </c>
      <c r="BH189" s="57">
        <v>806.16</v>
      </c>
      <c r="BI189" s="70"/>
      <c r="BJ189" s="59"/>
      <c r="BK189" s="27"/>
      <c r="BL189" s="51">
        <v>427.31592999999981</v>
      </c>
      <c r="BM189" s="53">
        <v>22.76</v>
      </c>
      <c r="BN189" s="52"/>
      <c r="BO189" s="53">
        <f t="shared" ref="BO189" si="116">SUM(BJ189:BN189)</f>
        <v>450.0759299999998</v>
      </c>
      <c r="BQ189" s="112">
        <f t="shared" si="104"/>
        <v>46053</v>
      </c>
      <c r="BR189" s="57">
        <v>620.46</v>
      </c>
      <c r="BS189" s="57">
        <v>599.52</v>
      </c>
      <c r="BT189" s="70"/>
      <c r="BU189" s="61"/>
      <c r="BV189" s="27"/>
      <c r="BW189" s="51"/>
      <c r="BX189" s="52"/>
      <c r="BY189" s="52"/>
      <c r="BZ189" s="53">
        <f t="shared" ref="BZ189" si="117">SUM(BU189:BY189)</f>
        <v>0</v>
      </c>
      <c r="CB189" s="75">
        <f t="shared" si="105"/>
        <v>46053</v>
      </c>
      <c r="CC189" s="56">
        <v>24775.19</v>
      </c>
      <c r="CD189" s="57">
        <v>2296.15</v>
      </c>
      <c r="CE189" s="70"/>
      <c r="CF189" s="118"/>
      <c r="CG189" s="27"/>
      <c r="CH189" s="51"/>
      <c r="CI189" s="52"/>
      <c r="CJ189" s="52"/>
      <c r="CK189" s="53">
        <f t="shared" ref="CK189" si="118">SUM(CF189:CJ189)</f>
        <v>0</v>
      </c>
      <c r="CM189" s="75">
        <f t="shared" si="106"/>
        <v>46053</v>
      </c>
      <c r="CN189" s="56">
        <v>6950.51</v>
      </c>
      <c r="CO189" s="57">
        <v>1598.04</v>
      </c>
      <c r="CP189" s="70"/>
      <c r="CQ189" s="62"/>
      <c r="CR189" s="27"/>
      <c r="CS189" s="240">
        <v>142.95839999999993</v>
      </c>
      <c r="CT189" s="53">
        <v>20.179601904761881</v>
      </c>
      <c r="CU189" s="52"/>
      <c r="CV189" s="53">
        <f t="shared" si="94"/>
        <v>163.13800190476181</v>
      </c>
      <c r="CX189" s="75">
        <f t="shared" si="107"/>
        <v>46053</v>
      </c>
      <c r="CY189" s="56">
        <v>7641.05</v>
      </c>
      <c r="CZ189" s="57">
        <v>2042.84</v>
      </c>
      <c r="DA189" s="70"/>
      <c r="DB189" s="59"/>
      <c r="DC189" s="27"/>
      <c r="DD189" s="240">
        <v>40.207303000000081</v>
      </c>
      <c r="DE189" s="53">
        <v>114.06898524076195</v>
      </c>
      <c r="DF189" s="52"/>
      <c r="DG189" s="53">
        <f t="shared" ref="DG189" si="119">SUM(DB189:DF189)</f>
        <v>154.27628824076203</v>
      </c>
      <c r="DI189" s="75">
        <f t="shared" si="108"/>
        <v>46053</v>
      </c>
      <c r="DJ189" s="56">
        <v>1628.72</v>
      </c>
      <c r="DK189" s="71"/>
      <c r="DL189" s="70"/>
      <c r="DM189" s="62"/>
      <c r="DN189" s="27"/>
      <c r="DO189" s="51"/>
      <c r="DP189" s="52"/>
      <c r="DQ189" s="52"/>
      <c r="DR189" s="53">
        <f t="shared" ref="DR189" si="120">SUM(DM189:DQ189)</f>
        <v>0</v>
      </c>
      <c r="DT189" s="75">
        <f t="shared" si="109"/>
        <v>46053</v>
      </c>
      <c r="DU189" s="56">
        <v>1296.23</v>
      </c>
      <c r="DV189" s="57">
        <v>313.43</v>
      </c>
      <c r="DW189" s="70"/>
      <c r="DX189" s="62"/>
      <c r="DY189" s="27"/>
      <c r="DZ189" s="240">
        <v>206.91911999999999</v>
      </c>
      <c r="EA189" s="53">
        <v>38.407442948571457</v>
      </c>
      <c r="EB189" s="52"/>
      <c r="EC189" s="53">
        <f t="shared" ref="EC189" si="121">SUM(DX189:EB189)</f>
        <v>245.32656294857145</v>
      </c>
      <c r="EE189" s="75">
        <f t="shared" si="110"/>
        <v>46053</v>
      </c>
      <c r="EF189" s="56">
        <v>7098.8</v>
      </c>
      <c r="EG189" s="57">
        <v>1630.11</v>
      </c>
      <c r="EH189" s="70"/>
      <c r="EI189" s="59">
        <v>67.78</v>
      </c>
      <c r="EJ189" s="27"/>
      <c r="EK189" s="51"/>
      <c r="EL189" s="52"/>
      <c r="EM189" s="52"/>
      <c r="EN189" s="53">
        <f t="shared" ref="EN189" si="122">SUM(EI189:EM189)</f>
        <v>67.78</v>
      </c>
      <c r="EP189" s="75">
        <f t="shared" si="111"/>
        <v>46053</v>
      </c>
      <c r="EQ189" s="98">
        <v>373.84</v>
      </c>
      <c r="ER189" s="99">
        <v>470.61</v>
      </c>
      <c r="ES189" s="70"/>
      <c r="ET189" s="59"/>
      <c r="EV189" s="51"/>
      <c r="EW189" s="52"/>
      <c r="EX189" s="52"/>
      <c r="EY189" s="53">
        <f t="shared" ref="EY189" si="123">SUM(ET189:EX189)</f>
        <v>0</v>
      </c>
    </row>
    <row r="190" spans="2:157" s="274" customFormat="1" ht="16.5" hidden="1" thickBot="1" x14ac:dyDescent="0.3">
      <c r="B190" s="86"/>
      <c r="C190" s="105">
        <f>SUM(C159:C189)</f>
        <v>493631.08999999991</v>
      </c>
      <c r="D190" s="105">
        <f>SUM(D159:D189)</f>
        <v>80345.88</v>
      </c>
      <c r="E190" s="105">
        <f>SUM(E159:E189)</f>
        <v>98912.2</v>
      </c>
      <c r="F190" s="100">
        <f>SUM(F159:F189)</f>
        <v>15680.160000000003</v>
      </c>
      <c r="G190" s="86"/>
      <c r="H190" s="83"/>
      <c r="I190" s="84">
        <f>SUM(I159:I189)</f>
        <v>0</v>
      </c>
      <c r="J190" s="85">
        <f>SUM(J159:J189)</f>
        <v>0</v>
      </c>
      <c r="K190" s="85">
        <f>SUM(K159:K189)</f>
        <v>0</v>
      </c>
      <c r="L190" s="85">
        <f>SUM(L159:L189)</f>
        <v>0</v>
      </c>
      <c r="M190" s="86"/>
      <c r="N190" s="86"/>
      <c r="O190" s="105">
        <f>SUM(O159:O189)</f>
        <v>66163.01999999999</v>
      </c>
      <c r="P190" s="105">
        <f>SUM(P159:P189)</f>
        <v>16143.49</v>
      </c>
      <c r="Q190" s="100">
        <f>SUM(Q159:Q189)</f>
        <v>0</v>
      </c>
      <c r="R190" s="100">
        <f>SUM(R159:R189)</f>
        <v>0</v>
      </c>
      <c r="S190" s="83"/>
      <c r="T190" s="84">
        <f>SUM(T159:T189)</f>
        <v>12061.264669999999</v>
      </c>
      <c r="U190" s="85">
        <f>SUM(U159:U189)</f>
        <v>883.23007575142844</v>
      </c>
      <c r="V190" s="85">
        <f>SUM(V159:V189)</f>
        <v>0</v>
      </c>
      <c r="W190" s="85">
        <f>SUM(W159:W189)</f>
        <v>12944.49474575143</v>
      </c>
      <c r="X190" s="86"/>
      <c r="Y190" s="86"/>
      <c r="Z190" s="105">
        <f>SUM(Z159:Z189)</f>
        <v>150399.52000000002</v>
      </c>
      <c r="AA190" s="105">
        <f>SUM(AA159:AA189)</f>
        <v>39398.979999999989</v>
      </c>
      <c r="AB190" s="105">
        <f>SUM(AB159:AB189)</f>
        <v>0</v>
      </c>
      <c r="AC190" s="100">
        <f>SUM(AC159:AC189)</f>
        <v>3687.6700000000005</v>
      </c>
      <c r="AD190" s="83"/>
      <c r="AE190" s="84">
        <f>SUM(AE159:AE189)</f>
        <v>3387.0824099999991</v>
      </c>
      <c r="AF190" s="85">
        <f>SUM(AF159:AF189)</f>
        <v>35.809254171428563</v>
      </c>
      <c r="AG190" s="85">
        <f>SUM(AG159:AG189)</f>
        <v>0</v>
      </c>
      <c r="AH190" s="85">
        <f>SUM(AH159:AH189)</f>
        <v>7110.5616641714278</v>
      </c>
      <c r="AI190" s="86"/>
      <c r="AJ190" s="86"/>
      <c r="AK190" s="105">
        <f>SUM(AK159:AK189)</f>
        <v>96007.73</v>
      </c>
      <c r="AL190" s="105">
        <f>SUM(AL159:AL189)</f>
        <v>12276.219999999998</v>
      </c>
      <c r="AM190" s="100">
        <f>SUM(AM159:AM189)</f>
        <v>0</v>
      </c>
      <c r="AN190" s="100">
        <f>SUM(AN159:AN189)</f>
        <v>0</v>
      </c>
      <c r="AO190" s="83"/>
      <c r="AP190" s="84">
        <f>SUM(AP159:AP189)</f>
        <v>0</v>
      </c>
      <c r="AQ190" s="85">
        <f>SUM(AQ159:AQ189)</f>
        <v>0</v>
      </c>
      <c r="AR190" s="85">
        <f>SUM(AR159:AR189)</f>
        <v>0</v>
      </c>
      <c r="AS190" s="85">
        <f>SUM(AS159:AS189)</f>
        <v>0</v>
      </c>
      <c r="AT190" s="86"/>
      <c r="AU190" s="86"/>
      <c r="AV190" s="105">
        <f>SUM(AV159:AV189)</f>
        <v>16805.280000000002</v>
      </c>
      <c r="AW190" s="105">
        <f>SUM(AW159:AW189)</f>
        <v>2100.1899999999996</v>
      </c>
      <c r="AX190" s="100">
        <f>SUM(AX159:AX189)</f>
        <v>0</v>
      </c>
      <c r="AY190" s="100">
        <f>SUM(AY159:AY189)</f>
        <v>957.59</v>
      </c>
      <c r="AZ190" s="83"/>
      <c r="BA190" s="84">
        <f>SUM(BA159:BA189)</f>
        <v>16972.236753000001</v>
      </c>
      <c r="BB190" s="85">
        <f>SUM(BB159:BB189)</f>
        <v>159.38385972057148</v>
      </c>
      <c r="BC190" s="85">
        <f>SUM(BC159:BC189)</f>
        <v>0</v>
      </c>
      <c r="BD190" s="85">
        <f>SUM(BD159:BD189)</f>
        <v>18089.21061272057</v>
      </c>
      <c r="BE190" s="86"/>
      <c r="BF190" s="86"/>
      <c r="BG190" s="105">
        <f>SUM(BG159:BG189)</f>
        <v>111808.00000000001</v>
      </c>
      <c r="BH190" s="105">
        <f>SUM(BH159:BH189)</f>
        <v>20032.010000000002</v>
      </c>
      <c r="BI190" s="100">
        <f>SUM(BI159:BI189)</f>
        <v>0</v>
      </c>
      <c r="BJ190" s="100">
        <f>SUM(BJ159:BJ189)</f>
        <v>56.58</v>
      </c>
      <c r="BK190" s="83"/>
      <c r="BL190" s="84">
        <f>SUM(BL159:BL189)</f>
        <v>11372.79752</v>
      </c>
      <c r="BM190" s="85">
        <f>SUM(BM159:BM189)</f>
        <v>1260.6056048436192</v>
      </c>
      <c r="BN190" s="85">
        <f>SUM(BN159:BN189)</f>
        <v>0</v>
      </c>
      <c r="BO190" s="85">
        <f>SUM(BO159:BO189)</f>
        <v>12689.983124843615</v>
      </c>
      <c r="BP190" s="86"/>
      <c r="BQ190" s="86"/>
      <c r="BR190" s="105">
        <f>SUM(BR159:BR189)</f>
        <v>10528.34</v>
      </c>
      <c r="BS190" s="105">
        <f>SUM(BS159:BS189)</f>
        <v>12334.620000000003</v>
      </c>
      <c r="BT190" s="100">
        <f>SUM(BT159:BT189)</f>
        <v>0</v>
      </c>
      <c r="BU190" s="100">
        <f>SUM(BU159:BU189)</f>
        <v>0</v>
      </c>
      <c r="BV190" s="83"/>
      <c r="BW190" s="84">
        <f>SUM(BW159:BW189)</f>
        <v>0</v>
      </c>
      <c r="BX190" s="85">
        <f>SUM(BX159:BX189)</f>
        <v>0</v>
      </c>
      <c r="BY190" s="85">
        <f>SUM(BY159:BY189)</f>
        <v>0</v>
      </c>
      <c r="BZ190" s="85">
        <f>SUM(BZ159:BZ189)</f>
        <v>0</v>
      </c>
      <c r="CA190" s="86"/>
      <c r="CB190" s="86"/>
      <c r="CC190" s="105">
        <f>SUM(CC159:CC189)</f>
        <v>603035.38</v>
      </c>
      <c r="CD190" s="105">
        <f>SUM(CD159:CD189)</f>
        <v>62567.75</v>
      </c>
      <c r="CE190" s="100">
        <f>SUM(CE159:CE189)</f>
        <v>0</v>
      </c>
      <c r="CF190" s="100">
        <f>SUM(CF159:CF189)</f>
        <v>0</v>
      </c>
      <c r="CG190" s="83"/>
      <c r="CH190" s="84">
        <f>SUM(CH159:CH189)</f>
        <v>0</v>
      </c>
      <c r="CI190" s="85">
        <f>SUM(CI159:CI189)</f>
        <v>0</v>
      </c>
      <c r="CJ190" s="85">
        <f>SUM(CJ159:CJ189)</f>
        <v>0</v>
      </c>
      <c r="CK190" s="85">
        <f>SUM(CK159:CK189)</f>
        <v>0</v>
      </c>
      <c r="CL190" s="86"/>
      <c r="CM190" s="86"/>
      <c r="CN190" s="105">
        <f>SUM(CN159:CN189)</f>
        <v>229672.43999999994</v>
      </c>
      <c r="CO190" s="105">
        <f>SUM(CO159:CO189)</f>
        <v>43871.960000000006</v>
      </c>
      <c r="CP190" s="100">
        <f>SUM(CP159:CP189)</f>
        <v>0</v>
      </c>
      <c r="CQ190" s="100">
        <f>SUM(CQ159:CQ189)</f>
        <v>0</v>
      </c>
      <c r="CR190" s="83"/>
      <c r="CS190" s="84">
        <f>SUM(CS159:CS189)</f>
        <v>2000.3267511946626</v>
      </c>
      <c r="CT190" s="85">
        <f>SUM(CT159:CT189)</f>
        <v>7101.1369167381426</v>
      </c>
      <c r="CU190" s="85">
        <f>SUM(CU159:CU189)</f>
        <v>0</v>
      </c>
      <c r="CV190" s="85">
        <f>SUM(CV159:CV189)</f>
        <v>9101.4636679328032</v>
      </c>
      <c r="CW190" s="86"/>
      <c r="CX190" s="86"/>
      <c r="CY190" s="105">
        <f>SUM(CY159:CY189)</f>
        <v>163966.00999999998</v>
      </c>
      <c r="CZ190" s="105">
        <f>SUM(CZ159:CZ189)</f>
        <v>59167.93</v>
      </c>
      <c r="DA190" s="100">
        <f>SUM(DA159:DA189)</f>
        <v>0</v>
      </c>
      <c r="DB190" s="100">
        <f>SUM(DB159:DB189)</f>
        <v>0</v>
      </c>
      <c r="DC190" s="83"/>
      <c r="DD190" s="84">
        <f>SUM(DD159:DD189)</f>
        <v>2535.212752999998</v>
      </c>
      <c r="DE190" s="85">
        <f>SUM(DE159:DE189)</f>
        <v>1757.971433184113</v>
      </c>
      <c r="DF190" s="85">
        <f>SUM(DF159:DF189)</f>
        <v>-3.4958438600000079</v>
      </c>
      <c r="DG190" s="85">
        <f>SUM(DG159:DG189)</f>
        <v>4289.6883423241125</v>
      </c>
      <c r="DH190" s="86"/>
      <c r="DI190" s="86"/>
      <c r="DJ190" s="105">
        <f>SUM(DJ159:DJ189)</f>
        <v>39234.780000000006</v>
      </c>
      <c r="DK190" s="105">
        <f>SUM(DK159:DK189)</f>
        <v>0</v>
      </c>
      <c r="DL190" s="100">
        <f>SUM(DL159:DL189)</f>
        <v>0</v>
      </c>
      <c r="DM190" s="100">
        <f>SUM(DM159:DM189)</f>
        <v>0</v>
      </c>
      <c r="DN190" s="83"/>
      <c r="DO190" s="84">
        <f>SUM(DO159:DO189)</f>
        <v>0</v>
      </c>
      <c r="DP190" s="85">
        <f>SUM(DP159:DP189)</f>
        <v>0</v>
      </c>
      <c r="DQ190" s="85">
        <f>SUM(DQ159:DQ189)</f>
        <v>0</v>
      </c>
      <c r="DR190" s="85">
        <f>SUM(DR159:DR189)</f>
        <v>0</v>
      </c>
      <c r="DS190" s="86"/>
      <c r="DT190" s="86"/>
      <c r="DU190" s="105">
        <f>SUM(DU159:DU189)</f>
        <v>42783.300000000017</v>
      </c>
      <c r="DV190" s="105">
        <f>SUM(DV159:DV189)</f>
        <v>8492.8700000000026</v>
      </c>
      <c r="DW190" s="100">
        <f>SUM(DW159:DW189)</f>
        <v>0</v>
      </c>
      <c r="DX190" s="100">
        <f>SUM(DX159:DX189)</f>
        <v>0</v>
      </c>
      <c r="DY190" s="83"/>
      <c r="DZ190" s="84">
        <f>SUM(DZ159:DZ189)</f>
        <v>5666.0989619999973</v>
      </c>
      <c r="EA190" s="85">
        <f>SUM(EA159:EA189)</f>
        <v>4322.1246805859073</v>
      </c>
      <c r="EB190" s="85">
        <f>SUM(EB159:EB189)</f>
        <v>0</v>
      </c>
      <c r="EC190" s="85">
        <f>SUM(EC159:EC189)</f>
        <v>9988.2236425859064</v>
      </c>
      <c r="ED190" s="86"/>
      <c r="EE190" s="86"/>
      <c r="EF190" s="105">
        <f>SUM(EF159:EF189)</f>
        <v>187314.67</v>
      </c>
      <c r="EG190" s="105">
        <f>SUM(EG159:EG189)</f>
        <v>43886.779999999984</v>
      </c>
      <c r="EH190" s="100">
        <f>SUM(EH159:EH189)</f>
        <v>0</v>
      </c>
      <c r="EI190" s="100">
        <f>SUM(EI159:EI189)</f>
        <v>3864.4500000000003</v>
      </c>
      <c r="EJ190" s="83"/>
      <c r="EK190" s="84">
        <f>SUM(EK159:EK189)</f>
        <v>145.16492000000002</v>
      </c>
      <c r="EL190" s="85">
        <f>SUM(EL159:EL189)</f>
        <v>0</v>
      </c>
      <c r="EM190" s="85">
        <f>SUM(EM159:EM189)</f>
        <v>0</v>
      </c>
      <c r="EN190" s="85">
        <f>SUM(EN159:EN189)</f>
        <v>4009.6149199999995</v>
      </c>
      <c r="EO190" s="86"/>
      <c r="EP190" s="86"/>
      <c r="EQ190" s="105">
        <f>SUM(EQ159:EQ189)</f>
        <v>16087.929999999997</v>
      </c>
      <c r="ER190" s="105">
        <f>SUM(ER159:ER189)</f>
        <v>12731.840000000004</v>
      </c>
      <c r="ES190" s="100">
        <f>SUM(ES159:ES189)</f>
        <v>0</v>
      </c>
      <c r="ET190" s="100">
        <f>SUM(ET159:ET189)</f>
        <v>0</v>
      </c>
      <c r="EV190" s="84">
        <f>SUM(EV159:EV189)</f>
        <v>0</v>
      </c>
      <c r="EW190" s="85">
        <f>SUM(EW159:EW189)</f>
        <v>0</v>
      </c>
      <c r="EX190" s="85">
        <f>SUM(EX159:EX189)</f>
        <v>0</v>
      </c>
      <c r="EY190" s="85">
        <f>SUM(EY159:EY189)</f>
        <v>0</v>
      </c>
      <c r="FA190" s="442"/>
    </row>
    <row r="191" spans="2:157" hidden="1" x14ac:dyDescent="0.25"/>
    <row r="192" spans="2:157" hidden="1" x14ac:dyDescent="0.25"/>
    <row r="193" spans="2:155" ht="21" hidden="1" x14ac:dyDescent="0.35">
      <c r="C193" s="1" t="s">
        <v>0</v>
      </c>
      <c r="O193" s="1" t="s">
        <v>1</v>
      </c>
      <c r="AA193" s="1" t="s">
        <v>2</v>
      </c>
      <c r="AL193" s="1" t="s">
        <v>3</v>
      </c>
      <c r="AW193" s="1" t="s">
        <v>4</v>
      </c>
      <c r="BH193" s="1" t="s">
        <v>5</v>
      </c>
      <c r="BS193" s="1" t="s">
        <v>6</v>
      </c>
      <c r="CD193" s="1" t="s">
        <v>7</v>
      </c>
      <c r="CO193" s="1" t="s">
        <v>8</v>
      </c>
      <c r="CZ193" s="1" t="s">
        <v>9</v>
      </c>
      <c r="DK193" s="1" t="s">
        <v>10</v>
      </c>
      <c r="DV193" s="1" t="s">
        <v>11</v>
      </c>
      <c r="EG193" s="1" t="s">
        <v>12</v>
      </c>
      <c r="ER193" s="1" t="s">
        <v>13</v>
      </c>
    </row>
    <row r="194" spans="2:155" ht="15.75" hidden="1" thickBot="1" x14ac:dyDescent="0.3"/>
    <row r="195" spans="2:155" hidden="1" x14ac:dyDescent="0.25">
      <c r="B195" s="2" t="s">
        <v>14</v>
      </c>
      <c r="C195" s="3" t="s">
        <v>15</v>
      </c>
      <c r="D195" s="4" t="s">
        <v>15</v>
      </c>
      <c r="E195" s="4" t="s">
        <v>15</v>
      </c>
      <c r="F195" s="5" t="s">
        <v>16</v>
      </c>
      <c r="G195" s="5" t="s">
        <v>16</v>
      </c>
      <c r="H195" s="6"/>
      <c r="I195" s="7" t="s">
        <v>16</v>
      </c>
      <c r="J195" s="8" t="s">
        <v>16</v>
      </c>
      <c r="K195" s="9" t="s">
        <v>16</v>
      </c>
      <c r="L195" s="10" t="s">
        <v>17</v>
      </c>
      <c r="N195" s="2" t="s">
        <v>14</v>
      </c>
      <c r="O195" s="3" t="s">
        <v>15</v>
      </c>
      <c r="P195" s="4" t="s">
        <v>15</v>
      </c>
      <c r="Q195" s="5" t="s">
        <v>16</v>
      </c>
      <c r="R195" s="11" t="s">
        <v>16</v>
      </c>
      <c r="S195" s="6"/>
      <c r="T195" s="7" t="s">
        <v>16</v>
      </c>
      <c r="U195" s="8" t="s">
        <v>16</v>
      </c>
      <c r="V195" s="9" t="s">
        <v>16</v>
      </c>
      <c r="W195" s="10" t="s">
        <v>17</v>
      </c>
      <c r="Y195" s="2" t="s">
        <v>14</v>
      </c>
      <c r="Z195" s="3" t="s">
        <v>15</v>
      </c>
      <c r="AA195" s="4" t="s">
        <v>15</v>
      </c>
      <c r="AB195" s="4" t="s">
        <v>16</v>
      </c>
      <c r="AC195" s="11" t="s">
        <v>16</v>
      </c>
      <c r="AD195" s="6"/>
      <c r="AE195" s="7" t="s">
        <v>16</v>
      </c>
      <c r="AF195" s="8" t="s">
        <v>16</v>
      </c>
      <c r="AG195" s="9" t="s">
        <v>16</v>
      </c>
      <c r="AH195" s="10" t="s">
        <v>17</v>
      </c>
      <c r="AJ195" s="2" t="s">
        <v>14</v>
      </c>
      <c r="AK195" s="3" t="s">
        <v>15</v>
      </c>
      <c r="AL195" s="4" t="s">
        <v>15</v>
      </c>
      <c r="AM195" s="5" t="s">
        <v>16</v>
      </c>
      <c r="AN195" s="11" t="s">
        <v>16</v>
      </c>
      <c r="AO195" s="6"/>
      <c r="AP195" s="7" t="s">
        <v>16</v>
      </c>
      <c r="AQ195" s="8" t="s">
        <v>16</v>
      </c>
      <c r="AR195" s="9" t="s">
        <v>16</v>
      </c>
      <c r="AS195" s="10" t="s">
        <v>17</v>
      </c>
      <c r="AU195" s="2" t="s">
        <v>14</v>
      </c>
      <c r="AV195" s="3" t="s">
        <v>15</v>
      </c>
      <c r="AW195" s="4" t="s">
        <v>15</v>
      </c>
      <c r="AX195" s="5" t="s">
        <v>16</v>
      </c>
      <c r="AY195" s="11" t="s">
        <v>16</v>
      </c>
      <c r="AZ195" s="6"/>
      <c r="BA195" s="7" t="s">
        <v>16</v>
      </c>
      <c r="BB195" s="8" t="s">
        <v>16</v>
      </c>
      <c r="BC195" s="9" t="s">
        <v>16</v>
      </c>
      <c r="BD195" s="10" t="s">
        <v>17</v>
      </c>
      <c r="BF195" s="2" t="s">
        <v>14</v>
      </c>
      <c r="BG195" s="3" t="s">
        <v>15</v>
      </c>
      <c r="BH195" s="4" t="s">
        <v>15</v>
      </c>
      <c r="BI195" s="5" t="s">
        <v>16</v>
      </c>
      <c r="BJ195" s="11" t="s">
        <v>16</v>
      </c>
      <c r="BK195" s="6"/>
      <c r="BL195" s="7" t="s">
        <v>16</v>
      </c>
      <c r="BM195" s="8" t="s">
        <v>16</v>
      </c>
      <c r="BN195" s="9" t="s">
        <v>16</v>
      </c>
      <c r="BO195" s="10" t="s">
        <v>17</v>
      </c>
      <c r="BQ195" s="2" t="s">
        <v>14</v>
      </c>
      <c r="BR195" s="3" t="s">
        <v>15</v>
      </c>
      <c r="BS195" s="4" t="s">
        <v>15</v>
      </c>
      <c r="BT195" s="5" t="s">
        <v>16</v>
      </c>
      <c r="BU195" s="11" t="s">
        <v>16</v>
      </c>
      <c r="BV195" s="6"/>
      <c r="BW195" s="7" t="s">
        <v>16</v>
      </c>
      <c r="BX195" s="8" t="s">
        <v>16</v>
      </c>
      <c r="BY195" s="9" t="s">
        <v>16</v>
      </c>
      <c r="BZ195" s="10" t="s">
        <v>17</v>
      </c>
      <c r="CB195" s="2" t="s">
        <v>14</v>
      </c>
      <c r="CC195" s="3" t="s">
        <v>15</v>
      </c>
      <c r="CD195" s="4" t="s">
        <v>15</v>
      </c>
      <c r="CE195" s="5" t="s">
        <v>16</v>
      </c>
      <c r="CF195" s="5" t="s">
        <v>16</v>
      </c>
      <c r="CG195" s="6"/>
      <c r="CH195" s="7" t="s">
        <v>16</v>
      </c>
      <c r="CI195" s="8" t="s">
        <v>16</v>
      </c>
      <c r="CJ195" s="9" t="s">
        <v>16</v>
      </c>
      <c r="CK195" s="10" t="s">
        <v>17</v>
      </c>
      <c r="CM195" s="2" t="s">
        <v>14</v>
      </c>
      <c r="CN195" s="3" t="s">
        <v>15</v>
      </c>
      <c r="CO195" s="4" t="s">
        <v>15</v>
      </c>
      <c r="CP195" s="5" t="s">
        <v>16</v>
      </c>
      <c r="CQ195" s="11" t="s">
        <v>16</v>
      </c>
      <c r="CR195" s="6"/>
      <c r="CS195" s="7" t="s">
        <v>16</v>
      </c>
      <c r="CT195" s="8" t="s">
        <v>16</v>
      </c>
      <c r="CU195" s="9" t="s">
        <v>16</v>
      </c>
      <c r="CV195" s="10" t="s">
        <v>17</v>
      </c>
      <c r="CX195" s="2" t="s">
        <v>14</v>
      </c>
      <c r="CY195" s="3" t="s">
        <v>15</v>
      </c>
      <c r="CZ195" s="4" t="s">
        <v>15</v>
      </c>
      <c r="DA195" s="5" t="s">
        <v>16</v>
      </c>
      <c r="DB195" s="11" t="s">
        <v>16</v>
      </c>
      <c r="DC195" s="6"/>
      <c r="DD195" s="7" t="s">
        <v>16</v>
      </c>
      <c r="DE195" s="8" t="s">
        <v>16</v>
      </c>
      <c r="DF195" s="9" t="s">
        <v>16</v>
      </c>
      <c r="DG195" s="10" t="s">
        <v>17</v>
      </c>
      <c r="DI195" s="2" t="s">
        <v>14</v>
      </c>
      <c r="DJ195" s="3" t="s">
        <v>15</v>
      </c>
      <c r="DK195" s="4" t="s">
        <v>15</v>
      </c>
      <c r="DL195" s="5" t="s">
        <v>16</v>
      </c>
      <c r="DM195" s="11" t="s">
        <v>16</v>
      </c>
      <c r="DN195" s="6"/>
      <c r="DO195" s="7" t="s">
        <v>16</v>
      </c>
      <c r="DP195" s="8" t="s">
        <v>16</v>
      </c>
      <c r="DQ195" s="9" t="s">
        <v>16</v>
      </c>
      <c r="DR195" s="10" t="s">
        <v>17</v>
      </c>
      <c r="DT195" s="2" t="s">
        <v>14</v>
      </c>
      <c r="DU195" s="3" t="s">
        <v>15</v>
      </c>
      <c r="DV195" s="4" t="s">
        <v>15</v>
      </c>
      <c r="DW195" s="5" t="s">
        <v>16</v>
      </c>
      <c r="DX195" s="11" t="s">
        <v>16</v>
      </c>
      <c r="DY195" s="6"/>
      <c r="DZ195" s="7" t="s">
        <v>16</v>
      </c>
      <c r="EA195" s="8" t="s">
        <v>16</v>
      </c>
      <c r="EB195" s="9" t="s">
        <v>16</v>
      </c>
      <c r="EC195" s="10" t="s">
        <v>17</v>
      </c>
      <c r="EE195" s="2" t="s">
        <v>14</v>
      </c>
      <c r="EF195" s="3" t="s">
        <v>15</v>
      </c>
      <c r="EG195" s="4" t="s">
        <v>15</v>
      </c>
      <c r="EH195" s="5" t="s">
        <v>16</v>
      </c>
      <c r="EI195" s="11" t="s">
        <v>16</v>
      </c>
      <c r="EJ195" s="6"/>
      <c r="EK195" s="7" t="s">
        <v>16</v>
      </c>
      <c r="EL195" s="8" t="s">
        <v>16</v>
      </c>
      <c r="EM195" s="9" t="s">
        <v>16</v>
      </c>
      <c r="EN195" s="10" t="s">
        <v>17</v>
      </c>
      <c r="EP195" s="2" t="s">
        <v>14</v>
      </c>
      <c r="EQ195" s="3" t="s">
        <v>15</v>
      </c>
      <c r="ER195" s="4" t="s">
        <v>15</v>
      </c>
      <c r="ES195" s="5" t="s">
        <v>16</v>
      </c>
      <c r="ET195" s="11" t="s">
        <v>16</v>
      </c>
      <c r="EV195" s="7" t="s">
        <v>16</v>
      </c>
      <c r="EW195" s="8" t="s">
        <v>16</v>
      </c>
      <c r="EX195" s="9" t="s">
        <v>16</v>
      </c>
      <c r="EY195" s="10" t="s">
        <v>17</v>
      </c>
    </row>
    <row r="196" spans="2:155" ht="15.75" hidden="1" thickBot="1" x14ac:dyDescent="0.3">
      <c r="B196" s="87"/>
      <c r="C196" s="13" t="s">
        <v>18</v>
      </c>
      <c r="D196" s="14" t="s">
        <v>19</v>
      </c>
      <c r="E196" s="14" t="s">
        <v>20</v>
      </c>
      <c r="F196" s="15" t="s">
        <v>20</v>
      </c>
      <c r="G196" s="15" t="s">
        <v>27</v>
      </c>
      <c r="H196" s="6"/>
      <c r="I196" s="16" t="s">
        <v>21</v>
      </c>
      <c r="J196" s="17" t="s">
        <v>22</v>
      </c>
      <c r="K196" s="18" t="s">
        <v>23</v>
      </c>
      <c r="L196" s="19" t="s">
        <v>24</v>
      </c>
      <c r="N196" s="12"/>
      <c r="O196" s="13" t="s">
        <v>18</v>
      </c>
      <c r="P196" s="14" t="s">
        <v>19</v>
      </c>
      <c r="Q196" s="15" t="s">
        <v>19</v>
      </c>
      <c r="R196" s="20" t="s">
        <v>25</v>
      </c>
      <c r="S196" s="6"/>
      <c r="T196" s="16" t="s">
        <v>21</v>
      </c>
      <c r="U196" s="17" t="s">
        <v>22</v>
      </c>
      <c r="V196" s="18" t="s">
        <v>23</v>
      </c>
      <c r="W196" s="19" t="s">
        <v>24</v>
      </c>
      <c r="Y196" s="12"/>
      <c r="Z196" s="13" t="s">
        <v>18</v>
      </c>
      <c r="AA196" s="14" t="s">
        <v>19</v>
      </c>
      <c r="AB196" s="14" t="s">
        <v>19</v>
      </c>
      <c r="AC196" s="20" t="s">
        <v>25</v>
      </c>
      <c r="AD196" s="6"/>
      <c r="AE196" s="16" t="s">
        <v>21</v>
      </c>
      <c r="AF196" s="17" t="s">
        <v>22</v>
      </c>
      <c r="AG196" s="18" t="s">
        <v>23</v>
      </c>
      <c r="AH196" s="21" t="s">
        <v>24</v>
      </c>
      <c r="AJ196" s="12"/>
      <c r="AK196" s="13" t="s">
        <v>18</v>
      </c>
      <c r="AL196" s="14" t="s">
        <v>19</v>
      </c>
      <c r="AM196" s="15" t="s">
        <v>19</v>
      </c>
      <c r="AN196" s="20" t="s">
        <v>25</v>
      </c>
      <c r="AO196" s="6"/>
      <c r="AP196" s="16" t="s">
        <v>21</v>
      </c>
      <c r="AQ196" s="17" t="s">
        <v>22</v>
      </c>
      <c r="AR196" s="18" t="s">
        <v>23</v>
      </c>
      <c r="AS196" s="21" t="s">
        <v>24</v>
      </c>
      <c r="AU196" s="12"/>
      <c r="AV196" s="13" t="s">
        <v>18</v>
      </c>
      <c r="AW196" s="14" t="s">
        <v>19</v>
      </c>
      <c r="AX196" s="15" t="s">
        <v>19</v>
      </c>
      <c r="AY196" s="20" t="s">
        <v>25</v>
      </c>
      <c r="AZ196" s="6"/>
      <c r="BA196" s="16" t="s">
        <v>21</v>
      </c>
      <c r="BB196" s="17" t="s">
        <v>22</v>
      </c>
      <c r="BC196" s="18" t="s">
        <v>23</v>
      </c>
      <c r="BD196" s="21" t="s">
        <v>24</v>
      </c>
      <c r="BF196" s="12"/>
      <c r="BG196" s="13" t="s">
        <v>18</v>
      </c>
      <c r="BH196" s="14" t="s">
        <v>19</v>
      </c>
      <c r="BI196" s="15" t="s">
        <v>19</v>
      </c>
      <c r="BJ196" s="20" t="s">
        <v>25</v>
      </c>
      <c r="BK196" s="6"/>
      <c r="BL196" s="16" t="s">
        <v>21</v>
      </c>
      <c r="BM196" s="17" t="s">
        <v>22</v>
      </c>
      <c r="BN196" s="18" t="s">
        <v>23</v>
      </c>
      <c r="BO196" s="21" t="s">
        <v>24</v>
      </c>
      <c r="BQ196" s="12"/>
      <c r="BR196" s="13" t="s">
        <v>18</v>
      </c>
      <c r="BS196" s="14" t="s">
        <v>19</v>
      </c>
      <c r="BT196" s="15" t="s">
        <v>19</v>
      </c>
      <c r="BU196" s="20" t="s">
        <v>25</v>
      </c>
      <c r="BV196" s="6"/>
      <c r="BW196" s="16" t="s">
        <v>21</v>
      </c>
      <c r="BX196" s="17" t="s">
        <v>22</v>
      </c>
      <c r="BY196" s="18" t="s">
        <v>23</v>
      </c>
      <c r="BZ196" s="21" t="s">
        <v>24</v>
      </c>
      <c r="CB196" s="12"/>
      <c r="CC196" s="13" t="s">
        <v>18</v>
      </c>
      <c r="CD196" s="14" t="s">
        <v>19</v>
      </c>
      <c r="CE196" s="15" t="s">
        <v>19</v>
      </c>
      <c r="CF196" s="15" t="s">
        <v>25</v>
      </c>
      <c r="CG196" s="6"/>
      <c r="CH196" s="16" t="s">
        <v>21</v>
      </c>
      <c r="CI196" s="17" t="s">
        <v>22</v>
      </c>
      <c r="CJ196" s="18" t="s">
        <v>23</v>
      </c>
      <c r="CK196" s="21" t="s">
        <v>24</v>
      </c>
      <c r="CM196" s="12"/>
      <c r="CN196" s="13" t="s">
        <v>18</v>
      </c>
      <c r="CO196" s="14" t="s">
        <v>19</v>
      </c>
      <c r="CP196" s="15" t="s">
        <v>19</v>
      </c>
      <c r="CQ196" s="20" t="s">
        <v>25</v>
      </c>
      <c r="CR196" s="6"/>
      <c r="CS196" s="16" t="s">
        <v>21</v>
      </c>
      <c r="CT196" s="17" t="s">
        <v>22</v>
      </c>
      <c r="CU196" s="18" t="s">
        <v>23</v>
      </c>
      <c r="CV196" s="21" t="s">
        <v>24</v>
      </c>
      <c r="CX196" s="12"/>
      <c r="CY196" s="13" t="s">
        <v>18</v>
      </c>
      <c r="CZ196" s="14" t="s">
        <v>19</v>
      </c>
      <c r="DA196" s="15" t="s">
        <v>19</v>
      </c>
      <c r="DB196" s="20" t="s">
        <v>25</v>
      </c>
      <c r="DC196" s="6"/>
      <c r="DD196" s="16" t="s">
        <v>21</v>
      </c>
      <c r="DE196" s="17" t="s">
        <v>22</v>
      </c>
      <c r="DF196" s="18" t="s">
        <v>23</v>
      </c>
      <c r="DG196" s="21" t="s">
        <v>24</v>
      </c>
      <c r="DI196" s="12"/>
      <c r="DJ196" s="13" t="s">
        <v>18</v>
      </c>
      <c r="DK196" s="14" t="s">
        <v>19</v>
      </c>
      <c r="DL196" s="15" t="s">
        <v>19</v>
      </c>
      <c r="DM196" s="20" t="s">
        <v>25</v>
      </c>
      <c r="DN196" s="6"/>
      <c r="DO196" s="16" t="s">
        <v>21</v>
      </c>
      <c r="DP196" s="17" t="s">
        <v>22</v>
      </c>
      <c r="DQ196" s="18" t="s">
        <v>23</v>
      </c>
      <c r="DR196" s="21" t="s">
        <v>24</v>
      </c>
      <c r="DT196" s="12"/>
      <c r="DU196" s="13" t="s">
        <v>18</v>
      </c>
      <c r="DV196" s="14" t="s">
        <v>19</v>
      </c>
      <c r="DW196" s="15" t="s">
        <v>19</v>
      </c>
      <c r="DX196" s="20" t="s">
        <v>25</v>
      </c>
      <c r="DY196" s="6"/>
      <c r="DZ196" s="16" t="s">
        <v>21</v>
      </c>
      <c r="EA196" s="17" t="s">
        <v>22</v>
      </c>
      <c r="EB196" s="18" t="s">
        <v>23</v>
      </c>
      <c r="EC196" s="21" t="s">
        <v>24</v>
      </c>
      <c r="EE196" s="12"/>
      <c r="EF196" s="13" t="s">
        <v>18</v>
      </c>
      <c r="EG196" s="14" t="s">
        <v>19</v>
      </c>
      <c r="EH196" s="15" t="s">
        <v>19</v>
      </c>
      <c r="EI196" s="20" t="s">
        <v>25</v>
      </c>
      <c r="EJ196" s="6"/>
      <c r="EK196" s="16" t="s">
        <v>21</v>
      </c>
      <c r="EL196" s="17" t="s">
        <v>22</v>
      </c>
      <c r="EM196" s="18" t="s">
        <v>23</v>
      </c>
      <c r="EN196" s="21" t="s">
        <v>24</v>
      </c>
      <c r="EP196" s="12"/>
      <c r="EQ196" s="13" t="s">
        <v>18</v>
      </c>
      <c r="ER196" s="14" t="s">
        <v>19</v>
      </c>
      <c r="ES196" s="15" t="s">
        <v>19</v>
      </c>
      <c r="ET196" s="20" t="s">
        <v>25</v>
      </c>
      <c r="EV196" s="16" t="s">
        <v>21</v>
      </c>
      <c r="EW196" s="17" t="s">
        <v>22</v>
      </c>
      <c r="EX196" s="18" t="s">
        <v>23</v>
      </c>
      <c r="EY196" s="21" t="s">
        <v>24</v>
      </c>
    </row>
    <row r="197" spans="2:155" hidden="1" x14ac:dyDescent="0.25">
      <c r="B197" s="22">
        <v>46054</v>
      </c>
      <c r="C197" s="23">
        <v>13197.63</v>
      </c>
      <c r="D197" s="24">
        <v>2578.6</v>
      </c>
      <c r="E197" s="25">
        <v>2398.7399999999998</v>
      </c>
      <c r="F197" s="26">
        <v>374.29</v>
      </c>
      <c r="G197" s="101"/>
      <c r="H197" s="27"/>
      <c r="I197" s="28"/>
      <c r="J197" s="29"/>
      <c r="K197" s="30"/>
      <c r="L197" s="30">
        <f>SUM(G197:K197)</f>
        <v>0</v>
      </c>
      <c r="N197" s="22">
        <f>+B197</f>
        <v>46054</v>
      </c>
      <c r="O197" s="31">
        <v>2007.87</v>
      </c>
      <c r="P197" s="31">
        <v>673.45</v>
      </c>
      <c r="Q197" s="36"/>
      <c r="R197" s="26"/>
      <c r="S197" s="27"/>
      <c r="T197" s="239">
        <v>121.38207000000003</v>
      </c>
      <c r="U197" s="29"/>
      <c r="V197" s="29"/>
      <c r="W197" s="30">
        <f>SUM(R197:V197)</f>
        <v>121.38207000000003</v>
      </c>
      <c r="Y197" s="22">
        <f>+N197</f>
        <v>46054</v>
      </c>
      <c r="Z197" s="34">
        <v>4593.67</v>
      </c>
      <c r="AA197" s="35">
        <v>2116.35</v>
      </c>
      <c r="AB197" s="43"/>
      <c r="AC197" s="37">
        <v>68.8</v>
      </c>
      <c r="AD197" s="27"/>
      <c r="AE197" s="239">
        <v>31.078739999999982</v>
      </c>
      <c r="AF197" s="29"/>
      <c r="AG197" s="29"/>
      <c r="AH197" s="30">
        <f>SUM(AC197:AG197)</f>
        <v>99.878739999999979</v>
      </c>
      <c r="AJ197" s="22">
        <f>+Y197</f>
        <v>46054</v>
      </c>
      <c r="AK197" s="34">
        <v>2729.31</v>
      </c>
      <c r="AL197" s="35">
        <v>564.59</v>
      </c>
      <c r="AM197" s="36"/>
      <c r="AN197" s="36"/>
      <c r="AO197" s="27"/>
      <c r="AP197" s="28"/>
      <c r="AQ197" s="29"/>
      <c r="AR197" s="29"/>
      <c r="AS197" s="30">
        <f>SUM(AN197:AR197)</f>
        <v>0</v>
      </c>
      <c r="AU197" s="22">
        <f>+AJ197</f>
        <v>46054</v>
      </c>
      <c r="AV197" s="39">
        <v>730.02</v>
      </c>
      <c r="AW197" s="39">
        <v>44</v>
      </c>
      <c r="AX197" s="36"/>
      <c r="AY197" s="37"/>
      <c r="AZ197" s="27"/>
      <c r="BA197" s="239">
        <v>542.49087300000019</v>
      </c>
      <c r="BB197" s="29"/>
      <c r="BC197" s="29"/>
      <c r="BD197" s="30">
        <f>SUM(AY197:BC197)</f>
        <v>542.49087300000019</v>
      </c>
      <c r="BF197" s="22">
        <f>+AU197</f>
        <v>46054</v>
      </c>
      <c r="BG197" s="34">
        <v>3199.64</v>
      </c>
      <c r="BH197" s="35">
        <v>539.76</v>
      </c>
      <c r="BI197" s="36"/>
      <c r="BJ197" s="37"/>
      <c r="BK197" s="27"/>
      <c r="BL197" s="239">
        <v>373.9346799999999</v>
      </c>
      <c r="BM197" s="29">
        <v>73.888960048476235</v>
      </c>
      <c r="BN197" s="29"/>
      <c r="BO197" s="30">
        <f>SUM(BJ197:BN197)</f>
        <v>447.82364004847614</v>
      </c>
      <c r="BQ197" s="22">
        <f>+BF197</f>
        <v>46054</v>
      </c>
      <c r="BR197" s="35">
        <v>60</v>
      </c>
      <c r="BS197" s="35">
        <v>156.1</v>
      </c>
      <c r="BT197" s="36"/>
      <c r="BU197" s="114"/>
      <c r="BV197" s="27"/>
      <c r="BW197" s="28"/>
      <c r="BX197" s="29"/>
      <c r="BY197" s="29"/>
      <c r="BZ197" s="30">
        <f>SUM(BU197:BY197)</f>
        <v>0</v>
      </c>
      <c r="CB197" s="22">
        <f>+BQ197</f>
        <v>46054</v>
      </c>
      <c r="CC197" s="34">
        <v>21140.240000000002</v>
      </c>
      <c r="CD197" s="35">
        <v>1957.35</v>
      </c>
      <c r="CE197" s="36"/>
      <c r="CF197" s="116"/>
      <c r="CG197" s="27"/>
      <c r="CH197" s="28"/>
      <c r="CI197" s="29"/>
      <c r="CJ197" s="29"/>
      <c r="CK197" s="30">
        <f>SUM(CF197:CJ197)</f>
        <v>0</v>
      </c>
      <c r="CM197" s="22">
        <f>+CB197</f>
        <v>46054</v>
      </c>
      <c r="CN197" s="34">
        <v>4689.7</v>
      </c>
      <c r="CO197" s="35">
        <v>1222.46</v>
      </c>
      <c r="CP197" s="36"/>
      <c r="CQ197" s="41"/>
      <c r="CR197" s="27"/>
      <c r="CS197" s="239"/>
      <c r="CT197" s="30">
        <v>441.59830800038071</v>
      </c>
      <c r="CU197" s="30"/>
      <c r="CV197" s="30">
        <f>SUM(CQ197:CU197)</f>
        <v>441.59830800038071</v>
      </c>
      <c r="CX197" s="22">
        <f>+CM197</f>
        <v>46054</v>
      </c>
      <c r="CY197" s="34">
        <v>5735.59</v>
      </c>
      <c r="CZ197" s="35">
        <v>2535.42</v>
      </c>
      <c r="DA197" s="36"/>
      <c r="DB197" s="37"/>
      <c r="DC197" s="27"/>
      <c r="DD197" s="239">
        <v>34.542623999999989</v>
      </c>
      <c r="DE197" s="30">
        <v>47.22682455114284</v>
      </c>
      <c r="DF197" s="30"/>
      <c r="DG197" s="30">
        <f>SUM(DB197:DF197)</f>
        <v>81.76944855114283</v>
      </c>
      <c r="DI197" s="22">
        <f>+CX197</f>
        <v>46054</v>
      </c>
      <c r="DJ197" s="34">
        <v>1020.13</v>
      </c>
      <c r="DK197" s="43"/>
      <c r="DL197" s="36"/>
      <c r="DM197" s="41"/>
      <c r="DN197" s="27"/>
      <c r="DO197" s="28"/>
      <c r="DP197" s="29"/>
      <c r="DQ197" s="29"/>
      <c r="DR197" s="30">
        <f>SUM(DM197:DQ197)</f>
        <v>0</v>
      </c>
      <c r="DT197" s="22">
        <f>+DI197</f>
        <v>46054</v>
      </c>
      <c r="DU197" s="34">
        <v>1133.19</v>
      </c>
      <c r="DV197" s="35">
        <v>278.64999999999998</v>
      </c>
      <c r="DW197" s="36"/>
      <c r="DX197" s="41"/>
      <c r="DY197" s="27"/>
      <c r="DZ197" s="28">
        <v>39.299999999999983</v>
      </c>
      <c r="EA197" s="29"/>
      <c r="EB197" s="29"/>
      <c r="EC197" s="30">
        <f>SUM(DX197:EB197)</f>
        <v>39.299999999999983</v>
      </c>
      <c r="EE197" s="22">
        <f>+DT197</f>
        <v>46054</v>
      </c>
      <c r="EF197" s="34">
        <v>3769.44</v>
      </c>
      <c r="EG197" s="35">
        <v>971.21</v>
      </c>
      <c r="EH197" s="36"/>
      <c r="EI197" s="37">
        <v>70.290000000000006</v>
      </c>
      <c r="EJ197" s="27"/>
      <c r="EK197" s="28"/>
      <c r="EL197" s="29"/>
      <c r="EM197" s="29"/>
      <c r="EN197" s="30">
        <f>SUM(EI197:EM197)</f>
        <v>70.290000000000006</v>
      </c>
      <c r="EP197" s="22">
        <f>+EE197</f>
        <v>46054</v>
      </c>
      <c r="EQ197" s="45">
        <v>555.61</v>
      </c>
      <c r="ER197" s="46">
        <v>349.39</v>
      </c>
      <c r="ES197" s="36"/>
      <c r="ET197" s="37"/>
      <c r="EV197" s="28"/>
      <c r="EW197" s="29"/>
      <c r="EX197" s="29"/>
      <c r="EY197" s="53">
        <f>SUM(ET197:EX197)</f>
        <v>0</v>
      </c>
    </row>
    <row r="198" spans="2:155" hidden="1" x14ac:dyDescent="0.25">
      <c r="B198" s="47">
        <v>46055</v>
      </c>
      <c r="C198" s="48">
        <v>17044.96</v>
      </c>
      <c r="D198" s="49">
        <v>2484.12</v>
      </c>
      <c r="E198" s="50">
        <v>3574.25</v>
      </c>
      <c r="F198" s="49">
        <v>674.82</v>
      </c>
      <c r="G198" s="50"/>
      <c r="H198" s="27"/>
      <c r="I198" s="51"/>
      <c r="J198" s="52"/>
      <c r="K198" s="53"/>
      <c r="L198" s="53">
        <f t="shared" ref="L198:L224" si="124">SUM(G198:K198)</f>
        <v>0</v>
      </c>
      <c r="N198" s="47">
        <f>+B198</f>
        <v>46055</v>
      </c>
      <c r="O198" s="54">
        <v>1975.37</v>
      </c>
      <c r="P198" s="54">
        <v>668.63</v>
      </c>
      <c r="Q198" s="58"/>
      <c r="R198" s="55"/>
      <c r="S198" s="27"/>
      <c r="T198" s="240">
        <v>494.84128000000004</v>
      </c>
      <c r="U198" s="52"/>
      <c r="V198" s="52"/>
      <c r="W198" s="53">
        <f t="shared" ref="W198:W224" si="125">SUM(R198:V198)</f>
        <v>494.84128000000004</v>
      </c>
      <c r="Y198" s="47">
        <f>+N198</f>
        <v>46055</v>
      </c>
      <c r="Z198" s="56">
        <v>4205.88</v>
      </c>
      <c r="AA198" s="57">
        <v>1413.53</v>
      </c>
      <c r="AB198" s="63"/>
      <c r="AC198" s="59">
        <v>277.64999999999998</v>
      </c>
      <c r="AD198" s="27"/>
      <c r="AE198" s="240">
        <v>133.73414999999994</v>
      </c>
      <c r="AF198" s="52"/>
      <c r="AG198" s="52"/>
      <c r="AH198" s="53">
        <f t="shared" ref="AH198:AH224" si="126">SUM(AC198:AG198)</f>
        <v>411.38414999999992</v>
      </c>
      <c r="AJ198" s="47">
        <f>+Y198</f>
        <v>46055</v>
      </c>
      <c r="AK198" s="56">
        <v>2450.25</v>
      </c>
      <c r="AL198" s="57">
        <v>355.05</v>
      </c>
      <c r="AM198" s="58"/>
      <c r="AN198" s="58"/>
      <c r="AO198" s="27"/>
      <c r="AP198" s="51"/>
      <c r="AQ198" s="52"/>
      <c r="AR198" s="52"/>
      <c r="AS198" s="53">
        <f t="shared" ref="AS198:AS224" si="127">SUM(AN198:AR198)</f>
        <v>0</v>
      </c>
      <c r="AU198" s="113">
        <f>+AJ198</f>
        <v>46055</v>
      </c>
      <c r="AV198" s="57">
        <v>542.32000000000005</v>
      </c>
      <c r="AW198" s="57">
        <v>0</v>
      </c>
      <c r="AX198" s="58"/>
      <c r="AY198" s="59">
        <v>72</v>
      </c>
      <c r="AZ198" s="27"/>
      <c r="BA198" s="240">
        <v>356.13426200000009</v>
      </c>
      <c r="BB198" s="52"/>
      <c r="BC198" s="52"/>
      <c r="BD198" s="53">
        <f t="shared" ref="BD198:BD224" si="128">SUM(AY198:BC198)</f>
        <v>428.13426200000009</v>
      </c>
      <c r="BF198" s="47">
        <f>+AU198</f>
        <v>46055</v>
      </c>
      <c r="BG198" s="56">
        <v>3552.36</v>
      </c>
      <c r="BH198" s="57">
        <v>615.94000000000005</v>
      </c>
      <c r="BI198" s="58"/>
      <c r="BJ198" s="59"/>
      <c r="BK198" s="27"/>
      <c r="BL198" s="240">
        <v>285.75382999999988</v>
      </c>
      <c r="BM198" s="52">
        <v>35.330322262857131</v>
      </c>
      <c r="BN198" s="52"/>
      <c r="BO198" s="53">
        <f t="shared" ref="BO198:BO224" si="129">SUM(BJ198:BN198)</f>
        <v>321.084152262857</v>
      </c>
      <c r="BQ198" s="47">
        <f>+BF198</f>
        <v>46055</v>
      </c>
      <c r="BR198" s="57">
        <v>300.72000000000003</v>
      </c>
      <c r="BS198" s="57">
        <v>356.1</v>
      </c>
      <c r="BT198" s="58"/>
      <c r="BU198" s="61"/>
      <c r="BV198" s="27"/>
      <c r="BW198" s="51"/>
      <c r="BX198" s="52"/>
      <c r="BY198" s="52"/>
      <c r="BZ198" s="53">
        <f t="shared" ref="BZ198:BZ224" si="130">SUM(BU198:BY198)</f>
        <v>0</v>
      </c>
      <c r="CB198" s="47">
        <f>+BQ198</f>
        <v>46055</v>
      </c>
      <c r="CC198" s="56">
        <v>19782.78</v>
      </c>
      <c r="CD198" s="57">
        <v>2187.64</v>
      </c>
      <c r="CE198" s="58"/>
      <c r="CF198" s="117"/>
      <c r="CG198" s="27"/>
      <c r="CH198" s="51"/>
      <c r="CI198" s="52"/>
      <c r="CJ198" s="52"/>
      <c r="CK198" s="53">
        <f t="shared" ref="CK198:CK224" si="131">SUM(CF198:CJ198)</f>
        <v>0</v>
      </c>
      <c r="CM198" s="47">
        <f>+CB198</f>
        <v>46055</v>
      </c>
      <c r="CN198" s="56">
        <v>6649.49</v>
      </c>
      <c r="CO198" s="57">
        <v>1248.94</v>
      </c>
      <c r="CP198" s="58"/>
      <c r="CQ198" s="62"/>
      <c r="CR198" s="27"/>
      <c r="CS198" s="240">
        <v>35.986679999999978</v>
      </c>
      <c r="CT198" s="53">
        <v>356.81247791809511</v>
      </c>
      <c r="CU198" s="53"/>
      <c r="CV198" s="53">
        <f t="shared" ref="CV198:CV224" si="132">SUM(CQ198:CU198)</f>
        <v>392.79915791809509</v>
      </c>
      <c r="CX198" s="47">
        <f>+CM198</f>
        <v>46055</v>
      </c>
      <c r="CY198" s="56">
        <v>5502.4</v>
      </c>
      <c r="CZ198" s="57">
        <v>1189.19</v>
      </c>
      <c r="DA198" s="58"/>
      <c r="DB198" s="59"/>
      <c r="DC198" s="27"/>
      <c r="DD198" s="240">
        <v>107.88445800000009</v>
      </c>
      <c r="DE198" s="53">
        <v>14.010567899999955</v>
      </c>
      <c r="DF198" s="53"/>
      <c r="DG198" s="53">
        <f t="shared" ref="DG198:DG224" si="133">SUM(DB198:DF198)</f>
        <v>121.89502590000005</v>
      </c>
      <c r="DI198" s="47">
        <f>+CX198</f>
        <v>46055</v>
      </c>
      <c r="DJ198" s="56">
        <v>1713.05</v>
      </c>
      <c r="DK198" s="63"/>
      <c r="DL198" s="58"/>
      <c r="DM198" s="62"/>
      <c r="DN198" s="27"/>
      <c r="DO198" s="51"/>
      <c r="DP198" s="52"/>
      <c r="DQ198" s="52"/>
      <c r="DR198" s="53">
        <f t="shared" ref="DR198:DR224" si="134">SUM(DM198:DQ198)</f>
        <v>0</v>
      </c>
      <c r="DT198" s="47">
        <f>+DI198</f>
        <v>46055</v>
      </c>
      <c r="DU198" s="56">
        <v>2059.06</v>
      </c>
      <c r="DV198" s="57">
        <v>503.96</v>
      </c>
      <c r="DW198" s="58"/>
      <c r="DX198" s="62"/>
      <c r="DY198" s="27"/>
      <c r="DZ198" s="51">
        <v>194.00862999999998</v>
      </c>
      <c r="EA198" s="52">
        <v>459.69084210000022</v>
      </c>
      <c r="EB198" s="52"/>
      <c r="EC198" s="53">
        <f t="shared" ref="EC198:EC224" si="135">SUM(DX198:EB198)</f>
        <v>653.69947210000021</v>
      </c>
      <c r="EE198" s="47">
        <f>+DT198</f>
        <v>46055</v>
      </c>
      <c r="EF198" s="56">
        <v>5507.53</v>
      </c>
      <c r="EG198" s="57">
        <v>1205.4100000000001</v>
      </c>
      <c r="EH198" s="58"/>
      <c r="EI198" s="59">
        <v>149.97999999999999</v>
      </c>
      <c r="EJ198" s="27"/>
      <c r="EK198" s="51">
        <v>34.465920000000011</v>
      </c>
      <c r="EL198" s="52"/>
      <c r="EM198" s="52"/>
      <c r="EN198" s="53">
        <f t="shared" ref="EN198:EN224" si="136">SUM(EI198:EM198)</f>
        <v>184.44592</v>
      </c>
      <c r="EP198" s="47">
        <f>+EE198</f>
        <v>46055</v>
      </c>
      <c r="EQ198" s="64">
        <v>476.98</v>
      </c>
      <c r="ER198" s="65">
        <v>391.05</v>
      </c>
      <c r="ES198" s="58"/>
      <c r="ET198" s="59"/>
      <c r="EV198" s="51"/>
      <c r="EW198" s="52"/>
      <c r="EX198" s="52"/>
      <c r="EY198" s="53">
        <f t="shared" ref="EY198:EY224" si="137">SUM(ET198:EX198)</f>
        <v>0</v>
      </c>
    </row>
    <row r="199" spans="2:155" hidden="1" x14ac:dyDescent="0.25">
      <c r="B199" s="47">
        <v>46056</v>
      </c>
      <c r="C199" s="48">
        <v>17300.45</v>
      </c>
      <c r="D199" s="49">
        <v>2179.58</v>
      </c>
      <c r="E199" s="50">
        <v>4287.68</v>
      </c>
      <c r="F199" s="55">
        <v>667.42</v>
      </c>
      <c r="G199" s="102"/>
      <c r="H199" s="27"/>
      <c r="I199" s="51"/>
      <c r="J199" s="52">
        <v>22.004784951714257</v>
      </c>
      <c r="K199" s="53"/>
      <c r="L199" s="53">
        <f t="shared" si="124"/>
        <v>22.004784951714257</v>
      </c>
      <c r="N199" s="47">
        <f t="shared" ref="N199:N224" si="138">+B199</f>
        <v>46056</v>
      </c>
      <c r="O199" s="54">
        <v>1532.64</v>
      </c>
      <c r="P199" s="54">
        <v>511.58</v>
      </c>
      <c r="Q199" s="58"/>
      <c r="R199" s="55"/>
      <c r="S199" s="27"/>
      <c r="T199" s="240">
        <v>516.27469999999994</v>
      </c>
      <c r="U199" s="52">
        <v>26.007299999999987</v>
      </c>
      <c r="V199" s="52"/>
      <c r="W199" s="53">
        <f t="shared" si="125"/>
        <v>542.28199999999993</v>
      </c>
      <c r="Y199" s="47">
        <f t="shared" ref="Y199:Y224" si="139">+N199</f>
        <v>46056</v>
      </c>
      <c r="Z199" s="56">
        <v>5050.6000000000004</v>
      </c>
      <c r="AA199" s="57">
        <v>1249.18</v>
      </c>
      <c r="AB199" s="63"/>
      <c r="AC199" s="59">
        <v>190.8</v>
      </c>
      <c r="AD199" s="27"/>
      <c r="AE199" s="240">
        <v>34.841729999999984</v>
      </c>
      <c r="AF199" s="52"/>
      <c r="AG199" s="52"/>
      <c r="AH199" s="53">
        <f t="shared" si="126"/>
        <v>225.64173</v>
      </c>
      <c r="AJ199" s="47">
        <f t="shared" ref="AJ199:AJ224" si="140">+Y199</f>
        <v>46056</v>
      </c>
      <c r="AK199" s="56">
        <v>3191.51</v>
      </c>
      <c r="AL199" s="57">
        <v>513.36</v>
      </c>
      <c r="AM199" s="58"/>
      <c r="AN199" s="58"/>
      <c r="AO199" s="27"/>
      <c r="AP199" s="51"/>
      <c r="AQ199" s="52"/>
      <c r="AR199" s="52"/>
      <c r="AS199" s="53">
        <f t="shared" si="127"/>
        <v>0</v>
      </c>
      <c r="AU199" s="113">
        <f t="shared" ref="AU199:AU224" si="141">+AJ199</f>
        <v>46056</v>
      </c>
      <c r="AV199" s="57">
        <v>443.05</v>
      </c>
      <c r="AW199" s="57">
        <v>0</v>
      </c>
      <c r="AX199" s="58"/>
      <c r="AY199" s="59"/>
      <c r="AZ199" s="27"/>
      <c r="BA199" s="240">
        <v>1127.2175729999999</v>
      </c>
      <c r="BB199" s="52"/>
      <c r="BC199" s="52"/>
      <c r="BD199" s="53">
        <f t="shared" si="128"/>
        <v>1127.2175729999999</v>
      </c>
      <c r="BF199" s="47">
        <f>+AU199</f>
        <v>46056</v>
      </c>
      <c r="BG199" s="56">
        <v>3290.1</v>
      </c>
      <c r="BH199" s="57">
        <v>665.66</v>
      </c>
      <c r="BI199" s="58"/>
      <c r="BJ199" s="59">
        <v>18.25</v>
      </c>
      <c r="BK199" s="27"/>
      <c r="BL199" s="240">
        <v>195.53676999999999</v>
      </c>
      <c r="BM199" s="52">
        <v>50.135870274285743</v>
      </c>
      <c r="BN199" s="52"/>
      <c r="BO199" s="53">
        <f t="shared" si="129"/>
        <v>263.92264027428575</v>
      </c>
      <c r="BQ199" s="47">
        <f t="shared" ref="BQ199:BQ224" si="142">+BF199</f>
        <v>46056</v>
      </c>
      <c r="BR199" s="57">
        <v>141.49</v>
      </c>
      <c r="BS199" s="57">
        <v>488.77</v>
      </c>
      <c r="BT199" s="58"/>
      <c r="BU199" s="61"/>
      <c r="BV199" s="27"/>
      <c r="BW199" s="51"/>
      <c r="BX199" s="52"/>
      <c r="BY199" s="52"/>
      <c r="BZ199" s="53">
        <f t="shared" si="130"/>
        <v>0</v>
      </c>
      <c r="CB199" s="47">
        <f t="shared" ref="CB199:CB224" si="143">+BQ199</f>
        <v>46056</v>
      </c>
      <c r="CC199" s="56">
        <v>21580.19</v>
      </c>
      <c r="CD199" s="57">
        <v>2380.37</v>
      </c>
      <c r="CE199" s="58"/>
      <c r="CF199" s="117"/>
      <c r="CG199" s="27"/>
      <c r="CH199" s="51"/>
      <c r="CI199" s="52"/>
      <c r="CJ199" s="52"/>
      <c r="CK199" s="53">
        <f t="shared" si="131"/>
        <v>0</v>
      </c>
      <c r="CM199" s="47">
        <f t="shared" ref="CM199:CM224" si="144">+CB199</f>
        <v>46056</v>
      </c>
      <c r="CN199" s="56">
        <v>9035.1</v>
      </c>
      <c r="CO199" s="57">
        <v>1863.91</v>
      </c>
      <c r="CP199" s="58"/>
      <c r="CQ199" s="62"/>
      <c r="CR199" s="27"/>
      <c r="CS199" s="240">
        <v>96.333359999999956</v>
      </c>
      <c r="CT199" s="53">
        <v>385.25348166514266</v>
      </c>
      <c r="CU199" s="53"/>
      <c r="CV199" s="53">
        <f t="shared" si="132"/>
        <v>481.58684166514263</v>
      </c>
      <c r="CX199" s="47">
        <f t="shared" ref="CX199:CX224" si="145">+CM199</f>
        <v>46056</v>
      </c>
      <c r="CY199" s="56">
        <v>3202.39</v>
      </c>
      <c r="CZ199" s="57">
        <v>1277.17</v>
      </c>
      <c r="DA199" s="58"/>
      <c r="DB199" s="59"/>
      <c r="DC199" s="27"/>
      <c r="DD199" s="240">
        <v>85.642443000000057</v>
      </c>
      <c r="DE199" s="53">
        <v>22.322067750000002</v>
      </c>
      <c r="DF199" s="53"/>
      <c r="DG199" s="53">
        <f t="shared" si="133"/>
        <v>107.96451075000006</v>
      </c>
      <c r="DI199" s="47">
        <f t="shared" ref="DI199:DI224" si="146">+CX199</f>
        <v>46056</v>
      </c>
      <c r="DJ199" s="56">
        <v>1041.79</v>
      </c>
      <c r="DK199" s="63"/>
      <c r="DL199" s="58"/>
      <c r="DM199" s="62"/>
      <c r="DN199" s="27"/>
      <c r="DO199" s="51"/>
      <c r="DP199" s="52"/>
      <c r="DQ199" s="52"/>
      <c r="DR199" s="53">
        <f t="shared" si="134"/>
        <v>0</v>
      </c>
      <c r="DT199" s="47">
        <f t="shared" ref="DT199:DT224" si="147">+DI199</f>
        <v>46056</v>
      </c>
      <c r="DU199" s="56">
        <v>1260.57</v>
      </c>
      <c r="DV199" s="57">
        <v>368.36</v>
      </c>
      <c r="DW199" s="58"/>
      <c r="DX199" s="62"/>
      <c r="DY199" s="27"/>
      <c r="DZ199" s="51">
        <v>290.83404999999999</v>
      </c>
      <c r="EA199" s="52">
        <v>171.92565480000002</v>
      </c>
      <c r="EB199" s="52"/>
      <c r="EC199" s="53">
        <f t="shared" si="135"/>
        <v>462.75970480000001</v>
      </c>
      <c r="EE199" s="47">
        <f t="shared" ref="EE199:EE224" si="148">+DT199</f>
        <v>46056</v>
      </c>
      <c r="EF199" s="56">
        <v>6793.13</v>
      </c>
      <c r="EG199" s="57">
        <v>1501.36</v>
      </c>
      <c r="EH199" s="58"/>
      <c r="EI199" s="59">
        <v>78.39</v>
      </c>
      <c r="EJ199" s="27"/>
      <c r="EK199" s="51"/>
      <c r="EL199" s="52"/>
      <c r="EM199" s="52"/>
      <c r="EN199" s="53">
        <f t="shared" si="136"/>
        <v>78.39</v>
      </c>
      <c r="EP199" s="47">
        <f t="shared" ref="EP199:EP224" si="149">+EE199</f>
        <v>46056</v>
      </c>
      <c r="EQ199" s="64">
        <v>652.87</v>
      </c>
      <c r="ER199" s="56">
        <v>517.02</v>
      </c>
      <c r="ES199" s="58"/>
      <c r="ET199" s="59"/>
      <c r="EV199" s="51"/>
      <c r="EW199" s="52"/>
      <c r="EX199" s="52"/>
      <c r="EY199" s="53">
        <f t="shared" si="137"/>
        <v>0</v>
      </c>
    </row>
    <row r="200" spans="2:155" hidden="1" x14ac:dyDescent="0.25">
      <c r="B200" s="47">
        <v>46057</v>
      </c>
      <c r="C200" s="48">
        <v>14439.24</v>
      </c>
      <c r="D200" s="49">
        <v>1746.79</v>
      </c>
      <c r="E200" s="50">
        <v>3473.75</v>
      </c>
      <c r="F200" s="55">
        <v>632.03</v>
      </c>
      <c r="G200" s="102"/>
      <c r="H200" s="27"/>
      <c r="I200" s="51"/>
      <c r="J200" s="52"/>
      <c r="K200" s="53"/>
      <c r="L200" s="53">
        <f t="shared" si="124"/>
        <v>0</v>
      </c>
      <c r="N200" s="47">
        <f t="shared" si="138"/>
        <v>46057</v>
      </c>
      <c r="O200" s="54">
        <v>2400.65</v>
      </c>
      <c r="P200" s="54">
        <v>315.94</v>
      </c>
      <c r="Q200" s="58"/>
      <c r="R200" s="55"/>
      <c r="S200" s="27"/>
      <c r="T200" s="240">
        <v>345.55263000000002</v>
      </c>
      <c r="U200" s="52">
        <v>16.268086999999994</v>
      </c>
      <c r="V200" s="52"/>
      <c r="W200" s="53">
        <f t="shared" si="125"/>
        <v>361.820717</v>
      </c>
      <c r="Y200" s="47">
        <f t="shared" si="139"/>
        <v>46057</v>
      </c>
      <c r="Z200" s="56">
        <v>4266.58</v>
      </c>
      <c r="AA200" s="57">
        <v>1240.9000000000001</v>
      </c>
      <c r="AB200" s="63"/>
      <c r="AC200" s="59">
        <v>130.16999999999999</v>
      </c>
      <c r="AD200" s="27"/>
      <c r="AE200" s="240">
        <v>217.11646999999991</v>
      </c>
      <c r="AF200" s="52"/>
      <c r="AG200" s="52"/>
      <c r="AH200" s="53">
        <f t="shared" si="126"/>
        <v>347.28646999999989</v>
      </c>
      <c r="AJ200" s="47">
        <f t="shared" si="140"/>
        <v>46057</v>
      </c>
      <c r="AK200" s="56">
        <v>2749.24</v>
      </c>
      <c r="AL200" s="57">
        <v>568.25</v>
      </c>
      <c r="AM200" s="58"/>
      <c r="AN200" s="58"/>
      <c r="AO200" s="27"/>
      <c r="AP200" s="51"/>
      <c r="AQ200" s="52"/>
      <c r="AR200" s="52"/>
      <c r="AS200" s="53">
        <f t="shared" si="127"/>
        <v>0</v>
      </c>
      <c r="AU200" s="113">
        <f t="shared" si="141"/>
        <v>46057</v>
      </c>
      <c r="AV200" s="57">
        <v>50</v>
      </c>
      <c r="AW200" s="57">
        <v>29</v>
      </c>
      <c r="AX200" s="58"/>
      <c r="AY200" s="59">
        <v>25.63</v>
      </c>
      <c r="AZ200" s="27"/>
      <c r="BA200" s="240">
        <v>244.025193</v>
      </c>
      <c r="BB200" s="52"/>
      <c r="BC200" s="52"/>
      <c r="BD200" s="53">
        <f t="shared" si="128"/>
        <v>269.655193</v>
      </c>
      <c r="BF200" s="47">
        <f>+AU200</f>
        <v>46057</v>
      </c>
      <c r="BG200" s="56">
        <v>3564.12</v>
      </c>
      <c r="BH200" s="57">
        <v>895.1</v>
      </c>
      <c r="BI200" s="58"/>
      <c r="BJ200" s="59">
        <v>12.08</v>
      </c>
      <c r="BK200" s="27"/>
      <c r="BL200" s="240">
        <v>473.34958999999992</v>
      </c>
      <c r="BM200" s="52">
        <v>33.7815427242857</v>
      </c>
      <c r="BN200" s="52"/>
      <c r="BO200" s="53">
        <f t="shared" si="129"/>
        <v>519.21113272428556</v>
      </c>
      <c r="BQ200" s="47">
        <f t="shared" si="142"/>
        <v>46057</v>
      </c>
      <c r="BR200" s="57">
        <v>340</v>
      </c>
      <c r="BS200" s="57">
        <v>223.61</v>
      </c>
      <c r="BT200" s="58"/>
      <c r="BU200" s="61"/>
      <c r="BV200" s="27"/>
      <c r="BW200" s="51"/>
      <c r="BX200" s="52"/>
      <c r="BY200" s="52"/>
      <c r="BZ200" s="53">
        <f t="shared" si="130"/>
        <v>0</v>
      </c>
      <c r="CB200" s="47">
        <f t="shared" si="143"/>
        <v>46057</v>
      </c>
      <c r="CC200" s="56">
        <v>20677.45</v>
      </c>
      <c r="CD200" s="57">
        <v>2508.52</v>
      </c>
      <c r="CE200" s="58"/>
      <c r="CF200" s="117"/>
      <c r="CG200" s="27"/>
      <c r="CH200" s="51"/>
      <c r="CI200" s="52"/>
      <c r="CJ200" s="52"/>
      <c r="CK200" s="53">
        <f t="shared" si="131"/>
        <v>0</v>
      </c>
      <c r="CM200" s="47">
        <f t="shared" si="144"/>
        <v>46057</v>
      </c>
      <c r="CN200" s="56">
        <v>10861.6</v>
      </c>
      <c r="CO200" s="57">
        <v>2052.0500000000002</v>
      </c>
      <c r="CP200" s="58"/>
      <c r="CQ200" s="62"/>
      <c r="CR200" s="27"/>
      <c r="CS200" s="240">
        <v>41.669319999999971</v>
      </c>
      <c r="CT200" s="53">
        <v>185.12541753657132</v>
      </c>
      <c r="CU200" s="53"/>
      <c r="CV200" s="53">
        <f t="shared" si="132"/>
        <v>226.79473753657129</v>
      </c>
      <c r="CX200" s="47">
        <f t="shared" si="145"/>
        <v>46057</v>
      </c>
      <c r="CY200" s="56">
        <v>3560.13</v>
      </c>
      <c r="CZ200" s="57">
        <v>2008.05</v>
      </c>
      <c r="DA200" s="58"/>
      <c r="DB200" s="59"/>
      <c r="DC200" s="27"/>
      <c r="DD200" s="240">
        <v>87.34184500000022</v>
      </c>
      <c r="DE200" s="53">
        <v>34.126480170000036</v>
      </c>
      <c r="DF200" s="53"/>
      <c r="DG200" s="53">
        <f t="shared" si="133"/>
        <v>121.46832517000026</v>
      </c>
      <c r="DI200" s="47">
        <f t="shared" si="146"/>
        <v>46057</v>
      </c>
      <c r="DJ200" s="56">
        <v>1423.49</v>
      </c>
      <c r="DK200" s="63"/>
      <c r="DL200" s="58"/>
      <c r="DM200" s="62"/>
      <c r="DN200" s="27"/>
      <c r="DO200" s="51"/>
      <c r="DP200" s="52"/>
      <c r="DQ200" s="52"/>
      <c r="DR200" s="53">
        <f t="shared" si="134"/>
        <v>0</v>
      </c>
      <c r="DT200" s="47">
        <f t="shared" si="147"/>
        <v>46057</v>
      </c>
      <c r="DU200" s="56">
        <v>2066.54</v>
      </c>
      <c r="DV200" s="57">
        <v>131.44999999999999</v>
      </c>
      <c r="DW200" s="58"/>
      <c r="DX200" s="62"/>
      <c r="DY200" s="27"/>
      <c r="DZ200" s="51">
        <v>41.568260000000009</v>
      </c>
      <c r="EA200" s="52">
        <v>157.13707200000005</v>
      </c>
      <c r="EB200" s="52"/>
      <c r="EC200" s="53">
        <f t="shared" si="135"/>
        <v>198.70533200000006</v>
      </c>
      <c r="EE200" s="47">
        <f t="shared" si="148"/>
        <v>46057</v>
      </c>
      <c r="EF200" s="56">
        <v>4656.3500000000004</v>
      </c>
      <c r="EG200" s="57">
        <v>1115.53</v>
      </c>
      <c r="EH200" s="58"/>
      <c r="EI200" s="59">
        <v>140.82</v>
      </c>
      <c r="EJ200" s="27"/>
      <c r="EK200" s="51"/>
      <c r="EL200" s="52"/>
      <c r="EM200" s="52"/>
      <c r="EN200" s="53">
        <f t="shared" si="136"/>
        <v>140.82</v>
      </c>
      <c r="EP200" s="47">
        <f t="shared" si="149"/>
        <v>46057</v>
      </c>
      <c r="EQ200" s="64">
        <v>599.83000000000004</v>
      </c>
      <c r="ER200" s="56">
        <v>421.52</v>
      </c>
      <c r="ES200" s="58"/>
      <c r="ET200" s="59"/>
      <c r="EV200" s="51"/>
      <c r="EW200" s="52"/>
      <c r="EX200" s="52"/>
      <c r="EY200" s="53">
        <f t="shared" si="137"/>
        <v>0</v>
      </c>
    </row>
    <row r="201" spans="2:155" hidden="1" x14ac:dyDescent="0.25">
      <c r="B201" s="47">
        <v>46058</v>
      </c>
      <c r="C201" s="48">
        <v>17634.37</v>
      </c>
      <c r="D201" s="49">
        <v>2316.29</v>
      </c>
      <c r="E201" s="50">
        <v>3790.83</v>
      </c>
      <c r="F201" s="66">
        <v>646.59</v>
      </c>
      <c r="G201" s="50"/>
      <c r="H201" s="27"/>
      <c r="I201" s="51"/>
      <c r="J201" s="52"/>
      <c r="K201" s="53"/>
      <c r="L201" s="53">
        <f t="shared" si="124"/>
        <v>0</v>
      </c>
      <c r="N201" s="47">
        <f t="shared" si="138"/>
        <v>46058</v>
      </c>
      <c r="O201" s="54">
        <v>1927.83</v>
      </c>
      <c r="P201" s="54">
        <v>624.01</v>
      </c>
      <c r="Q201" s="58"/>
      <c r="R201" s="55"/>
      <c r="S201" s="27"/>
      <c r="T201" s="240">
        <v>467.80818999999985</v>
      </c>
      <c r="U201" s="52">
        <v>59.679213199999936</v>
      </c>
      <c r="V201" s="52"/>
      <c r="W201" s="53">
        <f t="shared" si="125"/>
        <v>527.48740319999979</v>
      </c>
      <c r="Y201" s="47">
        <f t="shared" si="139"/>
        <v>46058</v>
      </c>
      <c r="Z201" s="56">
        <v>4411.0200000000004</v>
      </c>
      <c r="AA201" s="57">
        <v>1367.32</v>
      </c>
      <c r="AB201" s="63"/>
      <c r="AC201" s="59">
        <v>155.26</v>
      </c>
      <c r="AD201" s="27"/>
      <c r="AE201" s="240">
        <v>17.888639999999981</v>
      </c>
      <c r="AF201" s="52"/>
      <c r="AG201" s="52"/>
      <c r="AH201" s="53">
        <f t="shared" si="126"/>
        <v>173.14863999999997</v>
      </c>
      <c r="AJ201" s="47">
        <f t="shared" si="140"/>
        <v>46058</v>
      </c>
      <c r="AK201" s="56">
        <v>3456.9</v>
      </c>
      <c r="AL201" s="57">
        <v>380.93</v>
      </c>
      <c r="AM201" s="58"/>
      <c r="AN201" s="58"/>
      <c r="AO201" s="27"/>
      <c r="AP201" s="51"/>
      <c r="AQ201" s="52"/>
      <c r="AR201" s="52"/>
      <c r="AS201" s="53">
        <f t="shared" si="127"/>
        <v>0</v>
      </c>
      <c r="AU201" s="113">
        <f t="shared" si="141"/>
        <v>46058</v>
      </c>
      <c r="AV201" s="57">
        <v>1378.12</v>
      </c>
      <c r="AW201" s="57">
        <v>0</v>
      </c>
      <c r="AX201" s="58"/>
      <c r="AY201" s="59"/>
      <c r="AZ201" s="27"/>
      <c r="BA201" s="240">
        <v>494.88753999999994</v>
      </c>
      <c r="BB201" s="52"/>
      <c r="BC201" s="52"/>
      <c r="BD201" s="53">
        <f t="shared" si="128"/>
        <v>494.88753999999994</v>
      </c>
      <c r="BF201" s="47">
        <f>+AU201</f>
        <v>46058</v>
      </c>
      <c r="BG201" s="56">
        <v>4230.3999999999996</v>
      </c>
      <c r="BH201" s="57">
        <v>661.34</v>
      </c>
      <c r="BI201" s="58"/>
      <c r="BJ201" s="59"/>
      <c r="BK201" s="27"/>
      <c r="BL201" s="240">
        <v>276.29638999999992</v>
      </c>
      <c r="BM201" s="52">
        <v>89.535320852571374</v>
      </c>
      <c r="BN201" s="52"/>
      <c r="BO201" s="53">
        <f t="shared" si="129"/>
        <v>365.83171085257129</v>
      </c>
      <c r="BQ201" s="47">
        <f t="shared" si="142"/>
        <v>46058</v>
      </c>
      <c r="BR201" s="57">
        <v>230.03</v>
      </c>
      <c r="BS201" s="57">
        <v>261.02999999999997</v>
      </c>
      <c r="BT201" s="58"/>
      <c r="BU201" s="61"/>
      <c r="BV201" s="27"/>
      <c r="BW201" s="51"/>
      <c r="BX201" s="52"/>
      <c r="BY201" s="52"/>
      <c r="BZ201" s="53">
        <f t="shared" si="130"/>
        <v>0</v>
      </c>
      <c r="CB201" s="47">
        <f t="shared" si="143"/>
        <v>46058</v>
      </c>
      <c r="CC201" s="56">
        <v>19516.7</v>
      </c>
      <c r="CD201" s="57">
        <v>1784.19</v>
      </c>
      <c r="CE201" s="58"/>
      <c r="CF201" s="117"/>
      <c r="CG201" s="27"/>
      <c r="CH201" s="51"/>
      <c r="CI201" s="52"/>
      <c r="CJ201" s="52"/>
      <c r="CK201" s="53">
        <f t="shared" si="131"/>
        <v>0</v>
      </c>
      <c r="CM201" s="47">
        <f t="shared" si="144"/>
        <v>46058</v>
      </c>
      <c r="CN201" s="56">
        <v>9993.41</v>
      </c>
      <c r="CO201" s="57">
        <v>1543.15</v>
      </c>
      <c r="CP201" s="58"/>
      <c r="CQ201" s="62"/>
      <c r="CR201" s="27"/>
      <c r="CS201" s="240">
        <v>21.010080000000002</v>
      </c>
      <c r="CT201" s="53">
        <v>55.743436310857149</v>
      </c>
      <c r="CU201" s="53"/>
      <c r="CV201" s="53">
        <f t="shared" si="132"/>
        <v>76.753516310857151</v>
      </c>
      <c r="CX201" s="47">
        <f t="shared" si="145"/>
        <v>46058</v>
      </c>
      <c r="CY201" s="56">
        <v>6281.76</v>
      </c>
      <c r="CZ201" s="57">
        <v>1206.82</v>
      </c>
      <c r="DA201" s="58"/>
      <c r="DB201" s="59"/>
      <c r="DC201" s="27"/>
      <c r="DD201" s="240">
        <v>27.917360000000045</v>
      </c>
      <c r="DE201" s="53">
        <v>11.349882719999982</v>
      </c>
      <c r="DF201" s="53"/>
      <c r="DG201" s="53">
        <f t="shared" si="133"/>
        <v>39.267242720000027</v>
      </c>
      <c r="DI201" s="47">
        <f t="shared" si="146"/>
        <v>46058</v>
      </c>
      <c r="DJ201" s="56">
        <v>605.39</v>
      </c>
      <c r="DK201" s="63"/>
      <c r="DL201" s="58"/>
      <c r="DM201" s="62"/>
      <c r="DN201" s="27"/>
      <c r="DO201" s="51"/>
      <c r="DP201" s="52"/>
      <c r="DQ201" s="52"/>
      <c r="DR201" s="53">
        <f t="shared" si="134"/>
        <v>0</v>
      </c>
      <c r="DT201" s="47">
        <f t="shared" si="147"/>
        <v>46058</v>
      </c>
      <c r="DU201" s="56">
        <v>204.99</v>
      </c>
      <c r="DV201" s="57">
        <v>244.49</v>
      </c>
      <c r="DW201" s="58"/>
      <c r="DX201" s="62"/>
      <c r="DY201" s="27"/>
      <c r="DZ201" s="51">
        <v>158.25248999999997</v>
      </c>
      <c r="EA201" s="52"/>
      <c r="EB201" s="52"/>
      <c r="EC201" s="53">
        <f t="shared" si="135"/>
        <v>158.25248999999997</v>
      </c>
      <c r="EE201" s="47">
        <f t="shared" si="148"/>
        <v>46058</v>
      </c>
      <c r="EF201" s="56">
        <v>5676.9</v>
      </c>
      <c r="EG201" s="57">
        <v>978.24</v>
      </c>
      <c r="EH201" s="58"/>
      <c r="EI201" s="59">
        <v>103.94</v>
      </c>
      <c r="EJ201" s="27"/>
      <c r="EK201" s="51"/>
      <c r="EL201" s="52"/>
      <c r="EM201" s="52"/>
      <c r="EN201" s="53">
        <f t="shared" si="136"/>
        <v>103.94</v>
      </c>
      <c r="EP201" s="47">
        <f t="shared" si="149"/>
        <v>46058</v>
      </c>
      <c r="EQ201" s="64">
        <v>854.04</v>
      </c>
      <c r="ER201" s="56">
        <v>397.02</v>
      </c>
      <c r="ES201" s="58"/>
      <c r="ET201" s="59"/>
      <c r="EV201" s="51"/>
      <c r="EW201" s="52"/>
      <c r="EX201" s="52"/>
      <c r="EY201" s="53">
        <f t="shared" si="137"/>
        <v>0</v>
      </c>
    </row>
    <row r="202" spans="2:155" hidden="1" x14ac:dyDescent="0.25">
      <c r="B202" s="47">
        <v>46059</v>
      </c>
      <c r="C202" s="48">
        <v>20098.919999999998</v>
      </c>
      <c r="D202" s="49">
        <v>3798.18</v>
      </c>
      <c r="E202" s="50">
        <v>3845.02</v>
      </c>
      <c r="F202" s="55">
        <v>575.57000000000005</v>
      </c>
      <c r="G202" s="102"/>
      <c r="H202" s="27"/>
      <c r="I202" s="51"/>
      <c r="J202" s="52"/>
      <c r="K202" s="53"/>
      <c r="L202" s="53">
        <f t="shared" si="124"/>
        <v>0</v>
      </c>
      <c r="N202" s="47">
        <f t="shared" si="138"/>
        <v>46059</v>
      </c>
      <c r="O202" s="54">
        <v>1879.86</v>
      </c>
      <c r="P202" s="54">
        <v>496.05</v>
      </c>
      <c r="Q202" s="58"/>
      <c r="R202" s="55"/>
      <c r="S202" s="27"/>
      <c r="T202" s="240">
        <v>541.94956000000002</v>
      </c>
      <c r="U202" s="52">
        <v>59.679213199999936</v>
      </c>
      <c r="V202" s="52"/>
      <c r="W202" s="53">
        <f t="shared" si="125"/>
        <v>601.62877319999996</v>
      </c>
      <c r="Y202" s="47">
        <f t="shared" si="139"/>
        <v>46059</v>
      </c>
      <c r="Z202" s="56">
        <v>5511.75</v>
      </c>
      <c r="AA202" s="57">
        <v>1563.67</v>
      </c>
      <c r="AB202" s="63"/>
      <c r="AC202" s="59">
        <v>157.06</v>
      </c>
      <c r="AD202" s="27"/>
      <c r="AE202" s="240">
        <v>11.149999999999999</v>
      </c>
      <c r="AF202" s="52"/>
      <c r="AG202" s="52"/>
      <c r="AH202" s="53">
        <f t="shared" si="126"/>
        <v>168.21</v>
      </c>
      <c r="AJ202" s="47">
        <f t="shared" si="140"/>
        <v>46059</v>
      </c>
      <c r="AK202" s="56">
        <v>3924.88</v>
      </c>
      <c r="AL202" s="57">
        <v>692.34</v>
      </c>
      <c r="AM202" s="58"/>
      <c r="AN202" s="58"/>
      <c r="AO202" s="27"/>
      <c r="AP202" s="51"/>
      <c r="AQ202" s="52"/>
      <c r="AR202" s="52"/>
      <c r="AS202" s="53">
        <f t="shared" si="127"/>
        <v>0</v>
      </c>
      <c r="AU202" s="113">
        <f t="shared" si="141"/>
        <v>46059</v>
      </c>
      <c r="AV202" s="57">
        <v>569.1</v>
      </c>
      <c r="AW202" s="57">
        <v>20</v>
      </c>
      <c r="AX202" s="58"/>
      <c r="AY202" s="59">
        <v>50.4</v>
      </c>
      <c r="AZ202" s="27"/>
      <c r="BA202" s="240">
        <v>370.44061300000004</v>
      </c>
      <c r="BB202" s="52"/>
      <c r="BC202" s="52"/>
      <c r="BD202" s="53">
        <f t="shared" si="128"/>
        <v>420.84061300000002</v>
      </c>
      <c r="BF202" s="47">
        <f t="shared" ref="BF202:BF224" si="150">+AU202</f>
        <v>46059</v>
      </c>
      <c r="BG202" s="56">
        <v>3938.43</v>
      </c>
      <c r="BH202" s="57">
        <v>644.30999999999995</v>
      </c>
      <c r="BI202" s="58"/>
      <c r="BJ202" s="59"/>
      <c r="BK202" s="27"/>
      <c r="BL202" s="240">
        <v>586.63406999999995</v>
      </c>
      <c r="BM202" s="52">
        <v>40.604978849523803</v>
      </c>
      <c r="BN202" s="52"/>
      <c r="BO202" s="53">
        <f t="shared" si="129"/>
        <v>627.23904884952378</v>
      </c>
      <c r="BQ202" s="47">
        <f t="shared" si="142"/>
        <v>46059</v>
      </c>
      <c r="BR202" s="57">
        <v>309.62</v>
      </c>
      <c r="BS202" s="57">
        <v>408.81</v>
      </c>
      <c r="BT202" s="58"/>
      <c r="BU202" s="61"/>
      <c r="BV202" s="27"/>
      <c r="BW202" s="51"/>
      <c r="BX202" s="52"/>
      <c r="BY202" s="52"/>
      <c r="BZ202" s="53">
        <f t="shared" si="130"/>
        <v>0</v>
      </c>
      <c r="CB202" s="47">
        <f t="shared" si="143"/>
        <v>46059</v>
      </c>
      <c r="CC202" s="56">
        <v>21401.38</v>
      </c>
      <c r="CD202" s="57">
        <v>1636.64</v>
      </c>
      <c r="CE202" s="58"/>
      <c r="CF202" s="117"/>
      <c r="CG202" s="27"/>
      <c r="CH202" s="51"/>
      <c r="CI202" s="52"/>
      <c r="CJ202" s="52"/>
      <c r="CK202" s="53">
        <f t="shared" si="131"/>
        <v>0</v>
      </c>
      <c r="CM202" s="47">
        <f t="shared" si="144"/>
        <v>46059</v>
      </c>
      <c r="CN202" s="56">
        <v>9851.35</v>
      </c>
      <c r="CO202" s="57">
        <v>1980.19</v>
      </c>
      <c r="CP202" s="58"/>
      <c r="CQ202" s="62"/>
      <c r="CR202" s="27"/>
      <c r="CS202" s="240">
        <v>86.884979999999956</v>
      </c>
      <c r="CT202" s="53">
        <v>289.78163080457148</v>
      </c>
      <c r="CU202" s="53"/>
      <c r="CV202" s="53">
        <f t="shared" si="132"/>
        <v>376.66661080457141</v>
      </c>
      <c r="CX202" s="47">
        <f t="shared" si="145"/>
        <v>46059</v>
      </c>
      <c r="CY202" s="56">
        <v>5955.74</v>
      </c>
      <c r="CZ202" s="57">
        <v>1597.54</v>
      </c>
      <c r="DA202" s="58"/>
      <c r="DB202" s="59"/>
      <c r="DC202" s="27"/>
      <c r="DD202" s="240">
        <v>120.92283100000002</v>
      </c>
      <c r="DE202" s="53">
        <v>43.189247490000071</v>
      </c>
      <c r="DF202" s="53"/>
      <c r="DG202" s="53">
        <f t="shared" si="133"/>
        <v>164.1120784900001</v>
      </c>
      <c r="DI202" s="47">
        <f t="shared" si="146"/>
        <v>46059</v>
      </c>
      <c r="DJ202" s="56">
        <v>1233.02</v>
      </c>
      <c r="DK202" s="63"/>
      <c r="DL202" s="58"/>
      <c r="DM202" s="62"/>
      <c r="DN202" s="27"/>
      <c r="DO202" s="51"/>
      <c r="DP202" s="52"/>
      <c r="DQ202" s="52"/>
      <c r="DR202" s="53">
        <f t="shared" si="134"/>
        <v>0</v>
      </c>
      <c r="DT202" s="47">
        <f t="shared" si="147"/>
        <v>46059</v>
      </c>
      <c r="DU202" s="56">
        <v>1825.16</v>
      </c>
      <c r="DV202" s="57">
        <v>354.96</v>
      </c>
      <c r="DW202" s="58"/>
      <c r="DX202" s="62"/>
      <c r="DY202" s="27"/>
      <c r="DZ202" s="51">
        <v>61.292059999999992</v>
      </c>
      <c r="EA202" s="52">
        <v>578.50236019999977</v>
      </c>
      <c r="EB202" s="52"/>
      <c r="EC202" s="53">
        <f t="shared" si="135"/>
        <v>639.79442019999976</v>
      </c>
      <c r="EE202" s="47">
        <f t="shared" si="148"/>
        <v>46059</v>
      </c>
      <c r="EF202" s="56">
        <v>5831.51</v>
      </c>
      <c r="EG202" s="57">
        <v>2096.7800000000002</v>
      </c>
      <c r="EH202" s="58"/>
      <c r="EI202" s="59">
        <v>154.69</v>
      </c>
      <c r="EJ202" s="27"/>
      <c r="EK202" s="51"/>
      <c r="EL202" s="52"/>
      <c r="EM202" s="52"/>
      <c r="EN202" s="53">
        <f t="shared" si="136"/>
        <v>154.69</v>
      </c>
      <c r="EP202" s="47">
        <f t="shared" si="149"/>
        <v>46059</v>
      </c>
      <c r="EQ202" s="64">
        <v>727.91</v>
      </c>
      <c r="ER202" s="56">
        <v>364.46</v>
      </c>
      <c r="ES202" s="58"/>
      <c r="ET202" s="59"/>
      <c r="EV202" s="51"/>
      <c r="EW202" s="52"/>
      <c r="EX202" s="52"/>
      <c r="EY202" s="53">
        <f t="shared" si="137"/>
        <v>0</v>
      </c>
    </row>
    <row r="203" spans="2:155" hidden="1" x14ac:dyDescent="0.25">
      <c r="B203" s="47">
        <v>46060</v>
      </c>
      <c r="C203" s="48">
        <v>15079.34</v>
      </c>
      <c r="D203" s="49">
        <v>2570.77</v>
      </c>
      <c r="E203" s="50">
        <v>5013.63</v>
      </c>
      <c r="F203" s="55">
        <v>363.77</v>
      </c>
      <c r="G203" s="102"/>
      <c r="H203" s="27"/>
      <c r="I203" s="51"/>
      <c r="J203" s="52"/>
      <c r="K203" s="53"/>
      <c r="L203" s="53">
        <f t="shared" si="124"/>
        <v>0</v>
      </c>
      <c r="N203" s="47">
        <f t="shared" si="138"/>
        <v>46060</v>
      </c>
      <c r="O203" s="54">
        <v>1729.83</v>
      </c>
      <c r="P203" s="54">
        <v>494.06</v>
      </c>
      <c r="Q203" s="58"/>
      <c r="R203" s="55"/>
      <c r="S203" s="27"/>
      <c r="T203" s="240">
        <v>373.01342000000005</v>
      </c>
      <c r="U203" s="52"/>
      <c r="V203" s="52"/>
      <c r="W203" s="53">
        <f t="shared" si="125"/>
        <v>373.01342000000005</v>
      </c>
      <c r="Y203" s="47">
        <f t="shared" si="139"/>
        <v>46060</v>
      </c>
      <c r="Z203" s="56">
        <v>4678.55</v>
      </c>
      <c r="AA203" s="57">
        <v>1480.13</v>
      </c>
      <c r="AB203" s="63"/>
      <c r="AC203" s="59">
        <v>115.26</v>
      </c>
      <c r="AD203" s="27"/>
      <c r="AE203" s="240"/>
      <c r="AF203" s="52"/>
      <c r="AG203" s="52"/>
      <c r="AH203" s="53">
        <f t="shared" si="126"/>
        <v>115.26</v>
      </c>
      <c r="AJ203" s="47">
        <f t="shared" si="140"/>
        <v>46060</v>
      </c>
      <c r="AK203" s="56">
        <v>2799.81</v>
      </c>
      <c r="AL203" s="57">
        <v>385.58</v>
      </c>
      <c r="AM203" s="58"/>
      <c r="AN203" s="58"/>
      <c r="AO203" s="27"/>
      <c r="AP203" s="51"/>
      <c r="AQ203" s="52"/>
      <c r="AR203" s="52"/>
      <c r="AS203" s="53">
        <f t="shared" si="127"/>
        <v>0</v>
      </c>
      <c r="AU203" s="113">
        <f t="shared" si="141"/>
        <v>46060</v>
      </c>
      <c r="AV203" s="57">
        <v>217.04</v>
      </c>
      <c r="AW203" s="57">
        <v>36.71</v>
      </c>
      <c r="AX203" s="58"/>
      <c r="AY203" s="59">
        <v>1710.11</v>
      </c>
      <c r="AZ203" s="27"/>
      <c r="BA203" s="240">
        <v>25.209447999999981</v>
      </c>
      <c r="BB203" s="52"/>
      <c r="BC203" s="52"/>
      <c r="BD203" s="53">
        <f t="shared" si="128"/>
        <v>1735.319448</v>
      </c>
      <c r="BF203" s="47">
        <f t="shared" si="150"/>
        <v>46060</v>
      </c>
      <c r="BG203" s="56">
        <v>2727.06</v>
      </c>
      <c r="BH203" s="57">
        <v>850.14</v>
      </c>
      <c r="BI203" s="58"/>
      <c r="BJ203" s="59"/>
      <c r="BK203" s="27"/>
      <c r="BL203" s="240">
        <v>260.66923999999995</v>
      </c>
      <c r="BM203" s="52">
        <v>41.777752319999983</v>
      </c>
      <c r="BN203" s="52"/>
      <c r="BO203" s="53">
        <f t="shared" si="129"/>
        <v>302.44699231999994</v>
      </c>
      <c r="BQ203" s="47">
        <f t="shared" si="142"/>
        <v>46060</v>
      </c>
      <c r="BR203" s="57">
        <v>331.03</v>
      </c>
      <c r="BS203" s="57">
        <v>242.38</v>
      </c>
      <c r="BT203" s="58"/>
      <c r="BU203" s="61"/>
      <c r="BV203" s="27"/>
      <c r="BW203" s="51"/>
      <c r="BX203" s="52"/>
      <c r="BY203" s="52"/>
      <c r="BZ203" s="53">
        <f t="shared" si="130"/>
        <v>0</v>
      </c>
      <c r="CB203" s="47">
        <f t="shared" si="143"/>
        <v>46060</v>
      </c>
      <c r="CC203" s="56">
        <v>25252.66</v>
      </c>
      <c r="CD203" s="57">
        <v>2304.02</v>
      </c>
      <c r="CE203" s="58"/>
      <c r="CF203" s="117"/>
      <c r="CG203" s="27"/>
      <c r="CH203" s="51"/>
      <c r="CI203" s="52"/>
      <c r="CJ203" s="52"/>
      <c r="CK203" s="53">
        <f t="shared" si="131"/>
        <v>0</v>
      </c>
      <c r="CM203" s="47">
        <f t="shared" si="144"/>
        <v>46060</v>
      </c>
      <c r="CN203" s="56">
        <v>7570.04</v>
      </c>
      <c r="CO203" s="57">
        <v>2088.77</v>
      </c>
      <c r="CP203" s="58"/>
      <c r="CQ203" s="62"/>
      <c r="CR203" s="27"/>
      <c r="CS203" s="240">
        <v>114.47695999999999</v>
      </c>
      <c r="CT203" s="53">
        <v>68.707016352380961</v>
      </c>
      <c r="CU203" s="53"/>
      <c r="CV203" s="53">
        <f t="shared" si="132"/>
        <v>183.18397635238097</v>
      </c>
      <c r="CX203" s="47">
        <f t="shared" si="145"/>
        <v>46060</v>
      </c>
      <c r="CY203" s="56">
        <v>4539.54</v>
      </c>
      <c r="CZ203" s="57">
        <v>1444.56</v>
      </c>
      <c r="DA203" s="58"/>
      <c r="DB203" s="59"/>
      <c r="DC203" s="27"/>
      <c r="DD203" s="240">
        <v>55.5804580000001</v>
      </c>
      <c r="DE203" s="53">
        <v>39.682173839999933</v>
      </c>
      <c r="DF203" s="53"/>
      <c r="DG203" s="53">
        <f t="shared" si="133"/>
        <v>95.26263184000004</v>
      </c>
      <c r="DI203" s="47">
        <f t="shared" si="146"/>
        <v>46060</v>
      </c>
      <c r="DJ203" s="56">
        <v>1690.27</v>
      </c>
      <c r="DK203" s="63"/>
      <c r="DL203" s="58"/>
      <c r="DM203" s="62"/>
      <c r="DN203" s="27"/>
      <c r="DO203" s="51"/>
      <c r="DP203" s="52"/>
      <c r="DQ203" s="52"/>
      <c r="DR203" s="53">
        <f t="shared" si="134"/>
        <v>0</v>
      </c>
      <c r="DT203" s="47">
        <f t="shared" si="147"/>
        <v>46060</v>
      </c>
      <c r="DU203" s="56">
        <v>2290.85</v>
      </c>
      <c r="DV203" s="57">
        <v>0</v>
      </c>
      <c r="DW203" s="58"/>
      <c r="DX203" s="62"/>
      <c r="DY203" s="27"/>
      <c r="DZ203" s="51">
        <v>98.096890000000002</v>
      </c>
      <c r="EA203" s="52">
        <v>93.92802260000002</v>
      </c>
      <c r="EB203" s="52">
        <v>16.590171499999997</v>
      </c>
      <c r="EC203" s="53">
        <f t="shared" si="135"/>
        <v>208.61508410000002</v>
      </c>
      <c r="EE203" s="47">
        <f t="shared" si="148"/>
        <v>46060</v>
      </c>
      <c r="EF203" s="56">
        <v>4708.37</v>
      </c>
      <c r="EG203" s="57">
        <v>1473.57</v>
      </c>
      <c r="EH203" s="58"/>
      <c r="EI203" s="59">
        <v>91.56</v>
      </c>
      <c r="EJ203" s="27"/>
      <c r="EK203" s="51"/>
      <c r="EL203" s="52"/>
      <c r="EM203" s="52"/>
      <c r="EN203" s="53">
        <f t="shared" si="136"/>
        <v>91.56</v>
      </c>
      <c r="EP203" s="47">
        <f t="shared" si="149"/>
        <v>46060</v>
      </c>
      <c r="EQ203" s="64">
        <v>940.59</v>
      </c>
      <c r="ER203" s="56">
        <v>258.64</v>
      </c>
      <c r="ES203" s="58"/>
      <c r="ET203" s="59"/>
      <c r="EV203" s="51"/>
      <c r="EW203" s="52"/>
      <c r="EX203" s="52"/>
      <c r="EY203" s="53">
        <f t="shared" si="137"/>
        <v>0</v>
      </c>
    </row>
    <row r="204" spans="2:155" hidden="1" x14ac:dyDescent="0.25">
      <c r="B204" s="47">
        <v>46061</v>
      </c>
      <c r="C204" s="48">
        <v>15307.67</v>
      </c>
      <c r="D204" s="49">
        <v>2555.09</v>
      </c>
      <c r="E204" s="50">
        <v>2479.27</v>
      </c>
      <c r="F204" s="55">
        <v>346.57</v>
      </c>
      <c r="G204" s="102"/>
      <c r="H204" s="27"/>
      <c r="I204" s="51"/>
      <c r="J204" s="52"/>
      <c r="K204" s="53"/>
      <c r="L204" s="53">
        <f t="shared" si="124"/>
        <v>0</v>
      </c>
      <c r="N204" s="47">
        <f t="shared" si="138"/>
        <v>46061</v>
      </c>
      <c r="O204" s="54">
        <v>2171.14</v>
      </c>
      <c r="P204" s="54">
        <v>597.6</v>
      </c>
      <c r="Q204" s="58"/>
      <c r="R204" s="55"/>
      <c r="S204" s="27"/>
      <c r="T204" s="240">
        <v>172.75432000000006</v>
      </c>
      <c r="U204" s="52"/>
      <c r="V204" s="52"/>
      <c r="W204" s="53">
        <f t="shared" si="125"/>
        <v>172.75432000000006</v>
      </c>
      <c r="Y204" s="47">
        <f t="shared" si="139"/>
        <v>46061</v>
      </c>
      <c r="Z204" s="56">
        <v>3594.49</v>
      </c>
      <c r="AA204" s="57">
        <v>1045.24</v>
      </c>
      <c r="AB204" s="63"/>
      <c r="AC204" s="59">
        <v>146.4</v>
      </c>
      <c r="AD204" s="27"/>
      <c r="AE204" s="240">
        <v>32.395720000000011</v>
      </c>
      <c r="AF204" s="52"/>
      <c r="AG204" s="52"/>
      <c r="AH204" s="53">
        <f t="shared" si="126"/>
        <v>178.79572000000002</v>
      </c>
      <c r="AJ204" s="47">
        <f t="shared" si="140"/>
        <v>46061</v>
      </c>
      <c r="AK204" s="328">
        <v>2893.34</v>
      </c>
      <c r="AL204" s="64">
        <v>221.7</v>
      </c>
      <c r="AM204" s="58"/>
      <c r="AN204" s="58"/>
      <c r="AO204" s="27"/>
      <c r="AP204" s="51"/>
      <c r="AQ204" s="52"/>
      <c r="AR204" s="52"/>
      <c r="AS204" s="53">
        <f t="shared" si="127"/>
        <v>0</v>
      </c>
      <c r="AU204" s="113">
        <f t="shared" si="141"/>
        <v>46061</v>
      </c>
      <c r="AV204" s="57">
        <v>280</v>
      </c>
      <c r="AW204" s="57">
        <v>79.17</v>
      </c>
      <c r="AX204" s="58"/>
      <c r="AY204" s="59"/>
      <c r="AZ204" s="27"/>
      <c r="BA204" s="240">
        <v>17.605500000000006</v>
      </c>
      <c r="BB204" s="52"/>
      <c r="BC204" s="52"/>
      <c r="BD204" s="53">
        <f t="shared" si="128"/>
        <v>17.605500000000006</v>
      </c>
      <c r="BF204" s="47">
        <f t="shared" si="150"/>
        <v>46061</v>
      </c>
      <c r="BG204" s="56">
        <v>1995.49</v>
      </c>
      <c r="BH204" s="57">
        <v>691.54</v>
      </c>
      <c r="BI204" s="58"/>
      <c r="BJ204" s="59"/>
      <c r="BK204" s="27"/>
      <c r="BL204" s="240">
        <v>146.59136000000001</v>
      </c>
      <c r="BM204" s="52">
        <v>70.326346124952394</v>
      </c>
      <c r="BN204" s="52"/>
      <c r="BO204" s="53">
        <f t="shared" si="129"/>
        <v>216.91770612495242</v>
      </c>
      <c r="BQ204" s="47">
        <f t="shared" si="142"/>
        <v>46061</v>
      </c>
      <c r="BR204" s="57">
        <v>439.27</v>
      </c>
      <c r="BS204" s="57">
        <v>244.42</v>
      </c>
      <c r="BT204" s="58"/>
      <c r="BU204" s="61"/>
      <c r="BV204" s="27"/>
      <c r="BW204" s="51"/>
      <c r="BX204" s="52"/>
      <c r="BY204" s="52"/>
      <c r="BZ204" s="53">
        <f t="shared" si="130"/>
        <v>0</v>
      </c>
      <c r="CB204" s="47">
        <f t="shared" si="143"/>
        <v>46061</v>
      </c>
      <c r="CC204" s="56">
        <v>19593.47</v>
      </c>
      <c r="CD204" s="57">
        <v>1844.62</v>
      </c>
      <c r="CE204" s="58"/>
      <c r="CF204" s="117"/>
      <c r="CG204" s="27"/>
      <c r="CH204" s="51"/>
      <c r="CI204" s="52"/>
      <c r="CJ204" s="52"/>
      <c r="CK204" s="53">
        <f t="shared" si="131"/>
        <v>0</v>
      </c>
      <c r="CM204" s="47">
        <f t="shared" si="144"/>
        <v>46061</v>
      </c>
      <c r="CN204" s="56">
        <v>3952.54</v>
      </c>
      <c r="CO204" s="57">
        <v>954.57</v>
      </c>
      <c r="CP204" s="58"/>
      <c r="CQ204" s="62"/>
      <c r="CR204" s="27"/>
      <c r="CS204" s="240"/>
      <c r="CT204" s="53">
        <v>126.81304502590477</v>
      </c>
      <c r="CU204" s="53"/>
      <c r="CV204" s="53">
        <f t="shared" si="132"/>
        <v>126.81304502590477</v>
      </c>
      <c r="CX204" s="47">
        <f t="shared" si="145"/>
        <v>46061</v>
      </c>
      <c r="CY204" s="56">
        <v>8101.63</v>
      </c>
      <c r="CZ204" s="57">
        <v>1700.8</v>
      </c>
      <c r="DA204" s="58"/>
      <c r="DB204" s="59"/>
      <c r="DC204" s="27"/>
      <c r="DD204" s="240">
        <v>24.521670000000015</v>
      </c>
      <c r="DE204" s="53"/>
      <c r="DF204" s="53"/>
      <c r="DG204" s="53">
        <f t="shared" si="133"/>
        <v>24.521670000000015</v>
      </c>
      <c r="DI204" s="47">
        <f t="shared" si="146"/>
        <v>46061</v>
      </c>
      <c r="DJ204" s="56">
        <v>928.58</v>
      </c>
      <c r="DK204" s="63"/>
      <c r="DL204" s="58"/>
      <c r="DM204" s="62"/>
      <c r="DN204" s="27"/>
      <c r="DO204" s="51"/>
      <c r="DP204" s="52"/>
      <c r="DQ204" s="52"/>
      <c r="DR204" s="53">
        <f t="shared" si="134"/>
        <v>0</v>
      </c>
      <c r="DT204" s="47">
        <f t="shared" si="147"/>
        <v>46061</v>
      </c>
      <c r="DU204" s="56">
        <v>1407.81</v>
      </c>
      <c r="DV204" s="57">
        <v>168.25</v>
      </c>
      <c r="DW204" s="58"/>
      <c r="DX204" s="62"/>
      <c r="DY204" s="27"/>
      <c r="DZ204" s="51">
        <v>30.099999999999994</v>
      </c>
      <c r="EA204" s="52">
        <v>56.02186800000004</v>
      </c>
      <c r="EB204" s="52"/>
      <c r="EC204" s="53">
        <f t="shared" si="135"/>
        <v>86.121868000000035</v>
      </c>
      <c r="EE204" s="47">
        <f t="shared" si="148"/>
        <v>46061</v>
      </c>
      <c r="EF204" s="56">
        <v>2805.68</v>
      </c>
      <c r="EG204" s="57">
        <v>787.17</v>
      </c>
      <c r="EH204" s="58"/>
      <c r="EI204" s="59">
        <v>107.25</v>
      </c>
      <c r="EJ204" s="27"/>
      <c r="EK204" s="51"/>
      <c r="EL204" s="52"/>
      <c r="EM204" s="52"/>
      <c r="EN204" s="53">
        <f t="shared" si="136"/>
        <v>107.25</v>
      </c>
      <c r="EP204" s="47">
        <f t="shared" si="149"/>
        <v>46061</v>
      </c>
      <c r="EQ204" s="64">
        <v>394.5</v>
      </c>
      <c r="ER204" s="56">
        <v>365.19</v>
      </c>
      <c r="ES204" s="58"/>
      <c r="ET204" s="59"/>
      <c r="EV204" s="51"/>
      <c r="EW204" s="52"/>
      <c r="EX204" s="52"/>
      <c r="EY204" s="53">
        <f t="shared" si="137"/>
        <v>0</v>
      </c>
    </row>
    <row r="205" spans="2:155" hidden="1" x14ac:dyDescent="0.25">
      <c r="B205" s="47">
        <v>46062</v>
      </c>
      <c r="C205" s="48">
        <v>16326.35</v>
      </c>
      <c r="D205" s="49">
        <v>3071.24</v>
      </c>
      <c r="E205" s="50">
        <v>3618.41</v>
      </c>
      <c r="F205" s="49">
        <v>581.04</v>
      </c>
      <c r="G205" s="50"/>
      <c r="H205" s="27"/>
      <c r="I205" s="51"/>
      <c r="J205" s="52"/>
      <c r="K205" s="53">
        <v>6.1697661000000217</v>
      </c>
      <c r="L205" s="53">
        <f t="shared" si="124"/>
        <v>6.1697661000000217</v>
      </c>
      <c r="N205" s="47">
        <f t="shared" si="138"/>
        <v>46062</v>
      </c>
      <c r="O205" s="54">
        <v>2514.2800000000002</v>
      </c>
      <c r="P205" s="54">
        <v>713.31</v>
      </c>
      <c r="Q205" s="58"/>
      <c r="R205" s="55"/>
      <c r="S205" s="27"/>
      <c r="T205" s="240">
        <v>526.73934000000008</v>
      </c>
      <c r="U205" s="52"/>
      <c r="V205" s="52"/>
      <c r="W205" s="53">
        <f t="shared" si="125"/>
        <v>526.73934000000008</v>
      </c>
      <c r="Y205" s="47">
        <f t="shared" si="139"/>
        <v>46062</v>
      </c>
      <c r="Z205" s="56">
        <v>3276.31</v>
      </c>
      <c r="AA205" s="57">
        <v>960.4</v>
      </c>
      <c r="AB205" s="63"/>
      <c r="AC205" s="59">
        <v>58.25</v>
      </c>
      <c r="AD205" s="27"/>
      <c r="AE205" s="240">
        <v>171.31729000000016</v>
      </c>
      <c r="AF205" s="52"/>
      <c r="AG205" s="52"/>
      <c r="AH205" s="53">
        <f t="shared" si="126"/>
        <v>229.56729000000016</v>
      </c>
      <c r="AJ205" s="47">
        <f t="shared" si="140"/>
        <v>46062</v>
      </c>
      <c r="AK205" s="328">
        <v>3155.99</v>
      </c>
      <c r="AL205" s="64">
        <v>504.23</v>
      </c>
      <c r="AM205" s="58"/>
      <c r="AN205" s="58"/>
      <c r="AO205" s="27"/>
      <c r="AP205" s="51"/>
      <c r="AQ205" s="52"/>
      <c r="AR205" s="52"/>
      <c r="AS205" s="53">
        <f t="shared" si="127"/>
        <v>0</v>
      </c>
      <c r="AU205" s="113">
        <f t="shared" si="141"/>
        <v>46062</v>
      </c>
      <c r="AV205" s="57">
        <v>689.74</v>
      </c>
      <c r="AW205" s="57">
        <v>95.47</v>
      </c>
      <c r="AX205" s="58"/>
      <c r="AY205" s="59"/>
      <c r="AZ205" s="27"/>
      <c r="BA205" s="240">
        <v>68.661198000000013</v>
      </c>
      <c r="BB205" s="52"/>
      <c r="BC205" s="52"/>
      <c r="BD205" s="53">
        <f t="shared" si="128"/>
        <v>68.661198000000013</v>
      </c>
      <c r="BF205" s="47">
        <f t="shared" si="150"/>
        <v>46062</v>
      </c>
      <c r="BG205" s="56">
        <v>4432.01</v>
      </c>
      <c r="BH205" s="57">
        <v>483.13</v>
      </c>
      <c r="BI205" s="58"/>
      <c r="BJ205" s="59">
        <v>12</v>
      </c>
      <c r="BK205" s="27"/>
      <c r="BL205" s="240">
        <v>160.26737999999989</v>
      </c>
      <c r="BM205" s="52">
        <v>19.697682163809532</v>
      </c>
      <c r="BN205" s="52"/>
      <c r="BO205" s="53">
        <f t="shared" si="129"/>
        <v>191.96506216380942</v>
      </c>
      <c r="BQ205" s="47">
        <f t="shared" si="142"/>
        <v>46062</v>
      </c>
      <c r="BR205" s="57">
        <v>245.86</v>
      </c>
      <c r="BS205" s="57">
        <v>517.04999999999995</v>
      </c>
      <c r="BT205" s="58"/>
      <c r="BU205" s="61"/>
      <c r="BV205" s="27"/>
      <c r="BW205" s="51"/>
      <c r="BX205" s="52"/>
      <c r="BY205" s="52"/>
      <c r="BZ205" s="53">
        <f t="shared" si="130"/>
        <v>0</v>
      </c>
      <c r="CB205" s="47">
        <f t="shared" si="143"/>
        <v>46062</v>
      </c>
      <c r="CC205" s="56">
        <v>21470.36</v>
      </c>
      <c r="CD205" s="57">
        <v>2031.06</v>
      </c>
      <c r="CE205" s="58"/>
      <c r="CF205" s="117"/>
      <c r="CG205" s="27"/>
      <c r="CH205" s="51"/>
      <c r="CI205" s="52"/>
      <c r="CJ205" s="52"/>
      <c r="CK205" s="53">
        <f t="shared" si="131"/>
        <v>0</v>
      </c>
      <c r="CM205" s="47">
        <f t="shared" si="144"/>
        <v>46062</v>
      </c>
      <c r="CN205" s="56">
        <v>7826.08</v>
      </c>
      <c r="CO205" s="57">
        <v>1808.3</v>
      </c>
      <c r="CP205" s="58"/>
      <c r="CQ205" s="62"/>
      <c r="CR205" s="27"/>
      <c r="CS205" s="240">
        <v>29.508569999999978</v>
      </c>
      <c r="CT205" s="53">
        <v>617.95855090628572</v>
      </c>
      <c r="CU205" s="53"/>
      <c r="CV205" s="53">
        <f t="shared" si="132"/>
        <v>647.46712090628569</v>
      </c>
      <c r="CX205" s="47">
        <f t="shared" si="145"/>
        <v>46062</v>
      </c>
      <c r="CY205" s="56">
        <v>6055.55</v>
      </c>
      <c r="CZ205" s="57">
        <v>1069.67</v>
      </c>
      <c r="DA205" s="58"/>
      <c r="DB205" s="59"/>
      <c r="DC205" s="27"/>
      <c r="DD205" s="240">
        <v>38.650301000000056</v>
      </c>
      <c r="DE205" s="53">
        <v>27.688891232380968</v>
      </c>
      <c r="DF205" s="53"/>
      <c r="DG205" s="53">
        <f t="shared" si="133"/>
        <v>66.339192232381023</v>
      </c>
      <c r="DI205" s="47">
        <f t="shared" si="146"/>
        <v>46062</v>
      </c>
      <c r="DJ205" s="56">
        <v>1663.55</v>
      </c>
      <c r="DK205" s="63"/>
      <c r="DL205" s="58"/>
      <c r="DM205" s="62"/>
      <c r="DN205" s="27"/>
      <c r="DO205" s="51"/>
      <c r="DP205" s="52"/>
      <c r="DQ205" s="52"/>
      <c r="DR205" s="53">
        <f t="shared" si="134"/>
        <v>0</v>
      </c>
      <c r="DT205" s="47">
        <f t="shared" si="147"/>
        <v>46062</v>
      </c>
      <c r="DU205" s="56">
        <v>1745.6</v>
      </c>
      <c r="DV205" s="57">
        <v>355.79</v>
      </c>
      <c r="DW205" s="58"/>
      <c r="DX205" s="62"/>
      <c r="DY205" s="27"/>
      <c r="DZ205" s="51">
        <v>49.830120000000008</v>
      </c>
      <c r="EA205" s="52">
        <v>618.13695657904782</v>
      </c>
      <c r="EB205" s="52"/>
      <c r="EC205" s="53">
        <f t="shared" si="135"/>
        <v>667.96707657904778</v>
      </c>
      <c r="EE205" s="47">
        <f t="shared" si="148"/>
        <v>46062</v>
      </c>
      <c r="EF205" s="56">
        <v>4389.33</v>
      </c>
      <c r="EG205" s="57">
        <v>1281.51</v>
      </c>
      <c r="EH205" s="58"/>
      <c r="EI205" s="59">
        <v>121.78</v>
      </c>
      <c r="EJ205" s="27"/>
      <c r="EK205" s="51">
        <v>36.16810000000001</v>
      </c>
      <c r="EL205" s="52"/>
      <c r="EM205" s="52"/>
      <c r="EN205" s="53">
        <f t="shared" si="136"/>
        <v>157.94810000000001</v>
      </c>
      <c r="EP205" s="47">
        <f t="shared" si="149"/>
        <v>46062</v>
      </c>
      <c r="EQ205" s="64">
        <v>605</v>
      </c>
      <c r="ER205" s="56">
        <v>608.33000000000004</v>
      </c>
      <c r="ES205" s="58"/>
      <c r="ET205" s="59"/>
      <c r="EV205" s="51"/>
      <c r="EW205" s="52"/>
      <c r="EX205" s="52"/>
      <c r="EY205" s="53">
        <f t="shared" si="137"/>
        <v>0</v>
      </c>
    </row>
    <row r="206" spans="2:155" hidden="1" x14ac:dyDescent="0.25">
      <c r="B206" s="47">
        <v>46063</v>
      </c>
      <c r="C206" s="48">
        <v>17347.919999999998</v>
      </c>
      <c r="D206" s="49">
        <v>2698.95</v>
      </c>
      <c r="E206" s="50">
        <v>3292.1</v>
      </c>
      <c r="F206" s="49">
        <v>694.28</v>
      </c>
      <c r="G206" s="50"/>
      <c r="H206" s="27"/>
      <c r="I206" s="51"/>
      <c r="J206" s="52">
        <v>14.305762949999973</v>
      </c>
      <c r="K206" s="53"/>
      <c r="L206" s="53">
        <f t="shared" si="124"/>
        <v>14.305762949999973</v>
      </c>
      <c r="N206" s="47">
        <f t="shared" si="138"/>
        <v>46063</v>
      </c>
      <c r="O206" s="54">
        <v>1927.3</v>
      </c>
      <c r="P206" s="54">
        <v>668.53</v>
      </c>
      <c r="Q206" s="58"/>
      <c r="R206" s="55"/>
      <c r="S206" s="27"/>
      <c r="T206" s="240">
        <v>585.25</v>
      </c>
      <c r="U206" s="52"/>
      <c r="V206" s="52"/>
      <c r="W206" s="53">
        <f t="shared" si="125"/>
        <v>585.25</v>
      </c>
      <c r="Y206" s="47">
        <f t="shared" si="139"/>
        <v>46063</v>
      </c>
      <c r="Z206" s="56">
        <v>4404.6499999999996</v>
      </c>
      <c r="AA206" s="57">
        <v>1864.49</v>
      </c>
      <c r="AB206" s="63"/>
      <c r="AC206" s="59">
        <v>238.98</v>
      </c>
      <c r="AD206" s="27"/>
      <c r="AE206" s="240">
        <v>70.50060000000002</v>
      </c>
      <c r="AF206" s="52"/>
      <c r="AG206" s="52"/>
      <c r="AH206" s="53">
        <f t="shared" si="126"/>
        <v>309.48059999999998</v>
      </c>
      <c r="AJ206" s="47">
        <f t="shared" si="140"/>
        <v>46063</v>
      </c>
      <c r="AK206" s="56">
        <v>2996.51</v>
      </c>
      <c r="AL206" s="57">
        <v>415.92</v>
      </c>
      <c r="AM206" s="58"/>
      <c r="AN206" s="58"/>
      <c r="AO206" s="27"/>
      <c r="AP206" s="51"/>
      <c r="AQ206" s="52"/>
      <c r="AR206" s="52"/>
      <c r="AS206" s="53">
        <f t="shared" si="127"/>
        <v>0</v>
      </c>
      <c r="AU206" s="113">
        <f t="shared" si="141"/>
        <v>46063</v>
      </c>
      <c r="AV206" s="57">
        <v>428.52</v>
      </c>
      <c r="AW206" s="57">
        <v>64.209999999999994</v>
      </c>
      <c r="AX206" s="58"/>
      <c r="AY206" s="59"/>
      <c r="AZ206" s="27"/>
      <c r="BA206" s="240">
        <v>59.119665000000012</v>
      </c>
      <c r="BB206" s="52"/>
      <c r="BC206" s="52"/>
      <c r="BD206" s="53">
        <f t="shared" si="128"/>
        <v>59.119665000000012</v>
      </c>
      <c r="BF206" s="47">
        <f t="shared" si="150"/>
        <v>46063</v>
      </c>
      <c r="BG206" s="56">
        <v>2944.97</v>
      </c>
      <c r="BH206" s="57">
        <v>574.17999999999995</v>
      </c>
      <c r="BI206" s="58"/>
      <c r="BJ206" s="59"/>
      <c r="BK206" s="27"/>
      <c r="BL206" s="240">
        <v>626.92313000000001</v>
      </c>
      <c r="BM206" s="52">
        <v>91.9739591491429</v>
      </c>
      <c r="BN206" s="52"/>
      <c r="BO206" s="53">
        <f t="shared" si="129"/>
        <v>718.89708914914286</v>
      </c>
      <c r="BQ206" s="47">
        <f t="shared" si="142"/>
        <v>46063</v>
      </c>
      <c r="BR206" s="57">
        <v>442.53</v>
      </c>
      <c r="BS206" s="57">
        <v>218.01</v>
      </c>
      <c r="BT206" s="58"/>
      <c r="BU206" s="61"/>
      <c r="BV206" s="27"/>
      <c r="BW206" s="51"/>
      <c r="BX206" s="52"/>
      <c r="BY206" s="52"/>
      <c r="BZ206" s="53">
        <f t="shared" si="130"/>
        <v>0</v>
      </c>
      <c r="CB206" s="47">
        <f t="shared" si="143"/>
        <v>46063</v>
      </c>
      <c r="CC206" s="56">
        <v>23918.06</v>
      </c>
      <c r="CD206" s="57">
        <v>2177.61</v>
      </c>
      <c r="CE206" s="58"/>
      <c r="CF206" s="118"/>
      <c r="CG206" s="27"/>
      <c r="CH206" s="51"/>
      <c r="CI206" s="52"/>
      <c r="CJ206" s="52"/>
      <c r="CK206" s="53">
        <f t="shared" si="131"/>
        <v>0</v>
      </c>
      <c r="CM206" s="47">
        <f t="shared" si="144"/>
        <v>46063</v>
      </c>
      <c r="CN206" s="56">
        <v>8461.83</v>
      </c>
      <c r="CO206" s="57">
        <v>1438.17</v>
      </c>
      <c r="CP206" s="58"/>
      <c r="CQ206" s="62"/>
      <c r="CR206" s="27"/>
      <c r="CS206" s="240">
        <v>92.445989999999995</v>
      </c>
      <c r="CT206" s="53">
        <v>217.45297370399985</v>
      </c>
      <c r="CU206" s="53"/>
      <c r="CV206" s="53">
        <f t="shared" si="132"/>
        <v>309.89896370399981</v>
      </c>
      <c r="CX206" s="47">
        <f t="shared" si="145"/>
        <v>46063</v>
      </c>
      <c r="CY206" s="56">
        <v>5051.6899999999996</v>
      </c>
      <c r="CZ206" s="57">
        <v>1522.01</v>
      </c>
      <c r="DA206" s="58"/>
      <c r="DB206" s="59"/>
      <c r="DC206" s="27"/>
      <c r="DD206" s="240">
        <v>98.854470000000049</v>
      </c>
      <c r="DE206" s="53">
        <v>47.481230813142929</v>
      </c>
      <c r="DF206" s="53"/>
      <c r="DG206" s="53">
        <f t="shared" si="133"/>
        <v>146.33570081314298</v>
      </c>
      <c r="DI206" s="47">
        <f t="shared" si="146"/>
        <v>46063</v>
      </c>
      <c r="DJ206" s="56">
        <v>1383.89</v>
      </c>
      <c r="DK206" s="63"/>
      <c r="DL206" s="58"/>
      <c r="DM206" s="62"/>
      <c r="DN206" s="27"/>
      <c r="DO206" s="51"/>
      <c r="DP206" s="52"/>
      <c r="DQ206" s="52"/>
      <c r="DR206" s="53">
        <f t="shared" si="134"/>
        <v>0</v>
      </c>
      <c r="DT206" s="47">
        <f t="shared" si="147"/>
        <v>46063</v>
      </c>
      <c r="DU206" s="56">
        <v>670.16</v>
      </c>
      <c r="DV206" s="57">
        <v>551.54</v>
      </c>
      <c r="DW206" s="58"/>
      <c r="DX206" s="62"/>
      <c r="DY206" s="27"/>
      <c r="DZ206" s="51">
        <v>71.789959999999979</v>
      </c>
      <c r="EA206" s="52"/>
      <c r="EB206" s="52"/>
      <c r="EC206" s="53">
        <f t="shared" si="135"/>
        <v>71.789959999999979</v>
      </c>
      <c r="EE206" s="47">
        <f t="shared" si="148"/>
        <v>46063</v>
      </c>
      <c r="EF206" s="56">
        <v>4125.66</v>
      </c>
      <c r="EG206" s="57">
        <v>899.3</v>
      </c>
      <c r="EH206" s="58"/>
      <c r="EI206" s="59">
        <v>113.35</v>
      </c>
      <c r="EJ206" s="27"/>
      <c r="EK206" s="51"/>
      <c r="EL206" s="52"/>
      <c r="EM206" s="52"/>
      <c r="EN206" s="53">
        <f t="shared" si="136"/>
        <v>113.35</v>
      </c>
      <c r="EP206" s="47">
        <f t="shared" si="149"/>
        <v>46063</v>
      </c>
      <c r="EQ206" s="64">
        <v>916.96</v>
      </c>
      <c r="ER206" s="56">
        <v>604.08000000000004</v>
      </c>
      <c r="ES206" s="58"/>
      <c r="ET206" s="59"/>
      <c r="EV206" s="51"/>
      <c r="EW206" s="52"/>
      <c r="EX206" s="52"/>
      <c r="EY206" s="53">
        <f t="shared" si="137"/>
        <v>0</v>
      </c>
    </row>
    <row r="207" spans="2:155" hidden="1" x14ac:dyDescent="0.25">
      <c r="B207" s="47">
        <v>46064</v>
      </c>
      <c r="C207" s="48">
        <v>17814.12</v>
      </c>
      <c r="D207" s="49">
        <v>3693.18</v>
      </c>
      <c r="E207" s="50">
        <v>2861.33</v>
      </c>
      <c r="F207" s="49">
        <v>671.47</v>
      </c>
      <c r="G207" s="50"/>
      <c r="H207" s="27"/>
      <c r="I207" s="51"/>
      <c r="J207" s="52"/>
      <c r="K207" s="53">
        <v>5.2531218000000024</v>
      </c>
      <c r="L207" s="53">
        <f t="shared" si="124"/>
        <v>5.2531218000000024</v>
      </c>
      <c r="N207" s="47">
        <f t="shared" si="138"/>
        <v>46064</v>
      </c>
      <c r="O207" s="54">
        <v>1220.47</v>
      </c>
      <c r="P207" s="54">
        <v>543.86</v>
      </c>
      <c r="Q207" s="58"/>
      <c r="R207" s="55"/>
      <c r="S207" s="27"/>
      <c r="T207" s="240">
        <v>582.51270000000034</v>
      </c>
      <c r="U207" s="52">
        <v>115.21210675571433</v>
      </c>
      <c r="V207" s="52"/>
      <c r="W207" s="53">
        <f t="shared" si="125"/>
        <v>697.72480675571467</v>
      </c>
      <c r="Y207" s="47">
        <f t="shared" si="139"/>
        <v>46064</v>
      </c>
      <c r="Z207" s="56">
        <v>5055.04</v>
      </c>
      <c r="AA207" s="57">
        <v>1238.81</v>
      </c>
      <c r="AB207" s="63"/>
      <c r="AC207" s="59">
        <v>126.94</v>
      </c>
      <c r="AD207" s="27"/>
      <c r="AE207" s="240">
        <v>196.32359000000014</v>
      </c>
      <c r="AF207" s="52">
        <v>35.889857742857174</v>
      </c>
      <c r="AG207" s="52"/>
      <c r="AH207" s="53">
        <f t="shared" si="126"/>
        <v>359.15344774285734</v>
      </c>
      <c r="AJ207" s="47">
        <f t="shared" si="140"/>
        <v>46064</v>
      </c>
      <c r="AK207" s="56">
        <v>2526.27</v>
      </c>
      <c r="AL207" s="57">
        <v>77.11</v>
      </c>
      <c r="AM207" s="58"/>
      <c r="AN207" s="58"/>
      <c r="AO207" s="27"/>
      <c r="AP207" s="51"/>
      <c r="AQ207" s="52"/>
      <c r="AR207" s="52"/>
      <c r="AS207" s="53">
        <f t="shared" si="127"/>
        <v>0</v>
      </c>
      <c r="AU207" s="113">
        <f t="shared" si="141"/>
        <v>46064</v>
      </c>
      <c r="AV207" s="57">
        <v>381.61</v>
      </c>
      <c r="AW207" s="57">
        <v>131.91</v>
      </c>
      <c r="AX207" s="58"/>
      <c r="AY207" s="59">
        <v>48</v>
      </c>
      <c r="AZ207" s="27"/>
      <c r="BA207" s="240">
        <v>104.84836200000002</v>
      </c>
      <c r="BB207" s="52"/>
      <c r="BC207" s="52"/>
      <c r="BD207" s="53">
        <f t="shared" si="128"/>
        <v>152.84836200000001</v>
      </c>
      <c r="BF207" s="47">
        <f t="shared" si="150"/>
        <v>46064</v>
      </c>
      <c r="BG207" s="56">
        <v>3466.78</v>
      </c>
      <c r="BH207" s="57">
        <v>566.1</v>
      </c>
      <c r="BI207" s="58"/>
      <c r="BJ207" s="59">
        <v>14.18</v>
      </c>
      <c r="BK207" s="27"/>
      <c r="BL207" s="240">
        <v>553.99024999999983</v>
      </c>
      <c r="BM207" s="52"/>
      <c r="BN207" s="52"/>
      <c r="BO207" s="53">
        <f t="shared" si="129"/>
        <v>568.17024999999978</v>
      </c>
      <c r="BQ207" s="47">
        <f t="shared" si="142"/>
        <v>46064</v>
      </c>
      <c r="BR207" s="57">
        <v>80</v>
      </c>
      <c r="BS207" s="57">
        <v>457.75</v>
      </c>
      <c r="BT207" s="58"/>
      <c r="BU207" s="61"/>
      <c r="BV207" s="27"/>
      <c r="BW207" s="51"/>
      <c r="BX207" s="52"/>
      <c r="BY207" s="52"/>
      <c r="BZ207" s="53">
        <f t="shared" si="130"/>
        <v>0</v>
      </c>
      <c r="CB207" s="47">
        <f t="shared" si="143"/>
        <v>46064</v>
      </c>
      <c r="CC207" s="56">
        <v>29030.26</v>
      </c>
      <c r="CD207" s="57">
        <v>1976.95</v>
      </c>
      <c r="CE207" s="58"/>
      <c r="CF207" s="117"/>
      <c r="CG207" s="27"/>
      <c r="CH207" s="51"/>
      <c r="CI207" s="52"/>
      <c r="CJ207" s="52"/>
      <c r="CK207" s="53">
        <f t="shared" si="131"/>
        <v>0</v>
      </c>
      <c r="CM207" s="47">
        <f t="shared" si="144"/>
        <v>46064</v>
      </c>
      <c r="CN207" s="56">
        <v>10157.370000000001</v>
      </c>
      <c r="CO207" s="57">
        <v>2195.9299999999998</v>
      </c>
      <c r="CP207" s="58"/>
      <c r="CQ207" s="62"/>
      <c r="CR207" s="27"/>
      <c r="CS207" s="240"/>
      <c r="CT207" s="53">
        <v>309.53432336257117</v>
      </c>
      <c r="CU207" s="53"/>
      <c r="CV207" s="53">
        <f t="shared" si="132"/>
        <v>309.53432336257117</v>
      </c>
      <c r="CX207" s="47">
        <f t="shared" si="145"/>
        <v>46064</v>
      </c>
      <c r="CY207" s="56">
        <v>7948.14</v>
      </c>
      <c r="CZ207" s="57">
        <v>1515.26</v>
      </c>
      <c r="DA207" s="58"/>
      <c r="DB207" s="59"/>
      <c r="DC207" s="27"/>
      <c r="DD207" s="240">
        <v>138.11183800000003</v>
      </c>
      <c r="DE207" s="53">
        <v>28.902872882571444</v>
      </c>
      <c r="DF207" s="53"/>
      <c r="DG207" s="53">
        <f t="shared" si="133"/>
        <v>167.01471088257148</v>
      </c>
      <c r="DI207" s="47">
        <f t="shared" si="146"/>
        <v>46064</v>
      </c>
      <c r="DJ207" s="56">
        <v>1122.02</v>
      </c>
      <c r="DK207" s="63"/>
      <c r="DL207" s="58"/>
      <c r="DM207" s="62"/>
      <c r="DN207" s="27"/>
      <c r="DO207" s="51"/>
      <c r="DP207" s="52"/>
      <c r="DQ207" s="52"/>
      <c r="DR207" s="53">
        <f t="shared" si="134"/>
        <v>0</v>
      </c>
      <c r="DT207" s="47">
        <f t="shared" si="147"/>
        <v>46064</v>
      </c>
      <c r="DU207" s="56">
        <v>2237.67</v>
      </c>
      <c r="DV207" s="57">
        <v>191.25</v>
      </c>
      <c r="DW207" s="58"/>
      <c r="DX207" s="62"/>
      <c r="DY207" s="27"/>
      <c r="DZ207" s="51">
        <v>159.71328</v>
      </c>
      <c r="EA207" s="52">
        <v>590.94375975142873</v>
      </c>
      <c r="EB207" s="52"/>
      <c r="EC207" s="53">
        <f t="shared" si="135"/>
        <v>750.65703975142878</v>
      </c>
      <c r="EE207" s="47">
        <f t="shared" si="148"/>
        <v>46064</v>
      </c>
      <c r="EF207" s="56">
        <v>4729.0200000000004</v>
      </c>
      <c r="EG207" s="57">
        <v>1721.76</v>
      </c>
      <c r="EH207" s="58"/>
      <c r="EI207" s="59">
        <v>93.09</v>
      </c>
      <c r="EJ207" s="27"/>
      <c r="EK207" s="51"/>
      <c r="EL207" s="52"/>
      <c r="EM207" s="52"/>
      <c r="EN207" s="53">
        <f t="shared" si="136"/>
        <v>93.09</v>
      </c>
      <c r="EP207" s="47">
        <f t="shared" si="149"/>
        <v>46064</v>
      </c>
      <c r="EQ207" s="64">
        <v>802.73</v>
      </c>
      <c r="ER207" s="56">
        <v>329.4</v>
      </c>
      <c r="ES207" s="58"/>
      <c r="ET207" s="59"/>
      <c r="EV207" s="51"/>
      <c r="EW207" s="52"/>
      <c r="EX207" s="52"/>
      <c r="EY207" s="53">
        <f t="shared" si="137"/>
        <v>0</v>
      </c>
    </row>
    <row r="208" spans="2:155" hidden="1" x14ac:dyDescent="0.25">
      <c r="B208" s="47">
        <v>46065</v>
      </c>
      <c r="C208" s="48">
        <v>19455.259999999998</v>
      </c>
      <c r="D208" s="49">
        <v>3323.73</v>
      </c>
      <c r="E208" s="50">
        <v>3869.37</v>
      </c>
      <c r="F208" s="49">
        <v>612.92999999999995</v>
      </c>
      <c r="G208" s="50"/>
      <c r="H208" s="27"/>
      <c r="I208" s="51"/>
      <c r="J208" s="52"/>
      <c r="K208" s="53">
        <v>2.0484000000000009</v>
      </c>
      <c r="L208" s="53">
        <f t="shared" si="124"/>
        <v>2.0484000000000009</v>
      </c>
      <c r="N208" s="47">
        <f t="shared" si="138"/>
        <v>46065</v>
      </c>
      <c r="O208" s="54">
        <v>2712.1</v>
      </c>
      <c r="P208" s="54">
        <v>718.91</v>
      </c>
      <c r="Q208" s="58"/>
      <c r="R208" s="55"/>
      <c r="S208" s="27"/>
      <c r="T208" s="240">
        <v>151.89108000000002</v>
      </c>
      <c r="U208" s="52">
        <v>59.887024447142871</v>
      </c>
      <c r="V208" s="52"/>
      <c r="W208" s="53">
        <f t="shared" si="125"/>
        <v>211.77810444714288</v>
      </c>
      <c r="Y208" s="47">
        <f t="shared" si="139"/>
        <v>46065</v>
      </c>
      <c r="Z208" s="56">
        <v>4920.6499999999996</v>
      </c>
      <c r="AA208" s="57">
        <v>1254.1300000000001</v>
      </c>
      <c r="AB208" s="63"/>
      <c r="AC208" s="59">
        <v>65.94</v>
      </c>
      <c r="AD208" s="27"/>
      <c r="AE208" s="240">
        <v>34.177440000000018</v>
      </c>
      <c r="AF208" s="52"/>
      <c r="AG208" s="52"/>
      <c r="AH208" s="53">
        <f t="shared" si="126"/>
        <v>100.11744000000002</v>
      </c>
      <c r="AJ208" s="47">
        <f t="shared" si="140"/>
        <v>46065</v>
      </c>
      <c r="AK208" s="56">
        <v>3532.7</v>
      </c>
      <c r="AL208" s="57">
        <v>486.37</v>
      </c>
      <c r="AM208" s="58"/>
      <c r="AN208" s="58"/>
      <c r="AO208" s="27"/>
      <c r="AP208" s="51"/>
      <c r="AQ208" s="52"/>
      <c r="AR208" s="52"/>
      <c r="AS208" s="53">
        <f t="shared" si="127"/>
        <v>0</v>
      </c>
      <c r="AU208" s="113">
        <f t="shared" si="141"/>
        <v>46065</v>
      </c>
      <c r="AV208" s="57">
        <v>703.11</v>
      </c>
      <c r="AW208" s="57">
        <v>0</v>
      </c>
      <c r="AX208" s="58"/>
      <c r="AY208" s="59"/>
      <c r="AZ208" s="27"/>
      <c r="BA208" s="240">
        <v>437.79145199999999</v>
      </c>
      <c r="BB208" s="52"/>
      <c r="BC208" s="52"/>
      <c r="BD208" s="53">
        <f t="shared" si="128"/>
        <v>437.79145199999999</v>
      </c>
      <c r="BF208" s="47">
        <f t="shared" si="150"/>
        <v>46065</v>
      </c>
      <c r="BG208" s="56">
        <v>3085.31</v>
      </c>
      <c r="BH208" s="57">
        <v>652.96</v>
      </c>
      <c r="BI208" s="58"/>
      <c r="BJ208" s="59">
        <v>11.11</v>
      </c>
      <c r="BK208" s="27"/>
      <c r="BL208" s="240">
        <v>208.15401999999983</v>
      </c>
      <c r="BM208" s="52">
        <v>16.002608142857166</v>
      </c>
      <c r="BN208" s="52"/>
      <c r="BO208" s="53">
        <f t="shared" si="129"/>
        <v>235.266628142857</v>
      </c>
      <c r="BQ208" s="47">
        <f t="shared" si="142"/>
        <v>46065</v>
      </c>
      <c r="BR208" s="57">
        <v>195.48</v>
      </c>
      <c r="BS208" s="57">
        <v>10</v>
      </c>
      <c r="BT208" s="58"/>
      <c r="BU208" s="61"/>
      <c r="BV208" s="27"/>
      <c r="BW208" s="51"/>
      <c r="BX208" s="52"/>
      <c r="BY208" s="52"/>
      <c r="BZ208" s="53">
        <f t="shared" si="130"/>
        <v>0</v>
      </c>
      <c r="CB208" s="47">
        <f t="shared" si="143"/>
        <v>46065</v>
      </c>
      <c r="CC208" s="56">
        <v>26696.03</v>
      </c>
      <c r="CD208" s="57">
        <v>2167.44</v>
      </c>
      <c r="CE208" s="58"/>
      <c r="CF208" s="117"/>
      <c r="CG208" s="27"/>
      <c r="CH208" s="51"/>
      <c r="CI208" s="52"/>
      <c r="CJ208" s="52"/>
      <c r="CK208" s="53">
        <f t="shared" si="131"/>
        <v>0</v>
      </c>
      <c r="CM208" s="47">
        <f t="shared" si="144"/>
        <v>46065</v>
      </c>
      <c r="CN208" s="56">
        <v>11657.13</v>
      </c>
      <c r="CO208" s="57">
        <v>1849.1</v>
      </c>
      <c r="CP208" s="58"/>
      <c r="CQ208" s="62"/>
      <c r="CR208" s="27"/>
      <c r="CS208" s="240">
        <v>37.522729999999996</v>
      </c>
      <c r="CT208" s="53">
        <v>202.77742336885694</v>
      </c>
      <c r="CU208" s="53"/>
      <c r="CV208" s="53">
        <f t="shared" si="132"/>
        <v>240.30015336885694</v>
      </c>
      <c r="CX208" s="47">
        <f t="shared" si="145"/>
        <v>46065</v>
      </c>
      <c r="CY208" s="56">
        <v>4920.62</v>
      </c>
      <c r="CZ208" s="57">
        <v>2960.62</v>
      </c>
      <c r="DA208" s="58"/>
      <c r="DB208" s="59"/>
      <c r="DC208" s="27"/>
      <c r="DD208" s="240">
        <v>36.586004000000031</v>
      </c>
      <c r="DE208" s="53">
        <v>27.248800070571377</v>
      </c>
      <c r="DF208" s="53"/>
      <c r="DG208" s="53">
        <f t="shared" si="133"/>
        <v>63.834804070571408</v>
      </c>
      <c r="DI208" s="47">
        <f t="shared" si="146"/>
        <v>46065</v>
      </c>
      <c r="DJ208" s="56">
        <v>1650.28</v>
      </c>
      <c r="DK208" s="63"/>
      <c r="DL208" s="58"/>
      <c r="DM208" s="62"/>
      <c r="DN208" s="27"/>
      <c r="DO208" s="51"/>
      <c r="DP208" s="52"/>
      <c r="DQ208" s="52"/>
      <c r="DR208" s="53">
        <f t="shared" si="134"/>
        <v>0</v>
      </c>
      <c r="DT208" s="47">
        <f t="shared" si="147"/>
        <v>46065</v>
      </c>
      <c r="DU208" s="56">
        <v>1868.39</v>
      </c>
      <c r="DV208" s="57">
        <v>325.36</v>
      </c>
      <c r="DW208" s="58"/>
      <c r="DX208" s="62"/>
      <c r="DY208" s="27"/>
      <c r="DZ208" s="51">
        <v>109.18996</v>
      </c>
      <c r="EA208" s="52">
        <v>116.98549661514286</v>
      </c>
      <c r="EB208" s="52"/>
      <c r="EC208" s="53">
        <f t="shared" si="135"/>
        <v>226.17545661514288</v>
      </c>
      <c r="EE208" s="47">
        <f t="shared" si="148"/>
        <v>46065</v>
      </c>
      <c r="EF208" s="56">
        <v>4257.42</v>
      </c>
      <c r="EG208" s="57">
        <v>1538.46</v>
      </c>
      <c r="EH208" s="58"/>
      <c r="EI208" s="59">
        <v>144.59</v>
      </c>
      <c r="EJ208" s="27"/>
      <c r="EK208" s="51">
        <v>11.340000000000003</v>
      </c>
      <c r="EL208" s="52"/>
      <c r="EM208" s="52"/>
      <c r="EN208" s="53">
        <f t="shared" si="136"/>
        <v>155.93</v>
      </c>
      <c r="EP208" s="47">
        <f t="shared" si="149"/>
        <v>46065</v>
      </c>
      <c r="EQ208" s="64">
        <v>512.61</v>
      </c>
      <c r="ER208" s="56">
        <v>476.1</v>
      </c>
      <c r="ES208" s="58"/>
      <c r="ET208" s="59"/>
      <c r="EV208" s="51"/>
      <c r="EW208" s="52"/>
      <c r="EX208" s="52"/>
      <c r="EY208" s="53">
        <f t="shared" si="137"/>
        <v>0</v>
      </c>
    </row>
    <row r="209" spans="2:155" hidden="1" x14ac:dyDescent="0.25">
      <c r="B209" s="47">
        <v>46066</v>
      </c>
      <c r="C209" s="48">
        <v>23849.56</v>
      </c>
      <c r="D209" s="49">
        <v>3637.34</v>
      </c>
      <c r="E209" s="50">
        <v>3527.71</v>
      </c>
      <c r="F209" s="49">
        <v>681.35</v>
      </c>
      <c r="G209" s="50"/>
      <c r="H209" s="27"/>
      <c r="I209" s="51"/>
      <c r="J209" s="52"/>
      <c r="K209" s="53">
        <v>5.1210000000000093</v>
      </c>
      <c r="L209" s="53">
        <f t="shared" si="124"/>
        <v>5.1210000000000093</v>
      </c>
      <c r="N209" s="47">
        <f t="shared" si="138"/>
        <v>46066</v>
      </c>
      <c r="O209" s="54">
        <v>1955.41</v>
      </c>
      <c r="P209" s="54">
        <v>964.8</v>
      </c>
      <c r="Q209" s="58"/>
      <c r="R209" s="69"/>
      <c r="S209" s="27"/>
      <c r="T209" s="240">
        <v>271.27404000000018</v>
      </c>
      <c r="U209" s="52"/>
      <c r="V209" s="52"/>
      <c r="W209" s="53">
        <f t="shared" si="125"/>
        <v>271.27404000000018</v>
      </c>
      <c r="Y209" s="47">
        <f t="shared" si="139"/>
        <v>46066</v>
      </c>
      <c r="Z209" s="56">
        <v>6068.21</v>
      </c>
      <c r="AA209" s="57">
        <v>1667.1</v>
      </c>
      <c r="AB209" s="63"/>
      <c r="AC209" s="59">
        <v>241.28</v>
      </c>
      <c r="AD209" s="27"/>
      <c r="AE209" s="240">
        <v>364.02152000000024</v>
      </c>
      <c r="AF209" s="52"/>
      <c r="AG209" s="52"/>
      <c r="AH209" s="53">
        <f t="shared" si="126"/>
        <v>605.30152000000021</v>
      </c>
      <c r="AJ209" s="47">
        <f t="shared" si="140"/>
        <v>46066</v>
      </c>
      <c r="AK209" s="56">
        <v>3461.24</v>
      </c>
      <c r="AL209" s="57">
        <v>498.02</v>
      </c>
      <c r="AM209" s="58"/>
      <c r="AN209" s="58"/>
      <c r="AO209" s="27"/>
      <c r="AP209" s="51"/>
      <c r="AQ209" s="52"/>
      <c r="AR209" s="52"/>
      <c r="AS209" s="53">
        <f t="shared" si="127"/>
        <v>0</v>
      </c>
      <c r="AU209" s="113">
        <f t="shared" si="141"/>
        <v>46066</v>
      </c>
      <c r="AV209" s="57">
        <v>904.04</v>
      </c>
      <c r="AW209" s="57">
        <v>138.38</v>
      </c>
      <c r="AX209" s="58"/>
      <c r="AY209" s="59">
        <v>1545</v>
      </c>
      <c r="AZ209" s="27"/>
      <c r="BA209" s="240">
        <v>40.079951999999992</v>
      </c>
      <c r="BB209" s="52"/>
      <c r="BC209" s="52"/>
      <c r="BD209" s="53">
        <f t="shared" si="128"/>
        <v>1585.079952</v>
      </c>
      <c r="BF209" s="47">
        <f t="shared" si="150"/>
        <v>46066</v>
      </c>
      <c r="BG209" s="56">
        <v>4745.43</v>
      </c>
      <c r="BH209" s="57">
        <v>738.4</v>
      </c>
      <c r="BI209" s="58"/>
      <c r="BJ209" s="59"/>
      <c r="BK209" s="27"/>
      <c r="BL209" s="240">
        <v>251.05278999999987</v>
      </c>
      <c r="BM209" s="52">
        <v>35.959091466857174</v>
      </c>
      <c r="BN209" s="52"/>
      <c r="BO209" s="53">
        <f t="shared" si="129"/>
        <v>287.01188146685706</v>
      </c>
      <c r="BQ209" s="47">
        <f t="shared" si="142"/>
        <v>46066</v>
      </c>
      <c r="BR209" s="57">
        <v>174.09</v>
      </c>
      <c r="BS209" s="57">
        <v>330.75</v>
      </c>
      <c r="BT209" s="58"/>
      <c r="BU209" s="61"/>
      <c r="BV209" s="27"/>
      <c r="BW209" s="51"/>
      <c r="BX209" s="52"/>
      <c r="BY209" s="52"/>
      <c r="BZ209" s="53">
        <f t="shared" si="130"/>
        <v>0</v>
      </c>
      <c r="CB209" s="47">
        <f t="shared" si="143"/>
        <v>46066</v>
      </c>
      <c r="CC209" s="56">
        <v>26350.240000000002</v>
      </c>
      <c r="CD209" s="57">
        <v>2074.52</v>
      </c>
      <c r="CE209" s="58"/>
      <c r="CF209" s="118"/>
      <c r="CG209" s="27"/>
      <c r="CH209" s="51"/>
      <c r="CI209" s="52"/>
      <c r="CJ209" s="52"/>
      <c r="CK209" s="53">
        <f t="shared" si="131"/>
        <v>0</v>
      </c>
      <c r="CM209" s="47">
        <f t="shared" si="144"/>
        <v>46066</v>
      </c>
      <c r="CN209" s="56">
        <v>10486.13</v>
      </c>
      <c r="CO209" s="57">
        <v>2258.3000000000002</v>
      </c>
      <c r="CP209" s="58"/>
      <c r="CQ209" s="62"/>
      <c r="CR209" s="27"/>
      <c r="CS209" s="240">
        <v>37.687259999999981</v>
      </c>
      <c r="CT209" s="53">
        <v>929.31850767085666</v>
      </c>
      <c r="CU209" s="53"/>
      <c r="CV209" s="53">
        <f t="shared" si="132"/>
        <v>967.00576767085659</v>
      </c>
      <c r="CX209" s="47">
        <f t="shared" si="145"/>
        <v>46066</v>
      </c>
      <c r="CY209" s="56">
        <v>3634.79</v>
      </c>
      <c r="CZ209" s="57">
        <v>2532.17</v>
      </c>
      <c r="DA209" s="58"/>
      <c r="DB209" s="59"/>
      <c r="DC209" s="27"/>
      <c r="DD209" s="240">
        <v>92.591380000000015</v>
      </c>
      <c r="DE209" s="53">
        <v>59.393823554571497</v>
      </c>
      <c r="DF209" s="53"/>
      <c r="DG209" s="53">
        <f t="shared" si="133"/>
        <v>151.98520355457151</v>
      </c>
      <c r="DI209" s="47">
        <f t="shared" si="146"/>
        <v>46066</v>
      </c>
      <c r="DJ209" s="56">
        <v>1320.93</v>
      </c>
      <c r="DK209" s="63"/>
      <c r="DL209" s="58"/>
      <c r="DM209" s="62"/>
      <c r="DN209" s="27"/>
      <c r="DO209" s="51"/>
      <c r="DP209" s="52"/>
      <c r="DQ209" s="52"/>
      <c r="DR209" s="53">
        <f t="shared" si="134"/>
        <v>0</v>
      </c>
      <c r="DT209" s="47">
        <f t="shared" si="147"/>
        <v>46066</v>
      </c>
      <c r="DU209" s="56">
        <v>3506.26</v>
      </c>
      <c r="DV209" s="57">
        <v>461.22</v>
      </c>
      <c r="DW209" s="58"/>
      <c r="DX209" s="62"/>
      <c r="DY209" s="27"/>
      <c r="DZ209" s="51">
        <v>110.77736999999998</v>
      </c>
      <c r="EA209" s="52">
        <v>78.061230650000027</v>
      </c>
      <c r="EB209" s="52"/>
      <c r="EC209" s="53">
        <f t="shared" si="135"/>
        <v>188.83860064999999</v>
      </c>
      <c r="EE209" s="47">
        <f t="shared" si="148"/>
        <v>46066</v>
      </c>
      <c r="EF209" s="56">
        <v>4761.53</v>
      </c>
      <c r="EG209" s="57">
        <v>1162.0999999999999</v>
      </c>
      <c r="EH209" s="58"/>
      <c r="EI209" s="59">
        <v>94.4</v>
      </c>
      <c r="EJ209" s="27"/>
      <c r="EK209" s="51"/>
      <c r="EL209" s="52"/>
      <c r="EM209" s="52"/>
      <c r="EN209" s="53">
        <f t="shared" si="136"/>
        <v>94.4</v>
      </c>
      <c r="EP209" s="47">
        <f t="shared" si="149"/>
        <v>46066</v>
      </c>
      <c r="EQ209" s="64">
        <v>451.1</v>
      </c>
      <c r="ER209" s="56">
        <v>649.66</v>
      </c>
      <c r="ES209" s="58"/>
      <c r="ET209" s="59"/>
      <c r="EV209" s="51"/>
      <c r="EW209" s="52"/>
      <c r="EX209" s="52"/>
      <c r="EY209" s="53">
        <f t="shared" si="137"/>
        <v>0</v>
      </c>
    </row>
    <row r="210" spans="2:155" hidden="1" x14ac:dyDescent="0.25">
      <c r="B210" s="47">
        <v>46067</v>
      </c>
      <c r="C210" s="48">
        <v>21968.67</v>
      </c>
      <c r="D210" s="49">
        <v>3493.64</v>
      </c>
      <c r="E210" s="50">
        <v>4878.05</v>
      </c>
      <c r="F210" s="49">
        <v>470.94</v>
      </c>
      <c r="G210" s="50"/>
      <c r="H210" s="27"/>
      <c r="I210" s="51"/>
      <c r="J210" s="52">
        <v>9.2931848822856864</v>
      </c>
      <c r="K210" s="53"/>
      <c r="L210" s="53">
        <f t="shared" si="124"/>
        <v>9.2931848822856864</v>
      </c>
      <c r="N210" s="47">
        <f t="shared" si="138"/>
        <v>46067</v>
      </c>
      <c r="O210" s="54">
        <v>1697.07</v>
      </c>
      <c r="P210" s="54">
        <v>744.32</v>
      </c>
      <c r="Q210" s="58"/>
      <c r="R210" s="55"/>
      <c r="S210" s="27"/>
      <c r="T210" s="240">
        <v>249.22923000000006</v>
      </c>
      <c r="U210" s="52">
        <v>18.749785498571413</v>
      </c>
      <c r="V210" s="52"/>
      <c r="W210" s="53">
        <f t="shared" si="125"/>
        <v>267.97901549857147</v>
      </c>
      <c r="Y210" s="47">
        <f t="shared" si="139"/>
        <v>46067</v>
      </c>
      <c r="Z210" s="56">
        <v>5674.25</v>
      </c>
      <c r="AA210" s="57">
        <v>1336.62</v>
      </c>
      <c r="AB210" s="63"/>
      <c r="AC210" s="59">
        <v>97.62</v>
      </c>
      <c r="AD210" s="27"/>
      <c r="AE210" s="240">
        <v>49.322050000000004</v>
      </c>
      <c r="AF210" s="52"/>
      <c r="AG210" s="52"/>
      <c r="AH210" s="53">
        <f t="shared" si="126"/>
        <v>146.94204999999999</v>
      </c>
      <c r="AJ210" s="47">
        <f t="shared" si="140"/>
        <v>46067</v>
      </c>
      <c r="AK210" s="56">
        <v>2867.57</v>
      </c>
      <c r="AL210" s="57">
        <v>345.49</v>
      </c>
      <c r="AM210" s="58"/>
      <c r="AN210" s="58"/>
      <c r="AO210" s="27"/>
      <c r="AP210" s="51"/>
      <c r="AQ210" s="52"/>
      <c r="AR210" s="52"/>
      <c r="AS210" s="53">
        <f t="shared" si="127"/>
        <v>0</v>
      </c>
      <c r="AU210" s="113">
        <f t="shared" si="141"/>
        <v>46067</v>
      </c>
      <c r="AV210" s="57">
        <v>1399.8</v>
      </c>
      <c r="AW210" s="57">
        <v>0</v>
      </c>
      <c r="AX210" s="58"/>
      <c r="AY210" s="59"/>
      <c r="AZ210" s="27"/>
      <c r="BA210" s="240">
        <v>12.53115600000001</v>
      </c>
      <c r="BB210" s="52"/>
      <c r="BC210" s="52"/>
      <c r="BD210" s="53">
        <f t="shared" si="128"/>
        <v>12.53115600000001</v>
      </c>
      <c r="BF210" s="47">
        <f t="shared" si="150"/>
        <v>46067</v>
      </c>
      <c r="BG210" s="56">
        <v>4984.6099999999997</v>
      </c>
      <c r="BH210" s="57">
        <v>810.05</v>
      </c>
      <c r="BI210" s="58"/>
      <c r="BJ210" s="59"/>
      <c r="BK210" s="27"/>
      <c r="BL210" s="240">
        <v>138.28952999999987</v>
      </c>
      <c r="BM210" s="52">
        <v>35.536655722857134</v>
      </c>
      <c r="BN210" s="52"/>
      <c r="BO210" s="53">
        <f t="shared" si="129"/>
        <v>173.82618572285702</v>
      </c>
      <c r="BQ210" s="47">
        <f t="shared" si="142"/>
        <v>46067</v>
      </c>
      <c r="BR210" s="57">
        <v>165.96</v>
      </c>
      <c r="BS210" s="57">
        <v>248.1</v>
      </c>
      <c r="BT210" s="58"/>
      <c r="BU210" s="61"/>
      <c r="BV210" s="27"/>
      <c r="BW210" s="51"/>
      <c r="BX210" s="52"/>
      <c r="BY210" s="52"/>
      <c r="BZ210" s="53">
        <f t="shared" si="130"/>
        <v>0</v>
      </c>
      <c r="CB210" s="47">
        <f t="shared" si="143"/>
        <v>46067</v>
      </c>
      <c r="CC210" s="56">
        <v>11196.13</v>
      </c>
      <c r="CD210" s="57">
        <v>2271.31</v>
      </c>
      <c r="CE210" s="58"/>
      <c r="CF210" s="117"/>
      <c r="CG210" s="27"/>
      <c r="CH210" s="51"/>
      <c r="CI210" s="52"/>
      <c r="CJ210" s="52"/>
      <c r="CK210" s="53">
        <f t="shared" si="131"/>
        <v>0</v>
      </c>
      <c r="CM210" s="47">
        <f t="shared" si="144"/>
        <v>46067</v>
      </c>
      <c r="CN210" s="56">
        <v>8316.8799999999992</v>
      </c>
      <c r="CO210" s="57">
        <v>1741.31</v>
      </c>
      <c r="CP210" s="58"/>
      <c r="CQ210" s="62"/>
      <c r="CR210" s="27"/>
      <c r="CS210" s="240"/>
      <c r="CT210" s="53">
        <v>256.61600942114273</v>
      </c>
      <c r="CU210" s="53"/>
      <c r="CV210" s="53">
        <f t="shared" si="132"/>
        <v>256.61600942114273</v>
      </c>
      <c r="CX210" s="47">
        <f t="shared" si="145"/>
        <v>46067</v>
      </c>
      <c r="CY210" s="56">
        <v>3222.87</v>
      </c>
      <c r="CZ210" s="57">
        <v>1906.38</v>
      </c>
      <c r="DA210" s="58"/>
      <c r="DB210" s="59"/>
      <c r="DC210" s="27"/>
      <c r="DD210" s="240">
        <v>73.405919999999895</v>
      </c>
      <c r="DE210" s="53"/>
      <c r="DF210" s="53"/>
      <c r="DG210" s="53">
        <f t="shared" si="133"/>
        <v>73.405919999999895</v>
      </c>
      <c r="DI210" s="47">
        <f t="shared" si="146"/>
        <v>46067</v>
      </c>
      <c r="DJ210" s="56">
        <v>1541.67</v>
      </c>
      <c r="DK210" s="63"/>
      <c r="DL210" s="58"/>
      <c r="DM210" s="62"/>
      <c r="DN210" s="27"/>
      <c r="DO210" s="51"/>
      <c r="DP210" s="52"/>
      <c r="DQ210" s="52"/>
      <c r="DR210" s="53">
        <f t="shared" si="134"/>
        <v>0</v>
      </c>
      <c r="DT210" s="47">
        <f t="shared" si="147"/>
        <v>46067</v>
      </c>
      <c r="DU210" s="56">
        <v>923.68</v>
      </c>
      <c r="DV210" s="57">
        <v>313.11</v>
      </c>
      <c r="DW210" s="58"/>
      <c r="DX210" s="62"/>
      <c r="DY210" s="27"/>
      <c r="DZ210" s="51">
        <v>68.195380000000029</v>
      </c>
      <c r="EA210" s="52">
        <v>93.909848667142853</v>
      </c>
      <c r="EB210" s="52"/>
      <c r="EC210" s="53">
        <f t="shared" si="135"/>
        <v>162.10522866714288</v>
      </c>
      <c r="EE210" s="47">
        <f t="shared" si="148"/>
        <v>46067</v>
      </c>
      <c r="EF210" s="56">
        <v>5936.54</v>
      </c>
      <c r="EG210" s="57">
        <v>1748.17</v>
      </c>
      <c r="EH210" s="58"/>
      <c r="EI210" s="59">
        <v>106.75</v>
      </c>
      <c r="EJ210" s="27"/>
      <c r="EK210" s="51"/>
      <c r="EL210" s="52"/>
      <c r="EM210" s="52"/>
      <c r="EN210" s="53">
        <f t="shared" si="136"/>
        <v>106.75</v>
      </c>
      <c r="EP210" s="47">
        <f t="shared" si="149"/>
        <v>46067</v>
      </c>
      <c r="EQ210" s="64">
        <v>454.53</v>
      </c>
      <c r="ER210" s="56">
        <v>416.92</v>
      </c>
      <c r="ES210" s="58"/>
      <c r="ET210" s="59"/>
      <c r="EV210" s="51"/>
      <c r="EW210" s="52"/>
      <c r="EX210" s="52"/>
      <c r="EY210" s="53">
        <f t="shared" si="137"/>
        <v>0</v>
      </c>
    </row>
    <row r="211" spans="2:155" hidden="1" x14ac:dyDescent="0.25">
      <c r="B211" s="47">
        <v>46068</v>
      </c>
      <c r="C211" s="48">
        <v>18722.66</v>
      </c>
      <c r="D211" s="49">
        <v>2373.2399999999998</v>
      </c>
      <c r="E211" s="50">
        <v>2693.24</v>
      </c>
      <c r="F211" s="49">
        <v>366.17</v>
      </c>
      <c r="G211" s="50"/>
      <c r="H211" s="27"/>
      <c r="I211" s="51"/>
      <c r="J211" s="52"/>
      <c r="K211" s="53"/>
      <c r="L211" s="53">
        <f t="shared" si="124"/>
        <v>0</v>
      </c>
      <c r="N211" s="47">
        <f t="shared" si="138"/>
        <v>46068</v>
      </c>
      <c r="O211" s="54">
        <v>2752.44</v>
      </c>
      <c r="P211" s="54">
        <v>311.38</v>
      </c>
      <c r="Q211" s="58"/>
      <c r="R211" s="55"/>
      <c r="S211" s="27"/>
      <c r="T211" s="240">
        <v>203.83571999999995</v>
      </c>
      <c r="U211" s="52"/>
      <c r="V211" s="52"/>
      <c r="W211" s="53">
        <f t="shared" si="125"/>
        <v>203.83571999999995</v>
      </c>
      <c r="Y211" s="47">
        <f t="shared" si="139"/>
        <v>46068</v>
      </c>
      <c r="Z211" s="56">
        <v>5570.21</v>
      </c>
      <c r="AA211" s="57">
        <v>1248.79</v>
      </c>
      <c r="AB211" s="63"/>
      <c r="AC211" s="59">
        <v>157.97999999999999</v>
      </c>
      <c r="AD211" s="27"/>
      <c r="AE211" s="240"/>
      <c r="AF211" s="52"/>
      <c r="AG211" s="52"/>
      <c r="AH211" s="53">
        <f t="shared" si="126"/>
        <v>157.97999999999999</v>
      </c>
      <c r="AJ211" s="47">
        <f t="shared" si="140"/>
        <v>46068</v>
      </c>
      <c r="AK211" s="56">
        <v>2585.2600000000002</v>
      </c>
      <c r="AL211" s="57">
        <v>416.59</v>
      </c>
      <c r="AM211" s="58"/>
      <c r="AN211" s="58"/>
      <c r="AO211" s="27"/>
      <c r="AP211" s="51"/>
      <c r="AQ211" s="52"/>
      <c r="AR211" s="52"/>
      <c r="AS211" s="53">
        <f t="shared" si="127"/>
        <v>0</v>
      </c>
      <c r="AU211" s="113">
        <f t="shared" si="141"/>
        <v>46068</v>
      </c>
      <c r="AV211" s="57">
        <v>1060.46</v>
      </c>
      <c r="AW211" s="57">
        <v>266.36</v>
      </c>
      <c r="AX211" s="58"/>
      <c r="AY211" s="59"/>
      <c r="AZ211" s="27"/>
      <c r="BA211" s="240">
        <v>11.388828000000004</v>
      </c>
      <c r="BB211" s="52"/>
      <c r="BC211" s="52"/>
      <c r="BD211" s="53">
        <f t="shared" si="128"/>
        <v>11.388828000000004</v>
      </c>
      <c r="BF211" s="47">
        <f t="shared" si="150"/>
        <v>46068</v>
      </c>
      <c r="BG211" s="56">
        <v>3999.01</v>
      </c>
      <c r="BH211" s="57">
        <v>472.71</v>
      </c>
      <c r="BI211" s="58"/>
      <c r="BJ211" s="59">
        <v>19.7</v>
      </c>
      <c r="BK211" s="27"/>
      <c r="BL211" s="240">
        <v>205.15867999999995</v>
      </c>
      <c r="BM211" s="52"/>
      <c r="BN211" s="52"/>
      <c r="BO211" s="53">
        <f t="shared" si="129"/>
        <v>224.85867999999994</v>
      </c>
      <c r="BQ211" s="47">
        <f t="shared" si="142"/>
        <v>46068</v>
      </c>
      <c r="BR211" s="57">
        <v>65</v>
      </c>
      <c r="BS211" s="57">
        <v>352.21</v>
      </c>
      <c r="BT211" s="58"/>
      <c r="BU211" s="61"/>
      <c r="BV211" s="27"/>
      <c r="BW211" s="51"/>
      <c r="BX211" s="52"/>
      <c r="BY211" s="52"/>
      <c r="BZ211" s="53">
        <f t="shared" si="130"/>
        <v>0</v>
      </c>
      <c r="CB211" s="47">
        <f t="shared" si="143"/>
        <v>46068</v>
      </c>
      <c r="CC211" s="56">
        <v>27223.61</v>
      </c>
      <c r="CD211" s="57">
        <v>2454.91</v>
      </c>
      <c r="CE211" s="58"/>
      <c r="CF211" s="117"/>
      <c r="CG211" s="27"/>
      <c r="CH211" s="51"/>
      <c r="CI211" s="52"/>
      <c r="CJ211" s="52"/>
      <c r="CK211" s="53">
        <f t="shared" si="131"/>
        <v>0</v>
      </c>
      <c r="CM211" s="47">
        <f t="shared" si="144"/>
        <v>46068</v>
      </c>
      <c r="CN211" s="56">
        <v>6665.47</v>
      </c>
      <c r="CO211" s="57">
        <v>1062.2</v>
      </c>
      <c r="CP211" s="58"/>
      <c r="CQ211" s="62"/>
      <c r="CR211" s="27"/>
      <c r="CS211" s="240"/>
      <c r="CT211" s="53">
        <v>30.629932438285682</v>
      </c>
      <c r="CU211" s="53"/>
      <c r="CV211" s="53">
        <f t="shared" si="132"/>
        <v>30.629932438285682</v>
      </c>
      <c r="CX211" s="47">
        <f t="shared" si="145"/>
        <v>46068</v>
      </c>
      <c r="CY211" s="56">
        <v>3086.52</v>
      </c>
      <c r="CZ211" s="57">
        <v>2388.8000000000002</v>
      </c>
      <c r="DA211" s="58"/>
      <c r="DB211" s="59"/>
      <c r="DC211" s="27"/>
      <c r="DD211" s="240">
        <v>30.320387999999923</v>
      </c>
      <c r="DE211" s="53"/>
      <c r="DF211" s="53"/>
      <c r="DG211" s="53">
        <f t="shared" si="133"/>
        <v>30.320387999999923</v>
      </c>
      <c r="DI211" s="47">
        <f t="shared" si="146"/>
        <v>46068</v>
      </c>
      <c r="DJ211" s="56">
        <v>1527.02</v>
      </c>
      <c r="DK211" s="63"/>
      <c r="DL211" s="58"/>
      <c r="DM211" s="62"/>
      <c r="DN211" s="27"/>
      <c r="DO211" s="51"/>
      <c r="DP211" s="52"/>
      <c r="DQ211" s="52"/>
      <c r="DR211" s="53">
        <f t="shared" si="134"/>
        <v>0</v>
      </c>
      <c r="DT211" s="47">
        <f t="shared" si="147"/>
        <v>46068</v>
      </c>
      <c r="DU211" s="56">
        <v>2674.45</v>
      </c>
      <c r="DV211" s="57">
        <v>228.97</v>
      </c>
      <c r="DW211" s="58"/>
      <c r="DX211" s="62"/>
      <c r="DY211" s="27"/>
      <c r="DZ211" s="51">
        <v>27.399999999999977</v>
      </c>
      <c r="EA211" s="52"/>
      <c r="EB211" s="52"/>
      <c r="EC211" s="53">
        <f t="shared" si="135"/>
        <v>27.399999999999977</v>
      </c>
      <c r="EE211" s="47">
        <f t="shared" si="148"/>
        <v>46068</v>
      </c>
      <c r="EF211" s="56">
        <v>4975.84</v>
      </c>
      <c r="EG211" s="57">
        <v>669.47</v>
      </c>
      <c r="EH211" s="58"/>
      <c r="EI211" s="59">
        <v>124.89</v>
      </c>
      <c r="EJ211" s="27"/>
      <c r="EK211" s="51"/>
      <c r="EL211" s="52"/>
      <c r="EM211" s="52"/>
      <c r="EN211" s="53">
        <f t="shared" si="136"/>
        <v>124.89</v>
      </c>
      <c r="EP211" s="47">
        <f t="shared" si="149"/>
        <v>46068</v>
      </c>
      <c r="EQ211" s="64">
        <v>477.04</v>
      </c>
      <c r="ER211" s="56">
        <v>447.24</v>
      </c>
      <c r="ES211" s="58"/>
      <c r="ET211" s="59"/>
      <c r="EV211" s="51"/>
      <c r="EW211" s="52"/>
      <c r="EX211" s="52"/>
      <c r="EY211" s="53">
        <f t="shared" si="137"/>
        <v>0</v>
      </c>
    </row>
    <row r="212" spans="2:155" hidden="1" x14ac:dyDescent="0.25">
      <c r="B212" s="47">
        <v>46069</v>
      </c>
      <c r="C212" s="48">
        <v>22044.63</v>
      </c>
      <c r="D212" s="49">
        <v>2747.55</v>
      </c>
      <c r="E212" s="50">
        <v>4640.3599999999997</v>
      </c>
      <c r="F212" s="49">
        <v>644.55999999999995</v>
      </c>
      <c r="G212" s="50"/>
      <c r="H212" s="27"/>
      <c r="I212" s="51"/>
      <c r="J212" s="52"/>
      <c r="K212" s="53"/>
      <c r="L212" s="53">
        <f t="shared" si="124"/>
        <v>0</v>
      </c>
      <c r="N212" s="47">
        <f t="shared" si="138"/>
        <v>46069</v>
      </c>
      <c r="O212" s="54">
        <v>2144.88</v>
      </c>
      <c r="P212" s="54">
        <v>864.28</v>
      </c>
      <c r="Q212" s="58"/>
      <c r="R212" s="55"/>
      <c r="S212" s="27"/>
      <c r="T212" s="240">
        <v>316.13756999999993</v>
      </c>
      <c r="U212" s="52"/>
      <c r="V212" s="52"/>
      <c r="W212" s="53">
        <f t="shared" si="125"/>
        <v>316.13756999999993</v>
      </c>
      <c r="Y212" s="47">
        <f t="shared" si="139"/>
        <v>46069</v>
      </c>
      <c r="Z212" s="56">
        <v>5209.3</v>
      </c>
      <c r="AA212" s="57">
        <v>1225.67</v>
      </c>
      <c r="AB212" s="63"/>
      <c r="AC212" s="59">
        <v>141.59</v>
      </c>
      <c r="AD212" s="27"/>
      <c r="AE212" s="240">
        <v>8.2306400000000011</v>
      </c>
      <c r="AF212" s="52"/>
      <c r="AG212" s="52"/>
      <c r="AH212" s="53">
        <f t="shared" si="126"/>
        <v>149.82064</v>
      </c>
      <c r="AJ212" s="47">
        <f t="shared" si="140"/>
        <v>46069</v>
      </c>
      <c r="AK212" s="56">
        <v>3537.63</v>
      </c>
      <c r="AL212" s="57">
        <v>507.93</v>
      </c>
      <c r="AM212" s="58"/>
      <c r="AN212" s="58"/>
      <c r="AO212" s="27"/>
      <c r="AP212" s="51"/>
      <c r="AQ212" s="52"/>
      <c r="AR212" s="52"/>
      <c r="AS212" s="53">
        <f t="shared" si="127"/>
        <v>0</v>
      </c>
      <c r="AU212" s="113">
        <f t="shared" si="141"/>
        <v>46069</v>
      </c>
      <c r="AV212" s="57">
        <v>14387.46</v>
      </c>
      <c r="AW212" s="57">
        <v>48.5</v>
      </c>
      <c r="AX212" s="58"/>
      <c r="AY212" s="59">
        <v>1482.73</v>
      </c>
      <c r="AZ212" s="27"/>
      <c r="BA212" s="240">
        <v>167.03689200000005</v>
      </c>
      <c r="BB212" s="52"/>
      <c r="BC212" s="52"/>
      <c r="BD212" s="53">
        <f t="shared" si="128"/>
        <v>1649.7668920000001</v>
      </c>
      <c r="BF212" s="47">
        <f t="shared" si="150"/>
        <v>46069</v>
      </c>
      <c r="BG212" s="56">
        <v>5160.57</v>
      </c>
      <c r="BH212" s="57">
        <v>725.71</v>
      </c>
      <c r="BI212" s="58"/>
      <c r="BJ212" s="59"/>
      <c r="BK212" s="27"/>
      <c r="BL212" s="240">
        <v>357.39087999999975</v>
      </c>
      <c r="BM212" s="52"/>
      <c r="BN212" s="52"/>
      <c r="BO212" s="53">
        <f t="shared" si="129"/>
        <v>357.39087999999975</v>
      </c>
      <c r="BQ212" s="47">
        <f t="shared" si="142"/>
        <v>46069</v>
      </c>
      <c r="BR212" s="57">
        <v>345</v>
      </c>
      <c r="BS212" s="57">
        <v>347.36</v>
      </c>
      <c r="BT212" s="58"/>
      <c r="BU212" s="61"/>
      <c r="BV212" s="27"/>
      <c r="BW212" s="51"/>
      <c r="BX212" s="52"/>
      <c r="BY212" s="52"/>
      <c r="BZ212" s="53">
        <f t="shared" si="130"/>
        <v>0</v>
      </c>
      <c r="CB212" s="47">
        <f t="shared" si="143"/>
        <v>46069</v>
      </c>
      <c r="CC212" s="56">
        <v>23482.54</v>
      </c>
      <c r="CD212" s="57">
        <v>1959.11</v>
      </c>
      <c r="CE212" s="58"/>
      <c r="CF212" s="117"/>
      <c r="CG212" s="27"/>
      <c r="CH212" s="51"/>
      <c r="CI212" s="52"/>
      <c r="CJ212" s="52"/>
      <c r="CK212" s="53">
        <f t="shared" si="131"/>
        <v>0</v>
      </c>
      <c r="CM212" s="47">
        <f t="shared" si="144"/>
        <v>46069</v>
      </c>
      <c r="CN212" s="56">
        <v>10796.66</v>
      </c>
      <c r="CO212" s="57">
        <v>1602.81</v>
      </c>
      <c r="CP212" s="58"/>
      <c r="CQ212" s="62"/>
      <c r="CR212" s="27"/>
      <c r="CS212" s="240">
        <v>63.696919999999977</v>
      </c>
      <c r="CT212" s="53"/>
      <c r="CU212" s="53"/>
      <c r="CV212" s="53">
        <f t="shared" si="132"/>
        <v>63.696919999999977</v>
      </c>
      <c r="CX212" s="47">
        <f t="shared" si="145"/>
        <v>46069</v>
      </c>
      <c r="CY212" s="56">
        <v>4531.07</v>
      </c>
      <c r="CZ212" s="57">
        <v>2924.57</v>
      </c>
      <c r="DA212" s="58"/>
      <c r="DB212" s="59"/>
      <c r="DC212" s="27"/>
      <c r="DD212" s="240">
        <v>37.227287999999987</v>
      </c>
      <c r="DE212" s="53"/>
      <c r="DF212" s="53"/>
      <c r="DG212" s="53">
        <f t="shared" si="133"/>
        <v>37.227287999999987</v>
      </c>
      <c r="DI212" s="47">
        <f t="shared" si="146"/>
        <v>46069</v>
      </c>
      <c r="DJ212" s="56">
        <v>1133.83</v>
      </c>
      <c r="DK212" s="63"/>
      <c r="DL212" s="58"/>
      <c r="DM212" s="62"/>
      <c r="DN212" s="27"/>
      <c r="DO212" s="51"/>
      <c r="DP212" s="52"/>
      <c r="DQ212" s="52"/>
      <c r="DR212" s="53">
        <f t="shared" si="134"/>
        <v>0</v>
      </c>
      <c r="DT212" s="47">
        <f t="shared" si="147"/>
        <v>46069</v>
      </c>
      <c r="DU212" s="56">
        <v>1690.27</v>
      </c>
      <c r="DV212" s="57">
        <v>359.76</v>
      </c>
      <c r="DW212" s="58"/>
      <c r="DX212" s="62"/>
      <c r="DY212" s="27"/>
      <c r="DZ212" s="51">
        <v>145.68791999999999</v>
      </c>
      <c r="EA212" s="52"/>
      <c r="EB212" s="52"/>
      <c r="EC212" s="53">
        <f t="shared" si="135"/>
        <v>145.68791999999999</v>
      </c>
      <c r="EE212" s="47">
        <f t="shared" si="148"/>
        <v>46069</v>
      </c>
      <c r="EF212" s="56">
        <v>4358.3</v>
      </c>
      <c r="EG212" s="57">
        <v>933.34</v>
      </c>
      <c r="EH212" s="58"/>
      <c r="EI212" s="59">
        <v>111.28</v>
      </c>
      <c r="EJ212" s="27"/>
      <c r="EK212" s="51">
        <v>26.39027999999999</v>
      </c>
      <c r="EL212" s="52"/>
      <c r="EM212" s="52"/>
      <c r="EN212" s="53">
        <f t="shared" si="136"/>
        <v>137.67027999999999</v>
      </c>
      <c r="EP212" s="47">
        <f t="shared" si="149"/>
        <v>46069</v>
      </c>
      <c r="EQ212" s="64">
        <v>1911.34</v>
      </c>
      <c r="ER212" s="56">
        <v>348.02</v>
      </c>
      <c r="ES212" s="58"/>
      <c r="ET212" s="59"/>
      <c r="EV212" s="51"/>
      <c r="EW212" s="52"/>
      <c r="EX212" s="52"/>
      <c r="EY212" s="53">
        <f t="shared" si="137"/>
        <v>0</v>
      </c>
    </row>
    <row r="213" spans="2:155" hidden="1" x14ac:dyDescent="0.25">
      <c r="B213" s="47">
        <v>46070</v>
      </c>
      <c r="C213" s="48">
        <v>15860.05</v>
      </c>
      <c r="D213" s="49">
        <v>3485.41</v>
      </c>
      <c r="E213" s="50">
        <v>6443</v>
      </c>
      <c r="F213" s="49">
        <v>475.23</v>
      </c>
      <c r="G213" s="50"/>
      <c r="H213" s="27"/>
      <c r="I213" s="51"/>
      <c r="J213" s="52"/>
      <c r="K213" s="53"/>
      <c r="L213" s="53">
        <f t="shared" si="124"/>
        <v>0</v>
      </c>
      <c r="N213" s="47">
        <f t="shared" si="138"/>
        <v>46070</v>
      </c>
      <c r="O213" s="54">
        <v>2931.33</v>
      </c>
      <c r="P213" s="54">
        <v>579.23</v>
      </c>
      <c r="Q213" s="58"/>
      <c r="R213" s="55"/>
      <c r="S213" s="27"/>
      <c r="T213" s="240">
        <v>245.04716999999999</v>
      </c>
      <c r="U213" s="52">
        <v>12.630279685714299</v>
      </c>
      <c r="V213" s="52"/>
      <c r="W213" s="53">
        <f t="shared" si="125"/>
        <v>257.67744968571429</v>
      </c>
      <c r="Y213" s="47">
        <f t="shared" si="139"/>
        <v>46070</v>
      </c>
      <c r="Z213" s="56">
        <v>4585.37</v>
      </c>
      <c r="AA213" s="57">
        <v>1255.17</v>
      </c>
      <c r="AB213" s="63"/>
      <c r="AC213" s="59">
        <v>125.52</v>
      </c>
      <c r="AD213" s="27"/>
      <c r="AE213" s="240">
        <v>87.151710000000037</v>
      </c>
      <c r="AF213" s="52"/>
      <c r="AG213" s="52"/>
      <c r="AH213" s="53">
        <f t="shared" si="126"/>
        <v>212.67171000000002</v>
      </c>
      <c r="AJ213" s="47">
        <f t="shared" si="140"/>
        <v>46070</v>
      </c>
      <c r="AK213" s="56">
        <v>3394.34</v>
      </c>
      <c r="AL213" s="57">
        <v>438.72</v>
      </c>
      <c r="AM213" s="58"/>
      <c r="AN213" s="58"/>
      <c r="AO213" s="27"/>
      <c r="AP213" s="51"/>
      <c r="AQ213" s="52"/>
      <c r="AR213" s="52"/>
      <c r="AS213" s="53">
        <f t="shared" si="127"/>
        <v>0</v>
      </c>
      <c r="AU213" s="113">
        <f t="shared" si="141"/>
        <v>46070</v>
      </c>
      <c r="AV213" s="57">
        <v>916.69</v>
      </c>
      <c r="AW213" s="57">
        <v>141.13</v>
      </c>
      <c r="AX213" s="58"/>
      <c r="AY213" s="59"/>
      <c r="AZ213" s="27"/>
      <c r="BA213" s="240">
        <v>283.57612799999998</v>
      </c>
      <c r="BB213" s="52"/>
      <c r="BC213" s="52"/>
      <c r="BD213" s="53">
        <f t="shared" si="128"/>
        <v>283.57612799999998</v>
      </c>
      <c r="BF213" s="47">
        <f t="shared" si="150"/>
        <v>46070</v>
      </c>
      <c r="BG213" s="56">
        <v>5095.3100000000004</v>
      </c>
      <c r="BH213" s="57">
        <v>464.44</v>
      </c>
      <c r="BI213" s="58"/>
      <c r="BJ213" s="59">
        <v>60.81</v>
      </c>
      <c r="BK213" s="27"/>
      <c r="BL213" s="240">
        <v>425.37672999999984</v>
      </c>
      <c r="BM213" s="52">
        <v>53.860528420952321</v>
      </c>
      <c r="BN213" s="52"/>
      <c r="BO213" s="53">
        <f t="shared" si="129"/>
        <v>540.04725842095218</v>
      </c>
      <c r="BQ213" s="47">
        <f t="shared" si="142"/>
        <v>46070</v>
      </c>
      <c r="BR213" s="57">
        <v>317.02999999999997</v>
      </c>
      <c r="BS213" s="57">
        <v>275.66000000000003</v>
      </c>
      <c r="BT213" s="58"/>
      <c r="BU213" s="61"/>
      <c r="BV213" s="27"/>
      <c r="BW213" s="51"/>
      <c r="BX213" s="52"/>
      <c r="BY213" s="52"/>
      <c r="BZ213" s="53">
        <f t="shared" si="130"/>
        <v>0</v>
      </c>
      <c r="CB213" s="47">
        <f t="shared" si="143"/>
        <v>46070</v>
      </c>
      <c r="CC213" s="56">
        <v>19484.830000000002</v>
      </c>
      <c r="CD213" s="57">
        <v>1591.25</v>
      </c>
      <c r="CE213" s="58"/>
      <c r="CF213" s="117"/>
      <c r="CG213" s="27"/>
      <c r="CH213" s="51"/>
      <c r="CI213" s="52"/>
      <c r="CJ213" s="52"/>
      <c r="CK213" s="53">
        <f t="shared" si="131"/>
        <v>0</v>
      </c>
      <c r="CM213" s="47">
        <f t="shared" si="144"/>
        <v>46070</v>
      </c>
      <c r="CN213" s="56">
        <v>9443.2000000000007</v>
      </c>
      <c r="CO213" s="57">
        <v>1842.29</v>
      </c>
      <c r="CP213" s="58"/>
      <c r="CQ213" s="62"/>
      <c r="CR213" s="27"/>
      <c r="CS213" s="240">
        <v>26.099249999999984</v>
      </c>
      <c r="CT213" s="53">
        <v>333.45380503619043</v>
      </c>
      <c r="CU213" s="53"/>
      <c r="CV213" s="53">
        <f t="shared" si="132"/>
        <v>359.55305503619041</v>
      </c>
      <c r="CX213" s="47">
        <f t="shared" si="145"/>
        <v>46070</v>
      </c>
      <c r="CY213" s="56">
        <v>5429.7</v>
      </c>
      <c r="CZ213" s="57">
        <v>1547.55</v>
      </c>
      <c r="DA213" s="58"/>
      <c r="DB213" s="59"/>
      <c r="DC213" s="27"/>
      <c r="DD213" s="240">
        <v>55.448479999999947</v>
      </c>
      <c r="DE213" s="53">
        <v>51.934706633523803</v>
      </c>
      <c r="DF213" s="53"/>
      <c r="DG213" s="53">
        <f t="shared" si="133"/>
        <v>107.38318663352375</v>
      </c>
      <c r="DI213" s="47">
        <f t="shared" si="146"/>
        <v>46070</v>
      </c>
      <c r="DJ213" s="56">
        <v>1350.06</v>
      </c>
      <c r="DK213" s="63"/>
      <c r="DL213" s="58"/>
      <c r="DM213" s="62"/>
      <c r="DN213" s="27"/>
      <c r="DO213" s="51"/>
      <c r="DP213" s="52"/>
      <c r="DQ213" s="52"/>
      <c r="DR213" s="53">
        <f t="shared" si="134"/>
        <v>0</v>
      </c>
      <c r="DT213" s="47">
        <f t="shared" si="147"/>
        <v>46070</v>
      </c>
      <c r="DU213" s="56">
        <v>1616.79</v>
      </c>
      <c r="DV213" s="57">
        <v>364.79</v>
      </c>
      <c r="DW213" s="58"/>
      <c r="DX213" s="62"/>
      <c r="DY213" s="27"/>
      <c r="DZ213" s="51">
        <v>108.3665</v>
      </c>
      <c r="EA213" s="52">
        <v>41.645299480000062</v>
      </c>
      <c r="EB213" s="52"/>
      <c r="EC213" s="53">
        <f t="shared" si="135"/>
        <v>150.01179948000006</v>
      </c>
      <c r="EE213" s="47">
        <f t="shared" si="148"/>
        <v>46070</v>
      </c>
      <c r="EF213" s="56">
        <v>4440.32</v>
      </c>
      <c r="EG213" s="57">
        <v>1417.3</v>
      </c>
      <c r="EH213" s="58"/>
      <c r="EI213" s="59">
        <v>142.9</v>
      </c>
      <c r="EJ213" s="27"/>
      <c r="EK213" s="51"/>
      <c r="EL213" s="52"/>
      <c r="EM213" s="52"/>
      <c r="EN213" s="53">
        <f t="shared" si="136"/>
        <v>142.9</v>
      </c>
      <c r="EP213" s="47">
        <f t="shared" si="149"/>
        <v>46070</v>
      </c>
      <c r="EQ213" s="64">
        <v>579.02</v>
      </c>
      <c r="ER213" s="56">
        <v>421.57</v>
      </c>
      <c r="ES213" s="58"/>
      <c r="ET213" s="59"/>
      <c r="EV213" s="51"/>
      <c r="EW213" s="52"/>
      <c r="EX213" s="52"/>
      <c r="EY213" s="53">
        <f t="shared" si="137"/>
        <v>0</v>
      </c>
    </row>
    <row r="214" spans="2:155" hidden="1" x14ac:dyDescent="0.25">
      <c r="B214" s="47">
        <v>46071</v>
      </c>
      <c r="C214" s="48">
        <v>19884.900000000001</v>
      </c>
      <c r="D214" s="49">
        <v>3340.4</v>
      </c>
      <c r="E214" s="50">
        <v>4317.97</v>
      </c>
      <c r="F214" s="49">
        <v>672.65</v>
      </c>
      <c r="G214" s="50"/>
      <c r="H214" s="27"/>
      <c r="I214" s="51"/>
      <c r="J214" s="52"/>
      <c r="K214" s="53"/>
      <c r="L214" s="53">
        <f t="shared" si="124"/>
        <v>0</v>
      </c>
      <c r="N214" s="47">
        <f t="shared" si="138"/>
        <v>46071</v>
      </c>
      <c r="O214" s="54">
        <v>2063.98</v>
      </c>
      <c r="P214" s="54">
        <v>591.88</v>
      </c>
      <c r="Q214" s="58"/>
      <c r="R214" s="69"/>
      <c r="S214" s="27"/>
      <c r="T214" s="240">
        <v>238.91399999999987</v>
      </c>
      <c r="U214" s="52">
        <v>69.571927116190466</v>
      </c>
      <c r="V214" s="52"/>
      <c r="W214" s="53">
        <f t="shared" si="125"/>
        <v>308.48592711619034</v>
      </c>
      <c r="Y214" s="47">
        <f t="shared" si="139"/>
        <v>46071</v>
      </c>
      <c r="Z214" s="56">
        <v>6196.18</v>
      </c>
      <c r="AA214" s="57">
        <v>1399.26</v>
      </c>
      <c r="AB214" s="63"/>
      <c r="AC214" s="59">
        <v>181.68</v>
      </c>
      <c r="AD214" s="27"/>
      <c r="AE214" s="240">
        <v>41.016249999999985</v>
      </c>
      <c r="AF214" s="52"/>
      <c r="AG214" s="52"/>
      <c r="AH214" s="53">
        <f t="shared" si="126"/>
        <v>222.69624999999999</v>
      </c>
      <c r="AJ214" s="47">
        <f t="shared" si="140"/>
        <v>46071</v>
      </c>
      <c r="AK214" s="56">
        <v>3245.79</v>
      </c>
      <c r="AL214" s="57">
        <v>360.07</v>
      </c>
      <c r="AM214" s="58"/>
      <c r="AN214" s="58"/>
      <c r="AO214" s="27"/>
      <c r="AP214" s="51"/>
      <c r="AQ214" s="52"/>
      <c r="AR214" s="52"/>
      <c r="AS214" s="53">
        <f t="shared" si="127"/>
        <v>0</v>
      </c>
      <c r="AU214" s="113">
        <f t="shared" si="141"/>
        <v>46071</v>
      </c>
      <c r="AV214" s="57">
        <v>979.64</v>
      </c>
      <c r="AW214" s="57">
        <v>98.62</v>
      </c>
      <c r="AX214" s="58"/>
      <c r="AY214" s="59">
        <v>16.88</v>
      </c>
      <c r="AZ214" s="27"/>
      <c r="BA214" s="240">
        <v>140.59864999999996</v>
      </c>
      <c r="BB214" s="52"/>
      <c r="BC214" s="52"/>
      <c r="BD214" s="53">
        <f t="shared" si="128"/>
        <v>157.47864999999996</v>
      </c>
      <c r="BF214" s="47">
        <f t="shared" si="150"/>
        <v>46071</v>
      </c>
      <c r="BG214" s="56">
        <v>4038.84</v>
      </c>
      <c r="BH214" s="57">
        <v>738.04</v>
      </c>
      <c r="BI214" s="58"/>
      <c r="BJ214" s="59"/>
      <c r="BK214" s="27"/>
      <c r="BL214" s="240">
        <v>232.75313999999983</v>
      </c>
      <c r="BM214" s="52">
        <v>32.839550701714245</v>
      </c>
      <c r="BN214" s="52"/>
      <c r="BO214" s="53">
        <f t="shared" si="129"/>
        <v>265.5926907017141</v>
      </c>
      <c r="BQ214" s="47">
        <f t="shared" si="142"/>
        <v>46071</v>
      </c>
      <c r="BR214" s="57">
        <v>555.1</v>
      </c>
      <c r="BS214" s="57">
        <v>137.57</v>
      </c>
      <c r="BT214" s="58"/>
      <c r="BU214" s="61"/>
      <c r="BV214" s="27"/>
      <c r="BW214" s="51"/>
      <c r="BX214" s="52"/>
      <c r="BY214" s="52"/>
      <c r="BZ214" s="53">
        <f t="shared" si="130"/>
        <v>0</v>
      </c>
      <c r="CB214" s="47">
        <f t="shared" si="143"/>
        <v>46071</v>
      </c>
      <c r="CC214" s="56">
        <v>18718.759999999998</v>
      </c>
      <c r="CD214" s="57">
        <v>2156.63</v>
      </c>
      <c r="CE214" s="58"/>
      <c r="CF214" s="117"/>
      <c r="CG214" s="27"/>
      <c r="CH214" s="51"/>
      <c r="CI214" s="52"/>
      <c r="CJ214" s="52"/>
      <c r="CK214" s="53">
        <f t="shared" si="131"/>
        <v>0</v>
      </c>
      <c r="CM214" s="47">
        <f t="shared" si="144"/>
        <v>46071</v>
      </c>
      <c r="CN214" s="56">
        <v>11180.79</v>
      </c>
      <c r="CO214" s="57">
        <v>2305.2600000000002</v>
      </c>
      <c r="CP214" s="58"/>
      <c r="CQ214" s="62"/>
      <c r="CR214" s="27"/>
      <c r="CS214" s="240">
        <v>242.00339999999991</v>
      </c>
      <c r="CT214" s="53">
        <v>221.86322920380945</v>
      </c>
      <c r="CU214" s="53"/>
      <c r="CV214" s="53">
        <f t="shared" si="132"/>
        <v>463.86662920380934</v>
      </c>
      <c r="CX214" s="47">
        <f t="shared" si="145"/>
        <v>46071</v>
      </c>
      <c r="CY214" s="56">
        <v>4887.2700000000004</v>
      </c>
      <c r="CZ214" s="57">
        <v>1886.14</v>
      </c>
      <c r="DA214" s="58"/>
      <c r="DB214" s="59"/>
      <c r="DC214" s="27"/>
      <c r="DD214" s="240">
        <v>155.99283800000018</v>
      </c>
      <c r="DE214" s="53"/>
      <c r="DF214" s="53"/>
      <c r="DG214" s="53">
        <f t="shared" si="133"/>
        <v>155.99283800000018</v>
      </c>
      <c r="DI214" s="47">
        <f t="shared" si="146"/>
        <v>46071</v>
      </c>
      <c r="DJ214" s="56">
        <v>1215.21</v>
      </c>
      <c r="DK214" s="63"/>
      <c r="DL214" s="58"/>
      <c r="DM214" s="62"/>
      <c r="DN214" s="27"/>
      <c r="DO214" s="51"/>
      <c r="DP214" s="52"/>
      <c r="DQ214" s="52"/>
      <c r="DR214" s="53">
        <f t="shared" si="134"/>
        <v>0</v>
      </c>
      <c r="DT214" s="47">
        <f t="shared" si="147"/>
        <v>46071</v>
      </c>
      <c r="DU214" s="56">
        <v>1071.8499999999999</v>
      </c>
      <c r="DV214" s="57">
        <v>413.13</v>
      </c>
      <c r="DW214" s="58"/>
      <c r="DX214" s="62"/>
      <c r="DY214" s="27"/>
      <c r="DZ214" s="51">
        <v>322.6575899999998</v>
      </c>
      <c r="EA214" s="52">
        <v>559.07456756571469</v>
      </c>
      <c r="EB214" s="52"/>
      <c r="EC214" s="53">
        <f t="shared" si="135"/>
        <v>881.73215756571449</v>
      </c>
      <c r="EE214" s="47">
        <f t="shared" si="148"/>
        <v>46071</v>
      </c>
      <c r="EF214" s="56">
        <v>4509.62</v>
      </c>
      <c r="EG214" s="57">
        <v>1363.53</v>
      </c>
      <c r="EH214" s="58"/>
      <c r="EI214" s="59">
        <v>143.61000000000001</v>
      </c>
      <c r="EJ214" s="27"/>
      <c r="EK214" s="51"/>
      <c r="EL214" s="52"/>
      <c r="EM214" s="52"/>
      <c r="EN214" s="53">
        <f t="shared" si="136"/>
        <v>143.61000000000001</v>
      </c>
      <c r="EP214" s="47">
        <f t="shared" si="149"/>
        <v>46071</v>
      </c>
      <c r="EQ214" s="64">
        <v>689.89</v>
      </c>
      <c r="ER214" s="56">
        <v>396.03</v>
      </c>
      <c r="ES214" s="58"/>
      <c r="ET214" s="59"/>
      <c r="EV214" s="51"/>
      <c r="EW214" s="52"/>
      <c r="EX214" s="52"/>
      <c r="EY214" s="53">
        <f t="shared" si="137"/>
        <v>0</v>
      </c>
    </row>
    <row r="215" spans="2:155" hidden="1" x14ac:dyDescent="0.25">
      <c r="B215" s="47">
        <v>46072</v>
      </c>
      <c r="C215" s="48">
        <v>15515.77</v>
      </c>
      <c r="D215" s="49">
        <v>2717.65</v>
      </c>
      <c r="E215" s="50">
        <v>2830.59</v>
      </c>
      <c r="F215" s="49">
        <v>576.80999999999995</v>
      </c>
      <c r="G215" s="50"/>
      <c r="H215" s="27"/>
      <c r="I215" s="51"/>
      <c r="J215" s="52"/>
      <c r="K215" s="53"/>
      <c r="L215" s="53">
        <f t="shared" si="124"/>
        <v>0</v>
      </c>
      <c r="N215" s="47">
        <f t="shared" si="138"/>
        <v>46072</v>
      </c>
      <c r="O215" s="54">
        <v>2209.25</v>
      </c>
      <c r="P215" s="54">
        <v>458.6</v>
      </c>
      <c r="Q215" s="58"/>
      <c r="R215" s="55"/>
      <c r="S215" s="27"/>
      <c r="T215" s="240">
        <v>335.51924999999972</v>
      </c>
      <c r="U215" s="52"/>
      <c r="V215" s="52"/>
      <c r="W215" s="53">
        <f t="shared" si="125"/>
        <v>335.51924999999972</v>
      </c>
      <c r="Y215" s="47">
        <f t="shared" si="139"/>
        <v>46072</v>
      </c>
      <c r="Z215" s="56">
        <v>4107.3999999999996</v>
      </c>
      <c r="AA215" s="57">
        <v>1179.05</v>
      </c>
      <c r="AB215" s="63"/>
      <c r="AC215" s="59">
        <v>141.30000000000001</v>
      </c>
      <c r="AD215" s="27"/>
      <c r="AE215" s="240">
        <v>168.66839999999996</v>
      </c>
      <c r="AF215" s="52"/>
      <c r="AG215" s="52"/>
      <c r="AH215" s="53">
        <f t="shared" si="126"/>
        <v>309.96839999999997</v>
      </c>
      <c r="AJ215" s="47">
        <f t="shared" si="140"/>
        <v>46072</v>
      </c>
      <c r="AK215" s="56">
        <v>3607.1</v>
      </c>
      <c r="AL215" s="57">
        <v>498.34</v>
      </c>
      <c r="AM215" s="58"/>
      <c r="AN215" s="58"/>
      <c r="AO215" s="27"/>
      <c r="AP215" s="51"/>
      <c r="AQ215" s="52"/>
      <c r="AR215" s="52"/>
      <c r="AS215" s="53">
        <f t="shared" si="127"/>
        <v>0</v>
      </c>
      <c r="AU215" s="113">
        <f t="shared" si="141"/>
        <v>46072</v>
      </c>
      <c r="AV215" s="57">
        <v>494.76</v>
      </c>
      <c r="AW215" s="57">
        <v>137.43</v>
      </c>
      <c r="AX215" s="58"/>
      <c r="AY215" s="59">
        <v>78.599999999999994</v>
      </c>
      <c r="AZ215" s="27"/>
      <c r="BA215" s="240">
        <v>52.87456999999997</v>
      </c>
      <c r="BB215" s="52"/>
      <c r="BC215" s="52"/>
      <c r="BD215" s="53">
        <f t="shared" si="128"/>
        <v>131.47456999999997</v>
      </c>
      <c r="BF215" s="47">
        <f t="shared" si="150"/>
        <v>46072</v>
      </c>
      <c r="BG215" s="56">
        <v>4920.51</v>
      </c>
      <c r="BH215" s="57">
        <v>474.26</v>
      </c>
      <c r="BI215" s="58"/>
      <c r="BJ215" s="59">
        <v>13.5</v>
      </c>
      <c r="BK215" s="27"/>
      <c r="BL215" s="240">
        <v>451.99010999999973</v>
      </c>
      <c r="BM215" s="52">
        <v>61.920197991619062</v>
      </c>
      <c r="BN215" s="52"/>
      <c r="BO215" s="53">
        <f t="shared" si="129"/>
        <v>527.41030799161877</v>
      </c>
      <c r="BQ215" s="47">
        <f t="shared" si="142"/>
        <v>46072</v>
      </c>
      <c r="BR215" s="57">
        <v>622.91999999999996</v>
      </c>
      <c r="BS215" s="57">
        <v>257.14</v>
      </c>
      <c r="BT215" s="58"/>
      <c r="BU215" s="61"/>
      <c r="BV215" s="27"/>
      <c r="BW215" s="51"/>
      <c r="BX215" s="52"/>
      <c r="BY215" s="52"/>
      <c r="BZ215" s="53">
        <f t="shared" si="130"/>
        <v>0</v>
      </c>
      <c r="CB215" s="47">
        <f t="shared" si="143"/>
        <v>46072</v>
      </c>
      <c r="CC215" s="56">
        <v>19755.97</v>
      </c>
      <c r="CD215" s="57">
        <v>1539.83</v>
      </c>
      <c r="CE215" s="58"/>
      <c r="CF215" s="117"/>
      <c r="CG215" s="27"/>
      <c r="CH215" s="51"/>
      <c r="CI215" s="52"/>
      <c r="CJ215" s="52"/>
      <c r="CK215" s="53">
        <f t="shared" si="131"/>
        <v>0</v>
      </c>
      <c r="CM215" s="47">
        <f t="shared" si="144"/>
        <v>46072</v>
      </c>
      <c r="CN215" s="56">
        <v>12799.68</v>
      </c>
      <c r="CO215" s="57">
        <v>1943.59</v>
      </c>
      <c r="CP215" s="58"/>
      <c r="CQ215" s="62"/>
      <c r="CR215" s="27"/>
      <c r="CS215" s="240">
        <v>150.67239999999998</v>
      </c>
      <c r="CT215" s="53">
        <v>284.88931089828566</v>
      </c>
      <c r="CU215" s="53"/>
      <c r="CV215" s="53">
        <f t="shared" si="132"/>
        <v>435.56171089828564</v>
      </c>
      <c r="CX215" s="47">
        <f t="shared" si="145"/>
        <v>46072</v>
      </c>
      <c r="CY215" s="56">
        <v>6806.95</v>
      </c>
      <c r="CZ215" s="57">
        <v>2018.51</v>
      </c>
      <c r="DA215" s="58"/>
      <c r="DB215" s="59"/>
      <c r="DC215" s="27"/>
      <c r="DD215" s="240">
        <v>103.57365000000007</v>
      </c>
      <c r="DE215" s="53">
        <v>13.444436218666738</v>
      </c>
      <c r="DF215" s="53"/>
      <c r="DG215" s="53">
        <f t="shared" si="133"/>
        <v>117.01808621866681</v>
      </c>
      <c r="DI215" s="47">
        <f t="shared" si="146"/>
        <v>46072</v>
      </c>
      <c r="DJ215" s="56">
        <v>713.91</v>
      </c>
      <c r="DK215" s="63"/>
      <c r="DL215" s="58"/>
      <c r="DM215" s="62"/>
      <c r="DN215" s="27"/>
      <c r="DO215" s="51"/>
      <c r="DP215" s="52"/>
      <c r="DQ215" s="52"/>
      <c r="DR215" s="53">
        <f t="shared" si="134"/>
        <v>0</v>
      </c>
      <c r="DT215" s="47">
        <f t="shared" si="147"/>
        <v>46072</v>
      </c>
      <c r="DU215" s="56">
        <v>260.73</v>
      </c>
      <c r="DV215" s="57">
        <v>119.74</v>
      </c>
      <c r="DW215" s="58"/>
      <c r="DX215" s="62"/>
      <c r="DY215" s="27"/>
      <c r="DZ215" s="51">
        <v>104.69861999999995</v>
      </c>
      <c r="EA215" s="52"/>
      <c r="EB215" s="52"/>
      <c r="EC215" s="53">
        <f t="shared" si="135"/>
        <v>104.69861999999995</v>
      </c>
      <c r="EE215" s="47">
        <f t="shared" si="148"/>
        <v>46072</v>
      </c>
      <c r="EF215" s="56">
        <v>5912.91</v>
      </c>
      <c r="EG215" s="57">
        <v>1426</v>
      </c>
      <c r="EH215" s="58"/>
      <c r="EI215" s="59">
        <v>130.71</v>
      </c>
      <c r="EJ215" s="27"/>
      <c r="EK215" s="51"/>
      <c r="EL215" s="52"/>
      <c r="EM215" s="52"/>
      <c r="EN215" s="53">
        <f t="shared" si="136"/>
        <v>130.71</v>
      </c>
      <c r="EP215" s="47">
        <f t="shared" si="149"/>
        <v>46072</v>
      </c>
      <c r="EQ215" s="64">
        <v>1287.2</v>
      </c>
      <c r="ER215" s="56">
        <v>436.12</v>
      </c>
      <c r="ES215" s="58"/>
      <c r="ET215" s="59"/>
      <c r="EV215" s="51"/>
      <c r="EW215" s="52"/>
      <c r="EX215" s="52"/>
      <c r="EY215" s="53">
        <f t="shared" si="137"/>
        <v>0</v>
      </c>
    </row>
    <row r="216" spans="2:155" hidden="1" x14ac:dyDescent="0.25">
      <c r="B216" s="47">
        <v>46073</v>
      </c>
      <c r="C216" s="48">
        <v>18484.32</v>
      </c>
      <c r="D216" s="49">
        <v>3146.92</v>
      </c>
      <c r="E216" s="50">
        <v>3035.12</v>
      </c>
      <c r="F216" s="49">
        <v>620</v>
      </c>
      <c r="G216" s="50"/>
      <c r="H216" s="27"/>
      <c r="I216" s="51"/>
      <c r="J216" s="52"/>
      <c r="K216" s="53">
        <v>14.950343199999992</v>
      </c>
      <c r="L216" s="53">
        <f t="shared" si="124"/>
        <v>14.950343199999992</v>
      </c>
      <c r="N216" s="47">
        <f t="shared" si="138"/>
        <v>46073</v>
      </c>
      <c r="O216" s="54">
        <v>2174.4</v>
      </c>
      <c r="P216" s="54">
        <v>694.93</v>
      </c>
      <c r="Q216" s="58"/>
      <c r="R216" s="55"/>
      <c r="S216" s="27"/>
      <c r="T216" s="240">
        <v>263.32439999999986</v>
      </c>
      <c r="U216" s="52"/>
      <c r="V216" s="52"/>
      <c r="W216" s="53">
        <f t="shared" si="125"/>
        <v>263.32439999999986</v>
      </c>
      <c r="Y216" s="47">
        <f t="shared" si="139"/>
        <v>46073</v>
      </c>
      <c r="Z216" s="56">
        <v>4859.41</v>
      </c>
      <c r="AA216" s="57">
        <v>929.98</v>
      </c>
      <c r="AB216" s="63"/>
      <c r="AC216" s="59">
        <v>85.92</v>
      </c>
      <c r="AD216" s="27"/>
      <c r="AE216" s="240"/>
      <c r="AF216" s="52"/>
      <c r="AG216" s="52"/>
      <c r="AH216" s="53">
        <f t="shared" si="126"/>
        <v>85.92</v>
      </c>
      <c r="AJ216" s="47">
        <f t="shared" si="140"/>
        <v>46073</v>
      </c>
      <c r="AK216" s="56">
        <v>3805.22</v>
      </c>
      <c r="AL216" s="57">
        <v>558.58000000000004</v>
      </c>
      <c r="AM216" s="58"/>
      <c r="AN216" s="58"/>
      <c r="AO216" s="27"/>
      <c r="AP216" s="51"/>
      <c r="AQ216" s="52"/>
      <c r="AR216" s="52"/>
      <c r="AS216" s="53">
        <f t="shared" si="127"/>
        <v>0</v>
      </c>
      <c r="AU216" s="113">
        <f t="shared" si="141"/>
        <v>46073</v>
      </c>
      <c r="AV216" s="57">
        <v>300</v>
      </c>
      <c r="AW216" s="57">
        <v>310.33</v>
      </c>
      <c r="AX216" s="58"/>
      <c r="AY216" s="59">
        <v>54</v>
      </c>
      <c r="AZ216" s="27"/>
      <c r="BA216" s="240">
        <v>149.70143999999982</v>
      </c>
      <c r="BB216" s="52"/>
      <c r="BC216" s="52"/>
      <c r="BD216" s="53">
        <f t="shared" si="128"/>
        <v>203.70143999999982</v>
      </c>
      <c r="BF216" s="47">
        <f t="shared" si="150"/>
        <v>46073</v>
      </c>
      <c r="BG216" s="56">
        <v>4741.5600000000004</v>
      </c>
      <c r="BH216" s="57">
        <v>776.7</v>
      </c>
      <c r="BI216" s="58"/>
      <c r="BJ216" s="59">
        <v>12.5</v>
      </c>
      <c r="BK216" s="27"/>
      <c r="BL216" s="240">
        <v>541.79348999999991</v>
      </c>
      <c r="BM216" s="52">
        <v>52.07477980000003</v>
      </c>
      <c r="BN216" s="52"/>
      <c r="BO216" s="53">
        <f t="shared" si="129"/>
        <v>606.36826979999989</v>
      </c>
      <c r="BQ216" s="47">
        <f t="shared" si="142"/>
        <v>46073</v>
      </c>
      <c r="BR216" s="57">
        <v>512.01</v>
      </c>
      <c r="BS216" s="57">
        <v>373.08</v>
      </c>
      <c r="BT216" s="58"/>
      <c r="BU216" s="61"/>
      <c r="BV216" s="27"/>
      <c r="BW216" s="51"/>
      <c r="BX216" s="52"/>
      <c r="BY216" s="52"/>
      <c r="BZ216" s="53">
        <f t="shared" si="130"/>
        <v>0</v>
      </c>
      <c r="CB216" s="47">
        <f t="shared" si="143"/>
        <v>46073</v>
      </c>
      <c r="CC216" s="56">
        <v>25178</v>
      </c>
      <c r="CD216" s="57">
        <v>2754.01</v>
      </c>
      <c r="CE216" s="58"/>
      <c r="CF216" s="117"/>
      <c r="CG216" s="27"/>
      <c r="CH216" s="51"/>
      <c r="CI216" s="52"/>
      <c r="CJ216" s="52"/>
      <c r="CK216" s="53">
        <f t="shared" si="131"/>
        <v>0</v>
      </c>
      <c r="CM216" s="47">
        <f t="shared" si="144"/>
        <v>46073</v>
      </c>
      <c r="CN216" s="56">
        <v>11355.29</v>
      </c>
      <c r="CO216" s="57">
        <v>1811.49</v>
      </c>
      <c r="CP216" s="58"/>
      <c r="CQ216" s="62"/>
      <c r="CR216" s="27"/>
      <c r="CS216" s="240">
        <v>100.16499999999994</v>
      </c>
      <c r="CT216" s="53">
        <v>134.52587959999988</v>
      </c>
      <c r="CU216" s="53"/>
      <c r="CV216" s="53">
        <f t="shared" si="132"/>
        <v>234.69087959999982</v>
      </c>
      <c r="CX216" s="47">
        <f t="shared" si="145"/>
        <v>46073</v>
      </c>
      <c r="CY216" s="56">
        <v>5962.12</v>
      </c>
      <c r="CZ216" s="57">
        <v>1449.29</v>
      </c>
      <c r="DA216" s="58"/>
      <c r="DB216" s="59"/>
      <c r="DC216" s="27"/>
      <c r="DD216" s="240">
        <v>73.718898000000081</v>
      </c>
      <c r="DE216" s="53">
        <v>19.489180239999939</v>
      </c>
      <c r="DF216" s="53"/>
      <c r="DG216" s="53">
        <f t="shared" si="133"/>
        <v>93.20807824000002</v>
      </c>
      <c r="DI216" s="47">
        <f t="shared" si="146"/>
        <v>46073</v>
      </c>
      <c r="DJ216" s="56">
        <v>975</v>
      </c>
      <c r="DK216" s="63"/>
      <c r="DL216" s="58"/>
      <c r="DM216" s="62"/>
      <c r="DN216" s="27"/>
      <c r="DO216" s="51"/>
      <c r="DP216" s="52"/>
      <c r="DQ216" s="52"/>
      <c r="DR216" s="53">
        <f t="shared" si="134"/>
        <v>0</v>
      </c>
      <c r="DT216" s="47">
        <f t="shared" si="147"/>
        <v>46073</v>
      </c>
      <c r="DU216" s="56">
        <v>1374.36</v>
      </c>
      <c r="DV216" s="57">
        <v>51.78</v>
      </c>
      <c r="DW216" s="58"/>
      <c r="DX216" s="62"/>
      <c r="DY216" s="27"/>
      <c r="DZ216" s="51">
        <v>66.407369999999986</v>
      </c>
      <c r="EA216" s="52">
        <v>59.840136600000022</v>
      </c>
      <c r="EB216" s="52"/>
      <c r="EC216" s="53">
        <f t="shared" si="135"/>
        <v>126.24750660000001</v>
      </c>
      <c r="EE216" s="47">
        <f t="shared" si="148"/>
        <v>46073</v>
      </c>
      <c r="EF216" s="56">
        <v>6806.56</v>
      </c>
      <c r="EG216" s="57">
        <v>1463.81</v>
      </c>
      <c r="EH216" s="58"/>
      <c r="EI216" s="59">
        <v>121.58</v>
      </c>
      <c r="EJ216" s="27"/>
      <c r="EK216" s="51">
        <v>39.492499999999978</v>
      </c>
      <c r="EL216" s="52"/>
      <c r="EM216" s="52"/>
      <c r="EN216" s="53">
        <f t="shared" si="136"/>
        <v>161.07249999999999</v>
      </c>
      <c r="EP216" s="47">
        <f t="shared" si="149"/>
        <v>46073</v>
      </c>
      <c r="EQ216" s="64">
        <v>1376.75</v>
      </c>
      <c r="ER216" s="56">
        <v>502.3</v>
      </c>
      <c r="ES216" s="58"/>
      <c r="ET216" s="59"/>
      <c r="EV216" s="51"/>
      <c r="EW216" s="52"/>
      <c r="EX216" s="52"/>
      <c r="EY216" s="53">
        <f t="shared" si="137"/>
        <v>0</v>
      </c>
    </row>
    <row r="217" spans="2:155" hidden="1" x14ac:dyDescent="0.25">
      <c r="B217" s="47">
        <v>46074</v>
      </c>
      <c r="C217" s="48">
        <v>18772.849999999999</v>
      </c>
      <c r="D217" s="49">
        <v>3977.29</v>
      </c>
      <c r="E217" s="50">
        <v>4118.0600000000004</v>
      </c>
      <c r="F217" s="49">
        <v>410.53</v>
      </c>
      <c r="G217" s="50"/>
      <c r="H217" s="27"/>
      <c r="I217" s="51"/>
      <c r="J217" s="52"/>
      <c r="K217" s="53"/>
      <c r="L217" s="53">
        <f t="shared" si="124"/>
        <v>0</v>
      </c>
      <c r="N217" s="47">
        <f t="shared" si="138"/>
        <v>46074</v>
      </c>
      <c r="O217" s="54">
        <v>3130.11</v>
      </c>
      <c r="P217" s="54">
        <v>742.78</v>
      </c>
      <c r="Q217" s="58"/>
      <c r="R217" s="55"/>
      <c r="S217" s="27"/>
      <c r="T217" s="240">
        <v>140.41967999999994</v>
      </c>
      <c r="U217" s="52"/>
      <c r="V217" s="52"/>
      <c r="W217" s="53">
        <f t="shared" si="125"/>
        <v>140.41967999999994</v>
      </c>
      <c r="Y217" s="47">
        <f t="shared" si="139"/>
        <v>46074</v>
      </c>
      <c r="Z217" s="56">
        <v>5082.13</v>
      </c>
      <c r="AA217" s="57">
        <v>1376.25</v>
      </c>
      <c r="AB217" s="63"/>
      <c r="AC217" s="59">
        <v>124.69</v>
      </c>
      <c r="AD217" s="27"/>
      <c r="AE217" s="240">
        <v>27.022080000000017</v>
      </c>
      <c r="AF217" s="52"/>
      <c r="AG217" s="52"/>
      <c r="AH217" s="53">
        <f t="shared" si="126"/>
        <v>151.71208000000001</v>
      </c>
      <c r="AJ217" s="47">
        <f t="shared" si="140"/>
        <v>46074</v>
      </c>
      <c r="AK217" s="56">
        <v>2753.93</v>
      </c>
      <c r="AL217" s="57">
        <v>636.91999999999996</v>
      </c>
      <c r="AM217" s="58"/>
      <c r="AN217" s="58"/>
      <c r="AO217" s="27"/>
      <c r="AP217" s="51"/>
      <c r="AQ217" s="52"/>
      <c r="AR217" s="52"/>
      <c r="AS217" s="53">
        <f t="shared" si="127"/>
        <v>0</v>
      </c>
      <c r="AU217" s="113">
        <f t="shared" si="141"/>
        <v>46074</v>
      </c>
      <c r="AV217" s="57">
        <v>2161.52</v>
      </c>
      <c r="AW217" s="57">
        <v>60.98</v>
      </c>
      <c r="AX217" s="58"/>
      <c r="AY217" s="59"/>
      <c r="AZ217" s="27"/>
      <c r="BA217" s="240">
        <v>50.269209999999973</v>
      </c>
      <c r="BB217" s="52"/>
      <c r="BC217" s="52"/>
      <c r="BD217" s="53">
        <f t="shared" si="128"/>
        <v>50.269209999999973</v>
      </c>
      <c r="BF217" s="47">
        <f t="shared" si="150"/>
        <v>46074</v>
      </c>
      <c r="BG217" s="56">
        <v>5195.34</v>
      </c>
      <c r="BH217" s="57">
        <v>663.39</v>
      </c>
      <c r="BI217" s="58"/>
      <c r="BJ217" s="59"/>
      <c r="BK217" s="27"/>
      <c r="BL217" s="240">
        <v>213.97151999999988</v>
      </c>
      <c r="BM217" s="52">
        <v>57.538909600000011</v>
      </c>
      <c r="BN217" s="52"/>
      <c r="BO217" s="53">
        <f t="shared" si="129"/>
        <v>271.5104295999999</v>
      </c>
      <c r="BQ217" s="47">
        <f t="shared" si="142"/>
        <v>46074</v>
      </c>
      <c r="BR217" s="57">
        <v>133</v>
      </c>
      <c r="BS217" s="57">
        <v>170.11</v>
      </c>
      <c r="BT217" s="58"/>
      <c r="BU217" s="61"/>
      <c r="BV217" s="27"/>
      <c r="BW217" s="51"/>
      <c r="BX217" s="52"/>
      <c r="BY217" s="52"/>
      <c r="BZ217" s="53">
        <f t="shared" si="130"/>
        <v>0</v>
      </c>
      <c r="CB217" s="47">
        <f t="shared" si="143"/>
        <v>46074</v>
      </c>
      <c r="CC217" s="56">
        <v>26140.54</v>
      </c>
      <c r="CD217" s="57">
        <v>2272.15</v>
      </c>
      <c r="CE217" s="58"/>
      <c r="CF217" s="117"/>
      <c r="CG217" s="27"/>
      <c r="CH217" s="51"/>
      <c r="CI217" s="52"/>
      <c r="CJ217" s="52"/>
      <c r="CK217" s="53">
        <f t="shared" si="131"/>
        <v>0</v>
      </c>
      <c r="CM217" s="47">
        <f t="shared" si="144"/>
        <v>46074</v>
      </c>
      <c r="CN217" s="56">
        <v>8404.33</v>
      </c>
      <c r="CO217" s="57">
        <v>1699.77</v>
      </c>
      <c r="CP217" s="58"/>
      <c r="CQ217" s="62"/>
      <c r="CR217" s="27"/>
      <c r="CS217" s="240">
        <v>18.999999999999986</v>
      </c>
      <c r="CT217" s="53">
        <v>9.8601276000000038</v>
      </c>
      <c r="CU217" s="53">
        <v>25.61541416</v>
      </c>
      <c r="CV217" s="53">
        <f t="shared" si="132"/>
        <v>54.475541759999992</v>
      </c>
      <c r="CX217" s="47">
        <f t="shared" si="145"/>
        <v>46074</v>
      </c>
      <c r="CY217" s="56">
        <v>6881.04</v>
      </c>
      <c r="CZ217" s="57">
        <v>1906.58</v>
      </c>
      <c r="DA217" s="58"/>
      <c r="DB217" s="59"/>
      <c r="DC217" s="27"/>
      <c r="DD217" s="240">
        <v>100.01275400000016</v>
      </c>
      <c r="DE217" s="53">
        <v>14.146625519999986</v>
      </c>
      <c r="DF217" s="53"/>
      <c r="DG217" s="53">
        <f t="shared" si="133"/>
        <v>114.15937952000014</v>
      </c>
      <c r="DI217" s="47">
        <f t="shared" si="146"/>
        <v>46074</v>
      </c>
      <c r="DJ217" s="56">
        <v>1858.2</v>
      </c>
      <c r="DK217" s="63"/>
      <c r="DL217" s="58"/>
      <c r="DM217" s="62"/>
      <c r="DN217" s="27"/>
      <c r="DO217" s="51"/>
      <c r="DP217" s="52"/>
      <c r="DQ217" s="52"/>
      <c r="DR217" s="53">
        <f t="shared" si="134"/>
        <v>0</v>
      </c>
      <c r="DT217" s="47">
        <f t="shared" si="147"/>
        <v>46074</v>
      </c>
      <c r="DU217" s="56">
        <v>2937.94</v>
      </c>
      <c r="DV217" s="57">
        <v>63.29</v>
      </c>
      <c r="DW217" s="58"/>
      <c r="DX217" s="62"/>
      <c r="DY217" s="27"/>
      <c r="DZ217" s="51">
        <v>144.59188999999992</v>
      </c>
      <c r="EA217" s="52"/>
      <c r="EB217" s="52"/>
      <c r="EC217" s="53">
        <f t="shared" si="135"/>
        <v>144.59188999999992</v>
      </c>
      <c r="EE217" s="47">
        <f t="shared" si="148"/>
        <v>46074</v>
      </c>
      <c r="EF217" s="56">
        <v>6439.43</v>
      </c>
      <c r="EG217" s="57">
        <v>1579.61</v>
      </c>
      <c r="EH217" s="58"/>
      <c r="EI217" s="59">
        <v>88.29</v>
      </c>
      <c r="EJ217" s="27"/>
      <c r="EK217" s="51"/>
      <c r="EL217" s="52"/>
      <c r="EM217" s="52"/>
      <c r="EN217" s="53">
        <f t="shared" si="136"/>
        <v>88.29</v>
      </c>
      <c r="EP217" s="47">
        <f t="shared" si="149"/>
        <v>46074</v>
      </c>
      <c r="EQ217" s="64">
        <v>937.7</v>
      </c>
      <c r="ER217" s="56">
        <v>388.83</v>
      </c>
      <c r="ES217" s="58"/>
      <c r="ET217" s="59"/>
      <c r="EV217" s="51"/>
      <c r="EW217" s="52"/>
      <c r="EX217" s="52"/>
      <c r="EY217" s="53">
        <f t="shared" si="137"/>
        <v>0</v>
      </c>
    </row>
    <row r="218" spans="2:155" hidden="1" x14ac:dyDescent="0.25">
      <c r="B218" s="47">
        <v>46075</v>
      </c>
      <c r="C218" s="48">
        <v>16997.830000000002</v>
      </c>
      <c r="D218" s="49">
        <v>2795.91</v>
      </c>
      <c r="E218" s="50">
        <v>2277.5500000000002</v>
      </c>
      <c r="F218" s="49">
        <v>364.83</v>
      </c>
      <c r="G218" s="50"/>
      <c r="H218" s="27"/>
      <c r="I218" s="51"/>
      <c r="J218" s="52"/>
      <c r="K218" s="53"/>
      <c r="L218" s="53">
        <f t="shared" si="124"/>
        <v>0</v>
      </c>
      <c r="N218" s="47">
        <f t="shared" si="138"/>
        <v>46075</v>
      </c>
      <c r="O218" s="54">
        <v>5313.44</v>
      </c>
      <c r="P218" s="54">
        <v>887.87</v>
      </c>
      <c r="Q218" s="55"/>
      <c r="R218" s="55">
        <v>56.11</v>
      </c>
      <c r="S218" s="27"/>
      <c r="T218" s="240">
        <v>106.54811999999995</v>
      </c>
      <c r="U218" s="52"/>
      <c r="V218" s="52"/>
      <c r="W218" s="53">
        <f t="shared" si="125"/>
        <v>162.65811999999994</v>
      </c>
      <c r="Y218" s="47">
        <f t="shared" si="139"/>
        <v>46075</v>
      </c>
      <c r="Z218" s="56">
        <v>4115.6899999999996</v>
      </c>
      <c r="AA218" s="57">
        <v>1091.68</v>
      </c>
      <c r="AB218" s="104"/>
      <c r="AC218" s="59">
        <v>199.44</v>
      </c>
      <c r="AD218" s="27"/>
      <c r="AE218" s="240">
        <v>54.597070000000002</v>
      </c>
      <c r="AF218" s="52"/>
      <c r="AG218" s="52"/>
      <c r="AH218" s="53">
        <f t="shared" si="126"/>
        <v>254.03707</v>
      </c>
      <c r="AJ218" s="47">
        <f t="shared" si="140"/>
        <v>46075</v>
      </c>
      <c r="AK218" s="56">
        <v>2815.24</v>
      </c>
      <c r="AL218" s="57">
        <v>560.36</v>
      </c>
      <c r="AM218" s="70"/>
      <c r="AN218" s="58"/>
      <c r="AO218" s="27"/>
      <c r="AP218" s="51"/>
      <c r="AQ218" s="52"/>
      <c r="AR218" s="52"/>
      <c r="AS218" s="53">
        <f t="shared" si="127"/>
        <v>0</v>
      </c>
      <c r="AU218" s="113">
        <f t="shared" si="141"/>
        <v>46075</v>
      </c>
      <c r="AV218" s="57">
        <v>889.33</v>
      </c>
      <c r="AW218" s="57">
        <v>69.34</v>
      </c>
      <c r="AX218" s="70"/>
      <c r="AY218" s="59"/>
      <c r="AZ218" s="27"/>
      <c r="BA218" s="240">
        <v>29.26764</v>
      </c>
      <c r="BB218" s="52">
        <v>102.57679359999986</v>
      </c>
      <c r="BC218" s="52"/>
      <c r="BD218" s="53">
        <f t="shared" si="128"/>
        <v>131.84443359999986</v>
      </c>
      <c r="BF218" s="47">
        <f t="shared" si="150"/>
        <v>46075</v>
      </c>
      <c r="BG218" s="56">
        <v>3692.66</v>
      </c>
      <c r="BH218" s="57">
        <v>470.76</v>
      </c>
      <c r="BI218" s="70"/>
      <c r="BJ218" s="59"/>
      <c r="BK218" s="27"/>
      <c r="BL218" s="240">
        <v>184.76819999999995</v>
      </c>
      <c r="BM218" s="52">
        <v>46.639759400000003</v>
      </c>
      <c r="BN218" s="52"/>
      <c r="BO218" s="53">
        <f t="shared" si="129"/>
        <v>231.40795939999995</v>
      </c>
      <c r="BQ218" s="47">
        <f t="shared" si="142"/>
        <v>46075</v>
      </c>
      <c r="BR218" s="57">
        <v>50</v>
      </c>
      <c r="BS218" s="57">
        <v>218.55</v>
      </c>
      <c r="BT218" s="70"/>
      <c r="BU218" s="61"/>
      <c r="BV218" s="27"/>
      <c r="BW218" s="51"/>
      <c r="BX218" s="52"/>
      <c r="BY218" s="52"/>
      <c r="BZ218" s="53">
        <f t="shared" si="130"/>
        <v>0</v>
      </c>
      <c r="CB218" s="47">
        <f t="shared" si="143"/>
        <v>46075</v>
      </c>
      <c r="CC218" s="56">
        <v>22012.42</v>
      </c>
      <c r="CD218" s="57">
        <v>2284.06</v>
      </c>
      <c r="CE218" s="70"/>
      <c r="CF218" s="117"/>
      <c r="CG218" s="27"/>
      <c r="CH218" s="51"/>
      <c r="CI218" s="52"/>
      <c r="CJ218" s="52"/>
      <c r="CK218" s="53">
        <f t="shared" si="131"/>
        <v>0</v>
      </c>
      <c r="CM218" s="47">
        <f t="shared" si="144"/>
        <v>46075</v>
      </c>
      <c r="CN218" s="56">
        <v>6784.77</v>
      </c>
      <c r="CO218" s="57">
        <v>1429.3</v>
      </c>
      <c r="CP218" s="70"/>
      <c r="CQ218" s="62"/>
      <c r="CR218" s="27"/>
      <c r="CS218" s="240">
        <v>11.655000000000001</v>
      </c>
      <c r="CT218" s="53">
        <v>41.27851124</v>
      </c>
      <c r="CU218" s="53"/>
      <c r="CV218" s="53">
        <f t="shared" si="132"/>
        <v>52.933511240000001</v>
      </c>
      <c r="CX218" s="47">
        <f t="shared" si="145"/>
        <v>46075</v>
      </c>
      <c r="CY218" s="56">
        <v>8782.27</v>
      </c>
      <c r="CZ218" s="57">
        <v>0</v>
      </c>
      <c r="DA218" s="70"/>
      <c r="DB218" s="59"/>
      <c r="DC218" s="27"/>
      <c r="DD218" s="240">
        <v>65.07463000000007</v>
      </c>
      <c r="DE218" s="53">
        <v>18.603206519999901</v>
      </c>
      <c r="DF218" s="53"/>
      <c r="DG218" s="53">
        <f t="shared" si="133"/>
        <v>83.677836519999971</v>
      </c>
      <c r="DI218" s="47">
        <f t="shared" si="146"/>
        <v>46075</v>
      </c>
      <c r="DJ218" s="56">
        <v>1764.78</v>
      </c>
      <c r="DK218" s="71"/>
      <c r="DL218" s="70"/>
      <c r="DM218" s="62"/>
      <c r="DN218" s="27"/>
      <c r="DO218" s="51"/>
      <c r="DP218" s="52"/>
      <c r="DQ218" s="52"/>
      <c r="DR218" s="53">
        <f t="shared" si="134"/>
        <v>0</v>
      </c>
      <c r="DT218" s="47">
        <f t="shared" si="147"/>
        <v>46075</v>
      </c>
      <c r="DU218" s="56">
        <v>3306.59</v>
      </c>
      <c r="DV218" s="57">
        <v>298.3</v>
      </c>
      <c r="DW218" s="70"/>
      <c r="DX218" s="62"/>
      <c r="DY218" s="27"/>
      <c r="DZ218" s="51">
        <v>21.129119999999986</v>
      </c>
      <c r="EA218" s="52">
        <v>42.186245600000007</v>
      </c>
      <c r="EB218" s="52"/>
      <c r="EC218" s="53">
        <f t="shared" si="135"/>
        <v>63.315365599999993</v>
      </c>
      <c r="EE218" s="47">
        <f t="shared" si="148"/>
        <v>46075</v>
      </c>
      <c r="EF218" s="56">
        <v>3545.85</v>
      </c>
      <c r="EG218" s="57">
        <v>1165.5999999999999</v>
      </c>
      <c r="EH218" s="70"/>
      <c r="EI218" s="59">
        <v>95.84</v>
      </c>
      <c r="EJ218" s="27"/>
      <c r="EK218" s="51"/>
      <c r="EL218" s="52"/>
      <c r="EM218" s="52"/>
      <c r="EN218" s="53">
        <f t="shared" si="136"/>
        <v>95.84</v>
      </c>
      <c r="EP218" s="47">
        <f t="shared" si="149"/>
        <v>46075</v>
      </c>
      <c r="EQ218" s="64">
        <v>280</v>
      </c>
      <c r="ER218" s="56">
        <v>275.29000000000002</v>
      </c>
      <c r="ES218" s="70"/>
      <c r="ET218" s="59"/>
      <c r="EV218" s="51"/>
      <c r="EW218" s="52"/>
      <c r="EX218" s="52"/>
      <c r="EY218" s="53">
        <f t="shared" si="137"/>
        <v>0</v>
      </c>
    </row>
    <row r="219" spans="2:155" hidden="1" x14ac:dyDescent="0.25">
      <c r="B219" s="47">
        <v>46076</v>
      </c>
      <c r="C219" s="48">
        <v>20007.490000000002</v>
      </c>
      <c r="D219" s="49">
        <v>3663.35</v>
      </c>
      <c r="E219" s="50">
        <v>2684.92</v>
      </c>
      <c r="F219" s="49">
        <v>547.28</v>
      </c>
      <c r="G219" s="50"/>
      <c r="H219" s="27"/>
      <c r="I219" s="51"/>
      <c r="J219" s="52"/>
      <c r="K219" s="53">
        <v>5.6927999999999983</v>
      </c>
      <c r="L219" s="53">
        <f t="shared" si="124"/>
        <v>5.6927999999999983</v>
      </c>
      <c r="N219" s="47">
        <f t="shared" si="138"/>
        <v>46076</v>
      </c>
      <c r="O219" s="54">
        <v>1689.21</v>
      </c>
      <c r="P219" s="54">
        <v>444.01</v>
      </c>
      <c r="Q219" s="70"/>
      <c r="R219" s="55"/>
      <c r="S219" s="27"/>
      <c r="T219" s="240">
        <v>379.51046999999977</v>
      </c>
      <c r="U219" s="52"/>
      <c r="V219" s="52"/>
      <c r="W219" s="53">
        <f t="shared" si="125"/>
        <v>379.51046999999977</v>
      </c>
      <c r="Y219" s="47">
        <f t="shared" si="139"/>
        <v>46076</v>
      </c>
      <c r="Z219" s="56">
        <v>6403.4</v>
      </c>
      <c r="AA219" s="57">
        <v>1609.74</v>
      </c>
      <c r="AB219" s="104"/>
      <c r="AC219" s="59">
        <v>199.66</v>
      </c>
      <c r="AD219" s="27"/>
      <c r="AE219" s="240">
        <v>25.828219999999988</v>
      </c>
      <c r="AF219" s="52"/>
      <c r="AG219" s="52"/>
      <c r="AH219" s="53">
        <f t="shared" si="126"/>
        <v>225.48821999999998</v>
      </c>
      <c r="AJ219" s="47">
        <f t="shared" si="140"/>
        <v>46076</v>
      </c>
      <c r="AK219" s="56">
        <v>3425.25</v>
      </c>
      <c r="AL219" s="57">
        <v>380.8</v>
      </c>
      <c r="AM219" s="70"/>
      <c r="AN219" s="58"/>
      <c r="AO219" s="27"/>
      <c r="AP219" s="51"/>
      <c r="AQ219" s="52"/>
      <c r="AR219" s="52"/>
      <c r="AS219" s="53">
        <f t="shared" si="127"/>
        <v>0</v>
      </c>
      <c r="AU219" s="113">
        <f t="shared" si="141"/>
        <v>46076</v>
      </c>
      <c r="AV219" s="57">
        <v>644.76</v>
      </c>
      <c r="AW219" s="57">
        <v>149.63999999999999</v>
      </c>
      <c r="AX219" s="70"/>
      <c r="AY219" s="59">
        <v>1971.13</v>
      </c>
      <c r="AZ219" s="27"/>
      <c r="BA219" s="240">
        <v>436.86187299999995</v>
      </c>
      <c r="BB219" s="52"/>
      <c r="BC219" s="52"/>
      <c r="BD219" s="53">
        <f t="shared" si="128"/>
        <v>2407.9918729999999</v>
      </c>
      <c r="BF219" s="47">
        <f t="shared" si="150"/>
        <v>46076</v>
      </c>
      <c r="BG219" s="56">
        <v>4701.5</v>
      </c>
      <c r="BH219" s="57">
        <v>632.35</v>
      </c>
      <c r="BI219" s="70"/>
      <c r="BJ219" s="59">
        <v>7.51</v>
      </c>
      <c r="BK219" s="27"/>
      <c r="BL219" s="240">
        <v>432.03752999999978</v>
      </c>
      <c r="BM219" s="52">
        <v>37.997260947428572</v>
      </c>
      <c r="BN219" s="52"/>
      <c r="BO219" s="53">
        <f t="shared" si="129"/>
        <v>477.54479094742834</v>
      </c>
      <c r="BQ219" s="47">
        <f t="shared" si="142"/>
        <v>46076</v>
      </c>
      <c r="BR219" s="57">
        <v>320.08999999999997</v>
      </c>
      <c r="BS219" s="57">
        <v>288.24</v>
      </c>
      <c r="BT219" s="70"/>
      <c r="BU219" s="61"/>
      <c r="BV219" s="27"/>
      <c r="BW219" s="51"/>
      <c r="BX219" s="52"/>
      <c r="BY219" s="52"/>
      <c r="BZ219" s="53">
        <f t="shared" si="130"/>
        <v>0</v>
      </c>
      <c r="CB219" s="47">
        <f t="shared" si="143"/>
        <v>46076</v>
      </c>
      <c r="CC219" s="56">
        <v>20830.14</v>
      </c>
      <c r="CD219" s="57">
        <v>1719.16</v>
      </c>
      <c r="CE219" s="70"/>
      <c r="CF219" s="117"/>
      <c r="CG219" s="27"/>
      <c r="CH219" s="51"/>
      <c r="CI219" s="52"/>
      <c r="CJ219" s="52"/>
      <c r="CK219" s="53">
        <f t="shared" si="131"/>
        <v>0</v>
      </c>
      <c r="CM219" s="47">
        <f t="shared" si="144"/>
        <v>46076</v>
      </c>
      <c r="CN219" s="56">
        <v>11861.16</v>
      </c>
      <c r="CO219" s="57">
        <v>1827.66</v>
      </c>
      <c r="CP219" s="70"/>
      <c r="CQ219" s="62"/>
      <c r="CR219" s="27"/>
      <c r="CS219" s="240">
        <v>23.217499999999973</v>
      </c>
      <c r="CT219" s="53">
        <v>344.34806827942873</v>
      </c>
      <c r="CU219" s="53"/>
      <c r="CV219" s="53">
        <f t="shared" si="132"/>
        <v>367.5655682794287</v>
      </c>
      <c r="CX219" s="47">
        <f t="shared" si="145"/>
        <v>46076</v>
      </c>
      <c r="CY219" s="56">
        <v>8679.26</v>
      </c>
      <c r="CZ219" s="57">
        <v>704.65</v>
      </c>
      <c r="DA219" s="70"/>
      <c r="DB219" s="59"/>
      <c r="DC219" s="27"/>
      <c r="DD219" s="240">
        <v>81.982002000000136</v>
      </c>
      <c r="DE219" s="53"/>
      <c r="DF219" s="53"/>
      <c r="DG219" s="53">
        <f t="shared" si="133"/>
        <v>81.982002000000136</v>
      </c>
      <c r="DI219" s="47">
        <f t="shared" si="146"/>
        <v>46076</v>
      </c>
      <c r="DJ219" s="56">
        <v>1813.63</v>
      </c>
      <c r="DK219" s="71"/>
      <c r="DL219" s="70"/>
      <c r="DM219" s="62"/>
      <c r="DN219" s="27"/>
      <c r="DO219" s="51"/>
      <c r="DP219" s="52"/>
      <c r="DQ219" s="52"/>
      <c r="DR219" s="53">
        <f t="shared" si="134"/>
        <v>0</v>
      </c>
      <c r="DT219" s="47">
        <f t="shared" si="147"/>
        <v>46076</v>
      </c>
      <c r="DU219" s="56">
        <v>819.24</v>
      </c>
      <c r="DV219" s="57">
        <v>241.58</v>
      </c>
      <c r="DW219" s="70"/>
      <c r="DX219" s="62"/>
      <c r="DY219" s="27"/>
      <c r="DZ219" s="51">
        <v>23.945599999999985</v>
      </c>
      <c r="EA219" s="52"/>
      <c r="EB219" s="52"/>
      <c r="EC219" s="53">
        <f t="shared" si="135"/>
        <v>23.945599999999985</v>
      </c>
      <c r="EE219" s="47">
        <f t="shared" si="148"/>
        <v>46076</v>
      </c>
      <c r="EF219" s="56">
        <v>6584.71</v>
      </c>
      <c r="EG219" s="57">
        <v>1716.1</v>
      </c>
      <c r="EH219" s="70"/>
      <c r="EI219" s="59">
        <v>172.87</v>
      </c>
      <c r="EJ219" s="27"/>
      <c r="EK219" s="51"/>
      <c r="EL219" s="52"/>
      <c r="EM219" s="52"/>
      <c r="EN219" s="53">
        <f t="shared" si="136"/>
        <v>172.87</v>
      </c>
      <c r="EP219" s="47">
        <f t="shared" si="149"/>
        <v>46076</v>
      </c>
      <c r="EQ219" s="64">
        <v>748.37</v>
      </c>
      <c r="ER219" s="56">
        <v>471.9</v>
      </c>
      <c r="ES219" s="70"/>
      <c r="ET219" s="59"/>
      <c r="EV219" s="51"/>
      <c r="EW219" s="52"/>
      <c r="EX219" s="52"/>
      <c r="EY219" s="53">
        <f t="shared" si="137"/>
        <v>0</v>
      </c>
    </row>
    <row r="220" spans="2:155" hidden="1" x14ac:dyDescent="0.25">
      <c r="B220" s="47">
        <v>46077</v>
      </c>
      <c r="C220" s="48">
        <v>18521.830000000002</v>
      </c>
      <c r="D220" s="49">
        <v>3299.96</v>
      </c>
      <c r="E220" s="50">
        <v>3478.14</v>
      </c>
      <c r="F220" s="49">
        <v>624.91</v>
      </c>
      <c r="G220" s="50"/>
      <c r="H220" s="27"/>
      <c r="I220" s="51"/>
      <c r="J220" s="52"/>
      <c r="K220" s="53"/>
      <c r="L220" s="53">
        <f t="shared" si="124"/>
        <v>0</v>
      </c>
      <c r="N220" s="47">
        <f t="shared" si="138"/>
        <v>46077</v>
      </c>
      <c r="O220" s="54">
        <v>2599.23</v>
      </c>
      <c r="P220" s="54">
        <v>654.97</v>
      </c>
      <c r="Q220" s="70"/>
      <c r="R220" s="55"/>
      <c r="S220" s="27"/>
      <c r="T220" s="240">
        <v>305.43803999999977</v>
      </c>
      <c r="U220" s="52">
        <v>1.3390344276190476</v>
      </c>
      <c r="V220" s="52"/>
      <c r="W220" s="53">
        <f t="shared" si="125"/>
        <v>306.7770744276188</v>
      </c>
      <c r="Y220" s="47">
        <f t="shared" si="139"/>
        <v>46077</v>
      </c>
      <c r="Z220" s="56">
        <v>6631.79</v>
      </c>
      <c r="AA220" s="57">
        <v>1286.2</v>
      </c>
      <c r="AB220" s="104"/>
      <c r="AC220" s="59">
        <v>267.86</v>
      </c>
      <c r="AD220" s="27"/>
      <c r="AE220" s="240">
        <v>234.41873000000015</v>
      </c>
      <c r="AF220" s="52"/>
      <c r="AG220" s="52"/>
      <c r="AH220" s="53">
        <f t="shared" si="126"/>
        <v>502.27873000000017</v>
      </c>
      <c r="AJ220" s="47">
        <f t="shared" si="140"/>
        <v>46077</v>
      </c>
      <c r="AK220" s="56">
        <v>2034.49</v>
      </c>
      <c r="AL220" s="57">
        <v>297.08</v>
      </c>
      <c r="AM220" s="70"/>
      <c r="AN220" s="58"/>
      <c r="AO220" s="27"/>
      <c r="AP220" s="51"/>
      <c r="AQ220" s="52"/>
      <c r="AR220" s="52"/>
      <c r="AS220" s="53">
        <f t="shared" si="127"/>
        <v>0</v>
      </c>
      <c r="AU220" s="113">
        <f t="shared" si="141"/>
        <v>46077</v>
      </c>
      <c r="AV220" s="57">
        <v>517.59</v>
      </c>
      <c r="AW220" s="57">
        <v>271.33999999999997</v>
      </c>
      <c r="AX220" s="70"/>
      <c r="AY220" s="59">
        <v>54.6</v>
      </c>
      <c r="AZ220" s="27"/>
      <c r="BA220" s="240">
        <v>282.38695999999976</v>
      </c>
      <c r="BB220" s="52"/>
      <c r="BC220" s="52"/>
      <c r="BD220" s="53">
        <f t="shared" si="128"/>
        <v>336.98695999999978</v>
      </c>
      <c r="BF220" s="47">
        <f t="shared" si="150"/>
        <v>46077</v>
      </c>
      <c r="BG220" s="56">
        <v>4708.97</v>
      </c>
      <c r="BH220" s="57">
        <v>593.25</v>
      </c>
      <c r="BI220" s="70"/>
      <c r="BJ220" s="59"/>
      <c r="BK220" s="27"/>
      <c r="BL220" s="240">
        <v>221.10092999999986</v>
      </c>
      <c r="BM220" s="52">
        <v>60.315135780000006</v>
      </c>
      <c r="BN220" s="52"/>
      <c r="BO220" s="53">
        <f t="shared" si="129"/>
        <v>281.41606577999988</v>
      </c>
      <c r="BQ220" s="47">
        <f t="shared" si="142"/>
        <v>46077</v>
      </c>
      <c r="BR220" s="57">
        <v>530.04</v>
      </c>
      <c r="BS220" s="57">
        <v>537.08000000000004</v>
      </c>
      <c r="BT220" s="70"/>
      <c r="BU220" s="61"/>
      <c r="BV220" s="27"/>
      <c r="BW220" s="51"/>
      <c r="BX220" s="52"/>
      <c r="BY220" s="52"/>
      <c r="BZ220" s="53">
        <f t="shared" si="130"/>
        <v>0</v>
      </c>
      <c r="CB220" s="47">
        <f t="shared" si="143"/>
        <v>46077</v>
      </c>
      <c r="CC220" s="56">
        <v>22822.18</v>
      </c>
      <c r="CD220" s="57">
        <v>1328.29</v>
      </c>
      <c r="CE220" s="70"/>
      <c r="CF220" s="118"/>
      <c r="CG220" s="27"/>
      <c r="CH220" s="51"/>
      <c r="CI220" s="52"/>
      <c r="CJ220" s="52"/>
      <c r="CK220" s="53">
        <f t="shared" si="131"/>
        <v>0</v>
      </c>
      <c r="CM220" s="47">
        <f t="shared" si="144"/>
        <v>46077</v>
      </c>
      <c r="CN220" s="56">
        <v>14286.16</v>
      </c>
      <c r="CO220" s="57">
        <v>2046.08</v>
      </c>
      <c r="CP220" s="70"/>
      <c r="CQ220" s="62"/>
      <c r="CR220" s="27"/>
      <c r="CS220" s="240">
        <v>119.05499999999989</v>
      </c>
      <c r="CT220" s="53">
        <v>295.18350144400006</v>
      </c>
      <c r="CU220" s="53"/>
      <c r="CV220" s="53">
        <f t="shared" si="132"/>
        <v>414.23850144399995</v>
      </c>
      <c r="CX220" s="47">
        <f t="shared" si="145"/>
        <v>46077</v>
      </c>
      <c r="CY220" s="56">
        <v>5196</v>
      </c>
      <c r="CZ220" s="57">
        <v>1133.02</v>
      </c>
      <c r="DA220" s="70"/>
      <c r="DB220" s="59"/>
      <c r="DC220" s="27"/>
      <c r="DD220" s="240">
        <v>116.39313999999996</v>
      </c>
      <c r="DE220" s="53">
        <v>4.0112312843810543</v>
      </c>
      <c r="DF220" s="53">
        <v>-11.159547359999991</v>
      </c>
      <c r="DG220" s="53">
        <f t="shared" si="133"/>
        <v>109.24482392438102</v>
      </c>
      <c r="DI220" s="47">
        <f t="shared" si="146"/>
        <v>46077</v>
      </c>
      <c r="DJ220" s="56">
        <v>2149.71</v>
      </c>
      <c r="DK220" s="71"/>
      <c r="DL220" s="70"/>
      <c r="DM220" s="62"/>
      <c r="DN220" s="27"/>
      <c r="DO220" s="51"/>
      <c r="DP220" s="52"/>
      <c r="DQ220" s="52"/>
      <c r="DR220" s="53">
        <f t="shared" si="134"/>
        <v>0</v>
      </c>
      <c r="DT220" s="47">
        <f t="shared" si="147"/>
        <v>46077</v>
      </c>
      <c r="DU220" s="56">
        <v>1724.15</v>
      </c>
      <c r="DV220" s="57">
        <v>312.01</v>
      </c>
      <c r="DW220" s="70"/>
      <c r="DX220" s="62"/>
      <c r="DY220" s="27"/>
      <c r="DZ220" s="51">
        <v>152.01128999999995</v>
      </c>
      <c r="EA220" s="52">
        <v>200.92206417009518</v>
      </c>
      <c r="EB220" s="52"/>
      <c r="EC220" s="53">
        <f t="shared" si="135"/>
        <v>352.93335417009513</v>
      </c>
      <c r="EE220" s="47">
        <f t="shared" si="148"/>
        <v>46077</v>
      </c>
      <c r="EF220" s="56">
        <v>4308.3999999999996</v>
      </c>
      <c r="EG220" s="57">
        <v>1042.28</v>
      </c>
      <c r="EH220" s="70"/>
      <c r="EI220" s="59">
        <v>109.26</v>
      </c>
      <c r="EJ220" s="27"/>
      <c r="EK220" s="51"/>
      <c r="EL220" s="52"/>
      <c r="EM220" s="52"/>
      <c r="EN220" s="53">
        <f t="shared" si="136"/>
        <v>109.26</v>
      </c>
      <c r="EP220" s="47">
        <f t="shared" si="149"/>
        <v>46077</v>
      </c>
      <c r="EQ220" s="64">
        <v>1248.08</v>
      </c>
      <c r="ER220" s="56">
        <v>643.52</v>
      </c>
      <c r="ES220" s="70"/>
      <c r="ET220" s="59"/>
      <c r="EV220" s="51"/>
      <c r="EW220" s="52"/>
      <c r="EX220" s="52"/>
      <c r="EY220" s="53">
        <f t="shared" si="137"/>
        <v>0</v>
      </c>
    </row>
    <row r="221" spans="2:155" hidden="1" x14ac:dyDescent="0.25">
      <c r="B221" s="47">
        <v>46078</v>
      </c>
      <c r="C221" s="48">
        <v>23714.34</v>
      </c>
      <c r="D221" s="49">
        <v>3289.77</v>
      </c>
      <c r="E221" s="50">
        <v>2965.67</v>
      </c>
      <c r="F221" s="49">
        <v>701.68</v>
      </c>
      <c r="G221" s="50"/>
      <c r="H221" s="27"/>
      <c r="I221" s="51"/>
      <c r="J221" s="52">
        <v>38.463174062857178</v>
      </c>
      <c r="K221" s="53">
        <v>44.206144999999992</v>
      </c>
      <c r="L221" s="53">
        <f t="shared" si="124"/>
        <v>82.66931906285717</v>
      </c>
      <c r="N221" s="47">
        <f t="shared" si="138"/>
        <v>46078</v>
      </c>
      <c r="O221" s="54">
        <v>1552.67</v>
      </c>
      <c r="P221" s="54">
        <v>692.47</v>
      </c>
      <c r="Q221" s="70"/>
      <c r="R221" s="69"/>
      <c r="S221" s="27"/>
      <c r="T221" s="240">
        <v>145.11161999999993</v>
      </c>
      <c r="U221" s="52"/>
      <c r="V221" s="52"/>
      <c r="W221" s="53">
        <f t="shared" si="125"/>
        <v>145.11161999999993</v>
      </c>
      <c r="Y221" s="47">
        <f t="shared" si="139"/>
        <v>46078</v>
      </c>
      <c r="Z221" s="56">
        <v>6448.43</v>
      </c>
      <c r="AA221" s="57">
        <v>1337.43</v>
      </c>
      <c r="AB221" s="104"/>
      <c r="AC221" s="59">
        <v>202.61</v>
      </c>
      <c r="AD221" s="27"/>
      <c r="AE221" s="240"/>
      <c r="AF221" s="52"/>
      <c r="AG221" s="52"/>
      <c r="AH221" s="53">
        <f t="shared" si="126"/>
        <v>202.61</v>
      </c>
      <c r="AJ221" s="47">
        <f t="shared" si="140"/>
        <v>46078</v>
      </c>
      <c r="AK221" s="56">
        <v>4638.47</v>
      </c>
      <c r="AL221" s="57">
        <v>326.61</v>
      </c>
      <c r="AM221" s="70"/>
      <c r="AN221" s="58"/>
      <c r="AO221" s="27"/>
      <c r="AP221" s="51"/>
      <c r="AQ221" s="52"/>
      <c r="AR221" s="52"/>
      <c r="AS221" s="53">
        <f t="shared" si="127"/>
        <v>0</v>
      </c>
      <c r="AU221" s="113">
        <f t="shared" si="141"/>
        <v>46078</v>
      </c>
      <c r="AV221" s="57">
        <v>1228.8599999999999</v>
      </c>
      <c r="AW221" s="57">
        <v>125.6</v>
      </c>
      <c r="AX221" s="70"/>
      <c r="AY221" s="59"/>
      <c r="AZ221" s="27"/>
      <c r="BA221" s="240">
        <v>72.360087999999919</v>
      </c>
      <c r="BB221" s="52">
        <v>9.5074295392380748</v>
      </c>
      <c r="BC221" s="52"/>
      <c r="BD221" s="53">
        <f t="shared" si="128"/>
        <v>81.867517539237994</v>
      </c>
      <c r="BF221" s="47">
        <f t="shared" si="150"/>
        <v>46078</v>
      </c>
      <c r="BG221" s="56">
        <v>4679.1899999999996</v>
      </c>
      <c r="BH221" s="57">
        <v>543.80999999999995</v>
      </c>
      <c r="BI221" s="70"/>
      <c r="BJ221" s="59">
        <v>9.44</v>
      </c>
      <c r="BK221" s="27"/>
      <c r="BL221" s="240">
        <v>276.35298999999998</v>
      </c>
      <c r="BM221" s="52">
        <v>35.069944481904741</v>
      </c>
      <c r="BN221" s="52"/>
      <c r="BO221" s="53">
        <f t="shared" si="129"/>
        <v>320.86293448190474</v>
      </c>
      <c r="BQ221" s="47">
        <f t="shared" si="142"/>
        <v>46078</v>
      </c>
      <c r="BR221" s="57">
        <v>100</v>
      </c>
      <c r="BS221" s="57">
        <v>230.7</v>
      </c>
      <c r="BT221" s="70"/>
      <c r="BU221" s="61"/>
      <c r="BV221" s="27"/>
      <c r="BW221" s="51"/>
      <c r="BX221" s="52"/>
      <c r="BY221" s="52"/>
      <c r="BZ221" s="53">
        <f t="shared" si="130"/>
        <v>0</v>
      </c>
      <c r="CB221" s="47">
        <f t="shared" si="143"/>
        <v>46078</v>
      </c>
      <c r="CC221" s="56">
        <v>24617.439999999999</v>
      </c>
      <c r="CD221" s="57">
        <v>2116.09</v>
      </c>
      <c r="CE221" s="70"/>
      <c r="CF221" s="117"/>
      <c r="CG221" s="27"/>
      <c r="CH221" s="51"/>
      <c r="CI221" s="52"/>
      <c r="CJ221" s="52"/>
      <c r="CK221" s="53">
        <f t="shared" si="131"/>
        <v>0</v>
      </c>
      <c r="CM221" s="47">
        <f t="shared" si="144"/>
        <v>46078</v>
      </c>
      <c r="CN221" s="56">
        <v>12281.77</v>
      </c>
      <c r="CO221" s="57">
        <v>1767.83</v>
      </c>
      <c r="CP221" s="70"/>
      <c r="CQ221" s="62"/>
      <c r="CR221" s="27"/>
      <c r="CS221" s="240">
        <v>51.991279999999975</v>
      </c>
      <c r="CT221" s="53">
        <v>655.70392977200004</v>
      </c>
      <c r="CU221" s="53"/>
      <c r="CV221" s="53">
        <f t="shared" si="132"/>
        <v>707.695209772</v>
      </c>
      <c r="CX221" s="47">
        <f t="shared" si="145"/>
        <v>46078</v>
      </c>
      <c r="CY221" s="56">
        <v>3728.7</v>
      </c>
      <c r="CZ221" s="57">
        <v>999.86</v>
      </c>
      <c r="DA221" s="70"/>
      <c r="DB221" s="59"/>
      <c r="DC221" s="27"/>
      <c r="DD221" s="240">
        <v>43.673040000000007</v>
      </c>
      <c r="DE221" s="53">
        <v>2.9251472899048281</v>
      </c>
      <c r="DF221" s="53"/>
      <c r="DG221" s="53">
        <f t="shared" si="133"/>
        <v>46.598187289904835</v>
      </c>
      <c r="DI221" s="47">
        <f t="shared" si="146"/>
        <v>46078</v>
      </c>
      <c r="DJ221" s="56">
        <v>1167.56</v>
      </c>
      <c r="DK221" s="71"/>
      <c r="DL221" s="70"/>
      <c r="DM221" s="62"/>
      <c r="DN221" s="27"/>
      <c r="DO221" s="51"/>
      <c r="DP221" s="52"/>
      <c r="DQ221" s="52"/>
      <c r="DR221" s="53">
        <f t="shared" si="134"/>
        <v>0</v>
      </c>
      <c r="DT221" s="47">
        <f t="shared" si="147"/>
        <v>46078</v>
      </c>
      <c r="DU221" s="56">
        <v>1189.5899999999999</v>
      </c>
      <c r="DV221" s="57">
        <v>417.87</v>
      </c>
      <c r="DW221" s="70"/>
      <c r="DX221" s="62"/>
      <c r="DY221" s="27"/>
      <c r="DZ221" s="51">
        <v>51.662420000000004</v>
      </c>
      <c r="EA221" s="52"/>
      <c r="EB221" s="52"/>
      <c r="EC221" s="53">
        <f t="shared" si="135"/>
        <v>51.662420000000004</v>
      </c>
      <c r="EE221" s="47">
        <f t="shared" si="148"/>
        <v>46078</v>
      </c>
      <c r="EF221" s="56">
        <v>4795.91</v>
      </c>
      <c r="EG221" s="57">
        <v>52.97</v>
      </c>
      <c r="EH221" s="70"/>
      <c r="EI221" s="59">
        <v>126.67</v>
      </c>
      <c r="EJ221" s="27"/>
      <c r="EK221" s="51">
        <v>25.294999999999987</v>
      </c>
      <c r="EL221" s="52"/>
      <c r="EM221" s="52"/>
      <c r="EN221" s="53">
        <f t="shared" si="136"/>
        <v>151.96499999999997</v>
      </c>
      <c r="EP221" s="47">
        <f t="shared" si="149"/>
        <v>46078</v>
      </c>
      <c r="EQ221" s="64">
        <v>1473.47</v>
      </c>
      <c r="ER221" s="56">
        <v>499.16</v>
      </c>
      <c r="ES221" s="70"/>
      <c r="ET221" s="59"/>
      <c r="EV221" s="51"/>
      <c r="EW221" s="52"/>
      <c r="EX221" s="52"/>
      <c r="EY221" s="53">
        <f t="shared" si="137"/>
        <v>0</v>
      </c>
    </row>
    <row r="222" spans="2:155" hidden="1" x14ac:dyDescent="0.25">
      <c r="B222" s="47">
        <v>46079</v>
      </c>
      <c r="C222" s="48">
        <v>20592.080000000002</v>
      </c>
      <c r="D222" s="49">
        <v>3702.23</v>
      </c>
      <c r="E222" s="50">
        <v>3195.42</v>
      </c>
      <c r="F222" s="49">
        <v>635.34</v>
      </c>
      <c r="G222" s="50"/>
      <c r="H222" s="27"/>
      <c r="I222" s="51"/>
      <c r="J222" s="52"/>
      <c r="K222" s="53"/>
      <c r="L222" s="53">
        <f t="shared" si="124"/>
        <v>0</v>
      </c>
      <c r="N222" s="47">
        <f t="shared" si="138"/>
        <v>46079</v>
      </c>
      <c r="O222" s="54">
        <v>2381.38</v>
      </c>
      <c r="P222" s="54">
        <v>318.2</v>
      </c>
      <c r="Q222" s="70"/>
      <c r="R222" s="69"/>
      <c r="S222" s="27"/>
      <c r="T222" s="240">
        <v>109.32090999999986</v>
      </c>
      <c r="U222" s="52"/>
      <c r="V222" s="52"/>
      <c r="W222" s="53">
        <f t="shared" si="125"/>
        <v>109.32090999999986</v>
      </c>
      <c r="Y222" s="47">
        <f t="shared" si="139"/>
        <v>46079</v>
      </c>
      <c r="Z222" s="56">
        <v>5786.12</v>
      </c>
      <c r="AA222" s="57">
        <v>1235.55</v>
      </c>
      <c r="AB222" s="104"/>
      <c r="AC222" s="59">
        <v>101.6</v>
      </c>
      <c r="AD222" s="27"/>
      <c r="AE222" s="240">
        <v>241.32564000000011</v>
      </c>
      <c r="AF222" s="52"/>
      <c r="AG222" s="52"/>
      <c r="AH222" s="53">
        <f t="shared" si="126"/>
        <v>342.9256400000001</v>
      </c>
      <c r="AJ222" s="47">
        <f t="shared" si="140"/>
        <v>46079</v>
      </c>
      <c r="AK222" s="56">
        <v>3188.3</v>
      </c>
      <c r="AL222" s="57">
        <v>221.35</v>
      </c>
      <c r="AM222" s="70"/>
      <c r="AN222" s="58"/>
      <c r="AO222" s="27"/>
      <c r="AP222" s="51"/>
      <c r="AQ222" s="52"/>
      <c r="AR222" s="52"/>
      <c r="AS222" s="53">
        <f t="shared" si="127"/>
        <v>0</v>
      </c>
      <c r="AU222" s="113">
        <f t="shared" si="141"/>
        <v>46079</v>
      </c>
      <c r="AV222" s="57">
        <v>296.01</v>
      </c>
      <c r="AW222" s="57">
        <v>45</v>
      </c>
      <c r="AX222" s="70"/>
      <c r="AY222" s="59">
        <v>56.4</v>
      </c>
      <c r="AZ222" s="27"/>
      <c r="BA222" s="240">
        <v>95.034999999999911</v>
      </c>
      <c r="BB222" s="52"/>
      <c r="BC222" s="52"/>
      <c r="BD222" s="53">
        <f t="shared" si="128"/>
        <v>151.43499999999992</v>
      </c>
      <c r="BF222" s="47">
        <f t="shared" si="150"/>
        <v>46079</v>
      </c>
      <c r="BG222" s="56">
        <v>3599.51</v>
      </c>
      <c r="BH222" s="57">
        <v>320.83</v>
      </c>
      <c r="BI222" s="70"/>
      <c r="BJ222" s="59">
        <v>6.54</v>
      </c>
      <c r="BK222" s="27"/>
      <c r="BL222" s="240">
        <v>129.94181999999995</v>
      </c>
      <c r="BM222" s="52"/>
      <c r="BN222" s="52"/>
      <c r="BO222" s="53">
        <f t="shared" si="129"/>
        <v>136.48181999999994</v>
      </c>
      <c r="BQ222" s="47">
        <f t="shared" si="142"/>
        <v>46079</v>
      </c>
      <c r="BR222" s="57">
        <v>148.96</v>
      </c>
      <c r="BS222" s="57">
        <v>203.9</v>
      </c>
      <c r="BT222" s="70"/>
      <c r="BU222" s="61"/>
      <c r="BV222" s="27"/>
      <c r="BW222" s="51"/>
      <c r="BX222" s="52"/>
      <c r="BY222" s="52"/>
      <c r="BZ222" s="53">
        <f t="shared" si="130"/>
        <v>0</v>
      </c>
      <c r="CB222" s="47">
        <f t="shared" si="143"/>
        <v>46079</v>
      </c>
      <c r="CC222" s="56">
        <v>20949.009999999998</v>
      </c>
      <c r="CD222" s="57">
        <v>2151.21</v>
      </c>
      <c r="CE222" s="70"/>
      <c r="CF222" s="117"/>
      <c r="CG222" s="27"/>
      <c r="CH222" s="51"/>
      <c r="CI222" s="52"/>
      <c r="CJ222" s="52"/>
      <c r="CK222" s="53">
        <f t="shared" si="131"/>
        <v>0</v>
      </c>
      <c r="CM222" s="47">
        <f t="shared" si="144"/>
        <v>46079</v>
      </c>
      <c r="CN222" s="56">
        <v>15372.78</v>
      </c>
      <c r="CO222" s="57">
        <v>2050.77</v>
      </c>
      <c r="CP222" s="70"/>
      <c r="CQ222" s="62"/>
      <c r="CR222" s="27"/>
      <c r="CS222" s="240">
        <v>34.847999999999971</v>
      </c>
      <c r="CT222" s="53">
        <v>296.25228997466672</v>
      </c>
      <c r="CU222" s="53"/>
      <c r="CV222" s="53">
        <f t="shared" si="132"/>
        <v>331.10028997466668</v>
      </c>
      <c r="CX222" s="47">
        <f t="shared" si="145"/>
        <v>46079</v>
      </c>
      <c r="CY222" s="56">
        <v>8282.5300000000007</v>
      </c>
      <c r="CZ222" s="57">
        <v>1986.28</v>
      </c>
      <c r="DA222" s="70"/>
      <c r="DB222" s="59"/>
      <c r="DC222" s="27"/>
      <c r="DD222" s="240">
        <v>81.197239999999951</v>
      </c>
      <c r="DE222" s="53">
        <v>1.8120746600000075</v>
      </c>
      <c r="DF222" s="53"/>
      <c r="DG222" s="53">
        <f t="shared" si="133"/>
        <v>83.009314659999959</v>
      </c>
      <c r="DI222" s="47">
        <f t="shared" si="146"/>
        <v>46079</v>
      </c>
      <c r="DJ222" s="56">
        <v>1125.53</v>
      </c>
      <c r="DK222" s="71"/>
      <c r="DL222" s="70"/>
      <c r="DM222" s="62"/>
      <c r="DN222" s="27"/>
      <c r="DO222" s="51"/>
      <c r="DP222" s="52"/>
      <c r="DQ222" s="52"/>
      <c r="DR222" s="53">
        <f t="shared" si="134"/>
        <v>0</v>
      </c>
      <c r="DT222" s="47">
        <f t="shared" si="147"/>
        <v>46079</v>
      </c>
      <c r="DU222" s="56">
        <v>2004.52</v>
      </c>
      <c r="DV222" s="57">
        <v>192.43</v>
      </c>
      <c r="DW222" s="70"/>
      <c r="DX222" s="62"/>
      <c r="DY222" s="27"/>
      <c r="DZ222" s="51">
        <v>164.5977500000001</v>
      </c>
      <c r="EA222" s="52">
        <v>107.7776129333333</v>
      </c>
      <c r="EB222" s="52"/>
      <c r="EC222" s="53">
        <f t="shared" si="135"/>
        <v>272.37536293333341</v>
      </c>
      <c r="EE222" s="47">
        <f t="shared" si="148"/>
        <v>46079</v>
      </c>
      <c r="EF222" s="56">
        <v>5482.61</v>
      </c>
      <c r="EG222" s="57">
        <v>1014.95</v>
      </c>
      <c r="EH222" s="70"/>
      <c r="EI222" s="59">
        <v>114.59</v>
      </c>
      <c r="EJ222" s="27"/>
      <c r="EK222" s="51">
        <v>30.131499999999988</v>
      </c>
      <c r="EL222" s="52"/>
      <c r="EM222" s="52"/>
      <c r="EN222" s="53">
        <f t="shared" si="136"/>
        <v>144.72149999999999</v>
      </c>
      <c r="EP222" s="47">
        <f t="shared" si="149"/>
        <v>46079</v>
      </c>
      <c r="EQ222" s="64">
        <v>843.39</v>
      </c>
      <c r="ER222" s="56">
        <v>461.05</v>
      </c>
      <c r="ES222" s="70"/>
      <c r="ET222" s="59"/>
      <c r="EV222" s="51"/>
      <c r="EW222" s="52"/>
      <c r="EX222" s="52"/>
      <c r="EY222" s="53">
        <f t="shared" si="137"/>
        <v>0</v>
      </c>
    </row>
    <row r="223" spans="2:155" hidden="1" x14ac:dyDescent="0.25">
      <c r="B223" s="47">
        <v>46080</v>
      </c>
      <c r="C223" s="48">
        <v>18544.14</v>
      </c>
      <c r="D223" s="49">
        <v>4290.4399999999996</v>
      </c>
      <c r="E223" s="50">
        <v>3517.67</v>
      </c>
      <c r="F223" s="49">
        <v>659.39</v>
      </c>
      <c r="G223" s="50"/>
      <c r="H223" s="27"/>
      <c r="I223" s="51"/>
      <c r="J223" s="52"/>
      <c r="K223" s="53"/>
      <c r="L223" s="53">
        <f t="shared" si="124"/>
        <v>0</v>
      </c>
      <c r="N223" s="47">
        <f t="shared" si="138"/>
        <v>46080</v>
      </c>
      <c r="O223" s="54">
        <v>1880.21</v>
      </c>
      <c r="P223" s="54">
        <v>426.19</v>
      </c>
      <c r="Q223" s="70"/>
      <c r="R223" s="69"/>
      <c r="S223" s="27"/>
      <c r="T223" s="240">
        <v>129.57984999999988</v>
      </c>
      <c r="U223" s="52"/>
      <c r="V223" s="52"/>
      <c r="W223" s="53">
        <f t="shared" si="125"/>
        <v>129.57984999999988</v>
      </c>
      <c r="Y223" s="47">
        <f t="shared" si="139"/>
        <v>46080</v>
      </c>
      <c r="Z223" s="56">
        <v>6894.89</v>
      </c>
      <c r="AA223" s="72">
        <v>1069.83</v>
      </c>
      <c r="AB223" s="104"/>
      <c r="AC223" s="59">
        <v>89.61</v>
      </c>
      <c r="AD223" s="27"/>
      <c r="AE223" s="240">
        <v>87.700080000000071</v>
      </c>
      <c r="AF223" s="52"/>
      <c r="AG223" s="52"/>
      <c r="AH223" s="53">
        <f t="shared" si="126"/>
        <v>177.31008000000008</v>
      </c>
      <c r="AJ223" s="47">
        <f t="shared" si="140"/>
        <v>46080</v>
      </c>
      <c r="AK223" s="56">
        <v>4321.1499999999996</v>
      </c>
      <c r="AL223" s="57">
        <v>453.79</v>
      </c>
      <c r="AM223" s="70"/>
      <c r="AN223" s="58"/>
      <c r="AO223" s="27"/>
      <c r="AP223" s="51"/>
      <c r="AQ223" s="52"/>
      <c r="AR223" s="52"/>
      <c r="AS223" s="53">
        <f t="shared" si="127"/>
        <v>0</v>
      </c>
      <c r="AU223" s="113">
        <f t="shared" si="141"/>
        <v>46080</v>
      </c>
      <c r="AV223" s="57">
        <v>2164.0300000000002</v>
      </c>
      <c r="AW223" s="57">
        <v>35.200000000000003</v>
      </c>
      <c r="AX223" s="70"/>
      <c r="AY223" s="59"/>
      <c r="AZ223" s="27"/>
      <c r="BA223" s="240">
        <v>104.37489399999991</v>
      </c>
      <c r="BB223" s="52"/>
      <c r="BC223" s="52"/>
      <c r="BD223" s="53">
        <f t="shared" si="128"/>
        <v>104.37489399999991</v>
      </c>
      <c r="BF223" s="47">
        <f t="shared" si="150"/>
        <v>46080</v>
      </c>
      <c r="BG223" s="56">
        <v>3481.75</v>
      </c>
      <c r="BH223" s="57">
        <v>414.62</v>
      </c>
      <c r="BI223" s="70"/>
      <c r="BJ223" s="59"/>
      <c r="BK223" s="27"/>
      <c r="BL223" s="240">
        <v>251.43580999999989</v>
      </c>
      <c r="BM223" s="52">
        <v>60.567405972380975</v>
      </c>
      <c r="BN223" s="52"/>
      <c r="BO223" s="53">
        <f t="shared" si="129"/>
        <v>312.00321597238087</v>
      </c>
      <c r="BQ223" s="47">
        <f t="shared" si="142"/>
        <v>46080</v>
      </c>
      <c r="BR223" s="57">
        <v>425.94</v>
      </c>
      <c r="BS223" s="57">
        <v>501.87</v>
      </c>
      <c r="BT223" s="70"/>
      <c r="BU223" s="61"/>
      <c r="BV223" s="27"/>
      <c r="BW223" s="51"/>
      <c r="BX223" s="52"/>
      <c r="BY223" s="52"/>
      <c r="BZ223" s="53">
        <f t="shared" si="130"/>
        <v>0</v>
      </c>
      <c r="CB223" s="47">
        <f t="shared" si="143"/>
        <v>46080</v>
      </c>
      <c r="CC223" s="56">
        <v>24075.52</v>
      </c>
      <c r="CD223" s="57">
        <v>2372.79</v>
      </c>
      <c r="CE223" s="70"/>
      <c r="CF223" s="117"/>
      <c r="CG223" s="27"/>
      <c r="CH223" s="51"/>
      <c r="CI223" s="52"/>
      <c r="CJ223" s="52"/>
      <c r="CK223" s="53">
        <f t="shared" si="131"/>
        <v>0</v>
      </c>
      <c r="CM223" s="47">
        <f t="shared" si="144"/>
        <v>46080</v>
      </c>
      <c r="CN223" s="56">
        <v>10581.01</v>
      </c>
      <c r="CO223" s="57">
        <v>2058.65</v>
      </c>
      <c r="CP223" s="70"/>
      <c r="CQ223" s="62"/>
      <c r="CR223" s="27"/>
      <c r="CS223" s="240">
        <v>224.67309999999998</v>
      </c>
      <c r="CT223" s="53">
        <v>266.40915500076187</v>
      </c>
      <c r="CU223" s="53"/>
      <c r="CV223" s="53">
        <f t="shared" si="132"/>
        <v>491.08225500076185</v>
      </c>
      <c r="CX223" s="47">
        <f t="shared" si="145"/>
        <v>46080</v>
      </c>
      <c r="CY223" s="56">
        <v>9387.64</v>
      </c>
      <c r="CZ223" s="57">
        <v>1554.42</v>
      </c>
      <c r="DA223" s="70"/>
      <c r="DB223" s="59"/>
      <c r="DC223" s="27"/>
      <c r="DD223" s="240">
        <v>80.814360000000008</v>
      </c>
      <c r="DE223" s="53">
        <v>3.3195296076191312</v>
      </c>
      <c r="DF223" s="53"/>
      <c r="DG223" s="53">
        <f t="shared" si="133"/>
        <v>84.133889607619139</v>
      </c>
      <c r="DI223" s="47">
        <f t="shared" si="146"/>
        <v>46080</v>
      </c>
      <c r="DJ223" s="56">
        <v>1504.2</v>
      </c>
      <c r="DK223" s="71"/>
      <c r="DL223" s="70"/>
      <c r="DM223" s="62"/>
      <c r="DN223" s="27"/>
      <c r="DO223" s="51"/>
      <c r="DP223" s="52"/>
      <c r="DQ223" s="52"/>
      <c r="DR223" s="53">
        <f t="shared" si="134"/>
        <v>0</v>
      </c>
      <c r="DT223" s="47">
        <f t="shared" si="147"/>
        <v>46080</v>
      </c>
      <c r="DU223" s="56">
        <v>3197.44</v>
      </c>
      <c r="DV223" s="57">
        <v>242.66</v>
      </c>
      <c r="DW223" s="70"/>
      <c r="DX223" s="62"/>
      <c r="DY223" s="27"/>
      <c r="DZ223" s="51">
        <v>137.01665999999994</v>
      </c>
      <c r="EA223" s="52">
        <v>28.5946146152381</v>
      </c>
      <c r="EB223" s="52"/>
      <c r="EC223" s="53">
        <f t="shared" si="135"/>
        <v>165.61127461523805</v>
      </c>
      <c r="EE223" s="47">
        <f t="shared" si="148"/>
        <v>46080</v>
      </c>
      <c r="EF223" s="56">
        <v>0</v>
      </c>
      <c r="EG223" s="57">
        <v>1802.96</v>
      </c>
      <c r="EH223" s="70"/>
      <c r="EI223" s="59">
        <v>102.5</v>
      </c>
      <c r="EJ223" s="27"/>
      <c r="EK223" s="51"/>
      <c r="EL223" s="52"/>
      <c r="EM223" s="52"/>
      <c r="EN223" s="53">
        <f t="shared" si="136"/>
        <v>102.5</v>
      </c>
      <c r="EP223" s="47">
        <f t="shared" si="149"/>
        <v>46080</v>
      </c>
      <c r="EQ223" s="64">
        <v>255</v>
      </c>
      <c r="ER223" s="56">
        <v>316.04000000000002</v>
      </c>
      <c r="ES223" s="70"/>
      <c r="ET223" s="59"/>
      <c r="EV223" s="51"/>
      <c r="EW223" s="52"/>
      <c r="EX223" s="52"/>
      <c r="EY223" s="53">
        <f t="shared" si="137"/>
        <v>0</v>
      </c>
    </row>
    <row r="224" spans="2:155" ht="15.75" hidden="1" thickBot="1" x14ac:dyDescent="0.3">
      <c r="B224" s="75">
        <v>46081</v>
      </c>
      <c r="C224" s="48">
        <v>23486.53</v>
      </c>
      <c r="D224" s="49">
        <v>3321.44</v>
      </c>
      <c r="E224" s="50">
        <v>3429.33</v>
      </c>
      <c r="F224" s="49">
        <v>449.14</v>
      </c>
      <c r="G224" s="50"/>
      <c r="H224" s="27"/>
      <c r="I224" s="51"/>
      <c r="J224" s="52"/>
      <c r="K224" s="53">
        <v>14.263811499999989</v>
      </c>
      <c r="L224" s="53">
        <f t="shared" si="124"/>
        <v>14.263811499999989</v>
      </c>
      <c r="N224" s="47">
        <f t="shared" si="138"/>
        <v>46081</v>
      </c>
      <c r="O224" s="54">
        <v>1745.61</v>
      </c>
      <c r="P224" s="54">
        <v>604.97</v>
      </c>
      <c r="Q224" s="70"/>
      <c r="R224" s="55"/>
      <c r="S224" s="27"/>
      <c r="T224" s="240">
        <v>126.77503999999981</v>
      </c>
      <c r="U224" s="52"/>
      <c r="V224" s="52"/>
      <c r="W224" s="53">
        <f t="shared" si="125"/>
        <v>126.77503999999981</v>
      </c>
      <c r="Y224" s="47">
        <f t="shared" si="139"/>
        <v>46081</v>
      </c>
      <c r="Z224" s="56">
        <v>6583.62</v>
      </c>
      <c r="AA224" s="57">
        <v>1156.02</v>
      </c>
      <c r="AB224" s="104"/>
      <c r="AC224" s="59">
        <v>149.33000000000001</v>
      </c>
      <c r="AD224" s="27"/>
      <c r="AE224" s="240">
        <v>87.291620000000023</v>
      </c>
      <c r="AF224" s="52"/>
      <c r="AG224" s="52"/>
      <c r="AH224" s="53">
        <f t="shared" si="126"/>
        <v>236.62162000000004</v>
      </c>
      <c r="AJ224" s="47">
        <f t="shared" si="140"/>
        <v>46081</v>
      </c>
      <c r="AK224" s="56">
        <v>3962.81</v>
      </c>
      <c r="AL224" s="57">
        <v>252.99</v>
      </c>
      <c r="AM224" s="70"/>
      <c r="AN224" s="58"/>
      <c r="AO224" s="27"/>
      <c r="AP224" s="51"/>
      <c r="AQ224" s="52"/>
      <c r="AR224" s="52"/>
      <c r="AS224" s="53">
        <f t="shared" si="127"/>
        <v>0</v>
      </c>
      <c r="AU224" s="113">
        <f t="shared" si="141"/>
        <v>46081</v>
      </c>
      <c r="AV224" s="57">
        <v>21101.599999999999</v>
      </c>
      <c r="AW224" s="57">
        <v>57</v>
      </c>
      <c r="AX224" s="70"/>
      <c r="AY224" s="59">
        <v>1935</v>
      </c>
      <c r="AZ224" s="27"/>
      <c r="BA224" s="240">
        <v>34.855131999999927</v>
      </c>
      <c r="BB224" s="52"/>
      <c r="BC224" s="52"/>
      <c r="BD224" s="53">
        <f t="shared" si="128"/>
        <v>1969.8551319999999</v>
      </c>
      <c r="BF224" s="47">
        <f t="shared" si="150"/>
        <v>46081</v>
      </c>
      <c r="BG224" s="56">
        <v>2546.3200000000002</v>
      </c>
      <c r="BH224" s="57">
        <v>823.39</v>
      </c>
      <c r="BI224" s="70"/>
      <c r="BJ224" s="59"/>
      <c r="BK224" s="27"/>
      <c r="BL224" s="240">
        <v>139.63535999999996</v>
      </c>
      <c r="BM224" s="52">
        <v>74.33547155714291</v>
      </c>
      <c r="BN224" s="52"/>
      <c r="BO224" s="53">
        <f t="shared" si="129"/>
        <v>213.97083155714287</v>
      </c>
      <c r="BQ224" s="47">
        <f t="shared" si="142"/>
        <v>46081</v>
      </c>
      <c r="BR224" s="57">
        <v>428.03</v>
      </c>
      <c r="BS224" s="57">
        <v>173.74</v>
      </c>
      <c r="BT224" s="70"/>
      <c r="BU224" s="61"/>
      <c r="BV224" s="27"/>
      <c r="BW224" s="51"/>
      <c r="BX224" s="52"/>
      <c r="BY224" s="52"/>
      <c r="BZ224" s="53">
        <f t="shared" si="130"/>
        <v>0</v>
      </c>
      <c r="CB224" s="47">
        <f t="shared" si="143"/>
        <v>46081</v>
      </c>
      <c r="CC224" s="56">
        <v>29558.41</v>
      </c>
      <c r="CD224" s="57">
        <v>3438.44</v>
      </c>
      <c r="CE224" s="70"/>
      <c r="CF224" s="117"/>
      <c r="CG224" s="27"/>
      <c r="CH224" s="51"/>
      <c r="CI224" s="52"/>
      <c r="CJ224" s="52"/>
      <c r="CK224" s="53">
        <f t="shared" si="131"/>
        <v>0</v>
      </c>
      <c r="CM224" s="47">
        <f t="shared" si="144"/>
        <v>46081</v>
      </c>
      <c r="CN224" s="56">
        <v>10441.959999999999</v>
      </c>
      <c r="CO224" s="57">
        <v>2302.3200000000002</v>
      </c>
      <c r="CP224" s="70"/>
      <c r="CQ224" s="62"/>
      <c r="CR224" s="27"/>
      <c r="CS224" s="240">
        <v>80.374799999999993</v>
      </c>
      <c r="CT224" s="53">
        <v>187.41047406914291</v>
      </c>
      <c r="CU224" s="53"/>
      <c r="CV224" s="53">
        <f t="shared" si="132"/>
        <v>267.78527406914293</v>
      </c>
      <c r="CX224" s="47">
        <f t="shared" si="145"/>
        <v>46081</v>
      </c>
      <c r="CY224" s="56">
        <v>7340.44</v>
      </c>
      <c r="CZ224" s="57">
        <v>2289.09</v>
      </c>
      <c r="DA224" s="70"/>
      <c r="DB224" s="59"/>
      <c r="DC224" s="27"/>
      <c r="DD224" s="240">
        <v>29.628720000000015</v>
      </c>
      <c r="DE224" s="53">
        <v>1.9235297438095813</v>
      </c>
      <c r="DF224" s="53"/>
      <c r="DG224" s="53">
        <f t="shared" si="133"/>
        <v>31.552249743809597</v>
      </c>
      <c r="DI224" s="47">
        <f t="shared" si="146"/>
        <v>46081</v>
      </c>
      <c r="DJ224" s="56">
        <v>1261.1300000000001</v>
      </c>
      <c r="DK224" s="71"/>
      <c r="DL224" s="70"/>
      <c r="DM224" s="62"/>
      <c r="DN224" s="27"/>
      <c r="DO224" s="51"/>
      <c r="DP224" s="52"/>
      <c r="DQ224" s="52"/>
      <c r="DR224" s="53">
        <f t="shared" si="134"/>
        <v>0</v>
      </c>
      <c r="DT224" s="47">
        <f t="shared" si="147"/>
        <v>46081</v>
      </c>
      <c r="DU224" s="56">
        <v>2220.85</v>
      </c>
      <c r="DV224" s="57">
        <v>43.31</v>
      </c>
      <c r="DW224" s="70"/>
      <c r="DX224" s="62"/>
      <c r="DY224" s="27"/>
      <c r="DZ224" s="51">
        <v>124.32202999999998</v>
      </c>
      <c r="EA224" s="52">
        <v>187.12931676285714</v>
      </c>
      <c r="EB224" s="52"/>
      <c r="EC224" s="53">
        <f t="shared" si="135"/>
        <v>311.45134676285716</v>
      </c>
      <c r="EE224" s="47">
        <f t="shared" si="148"/>
        <v>46081</v>
      </c>
      <c r="EF224" s="56">
        <v>2562.2399999999998</v>
      </c>
      <c r="EG224" s="57">
        <v>1942.29</v>
      </c>
      <c r="EH224" s="70"/>
      <c r="EI224" s="59">
        <v>122.31</v>
      </c>
      <c r="EJ224" s="27"/>
      <c r="EK224" s="51"/>
      <c r="EL224" s="52"/>
      <c r="EM224" s="52"/>
      <c r="EN224" s="53">
        <f t="shared" si="136"/>
        <v>122.31</v>
      </c>
      <c r="EP224" s="47">
        <f t="shared" si="149"/>
        <v>46081</v>
      </c>
      <c r="EQ224" s="64">
        <v>546.04999999999995</v>
      </c>
      <c r="ER224" s="56">
        <v>522.91999999999996</v>
      </c>
      <c r="ES224" s="70"/>
      <c r="ET224" s="59"/>
      <c r="EV224" s="51"/>
      <c r="EW224" s="52"/>
      <c r="EX224" s="52"/>
      <c r="EY224" s="53">
        <f t="shared" si="137"/>
        <v>0</v>
      </c>
    </row>
    <row r="225" spans="2:157" s="274" customFormat="1" ht="16.5" hidden="1" thickBot="1" x14ac:dyDescent="0.3">
      <c r="B225" s="86"/>
      <c r="C225" s="105">
        <f>SUM(C197:C224)</f>
        <v>518013.88</v>
      </c>
      <c r="D225" s="105">
        <f>SUM(D197:D224)</f>
        <v>86299.060000000012</v>
      </c>
      <c r="E225" s="105">
        <f>SUM(E197:E224)</f>
        <v>100537.18</v>
      </c>
      <c r="F225" s="100">
        <f>SUM(F197:F224)</f>
        <v>15741.589999999998</v>
      </c>
      <c r="G225" s="86"/>
      <c r="H225" s="83"/>
      <c r="I225" s="84">
        <f>SUM(I197:I224)</f>
        <v>0</v>
      </c>
      <c r="J225" s="85">
        <f>SUM(J197:J224)</f>
        <v>84.066906846857094</v>
      </c>
      <c r="K225" s="85">
        <f>SUM(K197:K224)</f>
        <v>97.705387600000009</v>
      </c>
      <c r="L225" s="85">
        <f>SUM(L197:L224)</f>
        <v>181.77229444685707</v>
      </c>
      <c r="M225" s="86"/>
      <c r="N225" s="86"/>
      <c r="O225" s="105">
        <f>SUM(O197:O224)</f>
        <v>62219.960000000006</v>
      </c>
      <c r="P225" s="105">
        <f>SUM(P197:P224)</f>
        <v>17006.810000000001</v>
      </c>
      <c r="Q225" s="100">
        <f>SUM(Q197:Q224)</f>
        <v>0</v>
      </c>
      <c r="R225" s="100">
        <f>SUM(R197:R224)</f>
        <v>56.11</v>
      </c>
      <c r="S225" s="83"/>
      <c r="T225" s="84">
        <f>SUM(T197:T224)</f>
        <v>8445.9543999999987</v>
      </c>
      <c r="U225" s="85">
        <f>SUM(U197:U224)</f>
        <v>439.02397133095229</v>
      </c>
      <c r="V225" s="85">
        <f>SUM(V197:V224)</f>
        <v>0</v>
      </c>
      <c r="W225" s="85">
        <f>SUM(W197:W224)</f>
        <v>8941.0883713309522</v>
      </c>
      <c r="X225" s="86"/>
      <c r="Y225" s="86"/>
      <c r="Z225" s="105">
        <f>SUM(Z197:Z224)</f>
        <v>144185.59</v>
      </c>
      <c r="AA225" s="105">
        <f>SUM(AA197:AA224)</f>
        <v>37198.49</v>
      </c>
      <c r="AB225" s="105">
        <f>SUM(AB197:AB224)</f>
        <v>0</v>
      </c>
      <c r="AC225" s="100">
        <f>SUM(AC197:AC224)</f>
        <v>4239.2000000000007</v>
      </c>
      <c r="AD225" s="83"/>
      <c r="AE225" s="84">
        <f>SUM(AE197:AE224)</f>
        <v>2427.1183800000008</v>
      </c>
      <c r="AF225" s="85">
        <f>SUM(AF197:AF224)</f>
        <v>35.889857742857174</v>
      </c>
      <c r="AG225" s="85">
        <f>SUM(AG197:AG224)</f>
        <v>0</v>
      </c>
      <c r="AH225" s="85">
        <f>SUM(AH197:AH224)</f>
        <v>6702.2082377428587</v>
      </c>
      <c r="AI225" s="86"/>
      <c r="AJ225" s="86"/>
      <c r="AK225" s="105">
        <f>SUM(AK197:AK224)</f>
        <v>90050.5</v>
      </c>
      <c r="AL225" s="105">
        <f>SUM(AL197:AL224)</f>
        <v>11919.07</v>
      </c>
      <c r="AM225" s="100">
        <f>SUM(AM197:AM224)</f>
        <v>0</v>
      </c>
      <c r="AN225" s="100">
        <f>SUM(AN197:AN224)</f>
        <v>0</v>
      </c>
      <c r="AO225" s="83"/>
      <c r="AP225" s="84">
        <f>SUM(AP197:AP224)</f>
        <v>0</v>
      </c>
      <c r="AQ225" s="85">
        <f>SUM(AQ197:AQ224)</f>
        <v>0</v>
      </c>
      <c r="AR225" s="85">
        <f>SUM(AR197:AR224)</f>
        <v>0</v>
      </c>
      <c r="AS225" s="85">
        <f>SUM(AS197:AS224)</f>
        <v>0</v>
      </c>
      <c r="AT225" s="86"/>
      <c r="AU225" s="86"/>
      <c r="AV225" s="105">
        <f>SUM(AV197:AV224)</f>
        <v>55859.179999999993</v>
      </c>
      <c r="AW225" s="105">
        <f>SUM(AW197:AW224)</f>
        <v>2455.3199999999997</v>
      </c>
      <c r="AX225" s="100">
        <f>SUM(AX197:AX224)</f>
        <v>0</v>
      </c>
      <c r="AY225" s="100">
        <f>SUM(AY197:AY224)</f>
        <v>9100.48</v>
      </c>
      <c r="AZ225" s="83"/>
      <c r="BA225" s="84">
        <f>SUM(BA197:BA224)</f>
        <v>5811.6300920000003</v>
      </c>
      <c r="BB225" s="85">
        <f>SUM(BB197:BB224)</f>
        <v>112.08422313923793</v>
      </c>
      <c r="BC225" s="85">
        <f>SUM(BC197:BC224)</f>
        <v>0</v>
      </c>
      <c r="BD225" s="85">
        <f>SUM(BD197:BD224)</f>
        <v>15024.194315139241</v>
      </c>
      <c r="BE225" s="86"/>
      <c r="BF225" s="86"/>
      <c r="BG225" s="109">
        <f>SUM(BG197:BG224)</f>
        <v>110717.75</v>
      </c>
      <c r="BH225" s="109">
        <f>SUM(BH197:BH224)</f>
        <v>17502.87</v>
      </c>
      <c r="BI225" s="329">
        <f>SUM(BI197:BI224)</f>
        <v>0</v>
      </c>
      <c r="BJ225" s="109">
        <f>SUM(BJ197:BJ224)</f>
        <v>197.61999999999998</v>
      </c>
      <c r="BK225" s="83"/>
      <c r="BL225" s="84">
        <f>SUM(BL197:BL224)</f>
        <v>8601.1502199999959</v>
      </c>
      <c r="BM225" s="85">
        <f>SUM(BM197:BM224)</f>
        <v>1207.7100347556191</v>
      </c>
      <c r="BN225" s="85">
        <f>SUM(BN197:BN224)</f>
        <v>0</v>
      </c>
      <c r="BO225" s="85">
        <f>SUM(BO197:BO224)</f>
        <v>10006.480254755617</v>
      </c>
      <c r="BP225" s="86"/>
      <c r="BQ225" s="86"/>
      <c r="BR225" s="109">
        <f>SUM(BR197:BR224)</f>
        <v>8009.2000000000007</v>
      </c>
      <c r="BS225" s="109">
        <f>SUM(BS197:BS224)</f>
        <v>8230.0899999999983</v>
      </c>
      <c r="BT225" s="329">
        <f>SUM(BT197:BT224)</f>
        <v>0</v>
      </c>
      <c r="BU225" s="109">
        <f>SUM(BU197:BU224)</f>
        <v>0</v>
      </c>
      <c r="BV225" s="83"/>
      <c r="BW225" s="84">
        <f>SUM(BW197:BW224)</f>
        <v>0</v>
      </c>
      <c r="BX225" s="85">
        <f>SUM(BX197:BX224)</f>
        <v>0</v>
      </c>
      <c r="BY225" s="85">
        <f>SUM(BY197:BY224)</f>
        <v>0</v>
      </c>
      <c r="BZ225" s="85">
        <f>SUM(BZ197:BZ224)</f>
        <v>0</v>
      </c>
      <c r="CA225" s="86"/>
      <c r="CB225" s="86"/>
      <c r="CC225" s="105">
        <f>SUM(CC197:CC224)</f>
        <v>632455.31999999995</v>
      </c>
      <c r="CD225" s="105">
        <f>SUM(CD197:CD224)</f>
        <v>59440.170000000013</v>
      </c>
      <c r="CE225" s="100">
        <f>SUM(CE197:CE224)</f>
        <v>0</v>
      </c>
      <c r="CF225" s="109">
        <f>SUM(CF197:CF224)</f>
        <v>0</v>
      </c>
      <c r="CG225" s="83"/>
      <c r="CH225" s="84">
        <f>SUM(CH197:CH224)</f>
        <v>0</v>
      </c>
      <c r="CI225" s="85">
        <f>SUM(CI197:CI224)</f>
        <v>0</v>
      </c>
      <c r="CJ225" s="85">
        <f>SUM(CJ197:CJ224)</f>
        <v>0</v>
      </c>
      <c r="CK225" s="85">
        <f>SUM(CK197:CK224)</f>
        <v>0</v>
      </c>
      <c r="CL225" s="86"/>
      <c r="CM225" s="86"/>
      <c r="CN225" s="105">
        <f>SUM(CN197:CN224)</f>
        <v>271763.68</v>
      </c>
      <c r="CO225" s="105">
        <f>SUM(CO197:CO224)</f>
        <v>49995.17</v>
      </c>
      <c r="CP225" s="100">
        <f>SUM(CP197:CP224)</f>
        <v>0</v>
      </c>
      <c r="CQ225" s="105">
        <f>SUM(CQ197:CQ224)</f>
        <v>0</v>
      </c>
      <c r="CR225" s="83"/>
      <c r="CS225" s="84">
        <f>SUM(CS197:CS224)</f>
        <v>1740.9775799999993</v>
      </c>
      <c r="CT225" s="85">
        <f>SUM(CT197:CT224)</f>
        <v>7545.3008166041873</v>
      </c>
      <c r="CU225" s="85">
        <f>SUM(CU197:CU224)</f>
        <v>25.61541416</v>
      </c>
      <c r="CV225" s="85">
        <f>SUM(CV197:CV224)</f>
        <v>9311.8938107641898</v>
      </c>
      <c r="CW225" s="86"/>
      <c r="CX225" s="86"/>
      <c r="CY225" s="105">
        <f>SUM(CY197:CY224)</f>
        <v>162694.34999999998</v>
      </c>
      <c r="CZ225" s="105">
        <f>SUM(CZ197:CZ224)</f>
        <v>47254.42</v>
      </c>
      <c r="DA225" s="100">
        <f>SUM(DA197:DA224)</f>
        <v>0</v>
      </c>
      <c r="DB225" s="105">
        <f>SUM(DB197:DB224)</f>
        <v>0</v>
      </c>
      <c r="DC225" s="83"/>
      <c r="DD225" s="84">
        <f>SUM(DD197:DD224)</f>
        <v>2077.6110300000009</v>
      </c>
      <c r="DE225" s="85">
        <f>SUM(DE197:DE224)</f>
        <v>534.2325306922861</v>
      </c>
      <c r="DF225" s="85">
        <f>SUM(DF197:DF224)</f>
        <v>-11.159547359999991</v>
      </c>
      <c r="DG225" s="85">
        <f>SUM(DG197:DG224)</f>
        <v>2600.6840133322867</v>
      </c>
      <c r="DH225" s="86"/>
      <c r="DI225" s="86"/>
      <c r="DJ225" s="105">
        <f>SUM(DJ197:DJ224)</f>
        <v>37897.829999999987</v>
      </c>
      <c r="DK225" s="105">
        <f>SUM(DK197:DK224)</f>
        <v>0</v>
      </c>
      <c r="DL225" s="100">
        <f>SUM(DL197:DL224)</f>
        <v>0</v>
      </c>
      <c r="DM225" s="105">
        <f>SUM(DM197:DM224)</f>
        <v>0</v>
      </c>
      <c r="DN225" s="83"/>
      <c r="DO225" s="84">
        <f>SUM(DO197:DO224)</f>
        <v>0</v>
      </c>
      <c r="DP225" s="85">
        <f>SUM(DP197:DP224)</f>
        <v>0</v>
      </c>
      <c r="DQ225" s="85">
        <f>SUM(DQ197:DQ224)</f>
        <v>0</v>
      </c>
      <c r="DR225" s="85">
        <f>SUM(DR197:DR224)</f>
        <v>0</v>
      </c>
      <c r="DS225" s="86"/>
      <c r="DT225" s="86"/>
      <c r="DU225" s="109">
        <f>SUM(DU197:DU224)</f>
        <v>49288.7</v>
      </c>
      <c r="DV225" s="109">
        <f>SUM(DV197:DV224)</f>
        <v>7598.01</v>
      </c>
      <c r="DW225" s="100">
        <f>SUM(DW197:DW224)</f>
        <v>0</v>
      </c>
      <c r="DX225" s="105">
        <f>SUM(DX197:DX224)</f>
        <v>0</v>
      </c>
      <c r="DY225" s="83"/>
      <c r="DZ225" s="84">
        <f>SUM(DZ197:DZ224)</f>
        <v>3077.443209999999</v>
      </c>
      <c r="EA225" s="85">
        <f>SUM(EA197:EA224)</f>
        <v>4242.4129696900009</v>
      </c>
      <c r="EB225" s="85">
        <f>SUM(EB197:EB224)</f>
        <v>16.590171499999997</v>
      </c>
      <c r="EC225" s="85">
        <f>SUM(EC197:EC224)</f>
        <v>7336.4463511900012</v>
      </c>
      <c r="ED225" s="86"/>
      <c r="EE225" s="86"/>
      <c r="EF225" s="105">
        <f>SUM(EF197:EF224)</f>
        <v>132671.10999999999</v>
      </c>
      <c r="EG225" s="105">
        <f>SUM(EG197:EG224)</f>
        <v>36070.78</v>
      </c>
      <c r="EH225" s="100">
        <f>SUM(EH197:EH224)</f>
        <v>0</v>
      </c>
      <c r="EI225" s="105">
        <f>SUM(EI197:EI224)</f>
        <v>3278.1800000000003</v>
      </c>
      <c r="EJ225" s="83"/>
      <c r="EK225" s="84">
        <f>SUM(EK197:EK224)</f>
        <v>203.28329999999997</v>
      </c>
      <c r="EL225" s="85">
        <f>SUM(EL197:EL224)</f>
        <v>0</v>
      </c>
      <c r="EM225" s="85">
        <f>SUM(EM197:EM224)</f>
        <v>0</v>
      </c>
      <c r="EN225" s="85">
        <f>SUM(EN197:EN224)</f>
        <v>3481.4633000000003</v>
      </c>
      <c r="EO225" s="86"/>
      <c r="EP225" s="86"/>
      <c r="EQ225" s="105">
        <f>SUM(EQ197:EQ224)</f>
        <v>21598.560000000001</v>
      </c>
      <c r="ER225" s="105">
        <f>SUM(ER197:ER224)</f>
        <v>12278.769999999999</v>
      </c>
      <c r="ES225" s="100">
        <f>SUM(ES197:ES224)</f>
        <v>0</v>
      </c>
      <c r="ET225" s="105">
        <f>SUM(ET197:ET224)</f>
        <v>0</v>
      </c>
      <c r="EV225" s="84">
        <f>SUM(EV197:EV224)</f>
        <v>0</v>
      </c>
      <c r="EW225" s="85">
        <f>SUM(EW197:EW224)</f>
        <v>0</v>
      </c>
      <c r="EX225" s="85">
        <f>SUM(EX197:EX224)</f>
        <v>0</v>
      </c>
      <c r="EY225" s="85">
        <f>SUM(EY197:EY224)</f>
        <v>0</v>
      </c>
      <c r="FA225" s="442"/>
    </row>
    <row r="226" spans="2:157" hidden="1" x14ac:dyDescent="0.25"/>
    <row r="227" spans="2:157" hidden="1" x14ac:dyDescent="0.25"/>
    <row r="230" spans="2:157" ht="21" x14ac:dyDescent="0.35">
      <c r="C230" s="1" t="s">
        <v>0</v>
      </c>
      <c r="O230" s="1" t="s">
        <v>1</v>
      </c>
      <c r="AA230" s="1" t="s">
        <v>2</v>
      </c>
      <c r="AL230" s="1" t="s">
        <v>3</v>
      </c>
      <c r="AW230" s="1" t="s">
        <v>4</v>
      </c>
      <c r="BH230" s="1" t="s">
        <v>5</v>
      </c>
      <c r="BS230" s="1" t="s">
        <v>6</v>
      </c>
      <c r="CD230" s="1" t="s">
        <v>7</v>
      </c>
      <c r="CO230" s="1" t="s">
        <v>8</v>
      </c>
      <c r="CZ230" s="1" t="s">
        <v>9</v>
      </c>
      <c r="DK230" s="1" t="s">
        <v>10</v>
      </c>
      <c r="DV230" s="1" t="s">
        <v>11</v>
      </c>
      <c r="EG230" s="1" t="s">
        <v>12</v>
      </c>
      <c r="ER230" s="1" t="s">
        <v>13</v>
      </c>
    </row>
    <row r="231" spans="2:157" ht="15.75" thickBot="1" x14ac:dyDescent="0.3"/>
    <row r="232" spans="2:157" x14ac:dyDescent="0.25">
      <c r="B232" s="2" t="s">
        <v>14</v>
      </c>
      <c r="C232" s="3" t="s">
        <v>15</v>
      </c>
      <c r="D232" s="4" t="s">
        <v>15</v>
      </c>
      <c r="E232" s="4" t="s">
        <v>15</v>
      </c>
      <c r="F232" s="5" t="s">
        <v>16</v>
      </c>
      <c r="G232" s="5" t="s">
        <v>16</v>
      </c>
      <c r="H232" s="6"/>
      <c r="I232" s="7" t="s">
        <v>16</v>
      </c>
      <c r="J232" s="8" t="s">
        <v>16</v>
      </c>
      <c r="K232" s="9" t="s">
        <v>16</v>
      </c>
      <c r="L232" s="10" t="s">
        <v>17</v>
      </c>
      <c r="N232" s="2" t="s">
        <v>14</v>
      </c>
      <c r="O232" s="3" t="s">
        <v>15</v>
      </c>
      <c r="P232" s="4" t="s">
        <v>15</v>
      </c>
      <c r="Q232" s="5" t="s">
        <v>16</v>
      </c>
      <c r="R232" s="11" t="s">
        <v>16</v>
      </c>
      <c r="S232" s="6"/>
      <c r="T232" s="7" t="s">
        <v>16</v>
      </c>
      <c r="U232" s="8" t="s">
        <v>16</v>
      </c>
      <c r="V232" s="9" t="s">
        <v>16</v>
      </c>
      <c r="W232" s="10" t="s">
        <v>17</v>
      </c>
      <c r="Y232" s="2" t="s">
        <v>14</v>
      </c>
      <c r="Z232" s="3" t="s">
        <v>15</v>
      </c>
      <c r="AA232" s="4" t="s">
        <v>15</v>
      </c>
      <c r="AB232" s="4" t="s">
        <v>16</v>
      </c>
      <c r="AC232" s="11" t="s">
        <v>16</v>
      </c>
      <c r="AD232" s="6"/>
      <c r="AE232" s="7" t="s">
        <v>16</v>
      </c>
      <c r="AF232" s="8" t="s">
        <v>16</v>
      </c>
      <c r="AG232" s="9" t="s">
        <v>16</v>
      </c>
      <c r="AH232" s="10" t="s">
        <v>17</v>
      </c>
      <c r="AJ232" s="2" t="s">
        <v>14</v>
      </c>
      <c r="AK232" s="3" t="s">
        <v>15</v>
      </c>
      <c r="AL232" s="4" t="s">
        <v>15</v>
      </c>
      <c r="AM232" s="5" t="s">
        <v>16</v>
      </c>
      <c r="AN232" s="11" t="s">
        <v>16</v>
      </c>
      <c r="AO232" s="6"/>
      <c r="AP232" s="7" t="s">
        <v>16</v>
      </c>
      <c r="AQ232" s="8" t="s">
        <v>16</v>
      </c>
      <c r="AR232" s="9" t="s">
        <v>16</v>
      </c>
      <c r="AS232" s="10" t="s">
        <v>17</v>
      </c>
      <c r="AU232" s="2" t="s">
        <v>14</v>
      </c>
      <c r="AV232" s="3" t="s">
        <v>15</v>
      </c>
      <c r="AW232" s="4" t="s">
        <v>15</v>
      </c>
      <c r="AX232" s="5" t="s">
        <v>16</v>
      </c>
      <c r="AY232" s="11" t="s">
        <v>16</v>
      </c>
      <c r="AZ232" s="6"/>
      <c r="BA232" s="7" t="s">
        <v>16</v>
      </c>
      <c r="BB232" s="8" t="s">
        <v>16</v>
      </c>
      <c r="BC232" s="9" t="s">
        <v>16</v>
      </c>
      <c r="BD232" s="10" t="s">
        <v>17</v>
      </c>
      <c r="BF232" s="2" t="s">
        <v>14</v>
      </c>
      <c r="BG232" s="3" t="s">
        <v>15</v>
      </c>
      <c r="BH232" s="4" t="s">
        <v>15</v>
      </c>
      <c r="BI232" s="5" t="s">
        <v>16</v>
      </c>
      <c r="BJ232" s="11" t="s">
        <v>16</v>
      </c>
      <c r="BK232" s="6"/>
      <c r="BL232" s="7" t="s">
        <v>16</v>
      </c>
      <c r="BM232" s="8" t="s">
        <v>16</v>
      </c>
      <c r="BN232" s="9" t="s">
        <v>16</v>
      </c>
      <c r="BO232" s="10" t="s">
        <v>17</v>
      </c>
      <c r="BQ232" s="2" t="s">
        <v>14</v>
      </c>
      <c r="BR232" s="3" t="s">
        <v>15</v>
      </c>
      <c r="BS232" s="4" t="s">
        <v>15</v>
      </c>
      <c r="BT232" s="5" t="s">
        <v>16</v>
      </c>
      <c r="BU232" s="11" t="s">
        <v>16</v>
      </c>
      <c r="BV232" s="6"/>
      <c r="BW232" s="7" t="s">
        <v>16</v>
      </c>
      <c r="BX232" s="8" t="s">
        <v>16</v>
      </c>
      <c r="BY232" s="9" t="s">
        <v>16</v>
      </c>
      <c r="BZ232" s="10" t="s">
        <v>17</v>
      </c>
      <c r="CB232" s="2" t="s">
        <v>14</v>
      </c>
      <c r="CC232" s="3" t="s">
        <v>15</v>
      </c>
      <c r="CD232" s="4" t="s">
        <v>15</v>
      </c>
      <c r="CE232" s="5" t="s">
        <v>16</v>
      </c>
      <c r="CF232" s="5" t="s">
        <v>16</v>
      </c>
      <c r="CG232" s="6"/>
      <c r="CH232" s="7" t="s">
        <v>16</v>
      </c>
      <c r="CI232" s="8" t="s">
        <v>16</v>
      </c>
      <c r="CJ232" s="9" t="s">
        <v>16</v>
      </c>
      <c r="CK232" s="10" t="s">
        <v>17</v>
      </c>
      <c r="CM232" s="2" t="s">
        <v>14</v>
      </c>
      <c r="CN232" s="3" t="s">
        <v>15</v>
      </c>
      <c r="CO232" s="4" t="s">
        <v>15</v>
      </c>
      <c r="CP232" s="5" t="s">
        <v>16</v>
      </c>
      <c r="CQ232" s="11" t="s">
        <v>16</v>
      </c>
      <c r="CR232" s="6"/>
      <c r="CS232" s="7" t="s">
        <v>16</v>
      </c>
      <c r="CT232" s="8" t="s">
        <v>16</v>
      </c>
      <c r="CU232" s="9" t="s">
        <v>16</v>
      </c>
      <c r="CV232" s="10" t="s">
        <v>17</v>
      </c>
      <c r="CX232" s="2" t="s">
        <v>14</v>
      </c>
      <c r="CY232" s="3" t="s">
        <v>15</v>
      </c>
      <c r="CZ232" s="4" t="s">
        <v>15</v>
      </c>
      <c r="DA232" s="5" t="s">
        <v>16</v>
      </c>
      <c r="DB232" s="11" t="s">
        <v>16</v>
      </c>
      <c r="DC232" s="6"/>
      <c r="DD232" s="7" t="s">
        <v>16</v>
      </c>
      <c r="DE232" s="8" t="s">
        <v>16</v>
      </c>
      <c r="DF232" s="9" t="s">
        <v>16</v>
      </c>
      <c r="DG232" s="10" t="s">
        <v>17</v>
      </c>
      <c r="DI232" s="2" t="s">
        <v>14</v>
      </c>
      <c r="DJ232" s="3" t="s">
        <v>15</v>
      </c>
      <c r="DK232" s="4" t="s">
        <v>15</v>
      </c>
      <c r="DL232" s="5" t="s">
        <v>16</v>
      </c>
      <c r="DM232" s="11" t="s">
        <v>16</v>
      </c>
      <c r="DN232" s="6"/>
      <c r="DO232" s="7" t="s">
        <v>16</v>
      </c>
      <c r="DP232" s="8" t="s">
        <v>16</v>
      </c>
      <c r="DQ232" s="9" t="s">
        <v>16</v>
      </c>
      <c r="DR232" s="10" t="s">
        <v>17</v>
      </c>
      <c r="DT232" s="2" t="s">
        <v>14</v>
      </c>
      <c r="DU232" s="3" t="s">
        <v>15</v>
      </c>
      <c r="DV232" s="4" t="s">
        <v>15</v>
      </c>
      <c r="DW232" s="5" t="s">
        <v>16</v>
      </c>
      <c r="DX232" s="11" t="s">
        <v>16</v>
      </c>
      <c r="DY232" s="6"/>
      <c r="DZ232" s="7" t="s">
        <v>16</v>
      </c>
      <c r="EA232" s="8" t="s">
        <v>16</v>
      </c>
      <c r="EB232" s="9" t="s">
        <v>16</v>
      </c>
      <c r="EC232" s="10" t="s">
        <v>17</v>
      </c>
      <c r="EE232" s="2" t="s">
        <v>14</v>
      </c>
      <c r="EF232" s="3" t="s">
        <v>15</v>
      </c>
      <c r="EG232" s="4" t="s">
        <v>15</v>
      </c>
      <c r="EH232" s="5" t="s">
        <v>16</v>
      </c>
      <c r="EI232" s="11" t="s">
        <v>16</v>
      </c>
      <c r="EJ232" s="6"/>
      <c r="EK232" s="7" t="s">
        <v>16</v>
      </c>
      <c r="EL232" s="8" t="s">
        <v>16</v>
      </c>
      <c r="EM232" s="9" t="s">
        <v>16</v>
      </c>
      <c r="EN232" s="10" t="s">
        <v>17</v>
      </c>
      <c r="EP232" s="2" t="s">
        <v>14</v>
      </c>
      <c r="EQ232" s="3" t="s">
        <v>15</v>
      </c>
      <c r="ER232" s="4" t="s">
        <v>15</v>
      </c>
      <c r="ES232" s="5" t="s">
        <v>16</v>
      </c>
      <c r="ET232" s="11" t="s">
        <v>16</v>
      </c>
      <c r="EV232" s="7" t="s">
        <v>16</v>
      </c>
      <c r="EW232" s="8" t="s">
        <v>16</v>
      </c>
      <c r="EX232" s="9" t="s">
        <v>16</v>
      </c>
      <c r="EY232" s="10" t="s">
        <v>17</v>
      </c>
    </row>
    <row r="233" spans="2:157" ht="15.75" thickBot="1" x14ac:dyDescent="0.3">
      <c r="B233" s="87"/>
      <c r="C233" s="13" t="s">
        <v>18</v>
      </c>
      <c r="D233" s="14" t="s">
        <v>19</v>
      </c>
      <c r="E233" s="14" t="s">
        <v>20</v>
      </c>
      <c r="F233" s="15" t="s">
        <v>20</v>
      </c>
      <c r="G233" s="15" t="s">
        <v>27</v>
      </c>
      <c r="H233" s="6"/>
      <c r="I233" s="16" t="s">
        <v>21</v>
      </c>
      <c r="J233" s="17" t="s">
        <v>22</v>
      </c>
      <c r="K233" s="18" t="s">
        <v>23</v>
      </c>
      <c r="L233" s="19" t="s">
        <v>24</v>
      </c>
      <c r="N233" s="12"/>
      <c r="O233" s="13" t="s">
        <v>18</v>
      </c>
      <c r="P233" s="14" t="s">
        <v>19</v>
      </c>
      <c r="Q233" s="15" t="s">
        <v>19</v>
      </c>
      <c r="R233" s="20" t="s">
        <v>25</v>
      </c>
      <c r="S233" s="6"/>
      <c r="T233" s="16" t="s">
        <v>21</v>
      </c>
      <c r="U233" s="17" t="s">
        <v>22</v>
      </c>
      <c r="V233" s="18" t="s">
        <v>23</v>
      </c>
      <c r="W233" s="19" t="s">
        <v>24</v>
      </c>
      <c r="Y233" s="12"/>
      <c r="Z233" s="13" t="s">
        <v>18</v>
      </c>
      <c r="AA233" s="14" t="s">
        <v>19</v>
      </c>
      <c r="AB233" s="14" t="s">
        <v>19</v>
      </c>
      <c r="AC233" s="20" t="s">
        <v>25</v>
      </c>
      <c r="AD233" s="6"/>
      <c r="AE233" s="16" t="s">
        <v>21</v>
      </c>
      <c r="AF233" s="17" t="s">
        <v>22</v>
      </c>
      <c r="AG233" s="18" t="s">
        <v>23</v>
      </c>
      <c r="AH233" s="21" t="s">
        <v>24</v>
      </c>
      <c r="AJ233" s="12"/>
      <c r="AK233" s="13" t="s">
        <v>18</v>
      </c>
      <c r="AL233" s="14" t="s">
        <v>19</v>
      </c>
      <c r="AM233" s="15" t="s">
        <v>19</v>
      </c>
      <c r="AN233" s="20" t="s">
        <v>25</v>
      </c>
      <c r="AO233" s="6"/>
      <c r="AP233" s="16" t="s">
        <v>21</v>
      </c>
      <c r="AQ233" s="17" t="s">
        <v>22</v>
      </c>
      <c r="AR233" s="18" t="s">
        <v>23</v>
      </c>
      <c r="AS233" s="21" t="s">
        <v>24</v>
      </c>
      <c r="AU233" s="12"/>
      <c r="AV233" s="13" t="s">
        <v>18</v>
      </c>
      <c r="AW233" s="14" t="s">
        <v>19</v>
      </c>
      <c r="AX233" s="15" t="s">
        <v>19</v>
      </c>
      <c r="AY233" s="20" t="s">
        <v>25</v>
      </c>
      <c r="AZ233" s="6"/>
      <c r="BA233" s="16" t="s">
        <v>21</v>
      </c>
      <c r="BB233" s="17" t="s">
        <v>22</v>
      </c>
      <c r="BC233" s="18" t="s">
        <v>23</v>
      </c>
      <c r="BD233" s="21" t="s">
        <v>24</v>
      </c>
      <c r="BF233" s="12"/>
      <c r="BG233" s="13" t="s">
        <v>18</v>
      </c>
      <c r="BH233" s="14" t="s">
        <v>19</v>
      </c>
      <c r="BI233" s="15" t="s">
        <v>19</v>
      </c>
      <c r="BJ233" s="20" t="s">
        <v>25</v>
      </c>
      <c r="BK233" s="6"/>
      <c r="BL233" s="16" t="s">
        <v>21</v>
      </c>
      <c r="BM233" s="17" t="s">
        <v>22</v>
      </c>
      <c r="BN233" s="18" t="s">
        <v>23</v>
      </c>
      <c r="BO233" s="21" t="s">
        <v>24</v>
      </c>
      <c r="BQ233" s="12"/>
      <c r="BR233" s="13" t="s">
        <v>18</v>
      </c>
      <c r="BS233" s="14" t="s">
        <v>19</v>
      </c>
      <c r="BT233" s="15" t="s">
        <v>19</v>
      </c>
      <c r="BU233" s="20" t="s">
        <v>25</v>
      </c>
      <c r="BV233" s="6"/>
      <c r="BW233" s="16" t="s">
        <v>21</v>
      </c>
      <c r="BX233" s="17" t="s">
        <v>22</v>
      </c>
      <c r="BY233" s="18" t="s">
        <v>23</v>
      </c>
      <c r="BZ233" s="21" t="s">
        <v>24</v>
      </c>
      <c r="CB233" s="12"/>
      <c r="CC233" s="13" t="s">
        <v>18</v>
      </c>
      <c r="CD233" s="14" t="s">
        <v>19</v>
      </c>
      <c r="CE233" s="15" t="s">
        <v>19</v>
      </c>
      <c r="CF233" s="15" t="s">
        <v>25</v>
      </c>
      <c r="CG233" s="6"/>
      <c r="CH233" s="16" t="s">
        <v>21</v>
      </c>
      <c r="CI233" s="17" t="s">
        <v>22</v>
      </c>
      <c r="CJ233" s="18" t="s">
        <v>23</v>
      </c>
      <c r="CK233" s="21" t="s">
        <v>24</v>
      </c>
      <c r="CM233" s="12"/>
      <c r="CN233" s="13" t="s">
        <v>18</v>
      </c>
      <c r="CO233" s="14" t="s">
        <v>19</v>
      </c>
      <c r="CP233" s="15" t="s">
        <v>19</v>
      </c>
      <c r="CQ233" s="20" t="s">
        <v>25</v>
      </c>
      <c r="CR233" s="6"/>
      <c r="CS233" s="16" t="s">
        <v>21</v>
      </c>
      <c r="CT233" s="17" t="s">
        <v>22</v>
      </c>
      <c r="CU233" s="18" t="s">
        <v>23</v>
      </c>
      <c r="CV233" s="21" t="s">
        <v>24</v>
      </c>
      <c r="CX233" s="12"/>
      <c r="CY233" s="13" t="s">
        <v>18</v>
      </c>
      <c r="CZ233" s="14" t="s">
        <v>19</v>
      </c>
      <c r="DA233" s="15" t="s">
        <v>19</v>
      </c>
      <c r="DB233" s="20" t="s">
        <v>25</v>
      </c>
      <c r="DC233" s="6"/>
      <c r="DD233" s="16" t="s">
        <v>21</v>
      </c>
      <c r="DE233" s="17" t="s">
        <v>22</v>
      </c>
      <c r="DF233" s="18" t="s">
        <v>23</v>
      </c>
      <c r="DG233" s="21" t="s">
        <v>24</v>
      </c>
      <c r="DI233" s="12"/>
      <c r="DJ233" s="13" t="s">
        <v>18</v>
      </c>
      <c r="DK233" s="14" t="s">
        <v>19</v>
      </c>
      <c r="DL233" s="15" t="s">
        <v>19</v>
      </c>
      <c r="DM233" s="20" t="s">
        <v>25</v>
      </c>
      <c r="DN233" s="6"/>
      <c r="DO233" s="16" t="s">
        <v>21</v>
      </c>
      <c r="DP233" s="17" t="s">
        <v>22</v>
      </c>
      <c r="DQ233" s="18" t="s">
        <v>23</v>
      </c>
      <c r="DR233" s="21" t="s">
        <v>24</v>
      </c>
      <c r="DT233" s="12"/>
      <c r="DU233" s="13" t="s">
        <v>18</v>
      </c>
      <c r="DV233" s="14" t="s">
        <v>19</v>
      </c>
      <c r="DW233" s="15" t="s">
        <v>19</v>
      </c>
      <c r="DX233" s="20" t="s">
        <v>25</v>
      </c>
      <c r="DY233" s="6"/>
      <c r="DZ233" s="16" t="s">
        <v>21</v>
      </c>
      <c r="EA233" s="17" t="s">
        <v>22</v>
      </c>
      <c r="EB233" s="18" t="s">
        <v>23</v>
      </c>
      <c r="EC233" s="21" t="s">
        <v>24</v>
      </c>
      <c r="EE233" s="12"/>
      <c r="EF233" s="13" t="s">
        <v>18</v>
      </c>
      <c r="EG233" s="14" t="s">
        <v>19</v>
      </c>
      <c r="EH233" s="15" t="s">
        <v>19</v>
      </c>
      <c r="EI233" s="20" t="s">
        <v>25</v>
      </c>
      <c r="EJ233" s="6"/>
      <c r="EK233" s="16" t="s">
        <v>21</v>
      </c>
      <c r="EL233" s="17" t="s">
        <v>22</v>
      </c>
      <c r="EM233" s="18" t="s">
        <v>23</v>
      </c>
      <c r="EN233" s="21" t="s">
        <v>24</v>
      </c>
      <c r="EP233" s="12"/>
      <c r="EQ233" s="13" t="s">
        <v>18</v>
      </c>
      <c r="ER233" s="14" t="s">
        <v>19</v>
      </c>
      <c r="ES233" s="15" t="s">
        <v>19</v>
      </c>
      <c r="ET233" s="20" t="s">
        <v>25</v>
      </c>
      <c r="EV233" s="16" t="s">
        <v>21</v>
      </c>
      <c r="EW233" s="17" t="s">
        <v>22</v>
      </c>
      <c r="EX233" s="18" t="s">
        <v>23</v>
      </c>
      <c r="EY233" s="21" t="s">
        <v>24</v>
      </c>
    </row>
    <row r="234" spans="2:157" x14ac:dyDescent="0.25">
      <c r="B234" s="22">
        <v>46082</v>
      </c>
      <c r="C234" s="23">
        <v>20786.16</v>
      </c>
      <c r="D234" s="24">
        <v>3346.34</v>
      </c>
      <c r="E234" s="25">
        <v>2372.13</v>
      </c>
      <c r="F234" s="26">
        <v>395.14</v>
      </c>
      <c r="G234" s="101"/>
      <c r="H234" s="27"/>
      <c r="I234" s="28"/>
      <c r="J234" s="30"/>
      <c r="K234" s="29">
        <v>28.464999999999975</v>
      </c>
      <c r="L234" s="30">
        <f>SUM(G234:K234)</f>
        <v>28.464999999999975</v>
      </c>
      <c r="N234" s="22">
        <f>+B234</f>
        <v>46082</v>
      </c>
      <c r="O234" s="31">
        <v>1011.05</v>
      </c>
      <c r="P234" s="31">
        <v>791.12</v>
      </c>
      <c r="Q234" s="36"/>
      <c r="R234" s="26"/>
      <c r="S234" s="27"/>
      <c r="T234" s="239">
        <v>38.036869999999958</v>
      </c>
      <c r="U234" s="30"/>
      <c r="V234" s="29"/>
      <c r="W234" s="30">
        <f>SUM(R234:V234)</f>
        <v>38.036869999999958</v>
      </c>
      <c r="Y234" s="22">
        <f>+N234</f>
        <v>46082</v>
      </c>
      <c r="Z234" s="34">
        <v>3685.41</v>
      </c>
      <c r="AA234" s="35">
        <v>1093.8800000000001</v>
      </c>
      <c r="AB234" s="43"/>
      <c r="AC234" s="37">
        <v>152.54</v>
      </c>
      <c r="AD234" s="27"/>
      <c r="AE234" s="239">
        <v>25.349999999999994</v>
      </c>
      <c r="AF234" s="29"/>
      <c r="AG234" s="29"/>
      <c r="AH234" s="30">
        <f>SUM(AC234:AG234)</f>
        <v>177.89</v>
      </c>
      <c r="AJ234" s="22">
        <f>+Y234</f>
        <v>46082</v>
      </c>
      <c r="AK234" s="34">
        <v>2930.72</v>
      </c>
      <c r="AL234" s="35">
        <v>419.05</v>
      </c>
      <c r="AM234" s="36"/>
      <c r="AN234" s="36"/>
      <c r="AO234" s="27"/>
      <c r="AP234" s="28"/>
      <c r="AQ234" s="29"/>
      <c r="AR234" s="29"/>
      <c r="AS234" s="30">
        <f>SUM(AN234:AR234)</f>
        <v>0</v>
      </c>
      <c r="AU234" s="22">
        <f>+AJ234</f>
        <v>46082</v>
      </c>
      <c r="AV234" s="39">
        <v>734.44</v>
      </c>
      <c r="AW234" s="39">
        <v>479.68</v>
      </c>
      <c r="AX234" s="36"/>
      <c r="AY234" s="37"/>
      <c r="AZ234" s="27"/>
      <c r="BA234" s="239">
        <v>24.744639999999976</v>
      </c>
      <c r="BB234" s="30"/>
      <c r="BC234" s="29"/>
      <c r="BD234" s="30">
        <f>SUM(AY234:BC234)</f>
        <v>24.744639999999976</v>
      </c>
      <c r="BF234" s="22">
        <f>+AU234</f>
        <v>46082</v>
      </c>
      <c r="BG234" s="34">
        <v>4101.3900000000003</v>
      </c>
      <c r="BH234" s="35">
        <v>557.70000000000005</v>
      </c>
      <c r="BI234" s="36"/>
      <c r="BJ234" s="37"/>
      <c r="BK234" s="27"/>
      <c r="BL234" s="239">
        <v>68.566129999999958</v>
      </c>
      <c r="BM234" s="29"/>
      <c r="BN234" s="29"/>
      <c r="BO234" s="30">
        <f>SUM(BJ234:BN234)</f>
        <v>68.566129999999958</v>
      </c>
      <c r="BQ234" s="22">
        <f>+BF234</f>
        <v>46082</v>
      </c>
      <c r="BR234" s="35">
        <v>85</v>
      </c>
      <c r="BS234" s="35">
        <v>280.35000000000002</v>
      </c>
      <c r="BT234" s="36"/>
      <c r="BU234" s="40"/>
      <c r="BV234" s="27"/>
      <c r="BW234" s="28"/>
      <c r="BX234" s="29"/>
      <c r="BY234" s="29"/>
      <c r="BZ234" s="30">
        <f>SUM(BU234:BY234)</f>
        <v>0</v>
      </c>
      <c r="CB234" s="22">
        <f>+BQ234</f>
        <v>46082</v>
      </c>
      <c r="CC234" s="34">
        <v>29326.87</v>
      </c>
      <c r="CD234" s="35">
        <v>2026.56</v>
      </c>
      <c r="CE234" s="36"/>
      <c r="CF234" s="116"/>
      <c r="CG234" s="27"/>
      <c r="CH234" s="28"/>
      <c r="CI234" s="29"/>
      <c r="CJ234" s="30"/>
      <c r="CK234" s="30">
        <f>SUM(CF234:CJ234)</f>
        <v>0</v>
      </c>
      <c r="CM234" s="22">
        <f>+CB234</f>
        <v>46082</v>
      </c>
      <c r="CN234" s="34">
        <v>8886.8700000000008</v>
      </c>
      <c r="CO234" s="35">
        <v>826.96</v>
      </c>
      <c r="CP234" s="36"/>
      <c r="CQ234" s="41"/>
      <c r="CR234" s="27"/>
      <c r="CS234" s="239">
        <v>86.384099999999989</v>
      </c>
      <c r="CT234" s="30">
        <v>155.18620530095242</v>
      </c>
      <c r="CU234" s="30"/>
      <c r="CV234" s="30">
        <f>SUM(CQ234:CU234)</f>
        <v>241.57030530095241</v>
      </c>
      <c r="CX234" s="22">
        <f>+CM234</f>
        <v>46082</v>
      </c>
      <c r="CY234" s="34">
        <v>7488.09</v>
      </c>
      <c r="CZ234" s="35">
        <v>1647.94</v>
      </c>
      <c r="DA234" s="36"/>
      <c r="DB234" s="37"/>
      <c r="DC234" s="27"/>
      <c r="DD234" s="239">
        <v>20.705856000000011</v>
      </c>
      <c r="DE234" s="30"/>
      <c r="DF234" s="29"/>
      <c r="DG234" s="30">
        <f>SUM(DB234:DF234)</f>
        <v>20.705856000000011</v>
      </c>
      <c r="DI234" s="22">
        <f>+CX234</f>
        <v>46082</v>
      </c>
      <c r="DJ234" s="34">
        <v>1773.43</v>
      </c>
      <c r="DK234" s="43"/>
      <c r="DL234" s="36"/>
      <c r="DM234" s="41"/>
      <c r="DN234" s="27"/>
      <c r="DO234" s="28"/>
      <c r="DP234" s="29"/>
      <c r="DQ234" s="29"/>
      <c r="DR234" s="30">
        <f>SUM(DM234:DQ234)</f>
        <v>0</v>
      </c>
      <c r="DT234" s="22">
        <f>+DI234</f>
        <v>46082</v>
      </c>
      <c r="DU234" s="34">
        <v>1739.87</v>
      </c>
      <c r="DV234" s="35">
        <v>409.12</v>
      </c>
      <c r="DW234" s="36"/>
      <c r="DX234" s="41"/>
      <c r="DY234" s="27"/>
      <c r="DZ234" s="239">
        <v>57.172189999999972</v>
      </c>
      <c r="EA234" s="30">
        <v>298.88993108095235</v>
      </c>
      <c r="EB234" s="29"/>
      <c r="EC234" s="30">
        <f>SUM(DX234:EB234)</f>
        <v>356.06212108095235</v>
      </c>
      <c r="EE234" s="22">
        <f>+DT234</f>
        <v>46082</v>
      </c>
      <c r="EF234" s="34">
        <v>4485.72</v>
      </c>
      <c r="EG234" s="35">
        <v>1486.64</v>
      </c>
      <c r="EH234" s="36"/>
      <c r="EI234" s="37">
        <v>84.8</v>
      </c>
      <c r="EJ234" s="27"/>
      <c r="EK234" s="28"/>
      <c r="EL234" s="29"/>
      <c r="EM234" s="29"/>
      <c r="EN234" s="30">
        <f>SUM(EI234:EM234)</f>
        <v>84.8</v>
      </c>
      <c r="EP234" s="22">
        <f>+EE234</f>
        <v>46082</v>
      </c>
      <c r="EQ234" s="45">
        <v>389.98</v>
      </c>
      <c r="ER234" s="46">
        <v>389.5</v>
      </c>
      <c r="ES234" s="36"/>
      <c r="ET234" s="37"/>
      <c r="EV234" s="28"/>
      <c r="EW234" s="29"/>
      <c r="EX234" s="29"/>
      <c r="EY234" s="30">
        <f>SUM(ET234:EX234)</f>
        <v>0</v>
      </c>
    </row>
    <row r="235" spans="2:157" x14ac:dyDescent="0.25">
      <c r="B235" s="47">
        <v>46083</v>
      </c>
      <c r="C235" s="48">
        <v>35112.480000000003</v>
      </c>
      <c r="D235" s="49">
        <v>4473.32</v>
      </c>
      <c r="E235" s="50">
        <v>2069.58</v>
      </c>
      <c r="F235" s="49">
        <v>2615.64</v>
      </c>
      <c r="G235" s="50"/>
      <c r="H235" s="27"/>
      <c r="I235" s="51"/>
      <c r="J235" s="53"/>
      <c r="K235" s="52"/>
      <c r="L235" s="53">
        <f t="shared" ref="L235:L264" si="151">SUM(G235:K235)</f>
        <v>0</v>
      </c>
      <c r="N235" s="47">
        <f>+B235</f>
        <v>46083</v>
      </c>
      <c r="O235" s="54">
        <v>3011.51</v>
      </c>
      <c r="P235" s="54">
        <v>573.73</v>
      </c>
      <c r="Q235" s="58"/>
      <c r="R235" s="55"/>
      <c r="S235" s="27"/>
      <c r="T235" s="240">
        <v>148.35491999999977</v>
      </c>
      <c r="U235" s="53"/>
      <c r="V235" s="52"/>
      <c r="W235" s="53">
        <f t="shared" ref="W235:W264" si="152">SUM(R235:V235)</f>
        <v>148.35491999999977</v>
      </c>
      <c r="Y235" s="47">
        <f>+N235</f>
        <v>46083</v>
      </c>
      <c r="Z235" s="56">
        <v>3611.11</v>
      </c>
      <c r="AA235" s="57">
        <v>1406.24</v>
      </c>
      <c r="AB235" s="63"/>
      <c r="AC235" s="59">
        <v>186.35</v>
      </c>
      <c r="AD235" s="27"/>
      <c r="AE235" s="240">
        <v>75.849150000000066</v>
      </c>
      <c r="AF235" s="52"/>
      <c r="AG235" s="52"/>
      <c r="AH235" s="53">
        <f t="shared" ref="AH235:AH264" si="153">SUM(AC235:AG235)</f>
        <v>262.19915000000003</v>
      </c>
      <c r="AJ235" s="47">
        <f>+Y235</f>
        <v>46083</v>
      </c>
      <c r="AK235" s="56">
        <v>2205.87</v>
      </c>
      <c r="AL235" s="57">
        <v>280.56</v>
      </c>
      <c r="AM235" s="58"/>
      <c r="AN235" s="58"/>
      <c r="AO235" s="27"/>
      <c r="AP235" s="51"/>
      <c r="AQ235" s="52"/>
      <c r="AR235" s="52"/>
      <c r="AS235" s="53">
        <f t="shared" ref="AS235:AS264" si="154">SUM(AN235:AR235)</f>
        <v>0</v>
      </c>
      <c r="AU235" s="113">
        <f>+AJ235</f>
        <v>46083</v>
      </c>
      <c r="AV235" s="57">
        <v>696.76</v>
      </c>
      <c r="AW235" s="57">
        <v>114.1</v>
      </c>
      <c r="AX235" s="58"/>
      <c r="AY235" s="59">
        <v>45.6</v>
      </c>
      <c r="AZ235" s="27"/>
      <c r="BA235" s="240">
        <v>74.966321999999948</v>
      </c>
      <c r="BB235" s="53"/>
      <c r="BC235" s="52"/>
      <c r="BD235" s="53">
        <f t="shared" ref="BD235:BD264" si="155">SUM(AY235:BC235)</f>
        <v>120.56632199999996</v>
      </c>
      <c r="BF235" s="47">
        <f>+AU235</f>
        <v>46083</v>
      </c>
      <c r="BG235" s="56">
        <v>5425.27</v>
      </c>
      <c r="BH235" s="57">
        <v>519.34</v>
      </c>
      <c r="BI235" s="58"/>
      <c r="BJ235" s="59">
        <v>25.45</v>
      </c>
      <c r="BK235" s="27"/>
      <c r="BL235" s="240">
        <v>390.07129999999995</v>
      </c>
      <c r="BM235" s="52">
        <v>111.66256039180945</v>
      </c>
      <c r="BN235" s="52"/>
      <c r="BO235" s="53">
        <f t="shared" ref="BO235:BO264" si="156">SUM(BJ235:BN235)</f>
        <v>527.18386039180939</v>
      </c>
      <c r="BQ235" s="47">
        <f>+BF235</f>
        <v>46083</v>
      </c>
      <c r="BR235" s="57">
        <v>243</v>
      </c>
      <c r="BS235" s="57">
        <v>347.09</v>
      </c>
      <c r="BT235" s="58"/>
      <c r="BU235" s="61"/>
      <c r="BV235" s="27"/>
      <c r="BW235" s="51"/>
      <c r="BX235" s="52"/>
      <c r="BY235" s="52"/>
      <c r="BZ235" s="53">
        <f t="shared" ref="BZ235:BZ264" si="157">SUM(BU235:BY235)</f>
        <v>0</v>
      </c>
      <c r="CB235" s="47">
        <f>+BQ235</f>
        <v>46083</v>
      </c>
      <c r="CC235" s="56">
        <v>32413.19</v>
      </c>
      <c r="CD235" s="57">
        <v>2478.0300000000002</v>
      </c>
      <c r="CE235" s="58"/>
      <c r="CF235" s="117"/>
      <c r="CG235" s="27"/>
      <c r="CH235" s="51"/>
      <c r="CI235" s="52"/>
      <c r="CJ235" s="53"/>
      <c r="CK235" s="53">
        <f t="shared" ref="CK235:CK264" si="158">SUM(CF235:CJ235)</f>
        <v>0</v>
      </c>
      <c r="CM235" s="47">
        <f>+CB235</f>
        <v>46083</v>
      </c>
      <c r="CN235" s="56">
        <v>16069.68</v>
      </c>
      <c r="CO235" s="57">
        <v>2407.54</v>
      </c>
      <c r="CP235" s="58"/>
      <c r="CQ235" s="62"/>
      <c r="CR235" s="27"/>
      <c r="CS235" s="240">
        <v>272.70684999999992</v>
      </c>
      <c r="CT235" s="53">
        <v>392.72631090857141</v>
      </c>
      <c r="CU235" s="53"/>
      <c r="CV235" s="53">
        <f t="shared" ref="CV235:CV264" si="159">SUM(CQ235:CU235)</f>
        <v>665.43316090857138</v>
      </c>
      <c r="CX235" s="47">
        <f>+CM235</f>
        <v>46083</v>
      </c>
      <c r="CY235" s="56">
        <v>5773.47</v>
      </c>
      <c r="CZ235" s="57">
        <v>1405.19</v>
      </c>
      <c r="DA235" s="58"/>
      <c r="DB235" s="59"/>
      <c r="DC235" s="27"/>
      <c r="DD235" s="240">
        <v>68.021566000000007</v>
      </c>
      <c r="DE235" s="53">
        <v>2.9196697577143311</v>
      </c>
      <c r="DF235" s="52"/>
      <c r="DG235" s="53">
        <f t="shared" ref="DG235:DG264" si="160">SUM(DB235:DF235)</f>
        <v>70.941235757714338</v>
      </c>
      <c r="DI235" s="47">
        <f>+CX235</f>
        <v>46083</v>
      </c>
      <c r="DJ235" s="56">
        <v>1233.4000000000001</v>
      </c>
      <c r="DK235" s="63"/>
      <c r="DL235" s="58"/>
      <c r="DM235" s="62"/>
      <c r="DN235" s="27"/>
      <c r="DO235" s="51"/>
      <c r="DP235" s="52"/>
      <c r="DQ235" s="52"/>
      <c r="DR235" s="53">
        <f t="shared" ref="DR235:DR264" si="161">SUM(DM235:DQ235)</f>
        <v>0</v>
      </c>
      <c r="DT235" s="47">
        <f>+DI235</f>
        <v>46083</v>
      </c>
      <c r="DU235" s="56">
        <v>1352.18</v>
      </c>
      <c r="DV235" s="57">
        <v>157.94999999999999</v>
      </c>
      <c r="DW235" s="58"/>
      <c r="DX235" s="62"/>
      <c r="DY235" s="27"/>
      <c r="DZ235" s="240">
        <v>22.071359999999999</v>
      </c>
      <c r="EA235" s="53">
        <v>64.680141766666679</v>
      </c>
      <c r="EB235" s="52"/>
      <c r="EC235" s="53">
        <f t="shared" ref="EC235:EC264" si="162">SUM(DX235:EB235)</f>
        <v>86.751501766666678</v>
      </c>
      <c r="EE235" s="47">
        <f>+DT235</f>
        <v>46083</v>
      </c>
      <c r="EF235" s="56">
        <v>7659.87</v>
      </c>
      <c r="EG235" s="57">
        <v>1764.09</v>
      </c>
      <c r="EH235" s="58"/>
      <c r="EI235" s="59">
        <v>121.21</v>
      </c>
      <c r="EJ235" s="27"/>
      <c r="EK235" s="51"/>
      <c r="EL235" s="52"/>
      <c r="EM235" s="52"/>
      <c r="EN235" s="53">
        <f t="shared" ref="EN235:EN264" si="163">SUM(EI235:EM235)</f>
        <v>121.21</v>
      </c>
      <c r="EP235" s="47">
        <f>+EE235</f>
        <v>46083</v>
      </c>
      <c r="EQ235" s="64">
        <v>660</v>
      </c>
      <c r="ER235" s="65">
        <v>311.08</v>
      </c>
      <c r="ES235" s="58"/>
      <c r="ET235" s="59"/>
      <c r="EV235" s="51"/>
      <c r="EW235" s="52"/>
      <c r="EX235" s="52"/>
      <c r="EY235" s="53">
        <f t="shared" ref="EY235:EY264" si="164">SUM(ET235:EX235)</f>
        <v>0</v>
      </c>
    </row>
    <row r="236" spans="2:157" x14ac:dyDescent="0.25">
      <c r="B236" s="47">
        <v>46084</v>
      </c>
      <c r="C236" s="48">
        <v>37104.370000000003</v>
      </c>
      <c r="D236" s="49">
        <v>4537.3599999999997</v>
      </c>
      <c r="E236" s="50">
        <v>1114.3699999999999</v>
      </c>
      <c r="F236" s="55">
        <v>3765.8</v>
      </c>
      <c r="G236" s="102"/>
      <c r="H236" s="27"/>
      <c r="I236" s="51"/>
      <c r="J236" s="53"/>
      <c r="K236" s="52"/>
      <c r="L236" s="53">
        <f t="shared" si="151"/>
        <v>0</v>
      </c>
      <c r="N236" s="47">
        <f t="shared" ref="N236:N264" si="165">+B236</f>
        <v>46084</v>
      </c>
      <c r="O236" s="54">
        <v>2389.9899999999998</v>
      </c>
      <c r="P236" s="54">
        <v>364.08</v>
      </c>
      <c r="Q236" s="58"/>
      <c r="R236" s="55"/>
      <c r="S236" s="27"/>
      <c r="T236" s="240">
        <v>229.66577999999956</v>
      </c>
      <c r="U236" s="53">
        <v>-7.8064320000000436</v>
      </c>
      <c r="V236" s="52"/>
      <c r="W236" s="53">
        <f t="shared" si="152"/>
        <v>221.8593479999995</v>
      </c>
      <c r="Y236" s="47">
        <f t="shared" ref="Y236:Y264" si="166">+N236</f>
        <v>46084</v>
      </c>
      <c r="Z236" s="56">
        <v>3069.48</v>
      </c>
      <c r="AA236" s="57">
        <v>1759.38</v>
      </c>
      <c r="AB236" s="63"/>
      <c r="AC236" s="59">
        <v>42.73</v>
      </c>
      <c r="AD236" s="27"/>
      <c r="AE236" s="240"/>
      <c r="AF236" s="52"/>
      <c r="AG236" s="52"/>
      <c r="AH236" s="53">
        <f t="shared" si="153"/>
        <v>42.73</v>
      </c>
      <c r="AJ236" s="47">
        <f t="shared" ref="AJ236:AJ264" si="167">+Y236</f>
        <v>46084</v>
      </c>
      <c r="AK236" s="56">
        <v>3382.62</v>
      </c>
      <c r="AL236" s="57">
        <v>391.57</v>
      </c>
      <c r="AM236" s="58"/>
      <c r="AN236" s="58"/>
      <c r="AO236" s="27"/>
      <c r="AP236" s="51"/>
      <c r="AQ236" s="52"/>
      <c r="AR236" s="52"/>
      <c r="AS236" s="53">
        <f t="shared" si="154"/>
        <v>0</v>
      </c>
      <c r="AU236" s="113">
        <f t="shared" ref="AU236:AU264" si="168">+AJ236</f>
        <v>46084</v>
      </c>
      <c r="AV236" s="57">
        <v>1378.08</v>
      </c>
      <c r="AW236" s="57">
        <v>137.4</v>
      </c>
      <c r="AX236" s="58"/>
      <c r="AY236" s="59">
        <v>56.55</v>
      </c>
      <c r="AZ236" s="27"/>
      <c r="BA236" s="240">
        <v>153.2700419999999</v>
      </c>
      <c r="BB236" s="53"/>
      <c r="BC236" s="52"/>
      <c r="BD236" s="53">
        <f t="shared" si="155"/>
        <v>209.82004199999989</v>
      </c>
      <c r="BF236" s="47">
        <f>+AU236</f>
        <v>46084</v>
      </c>
      <c r="BG236" s="56">
        <v>2989.47</v>
      </c>
      <c r="BH236" s="57">
        <v>711.45</v>
      </c>
      <c r="BI236" s="58"/>
      <c r="BJ236" s="59"/>
      <c r="BK236" s="27"/>
      <c r="BL236" s="240">
        <v>356.79407999999984</v>
      </c>
      <c r="BM236" s="52">
        <v>48.643579475809503</v>
      </c>
      <c r="BN236" s="52"/>
      <c r="BO236" s="53">
        <f t="shared" si="156"/>
        <v>405.43765947580937</v>
      </c>
      <c r="BQ236" s="47">
        <f t="shared" ref="BQ236:BQ264" si="169">+BF236</f>
        <v>46084</v>
      </c>
      <c r="BR236" s="57">
        <v>75</v>
      </c>
      <c r="BS236" s="57">
        <v>542.79</v>
      </c>
      <c r="BT236" s="58"/>
      <c r="BU236" s="61"/>
      <c r="BV236" s="27"/>
      <c r="BW236" s="51"/>
      <c r="BX236" s="52"/>
      <c r="BY236" s="52"/>
      <c r="BZ236" s="53">
        <f t="shared" si="157"/>
        <v>0</v>
      </c>
      <c r="CB236" s="47">
        <f t="shared" ref="CB236:CB264" si="170">+BQ236</f>
        <v>46084</v>
      </c>
      <c r="CC236" s="56">
        <v>41423.35</v>
      </c>
      <c r="CD236" s="57">
        <v>2761.31</v>
      </c>
      <c r="CE236" s="58"/>
      <c r="CF236" s="117"/>
      <c r="CG236" s="27"/>
      <c r="CH236" s="51"/>
      <c r="CI236" s="52"/>
      <c r="CJ236" s="53"/>
      <c r="CK236" s="53">
        <f t="shared" si="158"/>
        <v>0</v>
      </c>
      <c r="CM236" s="47">
        <f t="shared" ref="CM236:CM264" si="171">+CB236</f>
        <v>46084</v>
      </c>
      <c r="CN236" s="56">
        <v>19730.04</v>
      </c>
      <c r="CO236" s="57">
        <v>2640.65</v>
      </c>
      <c r="CP236" s="58"/>
      <c r="CQ236" s="62"/>
      <c r="CR236" s="27"/>
      <c r="CS236" s="240">
        <v>112.81825999999995</v>
      </c>
      <c r="CT236" s="53">
        <v>221.32128927912385</v>
      </c>
      <c r="CU236" s="53">
        <v>32.531326500000006</v>
      </c>
      <c r="CV236" s="53">
        <f t="shared" si="159"/>
        <v>366.67087577912378</v>
      </c>
      <c r="CX236" s="47">
        <f t="shared" ref="CX236:CX264" si="172">+CM236</f>
        <v>46084</v>
      </c>
      <c r="CY236" s="56">
        <v>6173.92</v>
      </c>
      <c r="CZ236" s="57">
        <v>1525.6</v>
      </c>
      <c r="DA236" s="58"/>
      <c r="DB236" s="59"/>
      <c r="DC236" s="27"/>
      <c r="DD236" s="240">
        <v>156.985286</v>
      </c>
      <c r="DE236" s="53"/>
      <c r="DF236" s="52"/>
      <c r="DG236" s="53">
        <f t="shared" si="160"/>
        <v>156.985286</v>
      </c>
      <c r="DI236" s="47">
        <f t="shared" ref="DI236:DI264" si="173">+CX236</f>
        <v>46084</v>
      </c>
      <c r="DJ236" s="56">
        <v>1078.94</v>
      </c>
      <c r="DK236" s="63"/>
      <c r="DL236" s="58"/>
      <c r="DM236" s="62"/>
      <c r="DN236" s="27"/>
      <c r="DO236" s="51"/>
      <c r="DP236" s="52"/>
      <c r="DQ236" s="52"/>
      <c r="DR236" s="53">
        <f t="shared" si="161"/>
        <v>0</v>
      </c>
      <c r="DT236" s="47">
        <f t="shared" ref="DT236:DT264" si="174">+DI236</f>
        <v>46084</v>
      </c>
      <c r="DU236" s="56">
        <v>2859.2</v>
      </c>
      <c r="DV236" s="57">
        <v>298.39</v>
      </c>
      <c r="DW236" s="58"/>
      <c r="DX236" s="62"/>
      <c r="DY236" s="27"/>
      <c r="DZ236" s="240">
        <v>41.909770000000023</v>
      </c>
      <c r="EA236" s="53">
        <v>146.04410620190481</v>
      </c>
      <c r="EB236" s="52"/>
      <c r="EC236" s="53">
        <f t="shared" si="162"/>
        <v>187.95387620190485</v>
      </c>
      <c r="EE236" s="47">
        <f t="shared" ref="EE236:EE264" si="175">+DT236</f>
        <v>46084</v>
      </c>
      <c r="EF236" s="56">
        <v>9992.42</v>
      </c>
      <c r="EG236" s="57">
        <v>2716.87</v>
      </c>
      <c r="EH236" s="58"/>
      <c r="EI236" s="59">
        <v>92.36</v>
      </c>
      <c r="EJ236" s="27"/>
      <c r="EK236" s="51"/>
      <c r="EL236" s="52"/>
      <c r="EM236" s="52"/>
      <c r="EN236" s="53">
        <f t="shared" si="163"/>
        <v>92.36</v>
      </c>
      <c r="EP236" s="47">
        <f t="shared" ref="EP236:EP264" si="176">+EE236</f>
        <v>46084</v>
      </c>
      <c r="EQ236" s="64">
        <v>556.95000000000005</v>
      </c>
      <c r="ER236" s="56">
        <v>719.21</v>
      </c>
      <c r="ES236" s="58"/>
      <c r="ET236" s="59"/>
      <c r="EV236" s="51"/>
      <c r="EW236" s="52"/>
      <c r="EX236" s="52"/>
      <c r="EY236" s="53">
        <f t="shared" si="164"/>
        <v>0</v>
      </c>
    </row>
    <row r="237" spans="2:157" x14ac:dyDescent="0.25">
      <c r="B237" s="47">
        <v>46085</v>
      </c>
      <c r="C237" s="48">
        <v>41004.99</v>
      </c>
      <c r="D237" s="49">
        <v>7042.86</v>
      </c>
      <c r="E237" s="50">
        <v>1374.5</v>
      </c>
      <c r="F237" s="55">
        <v>2555.41</v>
      </c>
      <c r="G237" s="102"/>
      <c r="H237" s="27"/>
      <c r="I237" s="51"/>
      <c r="J237" s="53">
        <v>6.908072473142866</v>
      </c>
      <c r="K237" s="52"/>
      <c r="L237" s="53">
        <f t="shared" si="151"/>
        <v>6.908072473142866</v>
      </c>
      <c r="N237" s="47">
        <f t="shared" si="165"/>
        <v>46085</v>
      </c>
      <c r="O237" s="54">
        <v>7255.14</v>
      </c>
      <c r="P237" s="54">
        <v>1137.2</v>
      </c>
      <c r="Q237" s="58"/>
      <c r="R237" s="55"/>
      <c r="S237" s="27"/>
      <c r="T237" s="240">
        <v>94.960069999999732</v>
      </c>
      <c r="U237" s="53"/>
      <c r="V237" s="52"/>
      <c r="W237" s="53">
        <f t="shared" si="152"/>
        <v>94.960069999999732</v>
      </c>
      <c r="Y237" s="47">
        <f t="shared" si="166"/>
        <v>46085</v>
      </c>
      <c r="Z237" s="56">
        <v>6533.53</v>
      </c>
      <c r="AA237" s="57">
        <v>1851.28</v>
      </c>
      <c r="AB237" s="63"/>
      <c r="AC237" s="59">
        <v>59.24</v>
      </c>
      <c r="AD237" s="27"/>
      <c r="AE237" s="240">
        <v>30.806000000000012</v>
      </c>
      <c r="AF237" s="52"/>
      <c r="AG237" s="52"/>
      <c r="AH237" s="53">
        <f t="shared" si="153"/>
        <v>90.046000000000021</v>
      </c>
      <c r="AJ237" s="47">
        <f t="shared" si="167"/>
        <v>46085</v>
      </c>
      <c r="AK237" s="56">
        <v>4937.62</v>
      </c>
      <c r="AL237" s="57">
        <v>301.47000000000003</v>
      </c>
      <c r="AM237" s="58"/>
      <c r="AN237" s="58"/>
      <c r="AO237" s="27"/>
      <c r="AP237" s="51"/>
      <c r="AQ237" s="52"/>
      <c r="AR237" s="52"/>
      <c r="AS237" s="53">
        <f t="shared" si="154"/>
        <v>0</v>
      </c>
      <c r="AU237" s="113">
        <f t="shared" si="168"/>
        <v>46085</v>
      </c>
      <c r="AV237" s="57">
        <v>597.52</v>
      </c>
      <c r="AW237" s="57">
        <v>532.79</v>
      </c>
      <c r="AX237" s="58"/>
      <c r="AY237" s="59">
        <v>11.31</v>
      </c>
      <c r="AZ237" s="27"/>
      <c r="BA237" s="240">
        <v>90.688510999999934</v>
      </c>
      <c r="BB237" s="53"/>
      <c r="BC237" s="52"/>
      <c r="BD237" s="53">
        <f t="shared" si="155"/>
        <v>101.99851099999994</v>
      </c>
      <c r="BF237" s="47">
        <f>+AU237</f>
        <v>46085</v>
      </c>
      <c r="BG237" s="56">
        <v>4931.1400000000003</v>
      </c>
      <c r="BH237" s="57">
        <v>1130.46</v>
      </c>
      <c r="BI237" s="58"/>
      <c r="BJ237" s="59">
        <v>7.5</v>
      </c>
      <c r="BK237" s="27"/>
      <c r="BL237" s="240">
        <v>349.32363999999995</v>
      </c>
      <c r="BM237" s="52">
        <v>23.00960166095237</v>
      </c>
      <c r="BN237" s="52"/>
      <c r="BO237" s="53">
        <f t="shared" si="156"/>
        <v>379.83324166095235</v>
      </c>
      <c r="BQ237" s="47">
        <f t="shared" si="169"/>
        <v>46085</v>
      </c>
      <c r="BR237" s="57">
        <v>263.54000000000002</v>
      </c>
      <c r="BS237" s="57">
        <v>724.38</v>
      </c>
      <c r="BT237" s="58"/>
      <c r="BU237" s="61"/>
      <c r="BV237" s="27"/>
      <c r="BW237" s="51"/>
      <c r="BX237" s="52"/>
      <c r="BY237" s="52"/>
      <c r="BZ237" s="53">
        <f t="shared" si="157"/>
        <v>0</v>
      </c>
      <c r="CB237" s="47">
        <f t="shared" si="170"/>
        <v>46085</v>
      </c>
      <c r="CC237" s="56">
        <v>44953.55</v>
      </c>
      <c r="CD237" s="57">
        <v>3694.1</v>
      </c>
      <c r="CE237" s="58"/>
      <c r="CF237" s="117"/>
      <c r="CG237" s="27"/>
      <c r="CH237" s="51"/>
      <c r="CI237" s="52"/>
      <c r="CJ237" s="53"/>
      <c r="CK237" s="53">
        <f t="shared" si="158"/>
        <v>0</v>
      </c>
      <c r="CM237" s="47">
        <f t="shared" si="171"/>
        <v>46085</v>
      </c>
      <c r="CN237" s="56">
        <v>15528.08</v>
      </c>
      <c r="CO237" s="57">
        <v>3446.22</v>
      </c>
      <c r="CP237" s="58"/>
      <c r="CQ237" s="62"/>
      <c r="CR237" s="27"/>
      <c r="CS237" s="240">
        <v>78.240900000000039</v>
      </c>
      <c r="CT237" s="53">
        <v>580.2235447992382</v>
      </c>
      <c r="CU237" s="53">
        <v>96.501358799999963</v>
      </c>
      <c r="CV237" s="53">
        <f t="shared" si="159"/>
        <v>754.96580359923814</v>
      </c>
      <c r="CX237" s="47">
        <f t="shared" si="172"/>
        <v>46085</v>
      </c>
      <c r="CY237" s="56">
        <v>3813</v>
      </c>
      <c r="CZ237" s="57">
        <v>784.19</v>
      </c>
      <c r="DA237" s="58"/>
      <c r="DB237" s="59"/>
      <c r="DC237" s="27"/>
      <c r="DD237" s="240">
        <v>110.85410599999996</v>
      </c>
      <c r="DE237" s="53">
        <v>-4.1471421466664538</v>
      </c>
      <c r="DF237" s="52"/>
      <c r="DG237" s="53">
        <f t="shared" si="160"/>
        <v>106.70696385333351</v>
      </c>
      <c r="DI237" s="47">
        <f t="shared" si="173"/>
        <v>46085</v>
      </c>
      <c r="DJ237" s="56">
        <v>2569.02</v>
      </c>
      <c r="DK237" s="63"/>
      <c r="DL237" s="58"/>
      <c r="DM237" s="62"/>
      <c r="DN237" s="27"/>
      <c r="DO237" s="51"/>
      <c r="DP237" s="52"/>
      <c r="DQ237" s="52"/>
      <c r="DR237" s="53">
        <f t="shared" si="161"/>
        <v>0</v>
      </c>
      <c r="DT237" s="47">
        <f t="shared" si="174"/>
        <v>46085</v>
      </c>
      <c r="DU237" s="56">
        <v>2609.91</v>
      </c>
      <c r="DV237" s="57">
        <v>243.01</v>
      </c>
      <c r="DW237" s="58"/>
      <c r="DX237" s="62"/>
      <c r="DY237" s="27"/>
      <c r="DZ237" s="240">
        <v>90.91592</v>
      </c>
      <c r="EA237" s="53">
        <v>159.44752416761906</v>
      </c>
      <c r="EB237" s="52"/>
      <c r="EC237" s="53">
        <f t="shared" si="162"/>
        <v>250.36344416761906</v>
      </c>
      <c r="EE237" s="47">
        <f t="shared" si="175"/>
        <v>46085</v>
      </c>
      <c r="EF237" s="56">
        <v>11170.23</v>
      </c>
      <c r="EG237" s="57">
        <v>1902.28</v>
      </c>
      <c r="EH237" s="58"/>
      <c r="EI237" s="59">
        <v>146.01</v>
      </c>
      <c r="EJ237" s="27"/>
      <c r="EK237" s="51"/>
      <c r="EL237" s="52"/>
      <c r="EM237" s="52"/>
      <c r="EN237" s="53">
        <f t="shared" si="163"/>
        <v>146.01</v>
      </c>
      <c r="EP237" s="47">
        <f t="shared" si="176"/>
        <v>46085</v>
      </c>
      <c r="EQ237" s="64">
        <v>768.55</v>
      </c>
      <c r="ER237" s="56">
        <v>995.06</v>
      </c>
      <c r="ES237" s="58"/>
      <c r="ET237" s="59"/>
      <c r="EV237" s="51"/>
      <c r="EW237" s="52"/>
      <c r="EX237" s="52"/>
      <c r="EY237" s="53">
        <f t="shared" si="164"/>
        <v>0</v>
      </c>
    </row>
    <row r="238" spans="2:157" x14ac:dyDescent="0.25">
      <c r="B238" s="47">
        <v>46086</v>
      </c>
      <c r="C238" s="48">
        <v>40572.480000000003</v>
      </c>
      <c r="D238" s="49">
        <v>2369.8000000000002</v>
      </c>
      <c r="E238" s="50">
        <v>0</v>
      </c>
      <c r="F238" s="66">
        <v>0</v>
      </c>
      <c r="G238" s="50">
        <v>0.02</v>
      </c>
      <c r="H238" s="27"/>
      <c r="I238" s="51"/>
      <c r="J238" s="53"/>
      <c r="K238" s="52"/>
      <c r="L238" s="53">
        <f t="shared" si="151"/>
        <v>0.02</v>
      </c>
      <c r="N238" s="47">
        <f t="shared" si="165"/>
        <v>46086</v>
      </c>
      <c r="O238" s="54">
        <v>6835.83</v>
      </c>
      <c r="P238" s="54">
        <v>1034.95</v>
      </c>
      <c r="Q238" s="58"/>
      <c r="R238" s="55"/>
      <c r="S238" s="27"/>
      <c r="T238" s="240">
        <v>-300.42837999999995</v>
      </c>
      <c r="U238" s="53">
        <v>-10.817638000000017</v>
      </c>
      <c r="V238" s="52"/>
      <c r="W238" s="53">
        <f t="shared" si="152"/>
        <v>-311.24601799999994</v>
      </c>
      <c r="Y238" s="47">
        <f t="shared" si="166"/>
        <v>46086</v>
      </c>
      <c r="Z238" s="56">
        <v>8314</v>
      </c>
      <c r="AA238" s="57">
        <v>3651.71</v>
      </c>
      <c r="AB238" s="63"/>
      <c r="AC238" s="59">
        <v>96.42</v>
      </c>
      <c r="AD238" s="27"/>
      <c r="AE238" s="240">
        <v>-11.938589999999976</v>
      </c>
      <c r="AF238" s="52"/>
      <c r="AG238" s="52"/>
      <c r="AH238" s="53">
        <f t="shared" si="153"/>
        <v>84.481410000000025</v>
      </c>
      <c r="AJ238" s="47">
        <f t="shared" si="167"/>
        <v>46086</v>
      </c>
      <c r="AK238" s="56">
        <v>3498.1</v>
      </c>
      <c r="AL238" s="57">
        <v>1972.94</v>
      </c>
      <c r="AM238" s="58"/>
      <c r="AN238" s="58"/>
      <c r="AO238" s="27"/>
      <c r="AP238" s="51"/>
      <c r="AQ238" s="52"/>
      <c r="AR238" s="52"/>
      <c r="AS238" s="53">
        <f t="shared" si="154"/>
        <v>0</v>
      </c>
      <c r="AU238" s="113">
        <f t="shared" si="168"/>
        <v>46086</v>
      </c>
      <c r="AV238" s="57">
        <v>24607.49</v>
      </c>
      <c r="AW238" s="57">
        <v>456.49</v>
      </c>
      <c r="AX238" s="58"/>
      <c r="AY238" s="59">
        <v>1945.76</v>
      </c>
      <c r="AZ238" s="27"/>
      <c r="BA238" s="240">
        <v>-74.758632000000063</v>
      </c>
      <c r="BB238" s="53"/>
      <c r="BC238" s="52"/>
      <c r="BD238" s="53">
        <f t="shared" si="155"/>
        <v>1871.001368</v>
      </c>
      <c r="BF238" s="47">
        <f>+AU238</f>
        <v>46086</v>
      </c>
      <c r="BG238" s="56">
        <v>6262.75</v>
      </c>
      <c r="BH238" s="57">
        <v>2358.5700000000002</v>
      </c>
      <c r="BI238" s="58"/>
      <c r="BJ238" s="59">
        <v>8.77</v>
      </c>
      <c r="BK238" s="27"/>
      <c r="BL238" s="240">
        <v>127.96444999999993</v>
      </c>
      <c r="BM238" s="52">
        <v>10.252139273714306</v>
      </c>
      <c r="BN238" s="52"/>
      <c r="BO238" s="53">
        <f t="shared" si="156"/>
        <v>146.98658927371423</v>
      </c>
      <c r="BQ238" s="47">
        <f t="shared" si="169"/>
        <v>46086</v>
      </c>
      <c r="BR238" s="57">
        <v>505</v>
      </c>
      <c r="BS238" s="57">
        <v>1406.53</v>
      </c>
      <c r="BT238" s="58"/>
      <c r="BU238" s="61"/>
      <c r="BV238" s="27"/>
      <c r="BW238" s="51"/>
      <c r="BX238" s="52"/>
      <c r="BY238" s="52"/>
      <c r="BZ238" s="53">
        <f t="shared" si="157"/>
        <v>0</v>
      </c>
      <c r="CB238" s="47">
        <f t="shared" si="170"/>
        <v>46086</v>
      </c>
      <c r="CC238" s="56">
        <v>37234.6</v>
      </c>
      <c r="CD238" s="57">
        <v>6061.85</v>
      </c>
      <c r="CE238" s="58"/>
      <c r="CF238" s="117"/>
      <c r="CG238" s="27"/>
      <c r="CH238" s="51"/>
      <c r="CI238" s="52"/>
      <c r="CJ238" s="53"/>
      <c r="CK238" s="53">
        <f t="shared" si="158"/>
        <v>0</v>
      </c>
      <c r="CM238" s="47">
        <f t="shared" si="171"/>
        <v>46086</v>
      </c>
      <c r="CN238" s="56">
        <v>22769.64</v>
      </c>
      <c r="CO238" s="57">
        <v>6181.48</v>
      </c>
      <c r="CP238" s="58"/>
      <c r="CQ238" s="62"/>
      <c r="CR238" s="27"/>
      <c r="CS238" s="240">
        <v>46.302840000000003</v>
      </c>
      <c r="CT238" s="53">
        <v>189.80857003028575</v>
      </c>
      <c r="CU238" s="53"/>
      <c r="CV238" s="53">
        <f t="shared" si="159"/>
        <v>236.11141003028575</v>
      </c>
      <c r="CX238" s="47">
        <f t="shared" si="172"/>
        <v>46086</v>
      </c>
      <c r="CY238" s="56">
        <v>12099.77</v>
      </c>
      <c r="CZ238" s="57">
        <v>915.32</v>
      </c>
      <c r="DA238" s="58"/>
      <c r="DB238" s="59"/>
      <c r="DC238" s="27"/>
      <c r="DD238" s="240">
        <v>-124.47321200000005</v>
      </c>
      <c r="DE238" s="53"/>
      <c r="DF238" s="52"/>
      <c r="DG238" s="53">
        <f t="shared" si="160"/>
        <v>-124.47321200000005</v>
      </c>
      <c r="DI238" s="47">
        <f t="shared" si="173"/>
        <v>46086</v>
      </c>
      <c r="DJ238" s="56">
        <v>1516.63</v>
      </c>
      <c r="DK238" s="63"/>
      <c r="DL238" s="58"/>
      <c r="DM238" s="62"/>
      <c r="DN238" s="27"/>
      <c r="DO238" s="51"/>
      <c r="DP238" s="52"/>
      <c r="DQ238" s="52"/>
      <c r="DR238" s="53">
        <f t="shared" si="161"/>
        <v>0</v>
      </c>
      <c r="DT238" s="47">
        <f t="shared" si="174"/>
        <v>46086</v>
      </c>
      <c r="DU238" s="56">
        <v>2429.94</v>
      </c>
      <c r="DV238" s="57">
        <v>196.73</v>
      </c>
      <c r="DW238" s="58"/>
      <c r="DX238" s="62"/>
      <c r="DY238" s="27"/>
      <c r="DZ238" s="240">
        <v>11.779669999999967</v>
      </c>
      <c r="EA238" s="53"/>
      <c r="EB238" s="52"/>
      <c r="EC238" s="53">
        <f t="shared" si="162"/>
        <v>11.779669999999967</v>
      </c>
      <c r="EE238" s="47">
        <f t="shared" si="175"/>
        <v>46086</v>
      </c>
      <c r="EF238" s="56">
        <v>11218.54</v>
      </c>
      <c r="EG238" s="57">
        <v>0</v>
      </c>
      <c r="EH238" s="58"/>
      <c r="EI238" s="59">
        <v>174.31</v>
      </c>
      <c r="EJ238" s="27"/>
      <c r="EK238" s="51"/>
      <c r="EL238" s="52"/>
      <c r="EM238" s="52"/>
      <c r="EN238" s="53">
        <f t="shared" si="163"/>
        <v>174.31</v>
      </c>
      <c r="EP238" s="47">
        <f t="shared" si="176"/>
        <v>46086</v>
      </c>
      <c r="EQ238" s="64">
        <v>1187.8900000000001</v>
      </c>
      <c r="ER238" s="56">
        <v>1684.57</v>
      </c>
      <c r="ES238" s="58"/>
      <c r="ET238" s="59"/>
      <c r="EV238" s="51"/>
      <c r="EW238" s="52"/>
      <c r="EX238" s="52"/>
      <c r="EY238" s="53">
        <f t="shared" si="164"/>
        <v>0</v>
      </c>
    </row>
    <row r="239" spans="2:157" x14ac:dyDescent="0.25">
      <c r="B239" s="47">
        <v>46087</v>
      </c>
      <c r="C239" s="48">
        <v>44499.96</v>
      </c>
      <c r="D239" s="49">
        <v>0</v>
      </c>
      <c r="E239" s="50">
        <v>350.02</v>
      </c>
      <c r="F239" s="55">
        <v>84.74</v>
      </c>
      <c r="G239" s="102"/>
      <c r="H239" s="27"/>
      <c r="I239" s="51"/>
      <c r="J239" s="53"/>
      <c r="K239" s="52"/>
      <c r="L239" s="53">
        <f t="shared" si="151"/>
        <v>0</v>
      </c>
      <c r="N239" s="47">
        <f t="shared" si="165"/>
        <v>46087</v>
      </c>
      <c r="O239" s="54">
        <v>2182.58</v>
      </c>
      <c r="P239" s="54">
        <v>0</v>
      </c>
      <c r="Q239" s="58"/>
      <c r="R239" s="55"/>
      <c r="S239" s="27"/>
      <c r="T239" s="240">
        <v>88.890270000000015</v>
      </c>
      <c r="U239" s="53"/>
      <c r="V239" s="52"/>
      <c r="W239" s="53">
        <f t="shared" si="152"/>
        <v>88.890270000000015</v>
      </c>
      <c r="Y239" s="47">
        <f t="shared" si="166"/>
        <v>46087</v>
      </c>
      <c r="Z239" s="56">
        <v>8430.2800000000007</v>
      </c>
      <c r="AA239" s="57">
        <v>1559.33</v>
      </c>
      <c r="AB239" s="63"/>
      <c r="AC239" s="59">
        <v>315.85000000000002</v>
      </c>
      <c r="AD239" s="27"/>
      <c r="AE239" s="240">
        <v>-16.199440000000067</v>
      </c>
      <c r="AF239" s="52"/>
      <c r="AG239" s="52">
        <v>1.795393599999997</v>
      </c>
      <c r="AH239" s="53">
        <f t="shared" si="153"/>
        <v>301.44595359999994</v>
      </c>
      <c r="AJ239" s="47">
        <f t="shared" si="167"/>
        <v>46087</v>
      </c>
      <c r="AK239" s="56">
        <v>4249.62</v>
      </c>
      <c r="AL239" s="57">
        <v>1114.1500000000001</v>
      </c>
      <c r="AM239" s="58"/>
      <c r="AN239" s="58"/>
      <c r="AO239" s="27"/>
      <c r="AP239" s="51"/>
      <c r="AQ239" s="52"/>
      <c r="AR239" s="52"/>
      <c r="AS239" s="53">
        <f t="shared" si="154"/>
        <v>0</v>
      </c>
      <c r="AU239" s="113">
        <f t="shared" si="168"/>
        <v>46087</v>
      </c>
      <c r="AV239" s="57">
        <v>1624.18</v>
      </c>
      <c r="AW239" s="57">
        <v>101</v>
      </c>
      <c r="AX239" s="58"/>
      <c r="AY239" s="59"/>
      <c r="AZ239" s="27"/>
      <c r="BA239" s="240">
        <v>54.068711999999977</v>
      </c>
      <c r="BB239" s="53"/>
      <c r="BC239" s="52"/>
      <c r="BD239" s="53">
        <f t="shared" si="155"/>
        <v>54.068711999999977</v>
      </c>
      <c r="BF239" s="47">
        <f t="shared" ref="BF239:BF264" si="177">+AU239</f>
        <v>46087</v>
      </c>
      <c r="BG239" s="56">
        <v>7273.37</v>
      </c>
      <c r="BH239" s="57">
        <v>2581.3200000000002</v>
      </c>
      <c r="BI239" s="58"/>
      <c r="BJ239" s="59">
        <v>11.69</v>
      </c>
      <c r="BK239" s="27"/>
      <c r="BL239" s="240">
        <v>202.18671999999972</v>
      </c>
      <c r="BM239" s="52">
        <v>7.8733441828571529</v>
      </c>
      <c r="BN239" s="52"/>
      <c r="BO239" s="53">
        <f t="shared" si="156"/>
        <v>221.75006418285687</v>
      </c>
      <c r="BQ239" s="47">
        <f t="shared" si="169"/>
        <v>46087</v>
      </c>
      <c r="BR239" s="57">
        <v>859.65</v>
      </c>
      <c r="BS239" s="57">
        <v>2185.88</v>
      </c>
      <c r="BT239" s="58"/>
      <c r="BU239" s="61"/>
      <c r="BV239" s="27"/>
      <c r="BW239" s="51"/>
      <c r="BX239" s="52"/>
      <c r="BY239" s="52"/>
      <c r="BZ239" s="53">
        <f t="shared" si="157"/>
        <v>0</v>
      </c>
      <c r="CB239" s="47">
        <f t="shared" si="170"/>
        <v>46087</v>
      </c>
      <c r="CC239" s="56">
        <v>46520.79</v>
      </c>
      <c r="CD239" s="57">
        <v>0</v>
      </c>
      <c r="CE239" s="58"/>
      <c r="CF239" s="117"/>
      <c r="CG239" s="27"/>
      <c r="CH239" s="51"/>
      <c r="CI239" s="52"/>
      <c r="CJ239" s="53">
        <v>24.238099900000009</v>
      </c>
      <c r="CK239" s="53">
        <f t="shared" si="158"/>
        <v>24.238099900000009</v>
      </c>
      <c r="CM239" s="47">
        <f t="shared" si="171"/>
        <v>46087</v>
      </c>
      <c r="CN239" s="56">
        <v>21604.17</v>
      </c>
      <c r="CO239" s="57">
        <v>3815.66</v>
      </c>
      <c r="CP239" s="58"/>
      <c r="CQ239" s="62"/>
      <c r="CR239" s="27"/>
      <c r="CS239" s="240">
        <v>196.56629999999993</v>
      </c>
      <c r="CT239" s="53">
        <v>264.09526791999986</v>
      </c>
      <c r="CU239" s="53"/>
      <c r="CV239" s="53">
        <f t="shared" si="159"/>
        <v>460.66156791999981</v>
      </c>
      <c r="CX239" s="47">
        <f t="shared" si="172"/>
        <v>46087</v>
      </c>
      <c r="CY239" s="56">
        <v>13151.39</v>
      </c>
      <c r="CZ239" s="57">
        <v>1433.44</v>
      </c>
      <c r="DA239" s="58"/>
      <c r="DB239" s="59"/>
      <c r="DC239" s="27"/>
      <c r="DD239" s="240">
        <v>107.70314000000005</v>
      </c>
      <c r="DE239" s="53">
        <v>334.77660968399982</v>
      </c>
      <c r="DF239" s="52"/>
      <c r="DG239" s="53">
        <f t="shared" si="160"/>
        <v>442.4797496839999</v>
      </c>
      <c r="DI239" s="47">
        <f t="shared" si="173"/>
        <v>46087</v>
      </c>
      <c r="DJ239" s="56">
        <v>1014.92</v>
      </c>
      <c r="DK239" s="63"/>
      <c r="DL239" s="58"/>
      <c r="DM239" s="62"/>
      <c r="DN239" s="27"/>
      <c r="DO239" s="51"/>
      <c r="DP239" s="52"/>
      <c r="DQ239" s="52"/>
      <c r="DR239" s="53">
        <f t="shared" si="161"/>
        <v>0</v>
      </c>
      <c r="DT239" s="47">
        <f t="shared" si="174"/>
        <v>46087</v>
      </c>
      <c r="DU239" s="56">
        <v>3313.31</v>
      </c>
      <c r="DV239" s="57">
        <v>381.34</v>
      </c>
      <c r="DW239" s="58"/>
      <c r="DX239" s="62"/>
      <c r="DY239" s="27"/>
      <c r="DZ239" s="240">
        <v>148.1831199999998</v>
      </c>
      <c r="EA239" s="53">
        <v>521.16401312000016</v>
      </c>
      <c r="EB239" s="52"/>
      <c r="EC239" s="53">
        <f t="shared" si="162"/>
        <v>669.34713311999997</v>
      </c>
      <c r="EE239" s="47">
        <f t="shared" si="175"/>
        <v>46087</v>
      </c>
      <c r="EF239" s="56">
        <v>10874.44</v>
      </c>
      <c r="EG239" s="57">
        <v>247.93</v>
      </c>
      <c r="EH239" s="58"/>
      <c r="EI239" s="59">
        <v>110.54</v>
      </c>
      <c r="EJ239" s="27"/>
      <c r="EK239" s="51"/>
      <c r="EL239" s="52"/>
      <c r="EM239" s="52"/>
      <c r="EN239" s="53">
        <f t="shared" si="163"/>
        <v>110.54</v>
      </c>
      <c r="EP239" s="47">
        <f t="shared" si="176"/>
        <v>46087</v>
      </c>
      <c r="EQ239" s="64">
        <v>949.77</v>
      </c>
      <c r="ER239" s="56">
        <v>0</v>
      </c>
      <c r="ES239" s="58"/>
      <c r="ET239" s="59"/>
      <c r="EV239" s="51"/>
      <c r="EW239" s="52"/>
      <c r="EX239" s="52"/>
      <c r="EY239" s="53">
        <f t="shared" si="164"/>
        <v>0</v>
      </c>
    </row>
    <row r="240" spans="2:157" x14ac:dyDescent="0.25">
      <c r="B240" s="47">
        <v>46088</v>
      </c>
      <c r="C240" s="48">
        <v>41728.9</v>
      </c>
      <c r="D240" s="49">
        <v>50.62</v>
      </c>
      <c r="E240" s="50">
        <v>0</v>
      </c>
      <c r="F240" s="55">
        <v>2954.7</v>
      </c>
      <c r="G240" s="102"/>
      <c r="H240" s="27"/>
      <c r="I240" s="51"/>
      <c r="J240" s="53">
        <v>71.40745142857142</v>
      </c>
      <c r="K240" s="52"/>
      <c r="L240" s="53">
        <f t="shared" si="151"/>
        <v>71.40745142857142</v>
      </c>
      <c r="N240" s="47">
        <f t="shared" si="165"/>
        <v>46088</v>
      </c>
      <c r="O240" s="54">
        <v>1828.62</v>
      </c>
      <c r="P240" s="54">
        <v>264.29000000000002</v>
      </c>
      <c r="Q240" s="58"/>
      <c r="R240" s="55"/>
      <c r="S240" s="27"/>
      <c r="T240" s="240">
        <v>294.24966999999981</v>
      </c>
      <c r="U240" s="53"/>
      <c r="V240" s="52"/>
      <c r="W240" s="53">
        <f t="shared" si="152"/>
        <v>294.24966999999981</v>
      </c>
      <c r="Y240" s="47">
        <f t="shared" si="166"/>
        <v>46088</v>
      </c>
      <c r="Z240" s="56">
        <v>6558.81</v>
      </c>
      <c r="AA240" s="57">
        <v>4766.42</v>
      </c>
      <c r="AB240" s="63"/>
      <c r="AC240" s="59">
        <v>80.25</v>
      </c>
      <c r="AD240" s="27"/>
      <c r="AE240" s="240">
        <v>68.199999999999932</v>
      </c>
      <c r="AF240" s="52"/>
      <c r="AG240" s="52"/>
      <c r="AH240" s="53">
        <f t="shared" si="153"/>
        <v>148.44999999999993</v>
      </c>
      <c r="AJ240" s="47">
        <f t="shared" si="167"/>
        <v>46088</v>
      </c>
      <c r="AK240" s="56">
        <v>5993.13</v>
      </c>
      <c r="AL240" s="57">
        <v>70</v>
      </c>
      <c r="AM240" s="58"/>
      <c r="AN240" s="58"/>
      <c r="AO240" s="27"/>
      <c r="AP240" s="51"/>
      <c r="AQ240" s="52"/>
      <c r="AR240" s="52"/>
      <c r="AS240" s="53">
        <f t="shared" si="154"/>
        <v>0</v>
      </c>
      <c r="AU240" s="113">
        <f t="shared" si="168"/>
        <v>46088</v>
      </c>
      <c r="AV240" s="57">
        <v>648.03</v>
      </c>
      <c r="AW240" s="57">
        <v>181.55</v>
      </c>
      <c r="AX240" s="58"/>
      <c r="AY240" s="59">
        <v>52.2</v>
      </c>
      <c r="AZ240" s="27"/>
      <c r="BA240" s="240">
        <v>558.94450299999994</v>
      </c>
      <c r="BB240" s="53"/>
      <c r="BC240" s="52"/>
      <c r="BD240" s="53">
        <f t="shared" si="155"/>
        <v>611.14450299999999</v>
      </c>
      <c r="BF240" s="47">
        <f t="shared" si="177"/>
        <v>46088</v>
      </c>
      <c r="BG240" s="56">
        <v>4641.71</v>
      </c>
      <c r="BH240" s="57">
        <v>2283.73</v>
      </c>
      <c r="BI240" s="58"/>
      <c r="BJ240" s="59"/>
      <c r="BK240" s="27"/>
      <c r="BL240" s="240">
        <v>357.08903999999984</v>
      </c>
      <c r="BM240" s="52">
        <v>67.966945714285657</v>
      </c>
      <c r="BN240" s="52"/>
      <c r="BO240" s="53">
        <f t="shared" si="156"/>
        <v>425.0559857142855</v>
      </c>
      <c r="BQ240" s="47">
        <f t="shared" si="169"/>
        <v>46088</v>
      </c>
      <c r="BR240" s="57">
        <v>1460.28</v>
      </c>
      <c r="BS240" s="57">
        <v>0</v>
      </c>
      <c r="BT240" s="58"/>
      <c r="BU240" s="61"/>
      <c r="BV240" s="27"/>
      <c r="BW240" s="51"/>
      <c r="BX240" s="52"/>
      <c r="BY240" s="52"/>
      <c r="BZ240" s="53">
        <f t="shared" si="157"/>
        <v>0</v>
      </c>
      <c r="CB240" s="47">
        <f t="shared" si="170"/>
        <v>46088</v>
      </c>
      <c r="CC240" s="56">
        <v>56410.62</v>
      </c>
      <c r="CD240" s="57">
        <v>0</v>
      </c>
      <c r="CE240" s="58"/>
      <c r="CF240" s="117"/>
      <c r="CG240" s="27"/>
      <c r="CH240" s="51"/>
      <c r="CI240" s="52"/>
      <c r="CJ240" s="53"/>
      <c r="CK240" s="53">
        <f t="shared" si="158"/>
        <v>0</v>
      </c>
      <c r="CM240" s="47">
        <f t="shared" si="171"/>
        <v>46088</v>
      </c>
      <c r="CN240" s="56">
        <v>24133.72</v>
      </c>
      <c r="CO240" s="57">
        <v>0</v>
      </c>
      <c r="CP240" s="58"/>
      <c r="CQ240" s="62"/>
      <c r="CR240" s="27"/>
      <c r="CS240" s="240"/>
      <c r="CT240" s="53">
        <v>408.8779259222855</v>
      </c>
      <c r="CU240" s="53"/>
      <c r="CV240" s="53">
        <f t="shared" si="159"/>
        <v>408.8779259222855</v>
      </c>
      <c r="CX240" s="47">
        <f t="shared" si="172"/>
        <v>46088</v>
      </c>
      <c r="CY240" s="56">
        <v>5054.8500000000004</v>
      </c>
      <c r="CZ240" s="57">
        <v>1999.65</v>
      </c>
      <c r="DA240" s="58"/>
      <c r="DB240" s="59"/>
      <c r="DC240" s="27"/>
      <c r="DD240" s="240">
        <v>963.92807699999912</v>
      </c>
      <c r="DE240" s="53">
        <v>228.02046783999981</v>
      </c>
      <c r="DF240" s="52"/>
      <c r="DG240" s="53">
        <f t="shared" si="160"/>
        <v>1191.9485448399989</v>
      </c>
      <c r="DI240" s="47">
        <f t="shared" si="173"/>
        <v>46088</v>
      </c>
      <c r="DJ240" s="56">
        <v>1037.8</v>
      </c>
      <c r="DK240" s="63"/>
      <c r="DL240" s="58"/>
      <c r="DM240" s="62"/>
      <c r="DN240" s="27"/>
      <c r="DO240" s="51"/>
      <c r="DP240" s="52"/>
      <c r="DQ240" s="52"/>
      <c r="DR240" s="53">
        <f t="shared" si="161"/>
        <v>0</v>
      </c>
      <c r="DT240" s="47">
        <f t="shared" si="174"/>
        <v>46088</v>
      </c>
      <c r="DU240" s="56">
        <v>2642.25</v>
      </c>
      <c r="DV240" s="57">
        <v>473.84</v>
      </c>
      <c r="DW240" s="58"/>
      <c r="DX240" s="62"/>
      <c r="DY240" s="27"/>
      <c r="DZ240" s="240">
        <v>130.18877999999989</v>
      </c>
      <c r="EA240" s="53">
        <v>185.56388745142854</v>
      </c>
      <c r="EB240" s="52"/>
      <c r="EC240" s="53">
        <f t="shared" si="162"/>
        <v>315.75266745142847</v>
      </c>
      <c r="EE240" s="47">
        <f t="shared" si="175"/>
        <v>46088</v>
      </c>
      <c r="EF240" s="56">
        <v>8471.2999999999993</v>
      </c>
      <c r="EG240" s="57">
        <v>0</v>
      </c>
      <c r="EH240" s="58"/>
      <c r="EI240" s="59">
        <v>139.01</v>
      </c>
      <c r="EJ240" s="27"/>
      <c r="EK240" s="51"/>
      <c r="EL240" s="52"/>
      <c r="EM240" s="52"/>
      <c r="EN240" s="53">
        <f t="shared" si="163"/>
        <v>139.01</v>
      </c>
      <c r="EP240" s="47">
        <f t="shared" si="176"/>
        <v>46088</v>
      </c>
      <c r="EQ240" s="64">
        <v>969.34</v>
      </c>
      <c r="ER240" s="56">
        <v>0</v>
      </c>
      <c r="ES240" s="58"/>
      <c r="ET240" s="59"/>
      <c r="EV240" s="51"/>
      <c r="EW240" s="52"/>
      <c r="EX240" s="52"/>
      <c r="EY240" s="53">
        <f t="shared" si="164"/>
        <v>0</v>
      </c>
    </row>
    <row r="241" spans="2:155" x14ac:dyDescent="0.25">
      <c r="B241" s="47">
        <v>46089</v>
      </c>
      <c r="C241" s="48">
        <v>33765.96</v>
      </c>
      <c r="D241" s="49">
        <v>0</v>
      </c>
      <c r="E241" s="50">
        <v>0</v>
      </c>
      <c r="F241" s="55">
        <v>2378.41</v>
      </c>
      <c r="G241" s="102"/>
      <c r="H241" s="27"/>
      <c r="I241" s="51"/>
      <c r="J241" s="53"/>
      <c r="K241" s="52">
        <v>77.890346799999975</v>
      </c>
      <c r="L241" s="53">
        <f t="shared" si="151"/>
        <v>77.890346799999975</v>
      </c>
      <c r="N241" s="47">
        <f t="shared" si="165"/>
        <v>46089</v>
      </c>
      <c r="O241" s="54">
        <v>1028.25</v>
      </c>
      <c r="P241" s="54">
        <v>1513.3</v>
      </c>
      <c r="Q241" s="58"/>
      <c r="R241" s="55"/>
      <c r="S241" s="27"/>
      <c r="T241" s="240">
        <v>217.06108999999987</v>
      </c>
      <c r="U241" s="53"/>
      <c r="V241" s="52"/>
      <c r="W241" s="53">
        <f t="shared" si="152"/>
        <v>217.06108999999987</v>
      </c>
      <c r="Y241" s="47">
        <f t="shared" si="166"/>
        <v>46089</v>
      </c>
      <c r="Z241" s="56">
        <v>5620.71</v>
      </c>
      <c r="AA241" s="57">
        <v>3209.17</v>
      </c>
      <c r="AB241" s="63"/>
      <c r="AC241" s="59">
        <v>158.65</v>
      </c>
      <c r="AD241" s="27"/>
      <c r="AE241" s="240"/>
      <c r="AF241" s="52"/>
      <c r="AG241" s="52"/>
      <c r="AH241" s="53">
        <f t="shared" si="153"/>
        <v>158.65</v>
      </c>
      <c r="AJ241" s="47">
        <f t="shared" si="167"/>
        <v>46089</v>
      </c>
      <c r="AK241" s="328">
        <v>5290.08</v>
      </c>
      <c r="AL241" s="64">
        <v>21.06</v>
      </c>
      <c r="AM241" s="58"/>
      <c r="AN241" s="58"/>
      <c r="AO241" s="27"/>
      <c r="AP241" s="51"/>
      <c r="AQ241" s="52"/>
      <c r="AR241" s="52"/>
      <c r="AS241" s="53">
        <f t="shared" si="154"/>
        <v>0</v>
      </c>
      <c r="AU241" s="113">
        <f t="shared" si="168"/>
        <v>46089</v>
      </c>
      <c r="AV241" s="57">
        <v>461.62</v>
      </c>
      <c r="AW241" s="57">
        <v>244.85</v>
      </c>
      <c r="AX241" s="58"/>
      <c r="AY241" s="59"/>
      <c r="AZ241" s="27"/>
      <c r="BA241" s="240">
        <v>79.288973999999996</v>
      </c>
      <c r="BB241" s="53"/>
      <c r="BC241" s="52"/>
      <c r="BD241" s="53">
        <f t="shared" si="155"/>
        <v>79.288973999999996</v>
      </c>
      <c r="BF241" s="47">
        <f t="shared" si="177"/>
        <v>46089</v>
      </c>
      <c r="BG241" s="56">
        <v>3722.88</v>
      </c>
      <c r="BH241" s="57">
        <v>0</v>
      </c>
      <c r="BI241" s="58"/>
      <c r="BJ241" s="59"/>
      <c r="BK241" s="27"/>
      <c r="BL241" s="240">
        <v>151.42619999999982</v>
      </c>
      <c r="BM241" s="52">
        <v>13.058597897142874</v>
      </c>
      <c r="BN241" s="52"/>
      <c r="BO241" s="53">
        <f t="shared" si="156"/>
        <v>164.4847978971427</v>
      </c>
      <c r="BQ241" s="47">
        <f t="shared" si="169"/>
        <v>46089</v>
      </c>
      <c r="BR241" s="57">
        <v>10</v>
      </c>
      <c r="BS241" s="57">
        <v>0</v>
      </c>
      <c r="BT241" s="58"/>
      <c r="BU241" s="61"/>
      <c r="BV241" s="27"/>
      <c r="BW241" s="51"/>
      <c r="BX241" s="52"/>
      <c r="BY241" s="52"/>
      <c r="BZ241" s="53">
        <f t="shared" si="157"/>
        <v>0</v>
      </c>
      <c r="CB241" s="47">
        <f t="shared" si="170"/>
        <v>46089</v>
      </c>
      <c r="CC241" s="56">
        <v>31890.27</v>
      </c>
      <c r="CD241" s="57">
        <v>0</v>
      </c>
      <c r="CE241" s="58"/>
      <c r="CF241" s="117"/>
      <c r="CG241" s="27"/>
      <c r="CH241" s="51"/>
      <c r="CI241" s="52"/>
      <c r="CJ241" s="53"/>
      <c r="CK241" s="53">
        <f t="shared" si="158"/>
        <v>0</v>
      </c>
      <c r="CM241" s="47">
        <f t="shared" si="171"/>
        <v>46089</v>
      </c>
      <c r="CN241" s="56">
        <v>21905.79</v>
      </c>
      <c r="CO241" s="57">
        <v>0</v>
      </c>
      <c r="CP241" s="58"/>
      <c r="CQ241" s="62"/>
      <c r="CR241" s="27"/>
      <c r="CS241" s="240">
        <v>50.704999999999984</v>
      </c>
      <c r="CT241" s="53">
        <v>129.17607963428568</v>
      </c>
      <c r="CU241" s="53"/>
      <c r="CV241" s="53">
        <f t="shared" si="159"/>
        <v>179.88107963428567</v>
      </c>
      <c r="CX241" s="47">
        <f t="shared" si="172"/>
        <v>46089</v>
      </c>
      <c r="CY241" s="56">
        <v>5555.3</v>
      </c>
      <c r="CZ241" s="57">
        <v>1937.93</v>
      </c>
      <c r="DA241" s="58"/>
      <c r="DB241" s="59"/>
      <c r="DC241" s="27"/>
      <c r="DD241" s="240">
        <v>421.24952399999972</v>
      </c>
      <c r="DE241" s="53"/>
      <c r="DF241" s="52"/>
      <c r="DG241" s="53">
        <f t="shared" si="160"/>
        <v>421.24952399999972</v>
      </c>
      <c r="DI241" s="47">
        <f t="shared" si="173"/>
        <v>46089</v>
      </c>
      <c r="DJ241" s="56">
        <v>807.16</v>
      </c>
      <c r="DK241" s="63"/>
      <c r="DL241" s="58"/>
      <c r="DM241" s="62"/>
      <c r="DN241" s="27"/>
      <c r="DO241" s="51"/>
      <c r="DP241" s="52"/>
      <c r="DQ241" s="52"/>
      <c r="DR241" s="53">
        <f t="shared" si="161"/>
        <v>0</v>
      </c>
      <c r="DT241" s="47">
        <f t="shared" si="174"/>
        <v>46089</v>
      </c>
      <c r="DU241" s="56">
        <v>2908.76</v>
      </c>
      <c r="DV241" s="57">
        <v>674.55</v>
      </c>
      <c r="DW241" s="58"/>
      <c r="DX241" s="62"/>
      <c r="DY241" s="27"/>
      <c r="DZ241" s="240">
        <v>61.835599999999971</v>
      </c>
      <c r="EA241" s="53">
        <v>29.653099245714287</v>
      </c>
      <c r="EB241" s="52"/>
      <c r="EC241" s="53">
        <f t="shared" si="162"/>
        <v>91.488699245714258</v>
      </c>
      <c r="EE241" s="47">
        <f t="shared" si="175"/>
        <v>46089</v>
      </c>
      <c r="EF241" s="56">
        <v>2989.43</v>
      </c>
      <c r="EG241" s="57">
        <v>0</v>
      </c>
      <c r="EH241" s="58"/>
      <c r="EI241" s="59">
        <v>56.75</v>
      </c>
      <c r="EJ241" s="27"/>
      <c r="EK241" s="51"/>
      <c r="EL241" s="52"/>
      <c r="EM241" s="52"/>
      <c r="EN241" s="53">
        <f t="shared" si="163"/>
        <v>56.75</v>
      </c>
      <c r="EP241" s="47">
        <f t="shared" si="176"/>
        <v>46089</v>
      </c>
      <c r="EQ241" s="64">
        <v>952.48</v>
      </c>
      <c r="ER241" s="56">
        <v>2166.73</v>
      </c>
      <c r="ES241" s="58"/>
      <c r="ET241" s="59"/>
      <c r="EV241" s="51"/>
      <c r="EW241" s="52"/>
      <c r="EX241" s="52"/>
      <c r="EY241" s="53">
        <f t="shared" si="164"/>
        <v>0</v>
      </c>
    </row>
    <row r="242" spans="2:155" x14ac:dyDescent="0.25">
      <c r="B242" s="47">
        <v>46090</v>
      </c>
      <c r="C242" s="48">
        <v>50969.79</v>
      </c>
      <c r="D242" s="49">
        <v>0</v>
      </c>
      <c r="E242" s="50">
        <v>219.07</v>
      </c>
      <c r="F242" s="49">
        <v>3762</v>
      </c>
      <c r="G242" s="50"/>
      <c r="H242" s="27"/>
      <c r="I242" s="51"/>
      <c r="J242" s="53">
        <v>200.26219753142857</v>
      </c>
      <c r="K242" s="52"/>
      <c r="L242" s="53">
        <f t="shared" si="151"/>
        <v>200.26219753142857</v>
      </c>
      <c r="N242" s="47">
        <f t="shared" si="165"/>
        <v>46090</v>
      </c>
      <c r="O242" s="54">
        <v>60</v>
      </c>
      <c r="P242" s="54">
        <v>51.05</v>
      </c>
      <c r="Q242" s="58"/>
      <c r="R242" s="55"/>
      <c r="S242" s="27"/>
      <c r="T242" s="240">
        <v>527.54484999999988</v>
      </c>
      <c r="U242" s="53">
        <v>28.742928091428581</v>
      </c>
      <c r="V242" s="52"/>
      <c r="W242" s="53">
        <f t="shared" si="152"/>
        <v>556.28777809142844</v>
      </c>
      <c r="Y242" s="47">
        <f t="shared" si="166"/>
        <v>46090</v>
      </c>
      <c r="Z242" s="56">
        <v>8572.1200000000008</v>
      </c>
      <c r="AA242" s="57">
        <v>0</v>
      </c>
      <c r="AB242" s="63"/>
      <c r="AC242" s="59">
        <v>112.48</v>
      </c>
      <c r="AD242" s="27"/>
      <c r="AE242" s="240">
        <v>49.771119999999939</v>
      </c>
      <c r="AF242" s="52"/>
      <c r="AG242" s="52"/>
      <c r="AH242" s="53">
        <f t="shared" si="153"/>
        <v>162.25111999999996</v>
      </c>
      <c r="AJ242" s="47">
        <f t="shared" si="167"/>
        <v>46090</v>
      </c>
      <c r="AK242" s="328">
        <v>5858.38</v>
      </c>
      <c r="AL242" s="64">
        <v>0</v>
      </c>
      <c r="AM242" s="58"/>
      <c r="AN242" s="58"/>
      <c r="AO242" s="27"/>
      <c r="AP242" s="51"/>
      <c r="AQ242" s="52"/>
      <c r="AR242" s="52"/>
      <c r="AS242" s="53">
        <f t="shared" si="154"/>
        <v>0</v>
      </c>
      <c r="AU242" s="113">
        <f t="shared" si="168"/>
        <v>46090</v>
      </c>
      <c r="AV242" s="57">
        <v>569.97</v>
      </c>
      <c r="AW242" s="57">
        <v>282.10000000000002</v>
      </c>
      <c r="AX242" s="58"/>
      <c r="AY242" s="59"/>
      <c r="AZ242" s="27"/>
      <c r="BA242" s="240">
        <v>117.06233399999995</v>
      </c>
      <c r="BB242" s="53"/>
      <c r="BC242" s="52"/>
      <c r="BD242" s="53">
        <f t="shared" si="155"/>
        <v>117.06233399999995</v>
      </c>
      <c r="BF242" s="47">
        <f t="shared" si="177"/>
        <v>46090</v>
      </c>
      <c r="BG242" s="56">
        <v>5334.11</v>
      </c>
      <c r="BH242" s="57">
        <v>0</v>
      </c>
      <c r="BI242" s="58"/>
      <c r="BJ242" s="59"/>
      <c r="BK242" s="27"/>
      <c r="BL242" s="240">
        <v>739.21149999999955</v>
      </c>
      <c r="BM242" s="52"/>
      <c r="BN242" s="52"/>
      <c r="BO242" s="53">
        <f t="shared" si="156"/>
        <v>739.21149999999955</v>
      </c>
      <c r="BQ242" s="47">
        <f t="shared" si="169"/>
        <v>46090</v>
      </c>
      <c r="BR242" s="57">
        <v>452.31</v>
      </c>
      <c r="BS242" s="57">
        <v>320.39999999999998</v>
      </c>
      <c r="BT242" s="58"/>
      <c r="BU242" s="61"/>
      <c r="BV242" s="27"/>
      <c r="BW242" s="51"/>
      <c r="BX242" s="52"/>
      <c r="BY242" s="52"/>
      <c r="BZ242" s="53">
        <f t="shared" si="157"/>
        <v>0</v>
      </c>
      <c r="CB242" s="47">
        <f t="shared" si="170"/>
        <v>46090</v>
      </c>
      <c r="CC242" s="56">
        <v>10018.33</v>
      </c>
      <c r="CD242" s="57">
        <v>0</v>
      </c>
      <c r="CE242" s="58"/>
      <c r="CF242" s="117"/>
      <c r="CG242" s="27"/>
      <c r="CH242" s="51"/>
      <c r="CI242" s="52"/>
      <c r="CJ242" s="53"/>
      <c r="CK242" s="53">
        <f t="shared" si="158"/>
        <v>0</v>
      </c>
      <c r="CM242" s="47">
        <f t="shared" si="171"/>
        <v>46090</v>
      </c>
      <c r="CN242" s="56">
        <v>26692.240000000002</v>
      </c>
      <c r="CO242" s="57">
        <v>3510.69</v>
      </c>
      <c r="CP242" s="58"/>
      <c r="CQ242" s="62"/>
      <c r="CR242" s="27"/>
      <c r="CS242" s="240">
        <v>262.65633999999989</v>
      </c>
      <c r="CT242" s="53">
        <v>490.99523696342845</v>
      </c>
      <c r="CU242" s="53"/>
      <c r="CV242" s="53">
        <f t="shared" si="159"/>
        <v>753.6515769634284</v>
      </c>
      <c r="CX242" s="47">
        <f t="shared" si="172"/>
        <v>46090</v>
      </c>
      <c r="CY242" s="56">
        <v>4470.93</v>
      </c>
      <c r="CZ242" s="57">
        <v>3213.59</v>
      </c>
      <c r="DA242" s="58"/>
      <c r="DB242" s="59"/>
      <c r="DC242" s="27"/>
      <c r="DD242" s="240">
        <v>320.93070899999987</v>
      </c>
      <c r="DE242" s="53">
        <v>47.596346524571402</v>
      </c>
      <c r="DF242" s="52"/>
      <c r="DG242" s="53">
        <f t="shared" si="160"/>
        <v>368.52705552457127</v>
      </c>
      <c r="DI242" s="47">
        <f t="shared" si="173"/>
        <v>46090</v>
      </c>
      <c r="DJ242" s="56">
        <v>720.03</v>
      </c>
      <c r="DK242" s="63"/>
      <c r="DL242" s="58"/>
      <c r="DM242" s="62"/>
      <c r="DN242" s="27"/>
      <c r="DO242" s="51"/>
      <c r="DP242" s="52"/>
      <c r="DQ242" s="52"/>
      <c r="DR242" s="53">
        <f t="shared" si="161"/>
        <v>0</v>
      </c>
      <c r="DT242" s="47">
        <f t="shared" si="174"/>
        <v>46090</v>
      </c>
      <c r="DU242" s="56">
        <v>880.29</v>
      </c>
      <c r="DV242" s="57">
        <v>1608.15</v>
      </c>
      <c r="DW242" s="58"/>
      <c r="DX242" s="62"/>
      <c r="DY242" s="27"/>
      <c r="DZ242" s="240">
        <v>105.06848999999988</v>
      </c>
      <c r="EA242" s="53">
        <v>34.312431177142884</v>
      </c>
      <c r="EB242" s="52"/>
      <c r="EC242" s="53">
        <f t="shared" si="162"/>
        <v>139.38092117714277</v>
      </c>
      <c r="EE242" s="47">
        <f t="shared" si="175"/>
        <v>46090</v>
      </c>
      <c r="EF242" s="56">
        <v>1195.02</v>
      </c>
      <c r="EG242" s="57">
        <v>0</v>
      </c>
      <c r="EH242" s="58"/>
      <c r="EI242" s="59">
        <v>113.6</v>
      </c>
      <c r="EJ242" s="27"/>
      <c r="EK242" s="51">
        <v>72.335069999999973</v>
      </c>
      <c r="EL242" s="52"/>
      <c r="EM242" s="52"/>
      <c r="EN242" s="53">
        <f t="shared" si="163"/>
        <v>185.93506999999997</v>
      </c>
      <c r="EP242" s="47">
        <f t="shared" si="176"/>
        <v>46090</v>
      </c>
      <c r="EQ242" s="64">
        <v>839.73</v>
      </c>
      <c r="ER242" s="56">
        <v>0</v>
      </c>
      <c r="ES242" s="58"/>
      <c r="ET242" s="59"/>
      <c r="EV242" s="51"/>
      <c r="EW242" s="52"/>
      <c r="EX242" s="52"/>
      <c r="EY242" s="53">
        <f t="shared" si="164"/>
        <v>0</v>
      </c>
    </row>
    <row r="243" spans="2:155" x14ac:dyDescent="0.25">
      <c r="B243" s="47">
        <v>46091</v>
      </c>
      <c r="C243" s="48">
        <v>42092.33</v>
      </c>
      <c r="D243" s="49"/>
      <c r="E243" s="50">
        <v>3810.46</v>
      </c>
      <c r="F243" s="49">
        <v>2898.87</v>
      </c>
      <c r="G243" s="50"/>
      <c r="H243" s="27"/>
      <c r="I243" s="51"/>
      <c r="J243" s="53"/>
      <c r="K243" s="52"/>
      <c r="L243" s="53">
        <f t="shared" si="151"/>
        <v>0</v>
      </c>
      <c r="N243" s="47">
        <f t="shared" si="165"/>
        <v>46091</v>
      </c>
      <c r="O243" s="54">
        <v>100</v>
      </c>
      <c r="P243" s="54">
        <v>0</v>
      </c>
      <c r="Q243" s="58"/>
      <c r="R243" s="55"/>
      <c r="S243" s="27"/>
      <c r="T243" s="240">
        <v>556.18494999999984</v>
      </c>
      <c r="U243" s="53"/>
      <c r="V243" s="52"/>
      <c r="W243" s="53">
        <f t="shared" si="152"/>
        <v>556.18494999999984</v>
      </c>
      <c r="Y243" s="47">
        <f t="shared" si="166"/>
        <v>46091</v>
      </c>
      <c r="Z243" s="56">
        <v>7356.54</v>
      </c>
      <c r="AA243" s="57">
        <v>0</v>
      </c>
      <c r="AB243" s="63"/>
      <c r="AC243" s="59">
        <v>171.78</v>
      </c>
      <c r="AD243" s="27"/>
      <c r="AE243" s="240">
        <v>285.76815999999968</v>
      </c>
      <c r="AF243" s="52"/>
      <c r="AG243" s="52"/>
      <c r="AH243" s="53">
        <f t="shared" si="153"/>
        <v>457.54815999999971</v>
      </c>
      <c r="AJ243" s="47">
        <f t="shared" si="167"/>
        <v>46091</v>
      </c>
      <c r="AK243" s="56">
        <v>5689.13</v>
      </c>
      <c r="AL243" s="57">
        <v>0</v>
      </c>
      <c r="AM243" s="58"/>
      <c r="AN243" s="58"/>
      <c r="AO243" s="27"/>
      <c r="AP243" s="51"/>
      <c r="AQ243" s="52"/>
      <c r="AR243" s="52"/>
      <c r="AS243" s="53">
        <f t="shared" si="154"/>
        <v>0</v>
      </c>
      <c r="AU243" s="113">
        <f t="shared" si="168"/>
        <v>46091</v>
      </c>
      <c r="AV243" s="57">
        <v>9451</v>
      </c>
      <c r="AW243" s="57">
        <v>0</v>
      </c>
      <c r="AX243" s="58"/>
      <c r="AY243" s="59">
        <v>693.6</v>
      </c>
      <c r="AZ243" s="27"/>
      <c r="BA243" s="240">
        <v>299.68024799999989</v>
      </c>
      <c r="BB243" s="53">
        <v>28.939224883333367</v>
      </c>
      <c r="BC243" s="52"/>
      <c r="BD243" s="53">
        <f t="shared" si="155"/>
        <v>1022.2194728833333</v>
      </c>
      <c r="BF243" s="47">
        <f t="shared" si="177"/>
        <v>46091</v>
      </c>
      <c r="BG243" s="56">
        <v>5460.86</v>
      </c>
      <c r="BH243" s="57">
        <v>0</v>
      </c>
      <c r="BI243" s="58"/>
      <c r="BJ243" s="59"/>
      <c r="BK243" s="27"/>
      <c r="BL243" s="240">
        <v>489.88315999999986</v>
      </c>
      <c r="BM243" s="52">
        <v>158.53718505466676</v>
      </c>
      <c r="BN243" s="52"/>
      <c r="BO243" s="53">
        <f t="shared" si="156"/>
        <v>648.42034505466665</v>
      </c>
      <c r="BQ243" s="47">
        <f t="shared" si="169"/>
        <v>46091</v>
      </c>
      <c r="BR243" s="57">
        <v>851.86</v>
      </c>
      <c r="BS243" s="57">
        <v>154</v>
      </c>
      <c r="BT243" s="58"/>
      <c r="BU243" s="61"/>
      <c r="BV243" s="27"/>
      <c r="BW243" s="51"/>
      <c r="BX243" s="52"/>
      <c r="BY243" s="52"/>
      <c r="BZ243" s="53">
        <f t="shared" si="157"/>
        <v>0</v>
      </c>
      <c r="CB243" s="47">
        <f t="shared" si="170"/>
        <v>46091</v>
      </c>
      <c r="CC243" s="56">
        <v>35460.870000000003</v>
      </c>
      <c r="CD243" s="57">
        <v>0</v>
      </c>
      <c r="CE243" s="58"/>
      <c r="CF243" s="118"/>
      <c r="CG243" s="27"/>
      <c r="CH243" s="51"/>
      <c r="CI243" s="52"/>
      <c r="CJ243" s="53"/>
      <c r="CK243" s="53">
        <f t="shared" si="158"/>
        <v>0</v>
      </c>
      <c r="CM243" s="47">
        <f t="shared" si="171"/>
        <v>46091</v>
      </c>
      <c r="CN243" s="56">
        <v>28963.25</v>
      </c>
      <c r="CO243" s="57">
        <v>7780.4</v>
      </c>
      <c r="CP243" s="58"/>
      <c r="CQ243" s="62"/>
      <c r="CR243" s="27"/>
      <c r="CS243" s="240">
        <v>136.56223999999997</v>
      </c>
      <c r="CT243" s="53">
        <v>658.86083398199969</v>
      </c>
      <c r="CU243" s="53"/>
      <c r="CV243" s="53">
        <f t="shared" si="159"/>
        <v>795.42307398199966</v>
      </c>
      <c r="CX243" s="47">
        <f t="shared" si="172"/>
        <v>46091</v>
      </c>
      <c r="CY243" s="56">
        <v>4147.1499999999996</v>
      </c>
      <c r="CZ243" s="57">
        <v>3364.94</v>
      </c>
      <c r="DA243" s="58"/>
      <c r="DB243" s="59"/>
      <c r="DC243" s="27"/>
      <c r="DD243" s="240">
        <v>538.75874699999974</v>
      </c>
      <c r="DE243" s="53">
        <v>90.575596448999875</v>
      </c>
      <c r="DF243" s="52"/>
      <c r="DG243" s="53">
        <f t="shared" si="160"/>
        <v>629.33434344899956</v>
      </c>
      <c r="DI243" s="47">
        <f t="shared" si="173"/>
        <v>46091</v>
      </c>
      <c r="DJ243" s="56">
        <v>1321.33</v>
      </c>
      <c r="DK243" s="63"/>
      <c r="DL243" s="58"/>
      <c r="DM243" s="62"/>
      <c r="DN243" s="27"/>
      <c r="DO243" s="51"/>
      <c r="DP243" s="52"/>
      <c r="DQ243" s="52"/>
      <c r="DR243" s="53">
        <f t="shared" si="161"/>
        <v>0</v>
      </c>
      <c r="DT243" s="47">
        <f t="shared" si="174"/>
        <v>46091</v>
      </c>
      <c r="DU243" s="56">
        <v>2655.19</v>
      </c>
      <c r="DV243" s="57">
        <v>1188.9100000000001</v>
      </c>
      <c r="DW243" s="58"/>
      <c r="DX243" s="62"/>
      <c r="DY243" s="27"/>
      <c r="DZ243" s="240">
        <v>54.122339999999966</v>
      </c>
      <c r="EA243" s="53">
        <v>626.19550938000043</v>
      </c>
      <c r="EB243" s="52"/>
      <c r="EC243" s="53">
        <f t="shared" si="162"/>
        <v>680.31784938000044</v>
      </c>
      <c r="EE243" s="47">
        <f t="shared" si="175"/>
        <v>46091</v>
      </c>
      <c r="EF243" s="56">
        <v>14040.86</v>
      </c>
      <c r="EG243" s="57">
        <v>0</v>
      </c>
      <c r="EH243" s="58"/>
      <c r="EI243" s="59">
        <v>131.97</v>
      </c>
      <c r="EJ243" s="27"/>
      <c r="EK243" s="51">
        <v>31.032320000000013</v>
      </c>
      <c r="EL243" s="52"/>
      <c r="EM243" s="52"/>
      <c r="EN243" s="53">
        <f t="shared" si="163"/>
        <v>163.00232</v>
      </c>
      <c r="EP243" s="47">
        <f t="shared" si="176"/>
        <v>46091</v>
      </c>
      <c r="EQ243" s="64">
        <v>1016.09</v>
      </c>
      <c r="ER243" s="56">
        <v>0</v>
      </c>
      <c r="ES243" s="58"/>
      <c r="ET243" s="59"/>
      <c r="EV243" s="51"/>
      <c r="EW243" s="52"/>
      <c r="EX243" s="52"/>
      <c r="EY243" s="53">
        <f t="shared" si="164"/>
        <v>0</v>
      </c>
    </row>
    <row r="244" spans="2:155" x14ac:dyDescent="0.25">
      <c r="B244" s="47">
        <v>46092</v>
      </c>
      <c r="C244" s="48">
        <v>11894.59</v>
      </c>
      <c r="D244" s="49">
        <v>12710.96</v>
      </c>
      <c r="E244" s="50">
        <v>1976.51</v>
      </c>
      <c r="F244" s="49">
        <v>2985.62</v>
      </c>
      <c r="G244" s="50"/>
      <c r="H244" s="27"/>
      <c r="I244" s="51"/>
      <c r="J244" s="53"/>
      <c r="K244" s="52"/>
      <c r="L244" s="53">
        <f t="shared" si="151"/>
        <v>0</v>
      </c>
      <c r="N244" s="47">
        <f t="shared" si="165"/>
        <v>46092</v>
      </c>
      <c r="O244" s="54">
        <v>0</v>
      </c>
      <c r="P244" s="54">
        <v>0</v>
      </c>
      <c r="Q244" s="58"/>
      <c r="R244" s="55"/>
      <c r="S244" s="27"/>
      <c r="T244" s="240">
        <v>520.88711999999987</v>
      </c>
      <c r="U244" s="53">
        <v>72.288895233333449</v>
      </c>
      <c r="V244" s="52"/>
      <c r="W244" s="53">
        <f t="shared" si="152"/>
        <v>593.17601523333337</v>
      </c>
      <c r="Y244" s="47">
        <f t="shared" si="166"/>
        <v>46092</v>
      </c>
      <c r="Z244" s="56">
        <v>7012.19</v>
      </c>
      <c r="AA244" s="57">
        <v>0</v>
      </c>
      <c r="AB244" s="63"/>
      <c r="AC244" s="59">
        <v>137.87</v>
      </c>
      <c r="AD244" s="27"/>
      <c r="AE244" s="240">
        <v>103.49999999999994</v>
      </c>
      <c r="AF244" s="52"/>
      <c r="AG244" s="52"/>
      <c r="AH244" s="53">
        <f t="shared" si="153"/>
        <v>241.36999999999995</v>
      </c>
      <c r="AJ244" s="47">
        <f t="shared" si="167"/>
        <v>46092</v>
      </c>
      <c r="AK244" s="56">
        <v>5464</v>
      </c>
      <c r="AL244" s="57">
        <v>0</v>
      </c>
      <c r="AM244" s="58"/>
      <c r="AN244" s="58"/>
      <c r="AO244" s="27"/>
      <c r="AP244" s="51"/>
      <c r="AQ244" s="52"/>
      <c r="AR244" s="52"/>
      <c r="AS244" s="53">
        <f t="shared" si="154"/>
        <v>0</v>
      </c>
      <c r="AU244" s="113">
        <f t="shared" si="168"/>
        <v>46092</v>
      </c>
      <c r="AV244" s="57">
        <v>607.76</v>
      </c>
      <c r="AW244" s="57">
        <v>190.35</v>
      </c>
      <c r="AX244" s="58"/>
      <c r="AY244" s="59">
        <v>942.3</v>
      </c>
      <c r="AZ244" s="27"/>
      <c r="BA244" s="240">
        <v>350.68995599999994</v>
      </c>
      <c r="BB244" s="53"/>
      <c r="BC244" s="52"/>
      <c r="BD244" s="53">
        <f t="shared" si="155"/>
        <v>1292.9899559999999</v>
      </c>
      <c r="BF244" s="47">
        <f t="shared" si="177"/>
        <v>46092</v>
      </c>
      <c r="BG244" s="56">
        <v>3943.35</v>
      </c>
      <c r="BH244" s="57">
        <v>0</v>
      </c>
      <c r="BI244" s="58"/>
      <c r="BJ244" s="59">
        <v>40.44</v>
      </c>
      <c r="BK244" s="27"/>
      <c r="BL244" s="240">
        <v>1095.6044099999995</v>
      </c>
      <c r="BM244" s="52">
        <v>70.168484283333356</v>
      </c>
      <c r="BN244" s="52"/>
      <c r="BO244" s="53">
        <f t="shared" si="156"/>
        <v>1206.2128942833328</v>
      </c>
      <c r="BQ244" s="47">
        <f t="shared" si="169"/>
        <v>46092</v>
      </c>
      <c r="BR244" s="57">
        <v>313.01</v>
      </c>
      <c r="BS244" s="57">
        <v>0</v>
      </c>
      <c r="BT244" s="58"/>
      <c r="BU244" s="61"/>
      <c r="BV244" s="27"/>
      <c r="BW244" s="51"/>
      <c r="BX244" s="52"/>
      <c r="BY244" s="52"/>
      <c r="BZ244" s="53">
        <f t="shared" si="157"/>
        <v>0</v>
      </c>
      <c r="CB244" s="47">
        <f t="shared" si="170"/>
        <v>46092</v>
      </c>
      <c r="CC244" s="56">
        <v>37984.47</v>
      </c>
      <c r="CD244" s="57">
        <v>0</v>
      </c>
      <c r="CE244" s="58"/>
      <c r="CF244" s="117"/>
      <c r="CG244" s="27"/>
      <c r="CH244" s="51"/>
      <c r="CI244" s="52"/>
      <c r="CJ244" s="53"/>
      <c r="CK244" s="53">
        <f t="shared" si="158"/>
        <v>0</v>
      </c>
      <c r="CM244" s="47">
        <f t="shared" si="171"/>
        <v>46092</v>
      </c>
      <c r="CN244" s="56">
        <v>20822.7</v>
      </c>
      <c r="CO244" s="57">
        <v>869.83</v>
      </c>
      <c r="CP244" s="58"/>
      <c r="CQ244" s="62"/>
      <c r="CR244" s="27"/>
      <c r="CS244" s="240">
        <v>322.12407999999988</v>
      </c>
      <c r="CT244" s="53">
        <v>575.50927631799993</v>
      </c>
      <c r="CU244" s="53"/>
      <c r="CV244" s="53">
        <f t="shared" si="159"/>
        <v>897.63335631799987</v>
      </c>
      <c r="CX244" s="47">
        <f t="shared" si="172"/>
        <v>46092</v>
      </c>
      <c r="CY244" s="56">
        <v>3194.28</v>
      </c>
      <c r="CZ244" s="57">
        <v>193.2</v>
      </c>
      <c r="DA244" s="58"/>
      <c r="DB244" s="59"/>
      <c r="DC244" s="27"/>
      <c r="DD244" s="240">
        <v>742.78428699999972</v>
      </c>
      <c r="DE244" s="53">
        <v>660.69863015466638</v>
      </c>
      <c r="DF244" s="52"/>
      <c r="DG244" s="53">
        <f t="shared" si="160"/>
        <v>1403.4829171546662</v>
      </c>
      <c r="DI244" s="47">
        <f t="shared" si="173"/>
        <v>46092</v>
      </c>
      <c r="DJ244" s="56">
        <v>280</v>
      </c>
      <c r="DK244" s="63"/>
      <c r="DL244" s="58"/>
      <c r="DM244" s="62"/>
      <c r="DN244" s="27"/>
      <c r="DO244" s="51"/>
      <c r="DP244" s="52"/>
      <c r="DQ244" s="52"/>
      <c r="DR244" s="53">
        <f t="shared" si="161"/>
        <v>0</v>
      </c>
      <c r="DT244" s="47">
        <f t="shared" si="174"/>
        <v>46092</v>
      </c>
      <c r="DU244" s="56">
        <v>2184.11</v>
      </c>
      <c r="DV244" s="57">
        <v>438.09</v>
      </c>
      <c r="DW244" s="58"/>
      <c r="DX244" s="62"/>
      <c r="DY244" s="27"/>
      <c r="DZ244" s="240">
        <v>252.6034699999999</v>
      </c>
      <c r="EA244" s="53">
        <v>113.36797959666671</v>
      </c>
      <c r="EB244" s="52"/>
      <c r="EC244" s="53">
        <f t="shared" si="162"/>
        <v>365.97144959666662</v>
      </c>
      <c r="EE244" s="47">
        <f t="shared" si="175"/>
        <v>46092</v>
      </c>
      <c r="EF244" s="56">
        <v>8931.64</v>
      </c>
      <c r="EG244" s="57">
        <v>212.69</v>
      </c>
      <c r="EH244" s="58"/>
      <c r="EI244" s="59">
        <v>59.1</v>
      </c>
      <c r="EJ244" s="27"/>
      <c r="EK244" s="51"/>
      <c r="EL244" s="52"/>
      <c r="EM244" s="52"/>
      <c r="EN244" s="53">
        <f t="shared" si="163"/>
        <v>59.1</v>
      </c>
      <c r="EP244" s="47">
        <f t="shared" si="176"/>
        <v>46092</v>
      </c>
      <c r="EQ244" s="64">
        <v>1203.05</v>
      </c>
      <c r="ER244" s="56">
        <v>0</v>
      </c>
      <c r="ES244" s="58"/>
      <c r="ET244" s="59"/>
      <c r="EV244" s="51"/>
      <c r="EW244" s="52"/>
      <c r="EX244" s="52"/>
      <c r="EY244" s="53">
        <f t="shared" si="164"/>
        <v>0</v>
      </c>
    </row>
    <row r="245" spans="2:155" x14ac:dyDescent="0.25">
      <c r="B245" s="47">
        <v>46093</v>
      </c>
      <c r="C245" s="48">
        <v>32644.75</v>
      </c>
      <c r="D245" s="49">
        <v>21514.62</v>
      </c>
      <c r="E245" s="50">
        <v>942.39</v>
      </c>
      <c r="F245" s="49">
        <v>2949.73</v>
      </c>
      <c r="G245" s="50">
        <v>0.16</v>
      </c>
      <c r="H245" s="27"/>
      <c r="I245" s="51"/>
      <c r="J245" s="53"/>
      <c r="K245" s="52">
        <v>129.88630159999997</v>
      </c>
      <c r="L245" s="53">
        <f t="shared" si="151"/>
        <v>130.04630159999996</v>
      </c>
      <c r="N245" s="47">
        <f t="shared" si="165"/>
        <v>46093</v>
      </c>
      <c r="O245" s="54">
        <v>0</v>
      </c>
      <c r="P245" s="54">
        <v>0</v>
      </c>
      <c r="Q245" s="58"/>
      <c r="R245" s="55"/>
      <c r="S245" s="27"/>
      <c r="T245" s="240">
        <v>678.38161999999988</v>
      </c>
      <c r="U245" s="53">
        <v>94.809160740000152</v>
      </c>
      <c r="V245" s="52"/>
      <c r="W245" s="53">
        <f t="shared" si="152"/>
        <v>773.19078074000004</v>
      </c>
      <c r="Y245" s="47">
        <f t="shared" si="166"/>
        <v>46093</v>
      </c>
      <c r="Z245" s="56">
        <v>12100.82</v>
      </c>
      <c r="AA245" s="57">
        <v>0</v>
      </c>
      <c r="AB245" s="63"/>
      <c r="AC245" s="59">
        <v>219.86</v>
      </c>
      <c r="AD245" s="27"/>
      <c r="AE245" s="240"/>
      <c r="AF245" s="52"/>
      <c r="AG245" s="52"/>
      <c r="AH245" s="53">
        <f t="shared" si="153"/>
        <v>219.86</v>
      </c>
      <c r="AJ245" s="47">
        <f t="shared" si="167"/>
        <v>46093</v>
      </c>
      <c r="AK245" s="56">
        <v>6225.15</v>
      </c>
      <c r="AL245" s="57">
        <v>0</v>
      </c>
      <c r="AM245" s="58"/>
      <c r="AN245" s="58"/>
      <c r="AO245" s="27"/>
      <c r="AP245" s="51"/>
      <c r="AQ245" s="52"/>
      <c r="AR245" s="52"/>
      <c r="AS245" s="53">
        <f t="shared" si="154"/>
        <v>0</v>
      </c>
      <c r="AU245" s="113">
        <f t="shared" si="168"/>
        <v>46093</v>
      </c>
      <c r="AV245" s="57">
        <v>186.96</v>
      </c>
      <c r="AW245" s="57">
        <v>59.02</v>
      </c>
      <c r="AX245" s="58"/>
      <c r="AY245" s="59"/>
      <c r="AZ245" s="27"/>
      <c r="BA245" s="240">
        <v>538.96747399999981</v>
      </c>
      <c r="BB245" s="53">
        <v>268.63011883766694</v>
      </c>
      <c r="BC245" s="52"/>
      <c r="BD245" s="53">
        <f t="shared" si="155"/>
        <v>807.59759283766675</v>
      </c>
      <c r="BF245" s="47">
        <f t="shared" si="177"/>
        <v>46093</v>
      </c>
      <c r="BG245" s="56">
        <v>5263.52</v>
      </c>
      <c r="BH245" s="57">
        <v>0</v>
      </c>
      <c r="BI245" s="58"/>
      <c r="BJ245" s="59">
        <v>14.95</v>
      </c>
      <c r="BK245" s="27"/>
      <c r="BL245" s="240">
        <v>456.73680999999976</v>
      </c>
      <c r="BM245" s="52">
        <v>94.067913170000054</v>
      </c>
      <c r="BN245" s="52"/>
      <c r="BO245" s="53">
        <f t="shared" si="156"/>
        <v>565.75472316999981</v>
      </c>
      <c r="BQ245" s="47">
        <f t="shared" si="169"/>
        <v>46093</v>
      </c>
      <c r="BR245" s="57">
        <v>598.05999999999995</v>
      </c>
      <c r="BS245" s="57">
        <v>0</v>
      </c>
      <c r="BT245" s="58"/>
      <c r="BU245" s="61"/>
      <c r="BV245" s="27"/>
      <c r="BW245" s="51"/>
      <c r="BX245" s="52"/>
      <c r="BY245" s="52"/>
      <c r="BZ245" s="53">
        <f t="shared" si="157"/>
        <v>0</v>
      </c>
      <c r="CB245" s="47">
        <f t="shared" si="170"/>
        <v>46093</v>
      </c>
      <c r="CC245" s="56">
        <v>23999.15</v>
      </c>
      <c r="CD245" s="57">
        <v>12869.02</v>
      </c>
      <c r="CE245" s="58"/>
      <c r="CF245" s="117"/>
      <c r="CG245" s="27"/>
      <c r="CH245" s="51"/>
      <c r="CI245" s="52"/>
      <c r="CJ245" s="53">
        <v>60.7247038</v>
      </c>
      <c r="CK245" s="53">
        <f t="shared" si="158"/>
        <v>60.7247038</v>
      </c>
      <c r="CM245" s="47">
        <f t="shared" si="171"/>
        <v>46093</v>
      </c>
      <c r="CN245" s="56">
        <v>13572.89</v>
      </c>
      <c r="CO245" s="57">
        <v>17049.060000000001</v>
      </c>
      <c r="CP245" s="58"/>
      <c r="CQ245" s="62"/>
      <c r="CR245" s="27"/>
      <c r="CS245" s="240">
        <v>250.39840999999987</v>
      </c>
      <c r="CT245" s="53">
        <f>947.639818414-102.39</f>
        <v>845.24981841400006</v>
      </c>
      <c r="CU245" s="53"/>
      <c r="CV245" s="53">
        <f t="shared" si="159"/>
        <v>1095.648228414</v>
      </c>
      <c r="CX245" s="47">
        <f t="shared" si="172"/>
        <v>46093</v>
      </c>
      <c r="CY245" s="56">
        <v>11730.69</v>
      </c>
      <c r="CZ245" s="57">
        <v>0</v>
      </c>
      <c r="DA245" s="58"/>
      <c r="DB245" s="59"/>
      <c r="DC245" s="27"/>
      <c r="DD245" s="240">
        <v>391.20490599999994</v>
      </c>
      <c r="DE245" s="53">
        <v>643.78260440966642</v>
      </c>
      <c r="DF245" s="52"/>
      <c r="DG245" s="53">
        <f t="shared" si="160"/>
        <v>1034.9875104096664</v>
      </c>
      <c r="DI245" s="47">
        <f t="shared" si="173"/>
        <v>46093</v>
      </c>
      <c r="DJ245" s="56">
        <v>986.09</v>
      </c>
      <c r="DK245" s="63"/>
      <c r="DL245" s="58"/>
      <c r="DM245" s="62"/>
      <c r="DN245" s="27"/>
      <c r="DO245" s="51"/>
      <c r="DP245" s="52"/>
      <c r="DQ245" s="52"/>
      <c r="DR245" s="53">
        <f t="shared" si="161"/>
        <v>0</v>
      </c>
      <c r="DT245" s="47">
        <f t="shared" si="174"/>
        <v>46093</v>
      </c>
      <c r="DU245" s="56">
        <v>3020.95</v>
      </c>
      <c r="DV245" s="57">
        <v>1702.32</v>
      </c>
      <c r="DW245" s="58"/>
      <c r="DX245" s="62"/>
      <c r="DY245" s="27"/>
      <c r="DZ245" s="240">
        <v>401.18101999999971</v>
      </c>
      <c r="EA245" s="53">
        <v>680.20455913666672</v>
      </c>
      <c r="EB245" s="52"/>
      <c r="EC245" s="53">
        <f t="shared" si="162"/>
        <v>1081.3855791366664</v>
      </c>
      <c r="EE245" s="47">
        <f t="shared" si="175"/>
        <v>46093</v>
      </c>
      <c r="EF245" s="56">
        <v>11653.9</v>
      </c>
      <c r="EG245" s="57">
        <v>0</v>
      </c>
      <c r="EH245" s="58"/>
      <c r="EI245" s="59">
        <v>148.82</v>
      </c>
      <c r="EJ245" s="27"/>
      <c r="EK245" s="51"/>
      <c r="EL245" s="52"/>
      <c r="EM245" s="52"/>
      <c r="EN245" s="53">
        <f t="shared" si="163"/>
        <v>148.82</v>
      </c>
      <c r="EP245" s="47">
        <f t="shared" si="176"/>
        <v>46093</v>
      </c>
      <c r="EQ245" s="64">
        <v>395.7</v>
      </c>
      <c r="ER245" s="56">
        <v>0</v>
      </c>
      <c r="ES245" s="58"/>
      <c r="ET245" s="59"/>
      <c r="EV245" s="51"/>
      <c r="EW245" s="52"/>
      <c r="EX245" s="52"/>
      <c r="EY245" s="53">
        <f t="shared" si="164"/>
        <v>0</v>
      </c>
    </row>
    <row r="246" spans="2:155" x14ac:dyDescent="0.25">
      <c r="B246" s="47">
        <v>46094</v>
      </c>
      <c r="C246" s="48">
        <v>24008.04</v>
      </c>
      <c r="D246" s="49">
        <v>0</v>
      </c>
      <c r="E246" s="50">
        <v>7938.57</v>
      </c>
      <c r="F246" s="49">
        <v>2555.21</v>
      </c>
      <c r="G246" s="50"/>
      <c r="H246" s="27"/>
      <c r="I246" s="51"/>
      <c r="J246" s="53">
        <v>102.03737202999994</v>
      </c>
      <c r="K246" s="52"/>
      <c r="L246" s="53">
        <f t="shared" si="151"/>
        <v>102.03737202999994</v>
      </c>
      <c r="N246" s="47">
        <f t="shared" si="165"/>
        <v>46094</v>
      </c>
      <c r="O246" s="54">
        <v>0</v>
      </c>
      <c r="P246" s="54">
        <v>0</v>
      </c>
      <c r="Q246" s="58"/>
      <c r="R246" s="69"/>
      <c r="S246" s="27"/>
      <c r="T246" s="240">
        <v>808.27125999999976</v>
      </c>
      <c r="U246" s="53"/>
      <c r="V246" s="52"/>
      <c r="W246" s="53">
        <f t="shared" si="152"/>
        <v>808.27125999999976</v>
      </c>
      <c r="Y246" s="47">
        <f t="shared" si="166"/>
        <v>46094</v>
      </c>
      <c r="Z246" s="56">
        <v>9248.93</v>
      </c>
      <c r="AA246" s="57">
        <v>0</v>
      </c>
      <c r="AB246" s="63"/>
      <c r="AC246" s="59">
        <v>187.72</v>
      </c>
      <c r="AD246" s="27"/>
      <c r="AE246" s="240">
        <v>487.61624999999981</v>
      </c>
      <c r="AF246" s="52"/>
      <c r="AG246" s="52"/>
      <c r="AH246" s="53">
        <f t="shared" si="153"/>
        <v>675.33624999999984</v>
      </c>
      <c r="AJ246" s="47">
        <f t="shared" si="167"/>
        <v>46094</v>
      </c>
      <c r="AK246" s="56">
        <v>4799.5600000000004</v>
      </c>
      <c r="AL246" s="57">
        <v>0</v>
      </c>
      <c r="AM246" s="58"/>
      <c r="AN246" s="58"/>
      <c r="AO246" s="27"/>
      <c r="AP246" s="51"/>
      <c r="AQ246" s="52"/>
      <c r="AR246" s="52"/>
      <c r="AS246" s="53">
        <f t="shared" si="154"/>
        <v>0</v>
      </c>
      <c r="AU246" s="113">
        <f t="shared" si="168"/>
        <v>46094</v>
      </c>
      <c r="AV246" s="57">
        <v>261.58999999999997</v>
      </c>
      <c r="AW246" s="57">
        <v>141.99</v>
      </c>
      <c r="AX246" s="58"/>
      <c r="AY246" s="59">
        <v>83.7</v>
      </c>
      <c r="AZ246" s="27"/>
      <c r="BA246" s="240">
        <v>280.40149899999989</v>
      </c>
      <c r="BB246" s="53"/>
      <c r="BC246" s="52"/>
      <c r="BD246" s="53">
        <f t="shared" si="155"/>
        <v>364.10149899999988</v>
      </c>
      <c r="BF246" s="47">
        <f t="shared" si="177"/>
        <v>46094</v>
      </c>
      <c r="BG246" s="56">
        <v>4648</v>
      </c>
      <c r="BH246" s="57">
        <v>0</v>
      </c>
      <c r="BI246" s="58"/>
      <c r="BJ246" s="59">
        <v>13.21</v>
      </c>
      <c r="BK246" s="27"/>
      <c r="BL246" s="240">
        <v>453.63480999999967</v>
      </c>
      <c r="BM246" s="52">
        <v>58.84927407333339</v>
      </c>
      <c r="BN246" s="52"/>
      <c r="BO246" s="53">
        <f t="shared" si="156"/>
        <v>525.69408407333299</v>
      </c>
      <c r="BQ246" s="47">
        <f t="shared" si="169"/>
        <v>46094</v>
      </c>
      <c r="BR246" s="57">
        <v>405.02</v>
      </c>
      <c r="BS246" s="57">
        <v>0</v>
      </c>
      <c r="BT246" s="58"/>
      <c r="BU246" s="61">
        <v>31.09</v>
      </c>
      <c r="BV246" s="27"/>
      <c r="BW246" s="51"/>
      <c r="BX246" s="52"/>
      <c r="BY246" s="52"/>
      <c r="BZ246" s="53">
        <f t="shared" si="157"/>
        <v>31.09</v>
      </c>
      <c r="CB246" s="47">
        <f t="shared" si="170"/>
        <v>46094</v>
      </c>
      <c r="CC246" s="56">
        <v>15405.03</v>
      </c>
      <c r="CD246" s="57">
        <v>4614.13</v>
      </c>
      <c r="CE246" s="58"/>
      <c r="CF246" s="118"/>
      <c r="CG246" s="27"/>
      <c r="CH246" s="51"/>
      <c r="CI246" s="52"/>
      <c r="CJ246" s="53"/>
      <c r="CK246" s="53">
        <f t="shared" si="158"/>
        <v>0</v>
      </c>
      <c r="CM246" s="47">
        <f t="shared" si="171"/>
        <v>46094</v>
      </c>
      <c r="CN246" s="56">
        <v>14883.31</v>
      </c>
      <c r="CO246" s="57">
        <v>595.09</v>
      </c>
      <c r="CP246" s="58"/>
      <c r="CQ246" s="62"/>
      <c r="CR246" s="27"/>
      <c r="CS246" s="240">
        <v>105.32529999999997</v>
      </c>
      <c r="CT246" s="53">
        <v>739.27326228333311</v>
      </c>
      <c r="CU246" s="53">
        <v>82.951150799999994</v>
      </c>
      <c r="CV246" s="53">
        <f t="shared" si="159"/>
        <v>927.54971308333302</v>
      </c>
      <c r="CX246" s="47">
        <f t="shared" si="172"/>
        <v>46094</v>
      </c>
      <c r="CY246" s="56">
        <v>7634.55</v>
      </c>
      <c r="CZ246" s="57">
        <v>0</v>
      </c>
      <c r="DA246" s="58"/>
      <c r="DB246" s="59"/>
      <c r="DC246" s="27"/>
      <c r="DD246" s="240">
        <v>445.885851</v>
      </c>
      <c r="DE246" s="53">
        <v>712.07649929866648</v>
      </c>
      <c r="DF246" s="52"/>
      <c r="DG246" s="53">
        <f t="shared" si="160"/>
        <v>1157.9623502986665</v>
      </c>
      <c r="DI246" s="47">
        <f t="shared" si="173"/>
        <v>46094</v>
      </c>
      <c r="DJ246" s="56">
        <v>1912.3</v>
      </c>
      <c r="DK246" s="63"/>
      <c r="DL246" s="58"/>
      <c r="DM246" s="62"/>
      <c r="DN246" s="27"/>
      <c r="DO246" s="51"/>
      <c r="DP246" s="52"/>
      <c r="DQ246" s="52"/>
      <c r="DR246" s="53">
        <f t="shared" si="161"/>
        <v>0</v>
      </c>
      <c r="DT246" s="47">
        <f t="shared" si="174"/>
        <v>46094</v>
      </c>
      <c r="DU246" s="56">
        <v>1638.64</v>
      </c>
      <c r="DV246" s="57">
        <v>0</v>
      </c>
      <c r="DW246" s="58"/>
      <c r="DX246" s="62"/>
      <c r="DY246" s="27"/>
      <c r="DZ246" s="240">
        <v>216.70975999999987</v>
      </c>
      <c r="EA246" s="53">
        <v>277.41190733666667</v>
      </c>
      <c r="EB246" s="52"/>
      <c r="EC246" s="53">
        <f t="shared" si="162"/>
        <v>494.12166733666652</v>
      </c>
      <c r="EE246" s="47">
        <f t="shared" si="175"/>
        <v>46094</v>
      </c>
      <c r="EF246" s="56">
        <v>9142.84</v>
      </c>
      <c r="EG246" s="57">
        <v>0</v>
      </c>
      <c r="EH246" s="58"/>
      <c r="EI246" s="59">
        <v>123.58</v>
      </c>
      <c r="EJ246" s="27"/>
      <c r="EK246" s="51"/>
      <c r="EL246" s="52"/>
      <c r="EM246" s="52"/>
      <c r="EN246" s="53">
        <f t="shared" si="163"/>
        <v>123.58</v>
      </c>
      <c r="EP246" s="47">
        <f t="shared" si="176"/>
        <v>46094</v>
      </c>
      <c r="EQ246" s="64">
        <v>670</v>
      </c>
      <c r="ER246" s="56">
        <v>0</v>
      </c>
      <c r="ES246" s="58"/>
      <c r="ET246" s="59"/>
      <c r="EV246" s="51"/>
      <c r="EW246" s="52"/>
      <c r="EX246" s="52"/>
      <c r="EY246" s="53">
        <f t="shared" si="164"/>
        <v>0</v>
      </c>
    </row>
    <row r="247" spans="2:155" x14ac:dyDescent="0.25">
      <c r="B247" s="47">
        <v>46095</v>
      </c>
      <c r="C247" s="48">
        <v>24894.59</v>
      </c>
      <c r="D247" s="49">
        <v>3583.78</v>
      </c>
      <c r="E247" s="50">
        <v>3459.36</v>
      </c>
      <c r="F247" s="49">
        <v>2357.86</v>
      </c>
      <c r="G247" s="50"/>
      <c r="H247" s="27"/>
      <c r="I247" s="51"/>
      <c r="J247" s="53"/>
      <c r="K247" s="52"/>
      <c r="L247" s="53">
        <f t="shared" si="151"/>
        <v>0</v>
      </c>
      <c r="N247" s="47">
        <f t="shared" si="165"/>
        <v>46095</v>
      </c>
      <c r="O247" s="54">
        <v>535.01</v>
      </c>
      <c r="P247" s="54">
        <v>154.18</v>
      </c>
      <c r="Q247" s="58"/>
      <c r="R247" s="55"/>
      <c r="S247" s="27"/>
      <c r="T247" s="240">
        <v>536.2051399999998</v>
      </c>
      <c r="U247" s="53"/>
      <c r="V247" s="52"/>
      <c r="W247" s="53">
        <f t="shared" si="152"/>
        <v>536.2051399999998</v>
      </c>
      <c r="Y247" s="47">
        <f t="shared" si="166"/>
        <v>46095</v>
      </c>
      <c r="Z247" s="56">
        <v>10531.97</v>
      </c>
      <c r="AA247" s="57">
        <v>0</v>
      </c>
      <c r="AB247" s="63"/>
      <c r="AC247" s="59">
        <v>196.82</v>
      </c>
      <c r="AD247" s="27"/>
      <c r="AE247" s="240">
        <v>60.835719999999924</v>
      </c>
      <c r="AF247" s="52"/>
      <c r="AG247" s="52"/>
      <c r="AH247" s="53">
        <f t="shared" si="153"/>
        <v>257.65571999999992</v>
      </c>
      <c r="AJ247" s="47">
        <f t="shared" si="167"/>
        <v>46095</v>
      </c>
      <c r="AK247" s="56">
        <v>5284.54</v>
      </c>
      <c r="AL247" s="57">
        <v>0</v>
      </c>
      <c r="AM247" s="58"/>
      <c r="AN247" s="58"/>
      <c r="AO247" s="27"/>
      <c r="AP247" s="51"/>
      <c r="AQ247" s="52"/>
      <c r="AR247" s="52"/>
      <c r="AS247" s="53">
        <f t="shared" si="154"/>
        <v>0</v>
      </c>
      <c r="AU247" s="113">
        <f t="shared" si="168"/>
        <v>46095</v>
      </c>
      <c r="AV247" s="57">
        <v>329.97</v>
      </c>
      <c r="AW247" s="57">
        <v>0</v>
      </c>
      <c r="AX247" s="58"/>
      <c r="AY247" s="59">
        <v>494.39</v>
      </c>
      <c r="AZ247" s="27"/>
      <c r="BA247" s="240">
        <v>421.41970999999984</v>
      </c>
      <c r="BB247" s="53"/>
      <c r="BC247" s="52"/>
      <c r="BD247" s="53">
        <f t="shared" si="155"/>
        <v>915.80970999999977</v>
      </c>
      <c r="BF247" s="47">
        <f t="shared" si="177"/>
        <v>46095</v>
      </c>
      <c r="BG247" s="56">
        <v>4597.57</v>
      </c>
      <c r="BH247" s="57">
        <v>0</v>
      </c>
      <c r="BI247" s="58"/>
      <c r="BJ247" s="59">
        <v>35.619999999999997</v>
      </c>
      <c r="BK247" s="27"/>
      <c r="BL247" s="240">
        <v>358.35988999999984</v>
      </c>
      <c r="BM247" s="52">
        <v>26.763245483333343</v>
      </c>
      <c r="BN247" s="52"/>
      <c r="BO247" s="53">
        <f t="shared" si="156"/>
        <v>420.74313548333316</v>
      </c>
      <c r="BQ247" s="47">
        <f t="shared" si="169"/>
        <v>46095</v>
      </c>
      <c r="BR247" s="57">
        <v>1101.81</v>
      </c>
      <c r="BS247" s="57">
        <v>0</v>
      </c>
      <c r="BT247" s="58"/>
      <c r="BU247" s="61"/>
      <c r="BV247" s="27"/>
      <c r="BW247" s="51"/>
      <c r="BX247" s="52"/>
      <c r="BY247" s="52"/>
      <c r="BZ247" s="53">
        <f t="shared" si="157"/>
        <v>0</v>
      </c>
      <c r="CB247" s="47">
        <f t="shared" si="170"/>
        <v>46095</v>
      </c>
      <c r="CC247" s="56">
        <v>18228.560000000001</v>
      </c>
      <c r="CD247" s="57">
        <v>0</v>
      </c>
      <c r="CE247" s="58"/>
      <c r="CF247" s="117"/>
      <c r="CG247" s="27"/>
      <c r="CH247" s="51"/>
      <c r="CI247" s="52"/>
      <c r="CJ247" s="53"/>
      <c r="CK247" s="53">
        <f t="shared" si="158"/>
        <v>0</v>
      </c>
      <c r="CM247" s="47">
        <f t="shared" si="171"/>
        <v>46095</v>
      </c>
      <c r="CN247" s="56">
        <v>7815.62</v>
      </c>
      <c r="CO247" s="57">
        <v>0</v>
      </c>
      <c r="CP247" s="58"/>
      <c r="CQ247" s="62"/>
      <c r="CR247" s="27"/>
      <c r="CS247" s="240">
        <v>12.139999999999997</v>
      </c>
      <c r="CT247" s="53">
        <v>192.3267504286666</v>
      </c>
      <c r="CU247" s="53"/>
      <c r="CV247" s="53">
        <f t="shared" si="159"/>
        <v>204.46675042866659</v>
      </c>
      <c r="CX247" s="47">
        <f t="shared" si="172"/>
        <v>46095</v>
      </c>
      <c r="CY247" s="56">
        <v>3103.75</v>
      </c>
      <c r="CZ247" s="57">
        <v>0</v>
      </c>
      <c r="DA247" s="58"/>
      <c r="DB247" s="59"/>
      <c r="DC247" s="27"/>
      <c r="DD247" s="240">
        <v>567.33708299999989</v>
      </c>
      <c r="DE247" s="53">
        <v>389.88639696299981</v>
      </c>
      <c r="DF247" s="52"/>
      <c r="DG247" s="53">
        <f t="shared" si="160"/>
        <v>957.2234799629997</v>
      </c>
      <c r="DI247" s="47">
        <f t="shared" si="173"/>
        <v>46095</v>
      </c>
      <c r="DJ247" s="56">
        <v>1842.05</v>
      </c>
      <c r="DK247" s="63"/>
      <c r="DL247" s="58"/>
      <c r="DM247" s="62"/>
      <c r="DN247" s="27"/>
      <c r="DO247" s="51"/>
      <c r="DP247" s="52"/>
      <c r="DQ247" s="52"/>
      <c r="DR247" s="53">
        <f t="shared" si="161"/>
        <v>0</v>
      </c>
      <c r="DT247" s="47">
        <f t="shared" si="174"/>
        <v>46095</v>
      </c>
      <c r="DU247" s="56">
        <v>2259.87</v>
      </c>
      <c r="DV247" s="57">
        <v>0</v>
      </c>
      <c r="DW247" s="58"/>
      <c r="DX247" s="62"/>
      <c r="DY247" s="27"/>
      <c r="DZ247" s="240">
        <v>277.97118999999986</v>
      </c>
      <c r="EA247" s="53">
        <v>133.87264095333336</v>
      </c>
      <c r="EB247" s="52"/>
      <c r="EC247" s="53">
        <f t="shared" si="162"/>
        <v>411.84383095333322</v>
      </c>
      <c r="EE247" s="47">
        <f t="shared" si="175"/>
        <v>46095</v>
      </c>
      <c r="EF247" s="56">
        <v>6507.14</v>
      </c>
      <c r="EG247" s="57">
        <v>0</v>
      </c>
      <c r="EH247" s="58"/>
      <c r="EI247" s="59">
        <v>83.66</v>
      </c>
      <c r="EJ247" s="27"/>
      <c r="EK247" s="51"/>
      <c r="EL247" s="52"/>
      <c r="EM247" s="52"/>
      <c r="EN247" s="53">
        <f t="shared" si="163"/>
        <v>83.66</v>
      </c>
      <c r="EP247" s="47">
        <f t="shared" si="176"/>
        <v>46095</v>
      </c>
      <c r="EQ247" s="64">
        <v>314.99</v>
      </c>
      <c r="ER247" s="56">
        <v>0</v>
      </c>
      <c r="ES247" s="58"/>
      <c r="ET247" s="59"/>
      <c r="EV247" s="51"/>
      <c r="EW247" s="52"/>
      <c r="EX247" s="52"/>
      <c r="EY247" s="53">
        <f t="shared" si="164"/>
        <v>0</v>
      </c>
    </row>
    <row r="248" spans="2:155" x14ac:dyDescent="0.25">
      <c r="B248" s="47">
        <v>46096</v>
      </c>
      <c r="C248" s="48">
        <v>17940.59</v>
      </c>
      <c r="D248" s="49">
        <v>8137.68</v>
      </c>
      <c r="E248" s="50">
        <v>2342.61</v>
      </c>
      <c r="F248" s="49">
        <v>1867.47</v>
      </c>
      <c r="G248" s="50"/>
      <c r="H248" s="27"/>
      <c r="I248" s="51"/>
      <c r="J248" s="53"/>
      <c r="K248" s="52"/>
      <c r="L248" s="53">
        <f t="shared" si="151"/>
        <v>0</v>
      </c>
      <c r="N248" s="47">
        <f t="shared" si="165"/>
        <v>46096</v>
      </c>
      <c r="O248" s="54">
        <v>1014.06</v>
      </c>
      <c r="P248" s="54">
        <v>559.32000000000005</v>
      </c>
      <c r="Q248" s="58"/>
      <c r="R248" s="55"/>
      <c r="S248" s="27"/>
      <c r="T248" s="240">
        <v>329.9173199999999</v>
      </c>
      <c r="U248" s="53"/>
      <c r="V248" s="52"/>
      <c r="W248" s="53">
        <f t="shared" si="152"/>
        <v>329.9173199999999</v>
      </c>
      <c r="Y248" s="47">
        <f t="shared" si="166"/>
        <v>46096</v>
      </c>
      <c r="Z248" s="56">
        <v>7261.67</v>
      </c>
      <c r="AA248" s="57">
        <v>0</v>
      </c>
      <c r="AB248" s="63"/>
      <c r="AC248" s="59">
        <v>134.77000000000001</v>
      </c>
      <c r="AD248" s="27"/>
      <c r="AE248" s="240"/>
      <c r="AF248" s="52"/>
      <c r="AG248" s="52"/>
      <c r="AH248" s="53">
        <f t="shared" si="153"/>
        <v>134.77000000000001</v>
      </c>
      <c r="AJ248" s="47">
        <f t="shared" si="167"/>
        <v>46096</v>
      </c>
      <c r="AK248" s="56">
        <v>3914.75</v>
      </c>
      <c r="AL248" s="57">
        <v>0</v>
      </c>
      <c r="AM248" s="58"/>
      <c r="AN248" s="58"/>
      <c r="AO248" s="27"/>
      <c r="AP248" s="51"/>
      <c r="AQ248" s="52"/>
      <c r="AR248" s="52"/>
      <c r="AS248" s="53">
        <f t="shared" si="154"/>
        <v>0</v>
      </c>
      <c r="AU248" s="113">
        <f t="shared" si="168"/>
        <v>46096</v>
      </c>
      <c r="AV248" s="57">
        <v>429.06</v>
      </c>
      <c r="AW248" s="57">
        <v>45.5</v>
      </c>
      <c r="AX248" s="58"/>
      <c r="AY248" s="59"/>
      <c r="AZ248" s="27"/>
      <c r="BA248" s="240">
        <v>263.36001799999985</v>
      </c>
      <c r="BB248" s="53">
        <v>94.106184283000061</v>
      </c>
      <c r="BC248" s="52"/>
      <c r="BD248" s="53">
        <f t="shared" si="155"/>
        <v>357.46620228299992</v>
      </c>
      <c r="BF248" s="47">
        <f t="shared" si="177"/>
        <v>46096</v>
      </c>
      <c r="BG248" s="56">
        <v>3750.52</v>
      </c>
      <c r="BH248" s="57">
        <v>0</v>
      </c>
      <c r="BI248" s="58"/>
      <c r="BJ248" s="59"/>
      <c r="BK248" s="27"/>
      <c r="BL248" s="240">
        <v>299.14742999999987</v>
      </c>
      <c r="BM248" s="52"/>
      <c r="BN248" s="52"/>
      <c r="BO248" s="53">
        <f t="shared" si="156"/>
        <v>299.14742999999987</v>
      </c>
      <c r="BQ248" s="47">
        <f t="shared" si="169"/>
        <v>46096</v>
      </c>
      <c r="BR248" s="57">
        <v>111.99</v>
      </c>
      <c r="BS248" s="57">
        <v>0</v>
      </c>
      <c r="BT248" s="58"/>
      <c r="BU248" s="61"/>
      <c r="BV248" s="27"/>
      <c r="BW248" s="51"/>
      <c r="BX248" s="52"/>
      <c r="BY248" s="52"/>
      <c r="BZ248" s="53">
        <f t="shared" si="157"/>
        <v>0</v>
      </c>
      <c r="CB248" s="47">
        <f t="shared" si="170"/>
        <v>46096</v>
      </c>
      <c r="CC248" s="56">
        <v>17218.87</v>
      </c>
      <c r="CD248" s="57">
        <v>0</v>
      </c>
      <c r="CE248" s="58"/>
      <c r="CF248" s="117"/>
      <c r="CG248" s="27"/>
      <c r="CH248" s="51"/>
      <c r="CI248" s="52"/>
      <c r="CJ248" s="53"/>
      <c r="CK248" s="53">
        <f t="shared" si="158"/>
        <v>0</v>
      </c>
      <c r="CM248" s="47">
        <f t="shared" si="171"/>
        <v>46096</v>
      </c>
      <c r="CN248" s="56">
        <v>5216.92</v>
      </c>
      <c r="CO248" s="57">
        <v>5557.51</v>
      </c>
      <c r="CP248" s="58"/>
      <c r="CQ248" s="62"/>
      <c r="CR248" s="27"/>
      <c r="CS248" s="240"/>
      <c r="CT248" s="53">
        <v>90.187870761999989</v>
      </c>
      <c r="CU248" s="53"/>
      <c r="CV248" s="53">
        <f t="shared" si="159"/>
        <v>90.187870761999989</v>
      </c>
      <c r="CX248" s="47">
        <f t="shared" si="172"/>
        <v>46096</v>
      </c>
      <c r="CY248" s="56">
        <v>5949.46</v>
      </c>
      <c r="CZ248" s="57">
        <v>0</v>
      </c>
      <c r="DA248" s="58"/>
      <c r="DB248" s="59"/>
      <c r="DC248" s="27"/>
      <c r="DD248" s="240">
        <v>1196.575452999999</v>
      </c>
      <c r="DE248" s="53">
        <v>670.04174209666644</v>
      </c>
      <c r="DF248" s="52"/>
      <c r="DG248" s="53">
        <f t="shared" si="160"/>
        <v>1866.6171950966655</v>
      </c>
      <c r="DI248" s="47">
        <f t="shared" si="173"/>
        <v>46096</v>
      </c>
      <c r="DJ248" s="56">
        <v>1406</v>
      </c>
      <c r="DK248" s="63"/>
      <c r="DL248" s="58"/>
      <c r="DM248" s="62"/>
      <c r="DN248" s="27"/>
      <c r="DO248" s="51"/>
      <c r="DP248" s="52"/>
      <c r="DQ248" s="52"/>
      <c r="DR248" s="53">
        <f t="shared" si="161"/>
        <v>0</v>
      </c>
      <c r="DT248" s="47">
        <f t="shared" si="174"/>
        <v>46096</v>
      </c>
      <c r="DU248" s="56">
        <v>50</v>
      </c>
      <c r="DV248" s="57">
        <v>0</v>
      </c>
      <c r="DW248" s="58"/>
      <c r="DX248" s="62"/>
      <c r="DY248" s="27"/>
      <c r="DZ248" s="240"/>
      <c r="EA248" s="53">
        <v>845.82806590333382</v>
      </c>
      <c r="EB248" s="52"/>
      <c r="EC248" s="53">
        <f t="shared" si="162"/>
        <v>845.82806590333382</v>
      </c>
      <c r="EE248" s="47">
        <f t="shared" si="175"/>
        <v>46096</v>
      </c>
      <c r="EF248" s="56">
        <v>5059.0200000000004</v>
      </c>
      <c r="EG248" s="57">
        <v>0</v>
      </c>
      <c r="EH248" s="58"/>
      <c r="EI248" s="59">
        <v>60.04</v>
      </c>
      <c r="EJ248" s="27"/>
      <c r="EK248" s="51"/>
      <c r="EL248" s="52"/>
      <c r="EM248" s="52"/>
      <c r="EN248" s="53">
        <f t="shared" si="163"/>
        <v>60.04</v>
      </c>
      <c r="EP248" s="47">
        <f t="shared" si="176"/>
        <v>46096</v>
      </c>
      <c r="EQ248" s="64">
        <v>525</v>
      </c>
      <c r="ER248" s="56">
        <v>0</v>
      </c>
      <c r="ES248" s="58"/>
      <c r="ET248" s="59"/>
      <c r="EV248" s="51"/>
      <c r="EW248" s="52"/>
      <c r="EX248" s="52"/>
      <c r="EY248" s="53">
        <f t="shared" si="164"/>
        <v>0</v>
      </c>
    </row>
    <row r="249" spans="2:155" x14ac:dyDescent="0.25">
      <c r="B249" s="47">
        <v>46097</v>
      </c>
      <c r="C249" s="48">
        <v>26567.27</v>
      </c>
      <c r="D249" s="49">
        <v>0</v>
      </c>
      <c r="E249" s="50">
        <v>5249.3</v>
      </c>
      <c r="F249" s="49">
        <v>3636.01</v>
      </c>
      <c r="G249" s="50">
        <v>0.18</v>
      </c>
      <c r="H249" s="27"/>
      <c r="I249" s="51"/>
      <c r="J249" s="53"/>
      <c r="K249" s="52"/>
      <c r="L249" s="53">
        <f t="shared" si="151"/>
        <v>0.18</v>
      </c>
      <c r="N249" s="47">
        <f t="shared" si="165"/>
        <v>46097</v>
      </c>
      <c r="O249" s="54">
        <v>2895.67</v>
      </c>
      <c r="P249" s="54">
        <v>532.79</v>
      </c>
      <c r="Q249" s="58"/>
      <c r="R249" s="55"/>
      <c r="S249" s="27"/>
      <c r="T249" s="430">
        <v>1506.2454799999996</v>
      </c>
      <c r="U249" s="53">
        <v>96.019844000000063</v>
      </c>
      <c r="V249" s="52"/>
      <c r="W249" s="53">
        <f t="shared" si="152"/>
        <v>1602.2653239999997</v>
      </c>
      <c r="Y249" s="47">
        <f t="shared" si="166"/>
        <v>46097</v>
      </c>
      <c r="Z249" s="56">
        <v>9580.25</v>
      </c>
      <c r="AA249" s="57">
        <v>687.09</v>
      </c>
      <c r="AB249" s="63"/>
      <c r="AC249" s="59">
        <v>86.89</v>
      </c>
      <c r="AD249" s="27"/>
      <c r="AE249" s="240">
        <v>134.03377999999992</v>
      </c>
      <c r="AF249" s="52"/>
      <c r="AG249" s="52"/>
      <c r="AH249" s="53">
        <f t="shared" si="153"/>
        <v>220.92377999999991</v>
      </c>
      <c r="AJ249" s="47">
        <f t="shared" si="167"/>
        <v>46097</v>
      </c>
      <c r="AK249" s="56">
        <v>4698.3100000000004</v>
      </c>
      <c r="AL249" s="57">
        <v>2354.25</v>
      </c>
      <c r="AM249" s="58"/>
      <c r="AN249" s="58"/>
      <c r="AO249" s="27"/>
      <c r="AP249" s="51"/>
      <c r="AQ249" s="52"/>
      <c r="AR249" s="52"/>
      <c r="AS249" s="53">
        <f t="shared" si="154"/>
        <v>0</v>
      </c>
      <c r="AU249" s="113">
        <f t="shared" si="168"/>
        <v>46097</v>
      </c>
      <c r="AV249" s="57">
        <v>839.18</v>
      </c>
      <c r="AW249" s="57">
        <v>0</v>
      </c>
      <c r="AX249" s="58"/>
      <c r="AY249" s="59">
        <v>1946.88</v>
      </c>
      <c r="AZ249" s="27"/>
      <c r="BA249" s="240">
        <v>365.0437639999999</v>
      </c>
      <c r="BB249" s="53">
        <v>31.780149120000004</v>
      </c>
      <c r="BC249" s="52"/>
      <c r="BD249" s="53">
        <f t="shared" si="155"/>
        <v>2343.7039131199999</v>
      </c>
      <c r="BF249" s="47">
        <f t="shared" si="177"/>
        <v>46097</v>
      </c>
      <c r="BG249" s="56">
        <v>5670.83</v>
      </c>
      <c r="BH249" s="57">
        <v>311.56</v>
      </c>
      <c r="BI249" s="58"/>
      <c r="BJ249" s="59">
        <v>14.77</v>
      </c>
      <c r="BK249" s="27"/>
      <c r="BL249" s="240">
        <v>643.75226999999973</v>
      </c>
      <c r="BM249" s="52">
        <v>147.36007039999998</v>
      </c>
      <c r="BN249" s="52"/>
      <c r="BO249" s="53">
        <f t="shared" si="156"/>
        <v>805.88234039999975</v>
      </c>
      <c r="BQ249" s="47">
        <f t="shared" si="169"/>
        <v>46097</v>
      </c>
      <c r="BR249" s="57">
        <v>292.02</v>
      </c>
      <c r="BS249" s="57">
        <v>0</v>
      </c>
      <c r="BT249" s="58"/>
      <c r="BU249" s="61"/>
      <c r="BV249" s="27"/>
      <c r="BW249" s="51"/>
      <c r="BX249" s="52"/>
      <c r="BY249" s="52"/>
      <c r="BZ249" s="53">
        <f t="shared" si="157"/>
        <v>0</v>
      </c>
      <c r="CB249" s="47">
        <f t="shared" si="170"/>
        <v>46097</v>
      </c>
      <c r="CC249" s="56">
        <v>21833.7</v>
      </c>
      <c r="CD249" s="57">
        <v>3704.63</v>
      </c>
      <c r="CE249" s="58"/>
      <c r="CF249" s="117"/>
      <c r="CG249" s="27"/>
      <c r="CH249" s="51"/>
      <c r="CI249" s="52"/>
      <c r="CJ249" s="53"/>
      <c r="CK249" s="53">
        <f t="shared" si="158"/>
        <v>0</v>
      </c>
      <c r="CM249" s="47">
        <f t="shared" si="171"/>
        <v>46097</v>
      </c>
      <c r="CN249" s="56">
        <v>9784.8700000000008</v>
      </c>
      <c r="CO249" s="57">
        <v>6652.25</v>
      </c>
      <c r="CP249" s="58"/>
      <c r="CQ249" s="62"/>
      <c r="CR249" s="27"/>
      <c r="CS249" s="240">
        <v>28.572929999999985</v>
      </c>
      <c r="CT249" s="53">
        <v>797.01248119999991</v>
      </c>
      <c r="CU249" s="53"/>
      <c r="CV249" s="53">
        <f t="shared" si="159"/>
        <v>825.58541119999995</v>
      </c>
      <c r="CX249" s="47">
        <f t="shared" si="172"/>
        <v>46097</v>
      </c>
      <c r="CY249" s="56">
        <v>3593.45</v>
      </c>
      <c r="CZ249" s="57">
        <v>0</v>
      </c>
      <c r="DA249" s="58"/>
      <c r="DB249" s="59"/>
      <c r="DC249" s="27"/>
      <c r="DD249" s="240">
        <v>1574.240865</v>
      </c>
      <c r="DE249" s="53">
        <v>187.34000331999994</v>
      </c>
      <c r="DF249" s="52"/>
      <c r="DG249" s="53">
        <f t="shared" si="160"/>
        <v>1761.5808683199998</v>
      </c>
      <c r="DI249" s="47">
        <f t="shared" si="173"/>
        <v>46097</v>
      </c>
      <c r="DJ249" s="56">
        <v>2026.42</v>
      </c>
      <c r="DK249" s="63"/>
      <c r="DL249" s="58"/>
      <c r="DM249" s="62"/>
      <c r="DN249" s="27"/>
      <c r="DO249" s="51"/>
      <c r="DP249" s="52"/>
      <c r="DQ249" s="52"/>
      <c r="DR249" s="53">
        <f t="shared" si="161"/>
        <v>0</v>
      </c>
      <c r="DT249" s="47">
        <f t="shared" si="174"/>
        <v>46097</v>
      </c>
      <c r="DU249" s="56">
        <v>1750.04</v>
      </c>
      <c r="DV249" s="57">
        <v>0</v>
      </c>
      <c r="DW249" s="58"/>
      <c r="DX249" s="62"/>
      <c r="DY249" s="27"/>
      <c r="DZ249" s="240">
        <v>122.64702</v>
      </c>
      <c r="EA249" s="53">
        <v>489.69960640000022</v>
      </c>
      <c r="EB249" s="52"/>
      <c r="EC249" s="53">
        <f t="shared" si="162"/>
        <v>612.34662640000022</v>
      </c>
      <c r="EE249" s="47">
        <f t="shared" si="175"/>
        <v>46097</v>
      </c>
      <c r="EF249" s="56">
        <v>8509.5300000000007</v>
      </c>
      <c r="EG249" s="57">
        <v>3796.59</v>
      </c>
      <c r="EH249" s="58"/>
      <c r="EI249" s="59">
        <v>92.3</v>
      </c>
      <c r="EJ249" s="27"/>
      <c r="EK249" s="51"/>
      <c r="EL249" s="52"/>
      <c r="EM249" s="52"/>
      <c r="EN249" s="53">
        <f t="shared" si="163"/>
        <v>92.3</v>
      </c>
      <c r="EP249" s="47">
        <f t="shared" si="176"/>
        <v>46097</v>
      </c>
      <c r="EQ249" s="64">
        <v>910.66</v>
      </c>
      <c r="ER249" s="56">
        <v>0</v>
      </c>
      <c r="ES249" s="58"/>
      <c r="ET249" s="59"/>
      <c r="EV249" s="51"/>
      <c r="EW249" s="52"/>
      <c r="EX249" s="52"/>
      <c r="EY249" s="53">
        <f t="shared" si="164"/>
        <v>0</v>
      </c>
    </row>
    <row r="250" spans="2:155" x14ac:dyDescent="0.25">
      <c r="B250" s="47">
        <v>46098</v>
      </c>
      <c r="C250" s="48">
        <v>26987.09</v>
      </c>
      <c r="D250" s="49">
        <v>8212.68</v>
      </c>
      <c r="E250" s="50">
        <v>3231.51</v>
      </c>
      <c r="F250" s="49">
        <v>1142.58</v>
      </c>
      <c r="G250" s="50"/>
      <c r="H250" s="27"/>
      <c r="I250" s="51"/>
      <c r="J250" s="53"/>
      <c r="K250" s="52"/>
      <c r="L250" s="53">
        <f t="shared" si="151"/>
        <v>0</v>
      </c>
      <c r="N250" s="47">
        <f t="shared" si="165"/>
        <v>46098</v>
      </c>
      <c r="O250" s="54">
        <v>3535.65</v>
      </c>
      <c r="P250" s="54">
        <v>462.29</v>
      </c>
      <c r="Q250" s="58"/>
      <c r="R250" s="55"/>
      <c r="S250" s="27"/>
      <c r="T250" s="430">
        <v>1485.4831399999996</v>
      </c>
      <c r="U250" s="53"/>
      <c r="V250" s="52"/>
      <c r="W250" s="53">
        <f t="shared" si="152"/>
        <v>1485.4831399999996</v>
      </c>
      <c r="Y250" s="47">
        <f t="shared" si="166"/>
        <v>46098</v>
      </c>
      <c r="Z250" s="56">
        <v>8889.76</v>
      </c>
      <c r="AA250" s="57">
        <v>5056.93</v>
      </c>
      <c r="AB250" s="63"/>
      <c r="AC250" s="59">
        <v>82.45</v>
      </c>
      <c r="AD250" s="27"/>
      <c r="AE250" s="240">
        <v>371.90613999999982</v>
      </c>
      <c r="AF250" s="52"/>
      <c r="AG250" s="52"/>
      <c r="AH250" s="53">
        <f t="shared" si="153"/>
        <v>454.35613999999981</v>
      </c>
      <c r="AJ250" s="47">
        <f t="shared" si="167"/>
        <v>46098</v>
      </c>
      <c r="AK250" s="56">
        <v>5067.9799999999996</v>
      </c>
      <c r="AL250" s="57">
        <v>2850.33</v>
      </c>
      <c r="AM250" s="58"/>
      <c r="AN250" s="58"/>
      <c r="AO250" s="27"/>
      <c r="AP250" s="51"/>
      <c r="AQ250" s="52"/>
      <c r="AR250" s="52"/>
      <c r="AS250" s="53">
        <f t="shared" si="154"/>
        <v>0</v>
      </c>
      <c r="AU250" s="113">
        <f t="shared" si="168"/>
        <v>46098</v>
      </c>
      <c r="AV250" s="57">
        <v>663.1</v>
      </c>
      <c r="AW250" s="57">
        <v>155.29</v>
      </c>
      <c r="AX250" s="58"/>
      <c r="AY250" s="59"/>
      <c r="AZ250" s="27"/>
      <c r="BA250" s="240">
        <v>129.05583200000001</v>
      </c>
      <c r="BB250" s="53"/>
      <c r="BC250" s="52"/>
      <c r="BD250" s="53">
        <f t="shared" si="155"/>
        <v>129.05583200000001</v>
      </c>
      <c r="BF250" s="47">
        <f t="shared" si="177"/>
        <v>46098</v>
      </c>
      <c r="BG250" s="56">
        <v>4407.66</v>
      </c>
      <c r="BH250" s="57">
        <v>4164.72</v>
      </c>
      <c r="BI250" s="58"/>
      <c r="BJ250" s="59">
        <v>14.8</v>
      </c>
      <c r="BK250" s="27"/>
      <c r="BL250" s="240">
        <v>1301.6185599999997</v>
      </c>
      <c r="BM250" s="52">
        <v>15.226436999999976</v>
      </c>
      <c r="BN250" s="52"/>
      <c r="BO250" s="53">
        <f t="shared" si="156"/>
        <v>1331.6449969999996</v>
      </c>
      <c r="BQ250" s="47">
        <f t="shared" si="169"/>
        <v>46098</v>
      </c>
      <c r="BR250" s="57">
        <v>209.97</v>
      </c>
      <c r="BS250" s="57">
        <v>0</v>
      </c>
      <c r="BT250" s="58"/>
      <c r="BU250" s="61"/>
      <c r="BV250" s="27"/>
      <c r="BW250" s="51"/>
      <c r="BX250" s="52"/>
      <c r="BY250" s="52"/>
      <c r="BZ250" s="53">
        <f t="shared" si="157"/>
        <v>0</v>
      </c>
      <c r="CB250" s="47">
        <f t="shared" si="170"/>
        <v>46098</v>
      </c>
      <c r="CC250" s="56">
        <v>24325.69</v>
      </c>
      <c r="CD250" s="57">
        <v>7490.27</v>
      </c>
      <c r="CE250" s="58"/>
      <c r="CF250" s="117"/>
      <c r="CG250" s="27"/>
      <c r="CH250" s="51"/>
      <c r="CI250" s="52"/>
      <c r="CJ250" s="53"/>
      <c r="CK250" s="53">
        <f t="shared" si="158"/>
        <v>0</v>
      </c>
      <c r="CM250" s="47">
        <f t="shared" si="171"/>
        <v>46098</v>
      </c>
      <c r="CN250" s="56">
        <v>15023.87</v>
      </c>
      <c r="CO250" s="57">
        <v>0</v>
      </c>
      <c r="CP250" s="58"/>
      <c r="CQ250" s="62"/>
      <c r="CR250" s="27"/>
      <c r="CS250" s="240">
        <v>118.64762999999992</v>
      </c>
      <c r="CT250" s="53">
        <v>255.33463239999986</v>
      </c>
      <c r="CU250" s="53"/>
      <c r="CV250" s="53">
        <f t="shared" si="159"/>
        <v>373.9822623999998</v>
      </c>
      <c r="CX250" s="47">
        <f t="shared" si="172"/>
        <v>46098</v>
      </c>
      <c r="CY250" s="56">
        <v>4209.28</v>
      </c>
      <c r="CZ250" s="57">
        <v>0</v>
      </c>
      <c r="DA250" s="58"/>
      <c r="DB250" s="59"/>
      <c r="DC250" s="27"/>
      <c r="DD250" s="240">
        <v>339.78319999999991</v>
      </c>
      <c r="DE250" s="53">
        <v>7.8860626400000342</v>
      </c>
      <c r="DF250" s="52"/>
      <c r="DG250" s="53">
        <f t="shared" si="160"/>
        <v>347.66926263999994</v>
      </c>
      <c r="DI250" s="47">
        <f t="shared" si="173"/>
        <v>46098</v>
      </c>
      <c r="DJ250" s="56">
        <v>1158.23</v>
      </c>
      <c r="DK250" s="63"/>
      <c r="DL250" s="58"/>
      <c r="DM250" s="62"/>
      <c r="DN250" s="27"/>
      <c r="DO250" s="51"/>
      <c r="DP250" s="52"/>
      <c r="DQ250" s="52"/>
      <c r="DR250" s="53">
        <f t="shared" si="161"/>
        <v>0</v>
      </c>
      <c r="DT250" s="47">
        <f t="shared" si="174"/>
        <v>46098</v>
      </c>
      <c r="DU250" s="56">
        <v>2151.21</v>
      </c>
      <c r="DV250" s="57">
        <v>0</v>
      </c>
      <c r="DW250" s="58"/>
      <c r="DX250" s="62"/>
      <c r="DY250" s="27"/>
      <c r="DZ250" s="240">
        <v>305.5322799999999</v>
      </c>
      <c r="EA250" s="53">
        <v>-2.7165838000003077</v>
      </c>
      <c r="EB250" s="52"/>
      <c r="EC250" s="53">
        <f t="shared" si="162"/>
        <v>302.81569619999959</v>
      </c>
      <c r="EE250" s="47">
        <f t="shared" si="175"/>
        <v>46098</v>
      </c>
      <c r="EF250" s="56">
        <v>6015.58</v>
      </c>
      <c r="EG250" s="57">
        <v>2087.9299999999998</v>
      </c>
      <c r="EH250" s="58"/>
      <c r="EI250" s="59">
        <v>105.41</v>
      </c>
      <c r="EJ250" s="27"/>
      <c r="EK250" s="51">
        <v>60.36689999999993</v>
      </c>
      <c r="EL250" s="52"/>
      <c r="EM250" s="52"/>
      <c r="EN250" s="53">
        <f t="shared" si="163"/>
        <v>165.77689999999993</v>
      </c>
      <c r="EP250" s="47">
        <f t="shared" si="176"/>
        <v>46098</v>
      </c>
      <c r="EQ250" s="64">
        <v>167.49</v>
      </c>
      <c r="ER250" s="56">
        <v>560.17999999999995</v>
      </c>
      <c r="ES250" s="58"/>
      <c r="ET250" s="59"/>
      <c r="EV250" s="51"/>
      <c r="EW250" s="52"/>
      <c r="EX250" s="52"/>
      <c r="EY250" s="53">
        <f t="shared" si="164"/>
        <v>0</v>
      </c>
    </row>
    <row r="251" spans="2:155" x14ac:dyDescent="0.25">
      <c r="B251" s="47">
        <v>46099</v>
      </c>
      <c r="C251" s="48">
        <v>28680.55</v>
      </c>
      <c r="D251" s="49">
        <v>5926.11</v>
      </c>
      <c r="E251" s="50">
        <v>3935.41</v>
      </c>
      <c r="F251" s="49">
        <v>1136.3499999999999</v>
      </c>
      <c r="G251" s="50"/>
      <c r="H251" s="27"/>
      <c r="I251" s="51"/>
      <c r="J251" s="53">
        <v>6.2143223999999933</v>
      </c>
      <c r="K251" s="52"/>
      <c r="L251" s="53">
        <f t="shared" si="151"/>
        <v>6.2143223999999933</v>
      </c>
      <c r="N251" s="47">
        <f t="shared" si="165"/>
        <v>46099</v>
      </c>
      <c r="O251" s="54">
        <v>5353.79</v>
      </c>
      <c r="P251" s="54">
        <v>594.65</v>
      </c>
      <c r="Q251" s="58"/>
      <c r="R251" s="69"/>
      <c r="S251" s="27"/>
      <c r="T251" s="240">
        <v>633.17215999999985</v>
      </c>
      <c r="U251" s="53"/>
      <c r="V251" s="52"/>
      <c r="W251" s="53">
        <f t="shared" si="152"/>
        <v>633.17215999999985</v>
      </c>
      <c r="Y251" s="47">
        <f t="shared" si="166"/>
        <v>46099</v>
      </c>
      <c r="Z251" s="56">
        <v>9100.85</v>
      </c>
      <c r="AA251" s="57">
        <v>0</v>
      </c>
      <c r="AB251" s="63"/>
      <c r="AC251" s="59">
        <v>172.94</v>
      </c>
      <c r="AD251" s="27"/>
      <c r="AE251" s="240">
        <v>25.127729999999985</v>
      </c>
      <c r="AF251" s="52"/>
      <c r="AG251" s="52"/>
      <c r="AH251" s="53">
        <f t="shared" si="153"/>
        <v>198.06772999999998</v>
      </c>
      <c r="AJ251" s="47">
        <f t="shared" si="167"/>
        <v>46099</v>
      </c>
      <c r="AK251" s="56">
        <v>4787.97</v>
      </c>
      <c r="AL251" s="57">
        <v>0</v>
      </c>
      <c r="AM251" s="58"/>
      <c r="AN251" s="58"/>
      <c r="AO251" s="27"/>
      <c r="AP251" s="51"/>
      <c r="AQ251" s="52"/>
      <c r="AR251" s="52"/>
      <c r="AS251" s="53">
        <f t="shared" si="154"/>
        <v>0</v>
      </c>
      <c r="AU251" s="113">
        <f t="shared" si="168"/>
        <v>46099</v>
      </c>
      <c r="AV251" s="57">
        <v>1770.81</v>
      </c>
      <c r="AW251" s="57">
        <v>50</v>
      </c>
      <c r="AX251" s="58"/>
      <c r="AY251" s="59"/>
      <c r="AZ251" s="27"/>
      <c r="BA251" s="240">
        <v>235.55620299999993</v>
      </c>
      <c r="BB251" s="53">
        <v>94.028340780000065</v>
      </c>
      <c r="BC251" s="52"/>
      <c r="BD251" s="53">
        <f t="shared" si="155"/>
        <v>329.58454377999999</v>
      </c>
      <c r="BF251" s="47">
        <f t="shared" si="177"/>
        <v>46099</v>
      </c>
      <c r="BG251" s="56">
        <v>7165.92</v>
      </c>
      <c r="BH251" s="57">
        <v>84.98</v>
      </c>
      <c r="BI251" s="58"/>
      <c r="BJ251" s="59">
        <v>32.29</v>
      </c>
      <c r="BK251" s="27"/>
      <c r="BL251" s="240">
        <v>387.60441999999983</v>
      </c>
      <c r="BM251" s="52"/>
      <c r="BN251" s="52"/>
      <c r="BO251" s="53">
        <f t="shared" si="156"/>
        <v>419.89441999999985</v>
      </c>
      <c r="BQ251" s="47">
        <f t="shared" si="169"/>
        <v>46099</v>
      </c>
      <c r="BR251" s="57">
        <v>551.02</v>
      </c>
      <c r="BS251" s="57">
        <v>0</v>
      </c>
      <c r="BT251" s="58"/>
      <c r="BU251" s="61"/>
      <c r="BV251" s="27"/>
      <c r="BW251" s="51"/>
      <c r="BX251" s="52"/>
      <c r="BY251" s="52"/>
      <c r="BZ251" s="53">
        <f t="shared" si="157"/>
        <v>0</v>
      </c>
      <c r="CB251" s="47">
        <f t="shared" si="170"/>
        <v>46099</v>
      </c>
      <c r="CC251" s="56">
        <v>28982.62</v>
      </c>
      <c r="CD251" s="57">
        <v>5050.41</v>
      </c>
      <c r="CE251" s="58"/>
      <c r="CF251" s="117"/>
      <c r="CG251" s="27"/>
      <c r="CH251" s="51"/>
      <c r="CI251" s="52"/>
      <c r="CJ251" s="53"/>
      <c r="CK251" s="53">
        <f t="shared" si="158"/>
        <v>0</v>
      </c>
      <c r="CM251" s="47">
        <f t="shared" si="171"/>
        <v>46099</v>
      </c>
      <c r="CN251" s="56">
        <v>11564.34</v>
      </c>
      <c r="CO251" s="57">
        <v>0</v>
      </c>
      <c r="CP251" s="58"/>
      <c r="CQ251" s="62"/>
      <c r="CR251" s="27"/>
      <c r="CS251" s="240">
        <v>130.23245999999997</v>
      </c>
      <c r="CT251" s="53">
        <v>225.90987649999985</v>
      </c>
      <c r="CU251" s="53"/>
      <c r="CV251" s="53">
        <f t="shared" si="159"/>
        <v>356.14233649999983</v>
      </c>
      <c r="CX251" s="47">
        <f t="shared" si="172"/>
        <v>46099</v>
      </c>
      <c r="CY251" s="56">
        <v>6377.24</v>
      </c>
      <c r="CZ251" s="57">
        <v>0</v>
      </c>
      <c r="DA251" s="58"/>
      <c r="DB251" s="59"/>
      <c r="DC251" s="27"/>
      <c r="DD251" s="240">
        <v>127.16092099999929</v>
      </c>
      <c r="DE251" s="53">
        <v>0.7100776799999835</v>
      </c>
      <c r="DF251" s="52"/>
      <c r="DG251" s="53">
        <f t="shared" si="160"/>
        <v>127.87099867999927</v>
      </c>
      <c r="DI251" s="47">
        <f t="shared" si="173"/>
        <v>46099</v>
      </c>
      <c r="DJ251" s="56">
        <v>1719.07</v>
      </c>
      <c r="DK251" s="63"/>
      <c r="DL251" s="58"/>
      <c r="DM251" s="62"/>
      <c r="DN251" s="27"/>
      <c r="DO251" s="51"/>
      <c r="DP251" s="52"/>
      <c r="DQ251" s="52"/>
      <c r="DR251" s="53">
        <f t="shared" si="161"/>
        <v>0</v>
      </c>
      <c r="DT251" s="47">
        <f t="shared" si="174"/>
        <v>46099</v>
      </c>
      <c r="DU251" s="56">
        <v>2444.02</v>
      </c>
      <c r="DV251" s="57">
        <v>0</v>
      </c>
      <c r="DW251" s="58"/>
      <c r="DX251" s="62"/>
      <c r="DY251" s="27"/>
      <c r="DZ251" s="240">
        <v>52.677289999999942</v>
      </c>
      <c r="EA251" s="53">
        <v>51.605910199999926</v>
      </c>
      <c r="EB251" s="52"/>
      <c r="EC251" s="53">
        <f t="shared" si="162"/>
        <v>104.28320019999987</v>
      </c>
      <c r="EE251" s="47">
        <f t="shared" si="175"/>
        <v>46099</v>
      </c>
      <c r="EF251" s="56">
        <v>7849.42</v>
      </c>
      <c r="EG251" s="57">
        <v>3511.24</v>
      </c>
      <c r="EH251" s="58"/>
      <c r="EI251" s="59">
        <v>132.76</v>
      </c>
      <c r="EJ251" s="27"/>
      <c r="EK251" s="51"/>
      <c r="EL251" s="52"/>
      <c r="EM251" s="52"/>
      <c r="EN251" s="53">
        <f t="shared" si="163"/>
        <v>132.76</v>
      </c>
      <c r="EP251" s="47">
        <f t="shared" si="176"/>
        <v>46099</v>
      </c>
      <c r="EQ251" s="64">
        <v>606.03</v>
      </c>
      <c r="ER251" s="56">
        <v>190</v>
      </c>
      <c r="ES251" s="58"/>
      <c r="ET251" s="59"/>
      <c r="EV251" s="51"/>
      <c r="EW251" s="52"/>
      <c r="EX251" s="52"/>
      <c r="EY251" s="53">
        <f t="shared" si="164"/>
        <v>0</v>
      </c>
    </row>
    <row r="252" spans="2:155" x14ac:dyDescent="0.25">
      <c r="B252" s="47">
        <v>46100</v>
      </c>
      <c r="C252" s="48">
        <v>31102.63</v>
      </c>
      <c r="D252" s="49">
        <v>5433.79</v>
      </c>
      <c r="E252" s="50">
        <v>6214</v>
      </c>
      <c r="F252" s="49">
        <v>952.46</v>
      </c>
      <c r="G252" s="50"/>
      <c r="H252" s="27"/>
      <c r="I252" s="51"/>
      <c r="J252" s="53">
        <v>40.497428399999933</v>
      </c>
      <c r="K252" s="52"/>
      <c r="L252" s="53">
        <f t="shared" si="151"/>
        <v>40.497428399999933</v>
      </c>
      <c r="N252" s="47">
        <f t="shared" si="165"/>
        <v>46100</v>
      </c>
      <c r="O252" s="54">
        <v>4246.8100000000004</v>
      </c>
      <c r="P252" s="54">
        <v>240</v>
      </c>
      <c r="Q252" s="58"/>
      <c r="R252" s="55"/>
      <c r="S252" s="27"/>
      <c r="T252" s="240">
        <v>417.2461099999997</v>
      </c>
      <c r="U252" s="53">
        <v>4.4310687999999914</v>
      </c>
      <c r="V252" s="52"/>
      <c r="W252" s="53">
        <f t="shared" si="152"/>
        <v>421.67717879999969</v>
      </c>
      <c r="Y252" s="47">
        <f t="shared" si="166"/>
        <v>46100</v>
      </c>
      <c r="Z252" s="56">
        <v>9690.48</v>
      </c>
      <c r="AA252" s="57">
        <v>0</v>
      </c>
      <c r="AB252" s="63"/>
      <c r="AC252" s="59">
        <v>184.02</v>
      </c>
      <c r="AD252" s="27"/>
      <c r="AE252" s="240">
        <v>150.35994999999991</v>
      </c>
      <c r="AF252" s="52"/>
      <c r="AG252" s="52"/>
      <c r="AH252" s="53">
        <f t="shared" si="153"/>
        <v>334.37994999999989</v>
      </c>
      <c r="AJ252" s="47">
        <f t="shared" si="167"/>
        <v>46100</v>
      </c>
      <c r="AK252" s="56">
        <v>6075.77</v>
      </c>
      <c r="AL252" s="57">
        <v>1381.38</v>
      </c>
      <c r="AM252" s="58"/>
      <c r="AN252" s="58"/>
      <c r="AO252" s="27"/>
      <c r="AP252" s="51"/>
      <c r="AQ252" s="52"/>
      <c r="AR252" s="52"/>
      <c r="AS252" s="53">
        <f t="shared" si="154"/>
        <v>0</v>
      </c>
      <c r="AU252" s="113">
        <f t="shared" si="168"/>
        <v>46100</v>
      </c>
      <c r="AV252" s="57">
        <v>396.06</v>
      </c>
      <c r="AW252" s="57">
        <v>66</v>
      </c>
      <c r="AX252" s="58"/>
      <c r="AY252" s="59"/>
      <c r="AZ252" s="27"/>
      <c r="BA252" s="240">
        <v>467.74264899999946</v>
      </c>
      <c r="BB252" s="53">
        <v>71.568158040000071</v>
      </c>
      <c r="BC252" s="52"/>
      <c r="BD252" s="53">
        <f t="shared" si="155"/>
        <v>539.31080703999953</v>
      </c>
      <c r="BF252" s="47">
        <f t="shared" si="177"/>
        <v>46100</v>
      </c>
      <c r="BG252" s="56">
        <v>6336.64</v>
      </c>
      <c r="BH252" s="57">
        <v>1191.79</v>
      </c>
      <c r="BI252" s="58"/>
      <c r="BJ252" s="59"/>
      <c r="BK252" s="27"/>
      <c r="BL252" s="240">
        <v>255.83953999999983</v>
      </c>
      <c r="BM252" s="52">
        <v>62.685223699999923</v>
      </c>
      <c r="BN252" s="52"/>
      <c r="BO252" s="53">
        <f t="shared" si="156"/>
        <v>318.52476369999977</v>
      </c>
      <c r="BQ252" s="47">
        <f t="shared" si="169"/>
        <v>46100</v>
      </c>
      <c r="BR252" s="57">
        <v>194.85</v>
      </c>
      <c r="BS252" s="57">
        <v>82</v>
      </c>
      <c r="BT252" s="58"/>
      <c r="BU252" s="61"/>
      <c r="BV252" s="27"/>
      <c r="BW252" s="51"/>
      <c r="BX252" s="52"/>
      <c r="BY252" s="52"/>
      <c r="BZ252" s="53">
        <f t="shared" si="157"/>
        <v>0</v>
      </c>
      <c r="CB252" s="47">
        <f t="shared" si="170"/>
        <v>46100</v>
      </c>
      <c r="CC252" s="56">
        <v>29330.07</v>
      </c>
      <c r="CD252" s="57">
        <v>4822.5200000000004</v>
      </c>
      <c r="CE252" s="58"/>
      <c r="CF252" s="117"/>
      <c r="CG252" s="27"/>
      <c r="CH252" s="51"/>
      <c r="CI252" s="52"/>
      <c r="CJ252" s="53"/>
      <c r="CK252" s="53">
        <f t="shared" si="158"/>
        <v>0</v>
      </c>
      <c r="CM252" s="47">
        <f t="shared" si="171"/>
        <v>46100</v>
      </c>
      <c r="CN252" s="56">
        <v>14379.96</v>
      </c>
      <c r="CO252" s="57">
        <v>6168.14</v>
      </c>
      <c r="CP252" s="58"/>
      <c r="CQ252" s="62"/>
      <c r="CR252" s="27"/>
      <c r="CS252" s="240">
        <v>106.32533999999993</v>
      </c>
      <c r="CT252" s="53">
        <v>410.82578199999978</v>
      </c>
      <c r="CU252" s="53"/>
      <c r="CV252" s="53">
        <f t="shared" si="159"/>
        <v>517.15112199999976</v>
      </c>
      <c r="CX252" s="47">
        <f t="shared" si="172"/>
        <v>46100</v>
      </c>
      <c r="CY252" s="56">
        <v>5110.32</v>
      </c>
      <c r="CZ252" s="57">
        <v>0</v>
      </c>
      <c r="DA252" s="58"/>
      <c r="DB252" s="59"/>
      <c r="DC252" s="27"/>
      <c r="DD252" s="240">
        <v>281.66585799999984</v>
      </c>
      <c r="DE252" s="53"/>
      <c r="DF252" s="52"/>
      <c r="DG252" s="53">
        <f t="shared" si="160"/>
        <v>281.66585799999984</v>
      </c>
      <c r="DI252" s="47">
        <f t="shared" si="173"/>
        <v>46100</v>
      </c>
      <c r="DJ252" s="56">
        <v>965</v>
      </c>
      <c r="DK252" s="63"/>
      <c r="DL252" s="58"/>
      <c r="DM252" s="62"/>
      <c r="DN252" s="27"/>
      <c r="DO252" s="51"/>
      <c r="DP252" s="52"/>
      <c r="DQ252" s="52"/>
      <c r="DR252" s="53">
        <f t="shared" si="161"/>
        <v>0</v>
      </c>
      <c r="DT252" s="47">
        <f t="shared" si="174"/>
        <v>46100</v>
      </c>
      <c r="DU252" s="56">
        <v>1911.01</v>
      </c>
      <c r="DV252" s="57">
        <v>0</v>
      </c>
      <c r="DW252" s="58"/>
      <c r="DX252" s="62"/>
      <c r="DY252" s="27"/>
      <c r="DZ252" s="240">
        <v>85.466519999999946</v>
      </c>
      <c r="EA252" s="53">
        <v>566.34242859999893</v>
      </c>
      <c r="EB252" s="52"/>
      <c r="EC252" s="53">
        <f t="shared" si="162"/>
        <v>651.80894859999887</v>
      </c>
      <c r="EE252" s="47">
        <f t="shared" si="175"/>
        <v>46100</v>
      </c>
      <c r="EF252" s="56">
        <v>8497.18</v>
      </c>
      <c r="EG252" s="57">
        <v>4804.76</v>
      </c>
      <c r="EH252" s="58"/>
      <c r="EI252" s="59">
        <v>100.68</v>
      </c>
      <c r="EJ252" s="27"/>
      <c r="EK252" s="51">
        <v>4.8122599999999807</v>
      </c>
      <c r="EL252" s="52"/>
      <c r="EM252" s="52"/>
      <c r="EN252" s="53">
        <f t="shared" si="163"/>
        <v>105.49225999999999</v>
      </c>
      <c r="EP252" s="47">
        <f t="shared" si="176"/>
        <v>46100</v>
      </c>
      <c r="EQ252" s="64">
        <v>1253.4100000000001</v>
      </c>
      <c r="ER252" s="56">
        <v>149.05000000000001</v>
      </c>
      <c r="ES252" s="58"/>
      <c r="ET252" s="59"/>
      <c r="EV252" s="51"/>
      <c r="EW252" s="52"/>
      <c r="EX252" s="52"/>
      <c r="EY252" s="53">
        <f t="shared" si="164"/>
        <v>0</v>
      </c>
    </row>
    <row r="253" spans="2:155" x14ac:dyDescent="0.25">
      <c r="B253" s="47">
        <v>46101</v>
      </c>
      <c r="C253" s="48">
        <v>30354.11</v>
      </c>
      <c r="D253" s="49">
        <v>5409.98</v>
      </c>
      <c r="E253" s="50">
        <v>4280.71</v>
      </c>
      <c r="F253" s="49">
        <v>1193.26</v>
      </c>
      <c r="G253" s="50"/>
      <c r="H253" s="27"/>
      <c r="I253" s="51"/>
      <c r="J253" s="53"/>
      <c r="K253" s="52">
        <v>34.882612799999976</v>
      </c>
      <c r="L253" s="53">
        <f t="shared" si="151"/>
        <v>34.882612799999976</v>
      </c>
      <c r="N253" s="47">
        <f t="shared" si="165"/>
        <v>46101</v>
      </c>
      <c r="O253" s="54">
        <v>4729.3999999999996</v>
      </c>
      <c r="P253" s="54">
        <v>474.57</v>
      </c>
      <c r="Q253" s="58"/>
      <c r="R253" s="55"/>
      <c r="S253" s="27"/>
      <c r="T253" s="240">
        <v>839.6565599999999</v>
      </c>
      <c r="U253" s="53"/>
      <c r="V253" s="52"/>
      <c r="W253" s="53">
        <f t="shared" si="152"/>
        <v>839.6565599999999</v>
      </c>
      <c r="Y253" s="47">
        <f t="shared" si="166"/>
        <v>46101</v>
      </c>
      <c r="Z253" s="56">
        <v>8902.39</v>
      </c>
      <c r="AA253" s="57">
        <v>4796.92</v>
      </c>
      <c r="AB253" s="63"/>
      <c r="AC253" s="59">
        <v>147.58000000000001</v>
      </c>
      <c r="AD253" s="27"/>
      <c r="AE253" s="240">
        <v>118.71344999999994</v>
      </c>
      <c r="AF253" s="52"/>
      <c r="AG253" s="52"/>
      <c r="AH253" s="53">
        <f t="shared" si="153"/>
        <v>266.29344999999995</v>
      </c>
      <c r="AJ253" s="47">
        <f t="shared" si="167"/>
        <v>46101</v>
      </c>
      <c r="AK253" s="56">
        <v>6875.48</v>
      </c>
      <c r="AL253" s="57">
        <v>3130.63</v>
      </c>
      <c r="AM253" s="58"/>
      <c r="AN253" s="58"/>
      <c r="AO253" s="27"/>
      <c r="AP253" s="51"/>
      <c r="AQ253" s="52"/>
      <c r="AR253" s="52"/>
      <c r="AS253" s="53">
        <f t="shared" si="154"/>
        <v>0</v>
      </c>
      <c r="AU253" s="113">
        <f t="shared" si="168"/>
        <v>46101</v>
      </c>
      <c r="AV253" s="57">
        <v>750.11</v>
      </c>
      <c r="AW253" s="57">
        <v>0</v>
      </c>
      <c r="AX253" s="58"/>
      <c r="AY253" s="59"/>
      <c r="AZ253" s="27"/>
      <c r="BA253" s="240">
        <v>126.92825999999998</v>
      </c>
      <c r="BB253" s="53">
        <v>11.621853000000016</v>
      </c>
      <c r="BC253" s="52"/>
      <c r="BD253" s="53">
        <f t="shared" si="155"/>
        <v>138.55011300000001</v>
      </c>
      <c r="BF253" s="47">
        <f t="shared" si="177"/>
        <v>46101</v>
      </c>
      <c r="BG253" s="56">
        <v>8157.57</v>
      </c>
      <c r="BH253" s="57">
        <v>3822.1</v>
      </c>
      <c r="BI253" s="58"/>
      <c r="BJ253" s="59"/>
      <c r="BK253" s="27"/>
      <c r="BL253" s="240">
        <v>525.07698999999957</v>
      </c>
      <c r="BM253" s="52">
        <v>21.140044200000006</v>
      </c>
      <c r="BN253" s="52"/>
      <c r="BO253" s="53">
        <f t="shared" si="156"/>
        <v>546.2170341999996</v>
      </c>
      <c r="BQ253" s="47">
        <f t="shared" si="169"/>
        <v>46101</v>
      </c>
      <c r="BR253" s="57">
        <v>296.97000000000003</v>
      </c>
      <c r="BS253" s="57">
        <v>409.15</v>
      </c>
      <c r="BT253" s="58"/>
      <c r="BU253" s="61"/>
      <c r="BV253" s="27"/>
      <c r="BW253" s="51"/>
      <c r="BX253" s="52"/>
      <c r="BY253" s="52"/>
      <c r="BZ253" s="53">
        <f t="shared" si="157"/>
        <v>0</v>
      </c>
      <c r="CB253" s="47">
        <f t="shared" si="170"/>
        <v>46101</v>
      </c>
      <c r="CC253" s="56">
        <v>38484.92</v>
      </c>
      <c r="CD253" s="57">
        <v>5264.05</v>
      </c>
      <c r="CE253" s="58"/>
      <c r="CF253" s="117"/>
      <c r="CG253" s="27"/>
      <c r="CH253" s="51"/>
      <c r="CI253" s="52"/>
      <c r="CJ253" s="53"/>
      <c r="CK253" s="53">
        <f t="shared" si="158"/>
        <v>0</v>
      </c>
      <c r="CM253" s="47">
        <f t="shared" si="171"/>
        <v>46101</v>
      </c>
      <c r="CN253" s="56">
        <v>14011.06</v>
      </c>
      <c r="CO253" s="57">
        <v>5218.1400000000003</v>
      </c>
      <c r="CP253" s="58"/>
      <c r="CQ253" s="62"/>
      <c r="CR253" s="27"/>
      <c r="CS253" s="240">
        <v>117.51973999999993</v>
      </c>
      <c r="CT253" s="53">
        <v>379.49545889999973</v>
      </c>
      <c r="CU253" s="53"/>
      <c r="CV253" s="53">
        <f t="shared" si="159"/>
        <v>497.01519889999963</v>
      </c>
      <c r="CX253" s="47">
        <f t="shared" si="172"/>
        <v>46101</v>
      </c>
      <c r="CY253" s="56">
        <v>6161.24</v>
      </c>
      <c r="CZ253" s="57">
        <v>0</v>
      </c>
      <c r="DA253" s="58"/>
      <c r="DB253" s="59"/>
      <c r="DC253" s="27"/>
      <c r="DD253" s="240">
        <v>50.104631999999768</v>
      </c>
      <c r="DE253" s="53">
        <v>4.8610699199999772</v>
      </c>
      <c r="DF253" s="52"/>
      <c r="DG253" s="53">
        <f t="shared" si="160"/>
        <v>54.965701919999745</v>
      </c>
      <c r="DI253" s="47">
        <f t="shared" si="173"/>
        <v>46101</v>
      </c>
      <c r="DJ253" s="56">
        <v>827.44</v>
      </c>
      <c r="DK253" s="63"/>
      <c r="DL253" s="58"/>
      <c r="DM253" s="62"/>
      <c r="DN253" s="27"/>
      <c r="DO253" s="51"/>
      <c r="DP253" s="52"/>
      <c r="DQ253" s="52"/>
      <c r="DR253" s="53">
        <f t="shared" si="161"/>
        <v>0</v>
      </c>
      <c r="DT253" s="47">
        <f t="shared" si="174"/>
        <v>46101</v>
      </c>
      <c r="DU253" s="56">
        <v>2404.6</v>
      </c>
      <c r="DV253" s="57">
        <v>819.34</v>
      </c>
      <c r="DW253" s="58"/>
      <c r="DX253" s="62"/>
      <c r="DY253" s="27"/>
      <c r="DZ253" s="240">
        <v>329.79313999999965</v>
      </c>
      <c r="EA253" s="53">
        <v>64.432308199999966</v>
      </c>
      <c r="EB253" s="52"/>
      <c r="EC253" s="53">
        <f t="shared" si="162"/>
        <v>394.22544819999962</v>
      </c>
      <c r="EE253" s="47">
        <f t="shared" si="175"/>
        <v>46101</v>
      </c>
      <c r="EF253" s="56">
        <v>7016.13</v>
      </c>
      <c r="EG253" s="57">
        <v>3112.65</v>
      </c>
      <c r="EH253" s="58"/>
      <c r="EI253" s="59">
        <v>229.08</v>
      </c>
      <c r="EJ253" s="27"/>
      <c r="EK253" s="51">
        <v>14.049999999999983</v>
      </c>
      <c r="EL253" s="52"/>
      <c r="EM253" s="52"/>
      <c r="EN253" s="53">
        <f t="shared" si="163"/>
        <v>243.13</v>
      </c>
      <c r="EP253" s="47">
        <f t="shared" si="176"/>
        <v>46101</v>
      </c>
      <c r="EQ253" s="64">
        <v>3950.44</v>
      </c>
      <c r="ER253" s="56">
        <v>108</v>
      </c>
      <c r="ES253" s="58"/>
      <c r="ET253" s="59"/>
      <c r="EV253" s="51"/>
      <c r="EW253" s="52"/>
      <c r="EX253" s="52"/>
      <c r="EY253" s="53">
        <f t="shared" si="164"/>
        <v>0</v>
      </c>
    </row>
    <row r="254" spans="2:155" x14ac:dyDescent="0.25">
      <c r="B254" s="47">
        <v>46102</v>
      </c>
      <c r="C254" s="48">
        <v>30099.47</v>
      </c>
      <c r="D254" s="49">
        <v>4541.58</v>
      </c>
      <c r="E254" s="50">
        <v>4431.05</v>
      </c>
      <c r="F254" s="49">
        <v>965.15</v>
      </c>
      <c r="G254" s="50"/>
      <c r="H254" s="27"/>
      <c r="I254" s="51"/>
      <c r="J254" s="53"/>
      <c r="K254" s="52"/>
      <c r="L254" s="53">
        <f t="shared" si="151"/>
        <v>0</v>
      </c>
      <c r="N254" s="47">
        <f t="shared" si="165"/>
        <v>46102</v>
      </c>
      <c r="O254" s="54">
        <v>3347.37</v>
      </c>
      <c r="P254" s="54">
        <v>339.09</v>
      </c>
      <c r="Q254" s="58"/>
      <c r="R254" s="55"/>
      <c r="S254" s="27"/>
      <c r="T254" s="240">
        <v>517.11594999999977</v>
      </c>
      <c r="U254" s="53"/>
      <c r="V254" s="52"/>
      <c r="W254" s="53">
        <f t="shared" si="152"/>
        <v>517.11594999999977</v>
      </c>
      <c r="Y254" s="47">
        <f t="shared" si="166"/>
        <v>46102</v>
      </c>
      <c r="Z254" s="56">
        <v>7196.48</v>
      </c>
      <c r="AA254" s="57">
        <v>3116.25</v>
      </c>
      <c r="AB254" s="63"/>
      <c r="AC254" s="59">
        <v>67.33</v>
      </c>
      <c r="AD254" s="27"/>
      <c r="AE254" s="240">
        <v>156.16896999999994</v>
      </c>
      <c r="AF254" s="52"/>
      <c r="AG254" s="52"/>
      <c r="AH254" s="53">
        <f t="shared" si="153"/>
        <v>223.49896999999993</v>
      </c>
      <c r="AJ254" s="47">
        <f t="shared" si="167"/>
        <v>46102</v>
      </c>
      <c r="AK254" s="56">
        <v>5721.54</v>
      </c>
      <c r="AL254" s="57">
        <v>0</v>
      </c>
      <c r="AM254" s="58"/>
      <c r="AN254" s="58"/>
      <c r="AO254" s="27"/>
      <c r="AP254" s="51"/>
      <c r="AQ254" s="52"/>
      <c r="AR254" s="52"/>
      <c r="AS254" s="53">
        <f t="shared" si="154"/>
        <v>0</v>
      </c>
      <c r="AU254" s="113">
        <f t="shared" si="168"/>
        <v>46102</v>
      </c>
      <c r="AV254" s="57">
        <v>871.04</v>
      </c>
      <c r="AW254" s="57">
        <v>80</v>
      </c>
      <c r="AX254" s="58"/>
      <c r="AY254" s="59">
        <v>25.31</v>
      </c>
      <c r="AZ254" s="27"/>
      <c r="BA254" s="240">
        <v>144.9899519999999</v>
      </c>
      <c r="BB254" s="53"/>
      <c r="BC254" s="52"/>
      <c r="BD254" s="53">
        <f t="shared" si="155"/>
        <v>170.29995199999991</v>
      </c>
      <c r="BF254" s="47">
        <f t="shared" si="177"/>
        <v>46102</v>
      </c>
      <c r="BG254" s="56">
        <v>5292.37</v>
      </c>
      <c r="BH254" s="57">
        <v>1810.3</v>
      </c>
      <c r="BI254" s="58"/>
      <c r="BJ254" s="59"/>
      <c r="BK254" s="27"/>
      <c r="BL254" s="240">
        <v>114.50838999999993</v>
      </c>
      <c r="BM254" s="52">
        <v>10.159039799999988</v>
      </c>
      <c r="BN254" s="52"/>
      <c r="BO254" s="53">
        <f t="shared" si="156"/>
        <v>124.66742979999992</v>
      </c>
      <c r="BQ254" s="47">
        <f t="shared" si="169"/>
        <v>46102</v>
      </c>
      <c r="BR254" s="57">
        <v>260.23</v>
      </c>
      <c r="BS254" s="57">
        <v>703.32</v>
      </c>
      <c r="BT254" s="58"/>
      <c r="BU254" s="61"/>
      <c r="BV254" s="27"/>
      <c r="BW254" s="51"/>
      <c r="BX254" s="52"/>
      <c r="BY254" s="52"/>
      <c r="BZ254" s="53">
        <f t="shared" si="157"/>
        <v>0</v>
      </c>
      <c r="CB254" s="47">
        <f t="shared" si="170"/>
        <v>46102</v>
      </c>
      <c r="CC254" s="56">
        <v>39596.51</v>
      </c>
      <c r="CD254" s="57">
        <v>4367.96</v>
      </c>
      <c r="CE254" s="58"/>
      <c r="CF254" s="117"/>
      <c r="CG254" s="27"/>
      <c r="CH254" s="51"/>
      <c r="CI254" s="52"/>
      <c r="CJ254" s="53"/>
      <c r="CK254" s="53">
        <f t="shared" si="158"/>
        <v>0</v>
      </c>
      <c r="CM254" s="47">
        <f t="shared" si="171"/>
        <v>46102</v>
      </c>
      <c r="CN254" s="56">
        <v>11057.72</v>
      </c>
      <c r="CO254" s="57">
        <v>4020.4</v>
      </c>
      <c r="CP254" s="58"/>
      <c r="CQ254" s="62"/>
      <c r="CR254" s="27"/>
      <c r="CS254" s="240">
        <v>48.899999999999977</v>
      </c>
      <c r="CT254" s="53">
        <v>91.310163799999998</v>
      </c>
      <c r="CU254" s="53"/>
      <c r="CV254" s="53">
        <f t="shared" si="159"/>
        <v>140.21016379999998</v>
      </c>
      <c r="CX254" s="47">
        <f t="shared" si="172"/>
        <v>46102</v>
      </c>
      <c r="CY254" s="56">
        <v>4059.73</v>
      </c>
      <c r="CZ254" s="57">
        <v>0</v>
      </c>
      <c r="DA254" s="58"/>
      <c r="DB254" s="59"/>
      <c r="DC254" s="27"/>
      <c r="DD254" s="240">
        <v>49.687202999999997</v>
      </c>
      <c r="DE254" s="53"/>
      <c r="DF254" s="52"/>
      <c r="DG254" s="53">
        <f t="shared" si="160"/>
        <v>49.687202999999997</v>
      </c>
      <c r="DI254" s="47">
        <f t="shared" si="173"/>
        <v>46102</v>
      </c>
      <c r="DJ254" s="56">
        <v>1540.6</v>
      </c>
      <c r="DK254" s="63"/>
      <c r="DL254" s="58"/>
      <c r="DM254" s="62"/>
      <c r="DN254" s="27"/>
      <c r="DO254" s="51"/>
      <c r="DP254" s="52"/>
      <c r="DQ254" s="52"/>
      <c r="DR254" s="53">
        <f t="shared" si="161"/>
        <v>0</v>
      </c>
      <c r="DT254" s="47">
        <f t="shared" si="174"/>
        <v>46102</v>
      </c>
      <c r="DU254" s="56">
        <v>2982.95</v>
      </c>
      <c r="DV254" s="57">
        <v>778.83</v>
      </c>
      <c r="DW254" s="58"/>
      <c r="DX254" s="62"/>
      <c r="DY254" s="27"/>
      <c r="DZ254" s="240">
        <v>43.599459999999937</v>
      </c>
      <c r="EA254" s="53">
        <v>37.013108599999953</v>
      </c>
      <c r="EB254" s="52"/>
      <c r="EC254" s="53">
        <f t="shared" si="162"/>
        <v>80.612568599999889</v>
      </c>
      <c r="EE254" s="47">
        <f t="shared" si="175"/>
        <v>46102</v>
      </c>
      <c r="EF254" s="56">
        <v>9270.4500000000007</v>
      </c>
      <c r="EG254" s="57">
        <v>3025.61</v>
      </c>
      <c r="EH254" s="58"/>
      <c r="EI254" s="59">
        <v>116.33</v>
      </c>
      <c r="EJ254" s="27"/>
      <c r="EK254" s="51"/>
      <c r="EL254" s="52"/>
      <c r="EM254" s="52"/>
      <c r="EN254" s="53">
        <f t="shared" si="163"/>
        <v>116.33</v>
      </c>
      <c r="EP254" s="47">
        <f t="shared" si="176"/>
        <v>46102</v>
      </c>
      <c r="EQ254" s="64">
        <v>2147.69</v>
      </c>
      <c r="ER254" s="56">
        <v>69</v>
      </c>
      <c r="ES254" s="58"/>
      <c r="ET254" s="59"/>
      <c r="EV254" s="51"/>
      <c r="EW254" s="52"/>
      <c r="EX254" s="52"/>
      <c r="EY254" s="53">
        <f t="shared" si="164"/>
        <v>0</v>
      </c>
    </row>
    <row r="255" spans="2:155" x14ac:dyDescent="0.25">
      <c r="B255" s="47">
        <v>46103</v>
      </c>
      <c r="C255" s="48">
        <v>21233.71</v>
      </c>
      <c r="D255" s="49">
        <v>3037.83</v>
      </c>
      <c r="E255" s="50">
        <v>2478.29</v>
      </c>
      <c r="F255" s="49">
        <v>743.93</v>
      </c>
      <c r="G255" s="50"/>
      <c r="H255" s="27"/>
      <c r="I255" s="51"/>
      <c r="J255" s="53"/>
      <c r="K255" s="52"/>
      <c r="L255" s="53">
        <f t="shared" si="151"/>
        <v>0</v>
      </c>
      <c r="N255" s="47">
        <f t="shared" si="165"/>
        <v>46103</v>
      </c>
      <c r="O255" s="54">
        <v>4533.2</v>
      </c>
      <c r="P255" s="54">
        <v>402.27</v>
      </c>
      <c r="Q255" s="55"/>
      <c r="R255" s="55"/>
      <c r="S255" s="27"/>
      <c r="T255" s="240">
        <v>255.00680999999986</v>
      </c>
      <c r="U255" s="53"/>
      <c r="V255" s="52"/>
      <c r="W255" s="53">
        <f t="shared" si="152"/>
        <v>255.00680999999986</v>
      </c>
      <c r="Y255" s="47">
        <f t="shared" si="166"/>
        <v>46103</v>
      </c>
      <c r="Z255" s="56">
        <v>6877.05</v>
      </c>
      <c r="AA255" s="57">
        <v>4343.0200000000004</v>
      </c>
      <c r="AB255" s="104"/>
      <c r="AC255" s="59">
        <v>146.13</v>
      </c>
      <c r="AD255" s="27"/>
      <c r="AE255" s="240">
        <v>24.882379999999991</v>
      </c>
      <c r="AF255" s="52"/>
      <c r="AG255" s="52"/>
      <c r="AH255" s="53">
        <f t="shared" si="153"/>
        <v>171.01237999999998</v>
      </c>
      <c r="AJ255" s="47">
        <f t="shared" si="167"/>
        <v>46103</v>
      </c>
      <c r="AK255" s="56">
        <v>4006.28</v>
      </c>
      <c r="AL255" s="57">
        <v>936.01</v>
      </c>
      <c r="AM255" s="70"/>
      <c r="AN255" s="58"/>
      <c r="AO255" s="27"/>
      <c r="AP255" s="51"/>
      <c r="AQ255" s="52"/>
      <c r="AR255" s="52"/>
      <c r="AS255" s="53">
        <f t="shared" si="154"/>
        <v>0</v>
      </c>
      <c r="AU255" s="113">
        <f t="shared" si="168"/>
        <v>46103</v>
      </c>
      <c r="AV255" s="57">
        <v>544.79999999999995</v>
      </c>
      <c r="AW255" s="57">
        <v>68.14</v>
      </c>
      <c r="AX255" s="70"/>
      <c r="AY255" s="59">
        <v>35.72</v>
      </c>
      <c r="AZ255" s="27"/>
      <c r="BA255" s="240">
        <v>46.016624999999991</v>
      </c>
      <c r="BB255" s="53">
        <v>57.05523198000003</v>
      </c>
      <c r="BC255" s="52"/>
      <c r="BD255" s="53">
        <f t="shared" si="155"/>
        <v>138.79185698000003</v>
      </c>
      <c r="BF255" s="47">
        <f t="shared" si="177"/>
        <v>46103</v>
      </c>
      <c r="BG255" s="56">
        <v>5046.8500000000004</v>
      </c>
      <c r="BH255" s="57">
        <v>2189.84</v>
      </c>
      <c r="BI255" s="70"/>
      <c r="BJ255" s="59"/>
      <c r="BK255" s="27"/>
      <c r="BL255" s="240">
        <v>162.78277799999987</v>
      </c>
      <c r="BM255" s="52">
        <v>5.9175999999999931</v>
      </c>
      <c r="BN255" s="52"/>
      <c r="BO255" s="53">
        <f t="shared" si="156"/>
        <v>168.70037799999986</v>
      </c>
      <c r="BQ255" s="47">
        <f t="shared" si="169"/>
        <v>46103</v>
      </c>
      <c r="BR255" s="57">
        <v>88.24</v>
      </c>
      <c r="BS255" s="57">
        <v>565.9</v>
      </c>
      <c r="BT255" s="70"/>
      <c r="BU255" s="61"/>
      <c r="BV255" s="27"/>
      <c r="BW255" s="51"/>
      <c r="BX255" s="52"/>
      <c r="BY255" s="52"/>
      <c r="BZ255" s="53">
        <f t="shared" si="157"/>
        <v>0</v>
      </c>
      <c r="CB255" s="47">
        <f t="shared" si="170"/>
        <v>46103</v>
      </c>
      <c r="CC255" s="56">
        <v>34228.800000000003</v>
      </c>
      <c r="CD255" s="57">
        <v>3105.05</v>
      </c>
      <c r="CE255" s="70"/>
      <c r="CF255" s="117"/>
      <c r="CG255" s="27"/>
      <c r="CH255" s="51"/>
      <c r="CI255" s="52"/>
      <c r="CJ255" s="53"/>
      <c r="CK255" s="53">
        <f t="shared" si="158"/>
        <v>0</v>
      </c>
      <c r="CM255" s="47">
        <f t="shared" si="171"/>
        <v>46103</v>
      </c>
      <c r="CN255" s="56">
        <v>6845.52</v>
      </c>
      <c r="CO255" s="57">
        <v>2379.37</v>
      </c>
      <c r="CP255" s="70"/>
      <c r="CQ255" s="62"/>
      <c r="CR255" s="27"/>
      <c r="CS255" s="240"/>
      <c r="CT255" s="53">
        <v>36.833187999999979</v>
      </c>
      <c r="CU255" s="53"/>
      <c r="CV255" s="53">
        <f t="shared" si="159"/>
        <v>36.833187999999979</v>
      </c>
      <c r="CX255" s="47">
        <f t="shared" si="172"/>
        <v>46103</v>
      </c>
      <c r="CY255" s="56">
        <v>4797.3999999999996</v>
      </c>
      <c r="CZ255" s="57">
        <v>1278.03</v>
      </c>
      <c r="DA255" s="70"/>
      <c r="DB255" s="59"/>
      <c r="DC255" s="27"/>
      <c r="DD255" s="240">
        <v>72.014009999999871</v>
      </c>
      <c r="DE255" s="53">
        <v>4.8076383999999734</v>
      </c>
      <c r="DF255" s="52"/>
      <c r="DG255" s="53">
        <f t="shared" si="160"/>
        <v>76.821648399999845</v>
      </c>
      <c r="DI255" s="47">
        <f t="shared" si="173"/>
        <v>46103</v>
      </c>
      <c r="DJ255" s="56">
        <v>1023.92</v>
      </c>
      <c r="DK255" s="71"/>
      <c r="DL255" s="70"/>
      <c r="DM255" s="62"/>
      <c r="DN255" s="27"/>
      <c r="DO255" s="51"/>
      <c r="DP255" s="52"/>
      <c r="DQ255" s="52"/>
      <c r="DR255" s="53">
        <f t="shared" si="161"/>
        <v>0</v>
      </c>
      <c r="DT255" s="47">
        <f t="shared" si="174"/>
        <v>46103</v>
      </c>
      <c r="DU255" s="56">
        <v>2748.5</v>
      </c>
      <c r="DV255" s="57">
        <v>478.2</v>
      </c>
      <c r="DW255" s="70"/>
      <c r="DX255" s="62"/>
      <c r="DY255" s="27"/>
      <c r="DZ255" s="240">
        <v>51.865369999999984</v>
      </c>
      <c r="EA255" s="53">
        <v>444.19576759999939</v>
      </c>
      <c r="EB255" s="52"/>
      <c r="EC255" s="53">
        <f t="shared" si="162"/>
        <v>496.06113759999937</v>
      </c>
      <c r="EE255" s="47">
        <f t="shared" si="175"/>
        <v>46103</v>
      </c>
      <c r="EF255" s="56">
        <v>6531.8</v>
      </c>
      <c r="EG255" s="57">
        <v>327.01</v>
      </c>
      <c r="EH255" s="70"/>
      <c r="EI255" s="59">
        <v>63.24</v>
      </c>
      <c r="EJ255" s="27"/>
      <c r="EK255" s="51"/>
      <c r="EL255" s="52"/>
      <c r="EM255" s="52"/>
      <c r="EN255" s="53">
        <f t="shared" si="163"/>
        <v>63.24</v>
      </c>
      <c r="EP255" s="47">
        <f t="shared" si="176"/>
        <v>46103</v>
      </c>
      <c r="EQ255" s="64">
        <v>615</v>
      </c>
      <c r="ER255" s="56">
        <v>45</v>
      </c>
      <c r="ES255" s="70"/>
      <c r="ET255" s="59"/>
      <c r="EV255" s="51"/>
      <c r="EW255" s="52"/>
      <c r="EX255" s="52"/>
      <c r="EY255" s="53">
        <f t="shared" si="164"/>
        <v>0</v>
      </c>
    </row>
    <row r="256" spans="2:155" x14ac:dyDescent="0.25">
      <c r="B256" s="47">
        <v>46104</v>
      </c>
      <c r="C256" s="48">
        <v>27290.36</v>
      </c>
      <c r="D256" s="49">
        <v>5962.13</v>
      </c>
      <c r="E256" s="50">
        <v>4921.22</v>
      </c>
      <c r="F256" s="49">
        <v>1253.6600000000001</v>
      </c>
      <c r="G256" s="50"/>
      <c r="H256" s="27"/>
      <c r="I256" s="51"/>
      <c r="J256" s="53"/>
      <c r="K256" s="52"/>
      <c r="L256" s="53">
        <f t="shared" si="151"/>
        <v>0</v>
      </c>
      <c r="N256" s="47">
        <f t="shared" si="165"/>
        <v>46104</v>
      </c>
      <c r="O256" s="54">
        <v>4581.37</v>
      </c>
      <c r="P256" s="54">
        <v>391.5</v>
      </c>
      <c r="Q256" s="70"/>
      <c r="R256" s="55"/>
      <c r="S256" s="27"/>
      <c r="T256" s="240">
        <v>199.99670999999972</v>
      </c>
      <c r="U256" s="53">
        <v>13.053165570952444</v>
      </c>
      <c r="V256" s="52"/>
      <c r="W256" s="53">
        <f t="shared" si="152"/>
        <v>213.04987557095217</v>
      </c>
      <c r="Y256" s="47">
        <f t="shared" si="166"/>
        <v>46104</v>
      </c>
      <c r="Z256" s="56">
        <v>7760.66</v>
      </c>
      <c r="AA256" s="57">
        <v>2378.13</v>
      </c>
      <c r="AB256" s="104"/>
      <c r="AC256" s="59">
        <v>149.26</v>
      </c>
      <c r="AD256" s="27"/>
      <c r="AE256" s="240">
        <v>63.754009999999965</v>
      </c>
      <c r="AF256" s="52"/>
      <c r="AG256" s="52"/>
      <c r="AH256" s="53">
        <f t="shared" si="153"/>
        <v>213.01400999999996</v>
      </c>
      <c r="AJ256" s="47">
        <f t="shared" si="167"/>
        <v>46104</v>
      </c>
      <c r="AK256" s="56">
        <v>5500.26</v>
      </c>
      <c r="AL256" s="57">
        <v>1098.28</v>
      </c>
      <c r="AM256" s="70"/>
      <c r="AN256" s="58"/>
      <c r="AO256" s="27"/>
      <c r="AP256" s="51"/>
      <c r="AQ256" s="52"/>
      <c r="AR256" s="52"/>
      <c r="AS256" s="53">
        <f t="shared" si="154"/>
        <v>0</v>
      </c>
      <c r="AU256" s="113">
        <f t="shared" si="168"/>
        <v>46104</v>
      </c>
      <c r="AV256" s="57">
        <v>632.41999999999996</v>
      </c>
      <c r="AW256" s="57">
        <v>100</v>
      </c>
      <c r="AX256" s="70"/>
      <c r="AY256" s="59"/>
      <c r="AZ256" s="27"/>
      <c r="BA256" s="240">
        <v>133.3159179999999</v>
      </c>
      <c r="BB256" s="53"/>
      <c r="BC256" s="52"/>
      <c r="BD256" s="53">
        <f t="shared" si="155"/>
        <v>133.3159179999999</v>
      </c>
      <c r="BF256" s="47">
        <f t="shared" si="177"/>
        <v>46104</v>
      </c>
      <c r="BG256" s="56">
        <v>4878.1099999999997</v>
      </c>
      <c r="BH256" s="57">
        <v>2421.62</v>
      </c>
      <c r="BI256" s="70"/>
      <c r="BJ256" s="59">
        <v>15.03</v>
      </c>
      <c r="BK256" s="27"/>
      <c r="BL256" s="240">
        <v>291.84077999999994</v>
      </c>
      <c r="BM256" s="52">
        <v>54.086516212190446</v>
      </c>
      <c r="BN256" s="52"/>
      <c r="BO256" s="53">
        <f t="shared" si="156"/>
        <v>360.95729621219039</v>
      </c>
      <c r="BQ256" s="47">
        <f t="shared" si="169"/>
        <v>46104</v>
      </c>
      <c r="BR256" s="57">
        <v>516.41</v>
      </c>
      <c r="BS256" s="57">
        <v>532.39</v>
      </c>
      <c r="BT256" s="70"/>
      <c r="BU256" s="61">
        <v>15</v>
      </c>
      <c r="BV256" s="27"/>
      <c r="BW256" s="51"/>
      <c r="BX256" s="52"/>
      <c r="BY256" s="52"/>
      <c r="BZ256" s="53">
        <f t="shared" si="157"/>
        <v>15</v>
      </c>
      <c r="CB256" s="47">
        <f t="shared" si="170"/>
        <v>46104</v>
      </c>
      <c r="CC256" s="56">
        <v>28875.27</v>
      </c>
      <c r="CD256" s="57">
        <v>1686.83</v>
      </c>
      <c r="CE256" s="70"/>
      <c r="CF256" s="117"/>
      <c r="CG256" s="27"/>
      <c r="CH256" s="51"/>
      <c r="CI256" s="52"/>
      <c r="CJ256" s="53"/>
      <c r="CK256" s="53">
        <f t="shared" si="158"/>
        <v>0</v>
      </c>
      <c r="CM256" s="47">
        <f t="shared" si="171"/>
        <v>46104</v>
      </c>
      <c r="CN256" s="56">
        <v>15718.93</v>
      </c>
      <c r="CO256" s="57">
        <v>3566.99</v>
      </c>
      <c r="CP256" s="70"/>
      <c r="CQ256" s="62"/>
      <c r="CR256" s="27"/>
      <c r="CS256" s="240"/>
      <c r="CT256" s="53">
        <v>131.43651238666658</v>
      </c>
      <c r="CU256" s="53"/>
      <c r="CV256" s="53">
        <f t="shared" si="159"/>
        <v>131.43651238666658</v>
      </c>
      <c r="CX256" s="47">
        <f t="shared" si="172"/>
        <v>46104</v>
      </c>
      <c r="CY256" s="56">
        <v>6847.66</v>
      </c>
      <c r="CZ256" s="57">
        <v>1219</v>
      </c>
      <c r="DA256" s="70"/>
      <c r="DB256" s="59"/>
      <c r="DC256" s="27"/>
      <c r="DD256" s="240">
        <v>235.05000199999964</v>
      </c>
      <c r="DE256" s="53">
        <v>4.2149069167618904</v>
      </c>
      <c r="DF256" s="52"/>
      <c r="DG256" s="53">
        <f t="shared" si="160"/>
        <v>239.26490891676153</v>
      </c>
      <c r="DI256" s="47">
        <f t="shared" si="173"/>
        <v>46104</v>
      </c>
      <c r="DJ256" s="56">
        <v>1335.01</v>
      </c>
      <c r="DK256" s="71"/>
      <c r="DL256" s="70"/>
      <c r="DM256" s="62"/>
      <c r="DN256" s="27"/>
      <c r="DO256" s="51"/>
      <c r="DP256" s="52"/>
      <c r="DQ256" s="52"/>
      <c r="DR256" s="53">
        <f t="shared" si="161"/>
        <v>0</v>
      </c>
      <c r="DT256" s="47">
        <f t="shared" si="174"/>
        <v>46104</v>
      </c>
      <c r="DU256" s="56">
        <v>2600.73</v>
      </c>
      <c r="DV256" s="57">
        <v>476.65</v>
      </c>
      <c r="DW256" s="70"/>
      <c r="DX256" s="62"/>
      <c r="DY256" s="27"/>
      <c r="DZ256" s="240">
        <v>72.960139999999981</v>
      </c>
      <c r="EA256" s="53"/>
      <c r="EB256" s="52"/>
      <c r="EC256" s="53">
        <f t="shared" si="162"/>
        <v>72.960139999999981</v>
      </c>
      <c r="EE256" s="47">
        <f t="shared" si="175"/>
        <v>46104</v>
      </c>
      <c r="EF256" s="56">
        <v>7302.45</v>
      </c>
      <c r="EG256" s="57">
        <v>1995.65</v>
      </c>
      <c r="EH256" s="70"/>
      <c r="EI256" s="59">
        <v>147.84</v>
      </c>
      <c r="EJ256" s="27"/>
      <c r="EK256" s="51"/>
      <c r="EL256" s="52"/>
      <c r="EM256" s="52"/>
      <c r="EN256" s="53">
        <f t="shared" si="163"/>
        <v>147.84</v>
      </c>
      <c r="EP256" s="47">
        <f t="shared" si="176"/>
        <v>46104</v>
      </c>
      <c r="EQ256" s="64">
        <v>1543.22</v>
      </c>
      <c r="ER256" s="56">
        <v>240.1</v>
      </c>
      <c r="ES256" s="70"/>
      <c r="ET256" s="59"/>
      <c r="EV256" s="51"/>
      <c r="EW256" s="52"/>
      <c r="EX256" s="52"/>
      <c r="EY256" s="53">
        <f t="shared" si="164"/>
        <v>0</v>
      </c>
    </row>
    <row r="257" spans="2:155" x14ac:dyDescent="0.25">
      <c r="B257" s="47">
        <v>46105</v>
      </c>
      <c r="C257" s="48">
        <v>28556.55</v>
      </c>
      <c r="D257" s="49">
        <v>3603.71</v>
      </c>
      <c r="E257" s="50">
        <v>3293</v>
      </c>
      <c r="F257" s="49">
        <v>1318.12</v>
      </c>
      <c r="G257" s="50"/>
      <c r="H257" s="27"/>
      <c r="I257" s="51"/>
      <c r="J257" s="53"/>
      <c r="K257" s="52"/>
      <c r="L257" s="53">
        <f t="shared" si="151"/>
        <v>0</v>
      </c>
      <c r="N257" s="47">
        <f t="shared" si="165"/>
        <v>46105</v>
      </c>
      <c r="O257" s="54">
        <v>7727.52</v>
      </c>
      <c r="P257" s="54">
        <v>721.16</v>
      </c>
      <c r="Q257" s="70"/>
      <c r="R257" s="55"/>
      <c r="S257" s="27"/>
      <c r="T257" s="240">
        <v>183.53434999999982</v>
      </c>
      <c r="U257" s="53">
        <v>-82.77033854857109</v>
      </c>
      <c r="V257" s="52"/>
      <c r="W257" s="53">
        <f t="shared" si="152"/>
        <v>100.76401145142873</v>
      </c>
      <c r="Y257" s="47">
        <f t="shared" si="166"/>
        <v>46105</v>
      </c>
      <c r="Z257" s="56">
        <v>9587.2000000000007</v>
      </c>
      <c r="AA257" s="57">
        <v>1066.1300000000001</v>
      </c>
      <c r="AB257" s="63"/>
      <c r="AC257" s="59">
        <v>93.33</v>
      </c>
      <c r="AD257" s="27"/>
      <c r="AE257" s="240"/>
      <c r="AF257" s="52"/>
      <c r="AG257" s="52"/>
      <c r="AH257" s="53">
        <f t="shared" si="153"/>
        <v>93.33</v>
      </c>
      <c r="AJ257" s="47">
        <f t="shared" si="167"/>
        <v>46105</v>
      </c>
      <c r="AK257" s="56">
        <v>6625.27</v>
      </c>
      <c r="AL257" s="57">
        <v>401.73</v>
      </c>
      <c r="AM257" s="70"/>
      <c r="AN257" s="58"/>
      <c r="AO257" s="27"/>
      <c r="AP257" s="51"/>
      <c r="AQ257" s="52"/>
      <c r="AR257" s="52"/>
      <c r="AS257" s="53">
        <f t="shared" si="154"/>
        <v>0</v>
      </c>
      <c r="AU257" s="113">
        <f t="shared" si="168"/>
        <v>46105</v>
      </c>
      <c r="AV257" s="57">
        <v>2322.8200000000002</v>
      </c>
      <c r="AW257" s="57">
        <v>167.7</v>
      </c>
      <c r="AX257" s="70"/>
      <c r="AY257" s="59">
        <v>52.19</v>
      </c>
      <c r="AZ257" s="27"/>
      <c r="BA257" s="240">
        <v>175.51194099999998</v>
      </c>
      <c r="BB257" s="53">
        <v>-32.269173318856474</v>
      </c>
      <c r="BC257" s="52"/>
      <c r="BD257" s="53">
        <f t="shared" si="155"/>
        <v>195.4327676811435</v>
      </c>
      <c r="BF257" s="47">
        <f t="shared" si="177"/>
        <v>46105</v>
      </c>
      <c r="BG257" s="56">
        <v>7696.83</v>
      </c>
      <c r="BH257" s="57">
        <v>1418.87</v>
      </c>
      <c r="BI257" s="70"/>
      <c r="BJ257" s="59"/>
      <c r="BK257" s="27"/>
      <c r="BL257" s="240">
        <v>413.11202999999966</v>
      </c>
      <c r="BM257" s="52">
        <v>-0.50775735428570101</v>
      </c>
      <c r="BN257" s="52"/>
      <c r="BO257" s="53">
        <f t="shared" si="156"/>
        <v>412.60427264571399</v>
      </c>
      <c r="BQ257" s="47">
        <f t="shared" si="169"/>
        <v>46105</v>
      </c>
      <c r="BR257" s="57">
        <v>402.9</v>
      </c>
      <c r="BS257" s="57">
        <v>221.77</v>
      </c>
      <c r="BT257" s="70"/>
      <c r="BU257" s="61"/>
      <c r="BV257" s="27"/>
      <c r="BW257" s="51"/>
      <c r="BX257" s="52"/>
      <c r="BY257" s="52"/>
      <c r="BZ257" s="53">
        <f t="shared" si="157"/>
        <v>0</v>
      </c>
      <c r="CB257" s="47">
        <f t="shared" si="170"/>
        <v>46105</v>
      </c>
      <c r="CC257" s="56">
        <v>28176.080000000002</v>
      </c>
      <c r="CD257" s="57">
        <v>1782.42</v>
      </c>
      <c r="CE257" s="70"/>
      <c r="CF257" s="118"/>
      <c r="CG257" s="27"/>
      <c r="CH257" s="51"/>
      <c r="CI257" s="52"/>
      <c r="CJ257" s="53"/>
      <c r="CK257" s="53">
        <f t="shared" si="158"/>
        <v>0</v>
      </c>
      <c r="CM257" s="47">
        <f t="shared" si="171"/>
        <v>46105</v>
      </c>
      <c r="CN257" s="56">
        <v>13323.03</v>
      </c>
      <c r="CO257" s="57">
        <v>2698.5</v>
      </c>
      <c r="CP257" s="70"/>
      <c r="CQ257" s="62"/>
      <c r="CR257" s="27"/>
      <c r="CS257" s="240">
        <v>86.039629999999988</v>
      </c>
      <c r="CT257" s="53">
        <v>214.44128757600004</v>
      </c>
      <c r="CU257" s="53"/>
      <c r="CV257" s="53">
        <f t="shared" si="159"/>
        <v>300.48091757600002</v>
      </c>
      <c r="CX257" s="47">
        <f t="shared" si="172"/>
        <v>46105</v>
      </c>
      <c r="CY257" s="56">
        <v>11908.02</v>
      </c>
      <c r="CZ257" s="57">
        <v>1102.1600000000001</v>
      </c>
      <c r="DA257" s="70"/>
      <c r="DB257" s="59"/>
      <c r="DC257" s="27"/>
      <c r="DD257" s="240">
        <v>97.174810999999551</v>
      </c>
      <c r="DE257" s="53">
        <v>-4.2045041700571915</v>
      </c>
      <c r="DF257" s="52"/>
      <c r="DG257" s="53">
        <f t="shared" si="160"/>
        <v>92.970306829942359</v>
      </c>
      <c r="DI257" s="47">
        <f t="shared" si="173"/>
        <v>46105</v>
      </c>
      <c r="DJ257" s="56">
        <v>2815.48</v>
      </c>
      <c r="DK257" s="71"/>
      <c r="DL257" s="70"/>
      <c r="DM257" s="62"/>
      <c r="DN257" s="27"/>
      <c r="DO257" s="51"/>
      <c r="DP257" s="52"/>
      <c r="DQ257" s="52"/>
      <c r="DR257" s="53">
        <f t="shared" si="161"/>
        <v>0</v>
      </c>
      <c r="DT257" s="47">
        <f t="shared" si="174"/>
        <v>46105</v>
      </c>
      <c r="DU257" s="56">
        <v>5367.56</v>
      </c>
      <c r="DV257" s="57">
        <v>632.97</v>
      </c>
      <c r="DW257" s="70"/>
      <c r="DX257" s="62"/>
      <c r="DY257" s="27"/>
      <c r="DZ257" s="240">
        <v>95.53666999999993</v>
      </c>
      <c r="EA257" s="53">
        <v>1.4406331554286282</v>
      </c>
      <c r="EB257" s="52"/>
      <c r="EC257" s="53">
        <f t="shared" si="162"/>
        <v>96.977303155428558</v>
      </c>
      <c r="EE257" s="47">
        <f t="shared" si="175"/>
        <v>46105</v>
      </c>
      <c r="EF257" s="56">
        <v>8591.6200000000008</v>
      </c>
      <c r="EG257" s="57">
        <v>1334.54</v>
      </c>
      <c r="EH257" s="70"/>
      <c r="EI257" s="59">
        <v>149.51</v>
      </c>
      <c r="EJ257" s="27"/>
      <c r="EK257" s="51"/>
      <c r="EL257" s="52"/>
      <c r="EM257" s="52"/>
      <c r="EN257" s="53">
        <f t="shared" si="163"/>
        <v>149.51</v>
      </c>
      <c r="EP257" s="47">
        <f t="shared" si="176"/>
        <v>46105</v>
      </c>
      <c r="EQ257" s="64">
        <v>894.77</v>
      </c>
      <c r="ER257" s="56">
        <v>125.1</v>
      </c>
      <c r="ES257" s="70"/>
      <c r="ET257" s="59"/>
      <c r="EV257" s="51"/>
      <c r="EW257" s="52"/>
      <c r="EX257" s="52"/>
      <c r="EY257" s="53">
        <f t="shared" si="164"/>
        <v>0</v>
      </c>
    </row>
    <row r="258" spans="2:155" x14ac:dyDescent="0.25">
      <c r="B258" s="47">
        <v>46106</v>
      </c>
      <c r="C258" s="48">
        <v>28399.99</v>
      </c>
      <c r="D258" s="49">
        <v>2596.23</v>
      </c>
      <c r="E258" s="50">
        <v>3882.71</v>
      </c>
      <c r="F258" s="49">
        <v>1186.04</v>
      </c>
      <c r="G258" s="50"/>
      <c r="H258" s="27"/>
      <c r="I258" s="51"/>
      <c r="J258" s="53"/>
      <c r="K258" s="52">
        <v>7.3274999999999864</v>
      </c>
      <c r="L258" s="53">
        <f t="shared" si="151"/>
        <v>7.3274999999999864</v>
      </c>
      <c r="N258" s="47">
        <f t="shared" si="165"/>
        <v>46106</v>
      </c>
      <c r="O258" s="54">
        <v>11161.89</v>
      </c>
      <c r="P258" s="54">
        <v>513.32000000000005</v>
      </c>
      <c r="Q258" s="70"/>
      <c r="R258" s="69"/>
      <c r="S258" s="27"/>
      <c r="T258" s="240">
        <v>-185.8626400000002</v>
      </c>
      <c r="U258" s="53">
        <v>-118.55535147428515</v>
      </c>
      <c r="V258" s="52"/>
      <c r="W258" s="53">
        <f t="shared" si="152"/>
        <v>-304.41799147428537</v>
      </c>
      <c r="Y258" s="47">
        <f t="shared" si="166"/>
        <v>46106</v>
      </c>
      <c r="Z258" s="56">
        <v>7398.17</v>
      </c>
      <c r="AA258" s="57">
        <v>1718.94</v>
      </c>
      <c r="AB258" s="104"/>
      <c r="AC258" s="59">
        <v>97.12</v>
      </c>
      <c r="AD258" s="27"/>
      <c r="AE258" s="240"/>
      <c r="AF258" s="52">
        <v>-2.3644114285713727</v>
      </c>
      <c r="AG258" s="52"/>
      <c r="AH258" s="53">
        <f t="shared" si="153"/>
        <v>94.755588571428632</v>
      </c>
      <c r="AJ258" s="47">
        <f t="shared" si="167"/>
        <v>46106</v>
      </c>
      <c r="AK258" s="56">
        <v>8636.75</v>
      </c>
      <c r="AL258" s="57">
        <v>837.94</v>
      </c>
      <c r="AM258" s="70"/>
      <c r="AN258" s="58"/>
      <c r="AO258" s="27"/>
      <c r="AP258" s="51"/>
      <c r="AQ258" s="52"/>
      <c r="AR258" s="52"/>
      <c r="AS258" s="53">
        <f t="shared" si="154"/>
        <v>0</v>
      </c>
      <c r="AU258" s="113">
        <f t="shared" si="168"/>
        <v>46106</v>
      </c>
      <c r="AV258" s="57">
        <v>2448.2600000000002</v>
      </c>
      <c r="AW258" s="57">
        <v>282.23</v>
      </c>
      <c r="AX258" s="70"/>
      <c r="AY258" s="59"/>
      <c r="AZ258" s="27"/>
      <c r="BA258" s="240">
        <v>38.975623999999954</v>
      </c>
      <c r="BB258" s="53">
        <v>-17.624331419999635</v>
      </c>
      <c r="BC258" s="52"/>
      <c r="BD258" s="53">
        <f t="shared" si="155"/>
        <v>21.351292580000319</v>
      </c>
      <c r="BF258" s="47">
        <f t="shared" si="177"/>
        <v>46106</v>
      </c>
      <c r="BG258" s="56">
        <v>7613.61</v>
      </c>
      <c r="BH258" s="57">
        <v>716.97</v>
      </c>
      <c r="BI258" s="70"/>
      <c r="BJ258" s="59">
        <v>31.14</v>
      </c>
      <c r="BK258" s="27"/>
      <c r="BL258" s="240">
        <v>98.268649999999639</v>
      </c>
      <c r="BM258" s="52">
        <v>-1.6535117257142247</v>
      </c>
      <c r="BN258" s="52"/>
      <c r="BO258" s="53">
        <f t="shared" si="156"/>
        <v>127.7551382742854</v>
      </c>
      <c r="BQ258" s="47">
        <f t="shared" si="169"/>
        <v>46106</v>
      </c>
      <c r="BR258" s="57">
        <v>918.42</v>
      </c>
      <c r="BS258" s="57">
        <v>245.5</v>
      </c>
      <c r="BT258" s="70"/>
      <c r="BU258" s="61"/>
      <c r="BV258" s="27"/>
      <c r="BW258" s="51"/>
      <c r="BX258" s="52"/>
      <c r="BY258" s="52"/>
      <c r="BZ258" s="53">
        <f t="shared" si="157"/>
        <v>0</v>
      </c>
      <c r="CB258" s="47">
        <f t="shared" si="170"/>
        <v>46106</v>
      </c>
      <c r="CC258" s="56">
        <v>24005.62</v>
      </c>
      <c r="CD258" s="57">
        <v>2074.46</v>
      </c>
      <c r="CE258" s="70"/>
      <c r="CF258" s="117"/>
      <c r="CG258" s="27"/>
      <c r="CH258" s="51"/>
      <c r="CI258" s="52"/>
      <c r="CJ258" s="53"/>
      <c r="CK258" s="53">
        <f t="shared" si="158"/>
        <v>0</v>
      </c>
      <c r="CM258" s="47">
        <f t="shared" si="171"/>
        <v>46106</v>
      </c>
      <c r="CN258" s="56">
        <v>19680.93</v>
      </c>
      <c r="CO258" s="57">
        <v>3097.08</v>
      </c>
      <c r="CP258" s="70"/>
      <c r="CQ258" s="62"/>
      <c r="CR258" s="27"/>
      <c r="CS258" s="240">
        <v>58.732539999999915</v>
      </c>
      <c r="CT258" s="53">
        <v>290.14805011885721</v>
      </c>
      <c r="CU258" s="53"/>
      <c r="CV258" s="53">
        <f t="shared" si="159"/>
        <v>348.88059011885713</v>
      </c>
      <c r="CX258" s="47">
        <f t="shared" si="172"/>
        <v>46106</v>
      </c>
      <c r="CY258" s="56">
        <v>7972.95</v>
      </c>
      <c r="CZ258" s="57">
        <v>610.48</v>
      </c>
      <c r="DA258" s="70"/>
      <c r="DB258" s="59"/>
      <c r="DC258" s="27"/>
      <c r="DD258" s="240">
        <v>-49.401188000000644</v>
      </c>
      <c r="DE258" s="53">
        <v>-141.39722050514212</v>
      </c>
      <c r="DF258" s="52"/>
      <c r="DG258" s="53">
        <f t="shared" si="160"/>
        <v>-190.79840850514276</v>
      </c>
      <c r="DI258" s="47">
        <f t="shared" si="173"/>
        <v>46106</v>
      </c>
      <c r="DJ258" s="56">
        <v>2133.67</v>
      </c>
      <c r="DK258" s="71"/>
      <c r="DL258" s="70"/>
      <c r="DM258" s="62"/>
      <c r="DN258" s="27"/>
      <c r="DO258" s="51"/>
      <c r="DP258" s="52"/>
      <c r="DQ258" s="52"/>
      <c r="DR258" s="53">
        <f t="shared" si="161"/>
        <v>0</v>
      </c>
      <c r="DT258" s="47">
        <f t="shared" si="174"/>
        <v>46106</v>
      </c>
      <c r="DU258" s="56">
        <v>5131.4399999999996</v>
      </c>
      <c r="DV258" s="57">
        <v>644.83000000000004</v>
      </c>
      <c r="DW258" s="70"/>
      <c r="DX258" s="62"/>
      <c r="DY258" s="27"/>
      <c r="DZ258" s="240">
        <v>23.555629999999944</v>
      </c>
      <c r="EA258" s="53">
        <v>-45.454468850855932</v>
      </c>
      <c r="EB258" s="52"/>
      <c r="EC258" s="53">
        <f t="shared" si="162"/>
        <v>-21.898838850855988</v>
      </c>
      <c r="EE258" s="47">
        <f t="shared" si="175"/>
        <v>46106</v>
      </c>
      <c r="EF258" s="56">
        <v>9770.35</v>
      </c>
      <c r="EG258" s="57">
        <v>2658.31</v>
      </c>
      <c r="EH258" s="70"/>
      <c r="EI258" s="59">
        <v>116.5</v>
      </c>
      <c r="EJ258" s="27"/>
      <c r="EK258" s="51"/>
      <c r="EL258" s="52"/>
      <c r="EM258" s="52"/>
      <c r="EN258" s="53">
        <f t="shared" si="163"/>
        <v>116.5</v>
      </c>
      <c r="EP258" s="47">
        <f t="shared" si="176"/>
        <v>46106</v>
      </c>
      <c r="EQ258" s="64">
        <v>1092.94</v>
      </c>
      <c r="ER258" s="56">
        <v>204.55</v>
      </c>
      <c r="ES258" s="70"/>
      <c r="ET258" s="59"/>
      <c r="EV258" s="51"/>
      <c r="EW258" s="52"/>
      <c r="EX258" s="52"/>
      <c r="EY258" s="53">
        <f t="shared" si="164"/>
        <v>0</v>
      </c>
    </row>
    <row r="259" spans="2:155" x14ac:dyDescent="0.25">
      <c r="B259" s="47">
        <v>46107</v>
      </c>
      <c r="C259" s="48">
        <v>23572.93</v>
      </c>
      <c r="D259" s="49">
        <v>4842.46</v>
      </c>
      <c r="E259" s="50">
        <v>6202.5</v>
      </c>
      <c r="F259" s="49">
        <v>1603.77</v>
      </c>
      <c r="G259" s="50"/>
      <c r="H259" s="27"/>
      <c r="I259" s="51"/>
      <c r="J259" s="53">
        <v>6.104535123428569</v>
      </c>
      <c r="K259" s="52"/>
      <c r="L259" s="53">
        <f t="shared" si="151"/>
        <v>6.104535123428569</v>
      </c>
      <c r="N259" s="47">
        <f t="shared" si="165"/>
        <v>46107</v>
      </c>
      <c r="O259" s="54">
        <v>11736.67</v>
      </c>
      <c r="P259" s="54">
        <v>289.52</v>
      </c>
      <c r="Q259" s="70"/>
      <c r="R259" s="69"/>
      <c r="S259" s="27"/>
      <c r="T259" s="240">
        <v>-38.949750000000236</v>
      </c>
      <c r="U259" s="53">
        <v>-6.7254537885714001</v>
      </c>
      <c r="V259" s="52"/>
      <c r="W259" s="53">
        <f t="shared" si="152"/>
        <v>-45.675203788571636</v>
      </c>
      <c r="Y259" s="47">
        <f t="shared" si="166"/>
        <v>46107</v>
      </c>
      <c r="Z259" s="56">
        <v>8059.76</v>
      </c>
      <c r="AA259" s="57">
        <v>1265.73</v>
      </c>
      <c r="AB259" s="104"/>
      <c r="AC259" s="59">
        <v>137.03</v>
      </c>
      <c r="AD259" s="27"/>
      <c r="AE259" s="240">
        <v>126.53465999999969</v>
      </c>
      <c r="AF259" s="52"/>
      <c r="AG259" s="52"/>
      <c r="AH259" s="53">
        <f t="shared" si="153"/>
        <v>263.56465999999966</v>
      </c>
      <c r="AJ259" s="47">
        <f t="shared" si="167"/>
        <v>46107</v>
      </c>
      <c r="AK259" s="56">
        <v>5722.99</v>
      </c>
      <c r="AL259" s="57">
        <v>295.33999999999997</v>
      </c>
      <c r="AM259" s="70"/>
      <c r="AN259" s="58"/>
      <c r="AO259" s="27"/>
      <c r="AP259" s="51"/>
      <c r="AQ259" s="52"/>
      <c r="AR259" s="52"/>
      <c r="AS259" s="53">
        <f t="shared" si="154"/>
        <v>0</v>
      </c>
      <c r="AU259" s="113">
        <f t="shared" si="168"/>
        <v>46107</v>
      </c>
      <c r="AV259" s="57">
        <v>2729.54</v>
      </c>
      <c r="AW259" s="57">
        <v>251.79</v>
      </c>
      <c r="AX259" s="70"/>
      <c r="AY259" s="59">
        <v>9.9600000000000009</v>
      </c>
      <c r="AZ259" s="27"/>
      <c r="BA259" s="240">
        <v>40.100008999999915</v>
      </c>
      <c r="BB259" s="53">
        <v>-24.632702552571061</v>
      </c>
      <c r="BC259" s="52"/>
      <c r="BD259" s="53">
        <f t="shared" si="155"/>
        <v>25.427306447428855</v>
      </c>
      <c r="BF259" s="47">
        <f t="shared" si="177"/>
        <v>46107</v>
      </c>
      <c r="BG259" s="56">
        <v>7390.32</v>
      </c>
      <c r="BH259" s="57">
        <v>1510.87</v>
      </c>
      <c r="BI259" s="70"/>
      <c r="BJ259" s="59"/>
      <c r="BK259" s="27"/>
      <c r="BL259" s="240">
        <v>145.83972999999975</v>
      </c>
      <c r="BM259" s="52">
        <v>22.192070251428589</v>
      </c>
      <c r="BN259" s="52"/>
      <c r="BO259" s="53">
        <f t="shared" si="156"/>
        <v>168.03180025142834</v>
      </c>
      <c r="BQ259" s="47">
        <f t="shared" si="169"/>
        <v>46107</v>
      </c>
      <c r="BR259" s="57">
        <v>463</v>
      </c>
      <c r="BS259" s="57">
        <v>154.02000000000001</v>
      </c>
      <c r="BT259" s="70"/>
      <c r="BU259" s="61"/>
      <c r="BV259" s="27"/>
      <c r="BW259" s="51"/>
      <c r="BX259" s="52"/>
      <c r="BY259" s="52"/>
      <c r="BZ259" s="53">
        <f t="shared" si="157"/>
        <v>0</v>
      </c>
      <c r="CB259" s="47">
        <f t="shared" si="170"/>
        <v>46107</v>
      </c>
      <c r="CC259" s="56">
        <v>21491.03</v>
      </c>
      <c r="CD259" s="57">
        <v>4658.12</v>
      </c>
      <c r="CE259" s="70"/>
      <c r="CF259" s="117"/>
      <c r="CG259" s="27"/>
      <c r="CH259" s="51"/>
      <c r="CI259" s="52"/>
      <c r="CJ259" s="53"/>
      <c r="CK259" s="53">
        <f t="shared" si="158"/>
        <v>0</v>
      </c>
      <c r="CM259" s="47">
        <f t="shared" si="171"/>
        <v>46107</v>
      </c>
      <c r="CN259" s="56">
        <v>12544</v>
      </c>
      <c r="CO259" s="57">
        <v>2307.38</v>
      </c>
      <c r="CP259" s="70"/>
      <c r="CQ259" s="62"/>
      <c r="CR259" s="27"/>
      <c r="CS259" s="240">
        <v>44.812479999999994</v>
      </c>
      <c r="CT259" s="53">
        <v>81.077584466285771</v>
      </c>
      <c r="CU259" s="53"/>
      <c r="CV259" s="53">
        <f t="shared" si="159"/>
        <v>125.89006446628576</v>
      </c>
      <c r="CX259" s="47">
        <f t="shared" si="172"/>
        <v>46107</v>
      </c>
      <c r="CY259" s="56">
        <v>5030.8500000000004</v>
      </c>
      <c r="CZ259" s="57">
        <v>938.07</v>
      </c>
      <c r="DA259" s="70"/>
      <c r="DB259" s="59"/>
      <c r="DC259" s="27"/>
      <c r="DD259" s="240">
        <v>45.637415999999703</v>
      </c>
      <c r="DE259" s="53">
        <v>-2.0906318422855179</v>
      </c>
      <c r="DF259" s="52"/>
      <c r="DG259" s="53">
        <f t="shared" si="160"/>
        <v>43.546784157714185</v>
      </c>
      <c r="DI259" s="47">
        <f t="shared" si="173"/>
        <v>46107</v>
      </c>
      <c r="DJ259" s="56">
        <v>366.54</v>
      </c>
      <c r="DK259" s="71"/>
      <c r="DL259" s="70"/>
      <c r="DM259" s="62"/>
      <c r="DN259" s="27"/>
      <c r="DO259" s="51"/>
      <c r="DP259" s="52"/>
      <c r="DQ259" s="52"/>
      <c r="DR259" s="53">
        <f t="shared" si="161"/>
        <v>0</v>
      </c>
      <c r="DT259" s="47">
        <f t="shared" si="174"/>
        <v>46107</v>
      </c>
      <c r="DU259" s="56">
        <v>5822.3</v>
      </c>
      <c r="DV259" s="57">
        <v>284.29000000000002</v>
      </c>
      <c r="DW259" s="70"/>
      <c r="DX259" s="62"/>
      <c r="DY259" s="27"/>
      <c r="DZ259" s="240">
        <v>62.898519999999905</v>
      </c>
      <c r="EA259" s="53"/>
      <c r="EB259" s="52"/>
      <c r="EC259" s="53">
        <f t="shared" si="162"/>
        <v>62.898519999999905</v>
      </c>
      <c r="EE259" s="47">
        <f t="shared" si="175"/>
        <v>46107</v>
      </c>
      <c r="EF259" s="56">
        <v>5269.99</v>
      </c>
      <c r="EG259" s="57">
        <v>2038.95</v>
      </c>
      <c r="EH259" s="70"/>
      <c r="EI259" s="59">
        <v>69.38</v>
      </c>
      <c r="EJ259" s="27"/>
      <c r="EK259" s="51">
        <v>32.241239999999976</v>
      </c>
      <c r="EL259" s="52"/>
      <c r="EM259" s="52"/>
      <c r="EN259" s="53">
        <f t="shared" si="163"/>
        <v>101.62123999999997</v>
      </c>
      <c r="EP259" s="47">
        <f t="shared" si="176"/>
        <v>46107</v>
      </c>
      <c r="EQ259" s="64">
        <v>663.94</v>
      </c>
      <c r="ER259" s="56">
        <v>182.51</v>
      </c>
      <c r="ES259" s="70"/>
      <c r="ET259" s="59"/>
      <c r="EV259" s="51"/>
      <c r="EW259" s="52"/>
      <c r="EX259" s="52"/>
      <c r="EY259" s="53">
        <f t="shared" si="164"/>
        <v>0</v>
      </c>
    </row>
    <row r="260" spans="2:155" x14ac:dyDescent="0.25">
      <c r="B260" s="47">
        <v>46108</v>
      </c>
      <c r="C260" s="48">
        <v>25207.95</v>
      </c>
      <c r="D260" s="49">
        <v>3993.84</v>
      </c>
      <c r="E260" s="50">
        <v>3376.29</v>
      </c>
      <c r="F260" s="49">
        <v>1292.1099999999999</v>
      </c>
      <c r="G260" s="50"/>
      <c r="H260" s="27"/>
      <c r="I260" s="51"/>
      <c r="J260" s="53"/>
      <c r="K260" s="52">
        <v>24.654999999999973</v>
      </c>
      <c r="L260" s="53">
        <f t="shared" si="151"/>
        <v>24.654999999999973</v>
      </c>
      <c r="N260" s="47">
        <f t="shared" si="165"/>
        <v>46108</v>
      </c>
      <c r="O260" s="54">
        <v>3045.41</v>
      </c>
      <c r="P260" s="54">
        <v>298.19</v>
      </c>
      <c r="Q260" s="70"/>
      <c r="R260" s="69"/>
      <c r="S260" s="27"/>
      <c r="T260" s="240">
        <v>336.70169999999928</v>
      </c>
      <c r="U260" s="53"/>
      <c r="V260" s="52"/>
      <c r="W260" s="53">
        <f t="shared" si="152"/>
        <v>336.70169999999928</v>
      </c>
      <c r="Y260" s="47">
        <f t="shared" si="166"/>
        <v>46108</v>
      </c>
      <c r="Z260" s="56">
        <v>9367.85</v>
      </c>
      <c r="AA260" s="57">
        <v>1392.27</v>
      </c>
      <c r="AB260" s="63"/>
      <c r="AC260" s="59">
        <v>129.44999999999999</v>
      </c>
      <c r="AD260" s="27"/>
      <c r="AE260" s="240">
        <v>142.4058599999999</v>
      </c>
      <c r="AF260" s="52"/>
      <c r="AG260" s="52"/>
      <c r="AH260" s="53">
        <f t="shared" si="153"/>
        <v>271.85585999999989</v>
      </c>
      <c r="AJ260" s="47">
        <f t="shared" si="167"/>
        <v>46108</v>
      </c>
      <c r="AK260" s="56">
        <v>4533.6099999999997</v>
      </c>
      <c r="AL260" s="57">
        <v>296.02999999999997</v>
      </c>
      <c r="AM260" s="70"/>
      <c r="AN260" s="58"/>
      <c r="AO260" s="27"/>
      <c r="AP260" s="51"/>
      <c r="AQ260" s="52"/>
      <c r="AR260" s="52"/>
      <c r="AS260" s="53">
        <f t="shared" si="154"/>
        <v>0</v>
      </c>
      <c r="AU260" s="113">
        <f t="shared" si="168"/>
        <v>46108</v>
      </c>
      <c r="AV260" s="57">
        <v>3227.94</v>
      </c>
      <c r="AW260" s="57">
        <v>0</v>
      </c>
      <c r="AX260" s="70"/>
      <c r="AY260" s="59">
        <v>24</v>
      </c>
      <c r="AZ260" s="27"/>
      <c r="BA260" s="240">
        <v>563.5075789999994</v>
      </c>
      <c r="BB260" s="53"/>
      <c r="BC260" s="52"/>
      <c r="BD260" s="53">
        <f t="shared" si="155"/>
        <v>587.5075789999994</v>
      </c>
      <c r="BF260" s="47">
        <f t="shared" si="177"/>
        <v>46108</v>
      </c>
      <c r="BG260" s="56">
        <v>6337.39</v>
      </c>
      <c r="BH260" s="57">
        <v>691.12</v>
      </c>
      <c r="BI260" s="70"/>
      <c r="BJ260" s="59"/>
      <c r="BK260" s="27"/>
      <c r="BL260" s="240">
        <v>382.67813999999959</v>
      </c>
      <c r="BM260" s="52">
        <v>7.5111714342856999</v>
      </c>
      <c r="BN260" s="52"/>
      <c r="BO260" s="53">
        <f t="shared" si="156"/>
        <v>390.18931143428529</v>
      </c>
      <c r="BQ260" s="47">
        <f t="shared" si="169"/>
        <v>46108</v>
      </c>
      <c r="BR260" s="57">
        <v>1877.68</v>
      </c>
      <c r="BS260" s="57">
        <v>247.4</v>
      </c>
      <c r="BT260" s="70"/>
      <c r="BU260" s="61"/>
      <c r="BV260" s="27"/>
      <c r="BW260" s="51"/>
      <c r="BX260" s="52"/>
      <c r="BY260" s="52"/>
      <c r="BZ260" s="53">
        <f t="shared" si="157"/>
        <v>0</v>
      </c>
      <c r="CB260" s="47">
        <f t="shared" si="170"/>
        <v>46108</v>
      </c>
      <c r="CC260" s="56">
        <v>25790.57</v>
      </c>
      <c r="CD260" s="57">
        <v>3142.02</v>
      </c>
      <c r="CE260" s="70"/>
      <c r="CF260" s="117"/>
      <c r="CG260" s="27"/>
      <c r="CH260" s="51"/>
      <c r="CI260" s="52"/>
      <c r="CJ260" s="53"/>
      <c r="CK260" s="53">
        <f t="shared" si="158"/>
        <v>0</v>
      </c>
      <c r="CM260" s="47">
        <f t="shared" si="171"/>
        <v>46108</v>
      </c>
      <c r="CN260" s="56">
        <v>20970.810000000001</v>
      </c>
      <c r="CO260" s="57">
        <v>1910.45</v>
      </c>
      <c r="CP260" s="70"/>
      <c r="CQ260" s="62"/>
      <c r="CR260" s="27"/>
      <c r="CS260" s="240">
        <v>45.774019999999979</v>
      </c>
      <c r="CT260" s="53">
        <v>213.00335434133314</v>
      </c>
      <c r="CU260" s="53">
        <v>14.573570499999974</v>
      </c>
      <c r="CV260" s="53">
        <f t="shared" si="159"/>
        <v>273.3509448413331</v>
      </c>
      <c r="CX260" s="47">
        <f t="shared" si="172"/>
        <v>46108</v>
      </c>
      <c r="CY260" s="56">
        <v>8220.82</v>
      </c>
      <c r="CZ260" s="57">
        <v>1027.92</v>
      </c>
      <c r="DA260" s="70"/>
      <c r="DB260" s="59"/>
      <c r="DC260" s="27"/>
      <c r="DD260" s="240">
        <v>204.16934999999992</v>
      </c>
      <c r="DE260" s="53">
        <v>186.80985465133335</v>
      </c>
      <c r="DF260" s="52"/>
      <c r="DG260" s="53">
        <f t="shared" si="160"/>
        <v>390.97920465133325</v>
      </c>
      <c r="DI260" s="47">
        <f t="shared" si="173"/>
        <v>46108</v>
      </c>
      <c r="DJ260" s="56">
        <v>2203.69</v>
      </c>
      <c r="DK260" s="71"/>
      <c r="DL260" s="70"/>
      <c r="DM260" s="62"/>
      <c r="DN260" s="27"/>
      <c r="DO260" s="51"/>
      <c r="DP260" s="52"/>
      <c r="DQ260" s="52"/>
      <c r="DR260" s="53">
        <f t="shared" si="161"/>
        <v>0</v>
      </c>
      <c r="DT260" s="47">
        <f t="shared" si="174"/>
        <v>46108</v>
      </c>
      <c r="DU260" s="56">
        <v>5716.21</v>
      </c>
      <c r="DV260" s="57">
        <v>654.02</v>
      </c>
      <c r="DW260" s="70"/>
      <c r="DX260" s="62"/>
      <c r="DY260" s="27"/>
      <c r="DZ260" s="240">
        <v>264.16009999999977</v>
      </c>
      <c r="EA260" s="53"/>
      <c r="EB260" s="52"/>
      <c r="EC260" s="53">
        <f t="shared" si="162"/>
        <v>264.16009999999977</v>
      </c>
      <c r="EE260" s="47">
        <f t="shared" si="175"/>
        <v>46108</v>
      </c>
      <c r="EF260" s="56">
        <v>7172.52</v>
      </c>
      <c r="EG260" s="57">
        <v>3164.89</v>
      </c>
      <c r="EH260" s="70"/>
      <c r="EI260" s="59">
        <v>163.28</v>
      </c>
      <c r="EJ260" s="27"/>
      <c r="EK260" s="51"/>
      <c r="EL260" s="52"/>
      <c r="EM260" s="52"/>
      <c r="EN260" s="53">
        <f t="shared" si="163"/>
        <v>163.28</v>
      </c>
      <c r="EP260" s="47">
        <f t="shared" si="176"/>
        <v>46108</v>
      </c>
      <c r="EQ260" s="64">
        <v>705.4</v>
      </c>
      <c r="ER260" s="56">
        <v>235.98</v>
      </c>
      <c r="ES260" s="70"/>
      <c r="ET260" s="59"/>
      <c r="EV260" s="51"/>
      <c r="EW260" s="52"/>
      <c r="EX260" s="52"/>
      <c r="EY260" s="53">
        <f t="shared" si="164"/>
        <v>0</v>
      </c>
    </row>
    <row r="261" spans="2:155" x14ac:dyDescent="0.25">
      <c r="B261" s="47">
        <v>46109</v>
      </c>
      <c r="C261" s="48">
        <v>26743.66</v>
      </c>
      <c r="D261" s="49">
        <v>3419.57</v>
      </c>
      <c r="E261" s="50">
        <v>4766.68</v>
      </c>
      <c r="F261" s="49">
        <v>883.5</v>
      </c>
      <c r="G261" s="50"/>
      <c r="H261" s="27"/>
      <c r="I261" s="51"/>
      <c r="J261" s="53"/>
      <c r="K261" s="52"/>
      <c r="L261" s="53">
        <f t="shared" si="151"/>
        <v>0</v>
      </c>
      <c r="N261" s="47">
        <f t="shared" si="165"/>
        <v>46109</v>
      </c>
      <c r="O261" s="54">
        <v>7522.03</v>
      </c>
      <c r="P261" s="54">
        <v>502.99</v>
      </c>
      <c r="Q261" s="70"/>
      <c r="R261" s="69"/>
      <c r="S261" s="27"/>
      <c r="T261" s="240">
        <v>118.45519999999988</v>
      </c>
      <c r="U261" s="53">
        <v>15.252350247619006</v>
      </c>
      <c r="V261" s="52"/>
      <c r="W261" s="53">
        <f t="shared" si="152"/>
        <v>133.70755024761888</v>
      </c>
      <c r="Y261" s="47">
        <f t="shared" si="166"/>
        <v>46109</v>
      </c>
      <c r="Z261" s="56">
        <v>9645.8700000000008</v>
      </c>
      <c r="AA261" s="57">
        <v>843.5</v>
      </c>
      <c r="AB261" s="104"/>
      <c r="AC261" s="59">
        <v>187.8</v>
      </c>
      <c r="AD261" s="27"/>
      <c r="AE261" s="240">
        <v>97.459749999999872</v>
      </c>
      <c r="AF261" s="52"/>
      <c r="AG261" s="52"/>
      <c r="AH261" s="53">
        <f t="shared" si="153"/>
        <v>285.25974999999988</v>
      </c>
      <c r="AJ261" s="47">
        <f t="shared" si="167"/>
        <v>46109</v>
      </c>
      <c r="AK261" s="56">
        <v>5590.59</v>
      </c>
      <c r="AL261" s="57">
        <v>144.13</v>
      </c>
      <c r="AM261" s="70"/>
      <c r="AN261" s="58"/>
      <c r="AO261" s="27"/>
      <c r="AP261" s="51"/>
      <c r="AQ261" s="52"/>
      <c r="AR261" s="52"/>
      <c r="AS261" s="53">
        <f t="shared" si="154"/>
        <v>0</v>
      </c>
      <c r="AU261" s="113">
        <f t="shared" si="168"/>
        <v>46109</v>
      </c>
      <c r="AV261" s="57">
        <v>3734.15</v>
      </c>
      <c r="AW261" s="57">
        <v>38.049999999999997</v>
      </c>
      <c r="AX261" s="70"/>
      <c r="AY261" s="59"/>
      <c r="AZ261" s="27"/>
      <c r="BA261" s="240">
        <v>33.776261999999946</v>
      </c>
      <c r="BB261" s="53">
        <v>36.215118396857065</v>
      </c>
      <c r="BC261" s="52"/>
      <c r="BD261" s="53">
        <f t="shared" si="155"/>
        <v>69.991380396857011</v>
      </c>
      <c r="BF261" s="47">
        <f t="shared" si="177"/>
        <v>46109</v>
      </c>
      <c r="BG261" s="56">
        <v>7228.75</v>
      </c>
      <c r="BH261" s="57">
        <v>727.85</v>
      </c>
      <c r="BI261" s="70"/>
      <c r="BJ261" s="59"/>
      <c r="BK261" s="27"/>
      <c r="BL261" s="240">
        <v>428.37983999999949</v>
      </c>
      <c r="BM261" s="52"/>
      <c r="BN261" s="52"/>
      <c r="BO261" s="53">
        <f t="shared" si="156"/>
        <v>428.37983999999949</v>
      </c>
      <c r="BQ261" s="47">
        <f t="shared" si="169"/>
        <v>46109</v>
      </c>
      <c r="BR261" s="57">
        <v>492.99</v>
      </c>
      <c r="BS261" s="57">
        <v>331</v>
      </c>
      <c r="BT261" s="70"/>
      <c r="BU261" s="61"/>
      <c r="BV261" s="27"/>
      <c r="BW261" s="51"/>
      <c r="BX261" s="52"/>
      <c r="BY261" s="52"/>
      <c r="BZ261" s="53">
        <f t="shared" si="157"/>
        <v>0</v>
      </c>
      <c r="CB261" s="47">
        <f t="shared" si="170"/>
        <v>46109</v>
      </c>
      <c r="CC261" s="56">
        <v>24576.85</v>
      </c>
      <c r="CD261" s="57">
        <v>3891.26</v>
      </c>
      <c r="CE261" s="70"/>
      <c r="CF261" s="117"/>
      <c r="CG261" s="27"/>
      <c r="CH261" s="51"/>
      <c r="CI261" s="52"/>
      <c r="CJ261" s="53"/>
      <c r="CK261" s="53">
        <f t="shared" si="158"/>
        <v>0</v>
      </c>
      <c r="CM261" s="47">
        <f t="shared" si="171"/>
        <v>46109</v>
      </c>
      <c r="CN261" s="56">
        <v>12392.36</v>
      </c>
      <c r="CO261" s="57">
        <v>2475.71</v>
      </c>
      <c r="CP261" s="70"/>
      <c r="CQ261" s="62"/>
      <c r="CR261" s="27"/>
      <c r="CS261" s="240">
        <v>28.757119999999986</v>
      </c>
      <c r="CT261" s="53">
        <v>68.40853125485711</v>
      </c>
      <c r="CU261" s="53"/>
      <c r="CV261" s="53">
        <f t="shared" si="159"/>
        <v>97.165651254857096</v>
      </c>
      <c r="CX261" s="47">
        <f t="shared" si="172"/>
        <v>46109</v>
      </c>
      <c r="CY261" s="56">
        <v>4624.55</v>
      </c>
      <c r="CZ261" s="57">
        <v>671.63</v>
      </c>
      <c r="DA261" s="70"/>
      <c r="DB261" s="59"/>
      <c r="DC261" s="27"/>
      <c r="DD261" s="240">
        <v>652.85179399999936</v>
      </c>
      <c r="DE261" s="53">
        <v>34.146657483714307</v>
      </c>
      <c r="DF261" s="52"/>
      <c r="DG261" s="53">
        <f t="shared" si="160"/>
        <v>686.99845148371367</v>
      </c>
      <c r="DI261" s="47">
        <f t="shared" si="173"/>
        <v>46109</v>
      </c>
      <c r="DJ261" s="56">
        <v>1596.2</v>
      </c>
      <c r="DK261" s="71"/>
      <c r="DL261" s="70"/>
      <c r="DM261" s="62"/>
      <c r="DN261" s="27"/>
      <c r="DO261" s="51"/>
      <c r="DP261" s="52"/>
      <c r="DQ261" s="52"/>
      <c r="DR261" s="53">
        <f t="shared" si="161"/>
        <v>0</v>
      </c>
      <c r="DT261" s="47">
        <f t="shared" si="174"/>
        <v>46109</v>
      </c>
      <c r="DU261" s="56">
        <v>4044.67</v>
      </c>
      <c r="DV261" s="57">
        <v>622.29</v>
      </c>
      <c r="DW261" s="70"/>
      <c r="DX261" s="62"/>
      <c r="DY261" s="27"/>
      <c r="DZ261" s="240">
        <v>279.64561999999989</v>
      </c>
      <c r="EA261" s="53"/>
      <c r="EB261" s="52"/>
      <c r="EC261" s="53">
        <f t="shared" si="162"/>
        <v>279.64561999999989</v>
      </c>
      <c r="EE261" s="47">
        <f t="shared" si="175"/>
        <v>46109</v>
      </c>
      <c r="EF261" s="56">
        <v>15087.58</v>
      </c>
      <c r="EG261" s="57">
        <v>1338.48</v>
      </c>
      <c r="EH261" s="70"/>
      <c r="EI261" s="59">
        <v>190.36</v>
      </c>
      <c r="EJ261" s="27"/>
      <c r="EK261" s="51"/>
      <c r="EL261" s="52"/>
      <c r="EM261" s="52"/>
      <c r="EN261" s="53">
        <f t="shared" si="163"/>
        <v>190.36</v>
      </c>
      <c r="EP261" s="47">
        <f t="shared" si="176"/>
        <v>46109</v>
      </c>
      <c r="EQ261" s="64">
        <v>1395.81</v>
      </c>
      <c r="ER261" s="56">
        <v>166.74</v>
      </c>
      <c r="ES261" s="70"/>
      <c r="ET261" s="59"/>
      <c r="EV261" s="51"/>
      <c r="EW261" s="52"/>
      <c r="EX261" s="52"/>
      <c r="EY261" s="53">
        <f t="shared" si="164"/>
        <v>0</v>
      </c>
    </row>
    <row r="262" spans="2:155" x14ac:dyDescent="0.25">
      <c r="B262" s="47">
        <v>46110</v>
      </c>
      <c r="C262" s="48">
        <v>23104.44</v>
      </c>
      <c r="D262" s="49">
        <v>2380.6799999999998</v>
      </c>
      <c r="E262" s="50">
        <v>2243.62</v>
      </c>
      <c r="F262" s="74">
        <v>698.89</v>
      </c>
      <c r="G262" s="50"/>
      <c r="H262" s="27"/>
      <c r="I262" s="51"/>
      <c r="J262" s="53">
        <v>33.053864885523751</v>
      </c>
      <c r="K262" s="52"/>
      <c r="L262" s="53">
        <f t="shared" si="151"/>
        <v>33.053864885523751</v>
      </c>
      <c r="N262" s="47">
        <f t="shared" si="165"/>
        <v>46110</v>
      </c>
      <c r="O262" s="54">
        <v>4852.95</v>
      </c>
      <c r="P262" s="54">
        <v>607.33000000000004</v>
      </c>
      <c r="Q262" s="70"/>
      <c r="R262" s="69"/>
      <c r="S262" s="27"/>
      <c r="T262" s="240">
        <v>39.209039999999931</v>
      </c>
      <c r="U262" s="53"/>
      <c r="V262" s="52"/>
      <c r="W262" s="53">
        <f t="shared" si="152"/>
        <v>39.209039999999931</v>
      </c>
      <c r="Y262" s="47">
        <f t="shared" si="166"/>
        <v>46110</v>
      </c>
      <c r="Z262" s="56">
        <v>8531.6</v>
      </c>
      <c r="AA262" s="57">
        <v>845.59</v>
      </c>
      <c r="AB262" s="104"/>
      <c r="AC262" s="59">
        <v>115.77</v>
      </c>
      <c r="AD262" s="27"/>
      <c r="AE262" s="240">
        <v>36.456059999999979</v>
      </c>
      <c r="AF262" s="52"/>
      <c r="AG262" s="52"/>
      <c r="AH262" s="53">
        <f t="shared" si="153"/>
        <v>152.22605999999996</v>
      </c>
      <c r="AJ262" s="47">
        <f t="shared" si="167"/>
        <v>46110</v>
      </c>
      <c r="AK262" s="56">
        <v>3543.13</v>
      </c>
      <c r="AL262" s="57">
        <v>70</v>
      </c>
      <c r="AM262" s="70"/>
      <c r="AN262" s="58"/>
      <c r="AO262" s="27"/>
      <c r="AP262" s="51"/>
      <c r="AQ262" s="52"/>
      <c r="AR262" s="52"/>
      <c r="AS262" s="53">
        <f t="shared" si="154"/>
        <v>0</v>
      </c>
      <c r="AU262" s="113">
        <f t="shared" si="168"/>
        <v>46110</v>
      </c>
      <c r="AV262" s="57">
        <v>922</v>
      </c>
      <c r="AW262" s="57">
        <v>254.43</v>
      </c>
      <c r="AX262" s="70"/>
      <c r="AY262" s="59"/>
      <c r="AZ262" s="27"/>
      <c r="BA262" s="240">
        <v>8.6832719999999881</v>
      </c>
      <c r="BB262" s="53"/>
      <c r="BC262" s="52"/>
      <c r="BD262" s="53">
        <f t="shared" si="155"/>
        <v>8.6832719999999881</v>
      </c>
      <c r="BF262" s="47">
        <f t="shared" si="177"/>
        <v>46110</v>
      </c>
      <c r="BG262" s="56">
        <v>4452.7700000000004</v>
      </c>
      <c r="BH262" s="57">
        <v>255.69</v>
      </c>
      <c r="BI262" s="70"/>
      <c r="BJ262" s="59"/>
      <c r="BK262" s="27"/>
      <c r="BL262" s="240">
        <v>61.03458999999998</v>
      </c>
      <c r="BM262" s="52">
        <v>16.983923249333316</v>
      </c>
      <c r="BN262" s="52"/>
      <c r="BO262" s="53">
        <f t="shared" si="156"/>
        <v>78.018513249333296</v>
      </c>
      <c r="BQ262" s="47">
        <f t="shared" si="169"/>
        <v>46110</v>
      </c>
      <c r="BR262" s="57">
        <v>1025.02</v>
      </c>
      <c r="BS262" s="57">
        <v>698.35</v>
      </c>
      <c r="BT262" s="70"/>
      <c r="BU262" s="61"/>
      <c r="BV262" s="27"/>
      <c r="BW262" s="51"/>
      <c r="BX262" s="52"/>
      <c r="BY262" s="52"/>
      <c r="BZ262" s="53">
        <f t="shared" si="157"/>
        <v>0</v>
      </c>
      <c r="CB262" s="47">
        <f t="shared" si="170"/>
        <v>46110</v>
      </c>
      <c r="CC262" s="56">
        <v>23247.52</v>
      </c>
      <c r="CD262" s="57">
        <v>4224.01</v>
      </c>
      <c r="CE262" s="70"/>
      <c r="CF262" s="117"/>
      <c r="CG262" s="27"/>
      <c r="CH262" s="51"/>
      <c r="CI262" s="52"/>
      <c r="CJ262" s="53"/>
      <c r="CK262" s="53">
        <f t="shared" si="158"/>
        <v>0</v>
      </c>
      <c r="CM262" s="47">
        <f t="shared" si="171"/>
        <v>46110</v>
      </c>
      <c r="CN262" s="56">
        <v>9850.52</v>
      </c>
      <c r="CO262" s="57">
        <v>1349.05</v>
      </c>
      <c r="CP262" s="70"/>
      <c r="CQ262" s="62"/>
      <c r="CR262" s="27"/>
      <c r="CS262" s="240">
        <v>50.699619999999996</v>
      </c>
      <c r="CT262" s="53">
        <v>24.50646110761906</v>
      </c>
      <c r="CU262" s="53"/>
      <c r="CV262" s="53">
        <f t="shared" si="159"/>
        <v>75.206081107619056</v>
      </c>
      <c r="CX262" s="47">
        <f t="shared" si="172"/>
        <v>46110</v>
      </c>
      <c r="CY262" s="56">
        <v>3781.44</v>
      </c>
      <c r="CZ262" s="57">
        <v>988.35</v>
      </c>
      <c r="DA262" s="70"/>
      <c r="DB262" s="59"/>
      <c r="DC262" s="27"/>
      <c r="DD262" s="240">
        <v>91.328621999999967</v>
      </c>
      <c r="DE262" s="53"/>
      <c r="DF262" s="52"/>
      <c r="DG262" s="53">
        <f t="shared" si="160"/>
        <v>91.328621999999967</v>
      </c>
      <c r="DI262" s="47">
        <f t="shared" si="173"/>
        <v>46110</v>
      </c>
      <c r="DJ262" s="56">
        <v>1231.98</v>
      </c>
      <c r="DK262" s="71"/>
      <c r="DL262" s="70"/>
      <c r="DM262" s="62"/>
      <c r="DN262" s="27"/>
      <c r="DO262" s="51"/>
      <c r="DP262" s="52"/>
      <c r="DQ262" s="52"/>
      <c r="DR262" s="53">
        <f t="shared" si="161"/>
        <v>0</v>
      </c>
      <c r="DT262" s="47">
        <f t="shared" si="174"/>
        <v>46110</v>
      </c>
      <c r="DU262" s="56">
        <v>2211.29</v>
      </c>
      <c r="DV262" s="57">
        <v>610.85</v>
      </c>
      <c r="DW262" s="70"/>
      <c r="DX262" s="62"/>
      <c r="DY262" s="27"/>
      <c r="DZ262" s="240">
        <v>57.860089999999929</v>
      </c>
      <c r="EA262" s="53"/>
      <c r="EB262" s="52"/>
      <c r="EC262" s="53">
        <f t="shared" si="162"/>
        <v>57.860089999999929</v>
      </c>
      <c r="EE262" s="47">
        <f t="shared" si="175"/>
        <v>46110</v>
      </c>
      <c r="EF262" s="420"/>
      <c r="EG262" s="421"/>
      <c r="EH262" s="422"/>
      <c r="EI262" s="423"/>
      <c r="EJ262" s="27"/>
      <c r="EK262" s="51"/>
      <c r="EL262" s="52"/>
      <c r="EM262" s="52"/>
      <c r="EN262" s="53">
        <f t="shared" si="163"/>
        <v>0</v>
      </c>
      <c r="EP262" s="47">
        <f t="shared" si="176"/>
        <v>46110</v>
      </c>
      <c r="EQ262" s="64">
        <v>686.17</v>
      </c>
      <c r="ER262" s="56">
        <v>131.41999999999999</v>
      </c>
      <c r="ES262" s="70"/>
      <c r="ET262" s="59"/>
      <c r="EV262" s="51"/>
      <c r="EW262" s="52"/>
      <c r="EX262" s="52"/>
      <c r="EY262" s="53">
        <f t="shared" si="164"/>
        <v>0</v>
      </c>
    </row>
    <row r="263" spans="2:155" x14ac:dyDescent="0.25">
      <c r="B263" s="47">
        <v>46111</v>
      </c>
      <c r="C263" s="48">
        <v>27440.880000000001</v>
      </c>
      <c r="D263" s="49">
        <v>2796.05</v>
      </c>
      <c r="E263" s="50">
        <v>4100.47</v>
      </c>
      <c r="F263" s="74">
        <v>1293.74</v>
      </c>
      <c r="G263" s="50"/>
      <c r="H263" s="27"/>
      <c r="I263" s="51"/>
      <c r="J263" s="53"/>
      <c r="K263" s="52"/>
      <c r="L263" s="53">
        <f t="shared" si="151"/>
        <v>0</v>
      </c>
      <c r="N263" s="47">
        <f t="shared" si="165"/>
        <v>46111</v>
      </c>
      <c r="O263" s="54">
        <v>3295.85</v>
      </c>
      <c r="P263" s="54">
        <v>583.39</v>
      </c>
      <c r="Q263" s="70"/>
      <c r="R263" s="69"/>
      <c r="S263" s="27"/>
      <c r="T263" s="240">
        <v>313.03944999999965</v>
      </c>
      <c r="U263" s="53">
        <v>16.92992633047615</v>
      </c>
      <c r="V263" s="52"/>
      <c r="W263" s="53">
        <f t="shared" si="152"/>
        <v>329.96937633047582</v>
      </c>
      <c r="Y263" s="47">
        <f t="shared" si="166"/>
        <v>46111</v>
      </c>
      <c r="Z263" s="56">
        <v>9713.2199999999993</v>
      </c>
      <c r="AA263" s="57">
        <v>1746.5</v>
      </c>
      <c r="AB263" s="63"/>
      <c r="AC263" s="59">
        <v>107.57</v>
      </c>
      <c r="AD263" s="27"/>
      <c r="AE263" s="240">
        <v>38.759999999999991</v>
      </c>
      <c r="AF263" s="52"/>
      <c r="AG263" s="52"/>
      <c r="AH263" s="53">
        <f t="shared" si="153"/>
        <v>146.32999999999998</v>
      </c>
      <c r="AJ263" s="47">
        <f t="shared" si="167"/>
        <v>46111</v>
      </c>
      <c r="AK263" s="56">
        <v>4004.07</v>
      </c>
      <c r="AL263" s="57">
        <v>67.05</v>
      </c>
      <c r="AM263" s="70"/>
      <c r="AN263" s="58"/>
      <c r="AO263" s="27"/>
      <c r="AP263" s="51"/>
      <c r="AQ263" s="52"/>
      <c r="AR263" s="52"/>
      <c r="AS263" s="53">
        <f t="shared" si="154"/>
        <v>0</v>
      </c>
      <c r="AU263" s="113">
        <f t="shared" si="168"/>
        <v>46111</v>
      </c>
      <c r="AV263" s="57">
        <v>4450.08</v>
      </c>
      <c r="AW263" s="57">
        <v>28.19</v>
      </c>
      <c r="AX263" s="70"/>
      <c r="AY263" s="59">
        <v>36.36</v>
      </c>
      <c r="AZ263" s="27"/>
      <c r="BA263" s="240"/>
      <c r="BB263" s="53"/>
      <c r="BC263" s="52"/>
      <c r="BD263" s="53">
        <f t="shared" si="155"/>
        <v>36.36</v>
      </c>
      <c r="BF263" s="47">
        <f t="shared" si="177"/>
        <v>46111</v>
      </c>
      <c r="BG263" s="56">
        <v>5905.55</v>
      </c>
      <c r="BH263" s="57">
        <v>543.04</v>
      </c>
      <c r="BI263" s="70"/>
      <c r="BJ263" s="59">
        <v>15.11</v>
      </c>
      <c r="BK263" s="27"/>
      <c r="BL263" s="240">
        <v>357.45465999999971</v>
      </c>
      <c r="BM263" s="52">
        <v>61.702452273714201</v>
      </c>
      <c r="BN263" s="52"/>
      <c r="BO263" s="53">
        <f t="shared" si="156"/>
        <v>434.26711227371391</v>
      </c>
      <c r="BQ263" s="47">
        <f t="shared" si="169"/>
        <v>46111</v>
      </c>
      <c r="BR263" s="57">
        <v>177.56</v>
      </c>
      <c r="BS263" s="57">
        <v>610.62</v>
      </c>
      <c r="BT263" s="70"/>
      <c r="BU263" s="61"/>
      <c r="BV263" s="27"/>
      <c r="BW263" s="51"/>
      <c r="BX263" s="52"/>
      <c r="BY263" s="52"/>
      <c r="BZ263" s="53">
        <f t="shared" si="157"/>
        <v>0</v>
      </c>
      <c r="CB263" s="47">
        <f t="shared" si="170"/>
        <v>46111</v>
      </c>
      <c r="CC263" s="56">
        <v>20354.36</v>
      </c>
      <c r="CD263" s="57">
        <v>2858.36</v>
      </c>
      <c r="CE263" s="70"/>
      <c r="CF263" s="117"/>
      <c r="CG263" s="27"/>
      <c r="CH263" s="51"/>
      <c r="CI263" s="52"/>
      <c r="CJ263" s="53"/>
      <c r="CK263" s="53">
        <f t="shared" si="158"/>
        <v>0</v>
      </c>
      <c r="CM263" s="47">
        <f t="shared" si="171"/>
        <v>46111</v>
      </c>
      <c r="CN263" s="56">
        <v>12700.7</v>
      </c>
      <c r="CO263" s="57">
        <v>1835.32</v>
      </c>
      <c r="CP263" s="70"/>
      <c r="CQ263" s="62"/>
      <c r="CR263" s="27"/>
      <c r="CS263" s="240">
        <v>43.578459999999978</v>
      </c>
      <c r="CT263" s="53">
        <v>140.98439306095224</v>
      </c>
      <c r="CU263" s="53"/>
      <c r="CV263" s="53">
        <f t="shared" si="159"/>
        <v>184.56285306095222</v>
      </c>
      <c r="CX263" s="47">
        <f t="shared" si="172"/>
        <v>46111</v>
      </c>
      <c r="CY263" s="56">
        <v>5183.12</v>
      </c>
      <c r="CZ263" s="57">
        <v>1480.01</v>
      </c>
      <c r="DA263" s="70"/>
      <c r="DB263" s="59"/>
      <c r="DC263" s="27"/>
      <c r="DD263" s="240">
        <v>535.22296799999992</v>
      </c>
      <c r="DE263" s="53"/>
      <c r="DF263" s="52"/>
      <c r="DG263" s="53">
        <f t="shared" si="160"/>
        <v>535.22296799999992</v>
      </c>
      <c r="DI263" s="47">
        <f t="shared" si="173"/>
        <v>46111</v>
      </c>
      <c r="DJ263" s="56">
        <v>2659.33</v>
      </c>
      <c r="DK263" s="71"/>
      <c r="DL263" s="70"/>
      <c r="DM263" s="62"/>
      <c r="DN263" s="27"/>
      <c r="DO263" s="51"/>
      <c r="DP263" s="52"/>
      <c r="DQ263" s="52"/>
      <c r="DR263" s="53">
        <f t="shared" si="161"/>
        <v>0</v>
      </c>
      <c r="DT263" s="47">
        <f t="shared" si="174"/>
        <v>46111</v>
      </c>
      <c r="DU263" s="56">
        <v>6606.33</v>
      </c>
      <c r="DV263" s="57">
        <v>830.32</v>
      </c>
      <c r="DW263" s="70"/>
      <c r="DX263" s="62"/>
      <c r="DY263" s="27"/>
      <c r="DZ263" s="240">
        <v>224.99661999999987</v>
      </c>
      <c r="EA263" s="53"/>
      <c r="EB263" s="52"/>
      <c r="EC263" s="53">
        <f t="shared" si="162"/>
        <v>224.99661999999987</v>
      </c>
      <c r="EE263" s="47">
        <f t="shared" si="175"/>
        <v>46111</v>
      </c>
      <c r="EF263" s="56">
        <v>4965.2700000000004</v>
      </c>
      <c r="EG263" s="57">
        <v>402.35</v>
      </c>
      <c r="EH263" s="70"/>
      <c r="EI263" s="59">
        <v>98.09</v>
      </c>
      <c r="EJ263" s="27"/>
      <c r="EK263" s="51"/>
      <c r="EL263" s="52"/>
      <c r="EM263" s="52"/>
      <c r="EN263" s="53">
        <f t="shared" si="163"/>
        <v>98.09</v>
      </c>
      <c r="EP263" s="47">
        <f t="shared" si="176"/>
        <v>46111</v>
      </c>
      <c r="EQ263" s="64">
        <v>499.21</v>
      </c>
      <c r="ER263" s="56">
        <v>89.04</v>
      </c>
      <c r="ES263" s="70"/>
      <c r="ET263" s="59"/>
      <c r="EV263" s="51"/>
      <c r="EW263" s="52"/>
      <c r="EX263" s="52"/>
      <c r="EY263" s="53">
        <f t="shared" si="164"/>
        <v>0</v>
      </c>
    </row>
    <row r="264" spans="2:155" ht="15.75" thickBot="1" x14ac:dyDescent="0.3">
      <c r="B264" s="75">
        <v>46112</v>
      </c>
      <c r="C264" s="48">
        <v>29636.85</v>
      </c>
      <c r="D264" s="49">
        <v>4768.16</v>
      </c>
      <c r="E264" s="50">
        <v>6520.44</v>
      </c>
      <c r="F264" s="74">
        <v>1440.67</v>
      </c>
      <c r="G264" s="94"/>
      <c r="H264" s="27"/>
      <c r="I264" s="51"/>
      <c r="J264" s="53"/>
      <c r="K264" s="52">
        <v>22.016914999999983</v>
      </c>
      <c r="L264" s="53">
        <f t="shared" si="151"/>
        <v>22.016914999999983</v>
      </c>
      <c r="N264" s="112">
        <f t="shared" si="165"/>
        <v>46112</v>
      </c>
      <c r="O264" s="54">
        <v>6337.26</v>
      </c>
      <c r="P264" s="54">
        <v>611.17999999999995</v>
      </c>
      <c r="Q264" s="70"/>
      <c r="R264" s="55"/>
      <c r="S264" s="27"/>
      <c r="T264" s="240">
        <v>40.793349999999464</v>
      </c>
      <c r="U264" s="53">
        <v>-8.9128401428569077</v>
      </c>
      <c r="V264" s="52"/>
      <c r="W264" s="53">
        <f t="shared" si="152"/>
        <v>31.880509857142556</v>
      </c>
      <c r="Y264" s="75">
        <f t="shared" si="166"/>
        <v>46112</v>
      </c>
      <c r="Z264" s="56">
        <v>8311.74</v>
      </c>
      <c r="AA264" s="57">
        <v>1349.32</v>
      </c>
      <c r="AB264" s="104"/>
      <c r="AC264" s="59">
        <v>191.98</v>
      </c>
      <c r="AD264" s="27"/>
      <c r="AE264" s="240">
        <v>11.271699999999981</v>
      </c>
      <c r="AF264" s="52"/>
      <c r="AG264" s="52"/>
      <c r="AH264" s="53">
        <f t="shared" si="153"/>
        <v>203.25169999999997</v>
      </c>
      <c r="AJ264" s="75">
        <f t="shared" si="167"/>
        <v>46112</v>
      </c>
      <c r="AK264" s="56">
        <v>5829.89</v>
      </c>
      <c r="AL264" s="57">
        <v>212.02</v>
      </c>
      <c r="AM264" s="70"/>
      <c r="AN264" s="58"/>
      <c r="AO264" s="27"/>
      <c r="AP264" s="51"/>
      <c r="AQ264" s="52"/>
      <c r="AR264" s="52"/>
      <c r="AS264" s="53">
        <f t="shared" si="154"/>
        <v>0</v>
      </c>
      <c r="AU264" s="112">
        <f t="shared" si="168"/>
        <v>46112</v>
      </c>
      <c r="AV264" s="57">
        <v>17701.650000000001</v>
      </c>
      <c r="AW264" s="57">
        <v>109.86</v>
      </c>
      <c r="AX264" s="70"/>
      <c r="AY264" s="59">
        <v>207.81</v>
      </c>
      <c r="AZ264" s="27"/>
      <c r="BA264" s="240">
        <v>34.983903999999825</v>
      </c>
      <c r="BB264" s="53">
        <v>-12.249642857142504</v>
      </c>
      <c r="BC264" s="52"/>
      <c r="BD264" s="53">
        <f t="shared" si="155"/>
        <v>230.54426114285732</v>
      </c>
      <c r="BF264" s="75">
        <f t="shared" si="177"/>
        <v>46112</v>
      </c>
      <c r="BG264" s="56">
        <v>6435.89</v>
      </c>
      <c r="BH264" s="57">
        <v>420.04</v>
      </c>
      <c r="BI264" s="70"/>
      <c r="BJ264" s="59"/>
      <c r="BK264" s="27"/>
      <c r="BL264" s="240">
        <v>130.46955999999983</v>
      </c>
      <c r="BM264" s="52">
        <v>18.592056907143</v>
      </c>
      <c r="BN264" s="52"/>
      <c r="BO264" s="53">
        <f t="shared" si="156"/>
        <v>149.06161690714282</v>
      </c>
      <c r="BQ264" s="112">
        <f t="shared" si="169"/>
        <v>46112</v>
      </c>
      <c r="BR264" s="57">
        <v>318.02</v>
      </c>
      <c r="BS264" s="57">
        <v>603.94000000000005</v>
      </c>
      <c r="BT264" s="70"/>
      <c r="BU264" s="61"/>
      <c r="BV264" s="27"/>
      <c r="BW264" s="51"/>
      <c r="BX264" s="52"/>
      <c r="BY264" s="52"/>
      <c r="BZ264" s="53">
        <f t="shared" si="157"/>
        <v>0</v>
      </c>
      <c r="CB264" s="47">
        <f t="shared" si="170"/>
        <v>46112</v>
      </c>
      <c r="CC264" s="56">
        <v>25973.56</v>
      </c>
      <c r="CD264" s="57">
        <v>3248.37</v>
      </c>
      <c r="CE264" s="70"/>
      <c r="CF264" s="117"/>
      <c r="CG264" s="27"/>
      <c r="CH264" s="51"/>
      <c r="CI264" s="52"/>
      <c r="CJ264" s="53"/>
      <c r="CK264" s="53">
        <f t="shared" si="158"/>
        <v>0</v>
      </c>
      <c r="CM264" s="75">
        <f t="shared" si="171"/>
        <v>46112</v>
      </c>
      <c r="CN264" s="56">
        <v>17601.29</v>
      </c>
      <c r="CO264" s="57">
        <v>1867.01</v>
      </c>
      <c r="CP264" s="70"/>
      <c r="CQ264" s="62"/>
      <c r="CR264" s="27"/>
      <c r="CS264" s="240">
        <v>106.54599999999996</v>
      </c>
      <c r="CT264" s="53">
        <v>214.47630193714281</v>
      </c>
      <c r="CU264" s="53"/>
      <c r="CV264" s="53">
        <f t="shared" si="159"/>
        <v>321.02230193714274</v>
      </c>
      <c r="CX264" s="75">
        <f t="shared" si="172"/>
        <v>46112</v>
      </c>
      <c r="CY264" s="56">
        <v>6502.64</v>
      </c>
      <c r="CZ264" s="57">
        <v>746.28</v>
      </c>
      <c r="DA264" s="70"/>
      <c r="DB264" s="59"/>
      <c r="DC264" s="27"/>
      <c r="DD264" s="240">
        <v>132.70123999999993</v>
      </c>
      <c r="DE264" s="53">
        <v>96.444900427857533</v>
      </c>
      <c r="DF264" s="52"/>
      <c r="DG264" s="53">
        <f t="shared" si="160"/>
        <v>229.14614042785746</v>
      </c>
      <c r="DI264" s="75">
        <f t="shared" si="173"/>
        <v>46112</v>
      </c>
      <c r="DJ264" s="56">
        <v>1356.1</v>
      </c>
      <c r="DK264" s="71"/>
      <c r="DL264" s="70"/>
      <c r="DM264" s="62"/>
      <c r="DN264" s="27"/>
      <c r="DO264" s="51"/>
      <c r="DP264" s="52"/>
      <c r="DQ264" s="52"/>
      <c r="DR264" s="53">
        <f t="shared" si="161"/>
        <v>0</v>
      </c>
      <c r="DT264" s="75">
        <f t="shared" si="174"/>
        <v>46112</v>
      </c>
      <c r="DU264" s="56">
        <v>5623.21</v>
      </c>
      <c r="DV264" s="57">
        <v>460.6</v>
      </c>
      <c r="DW264" s="70"/>
      <c r="DX264" s="62"/>
      <c r="DY264" s="27"/>
      <c r="DZ264" s="240">
        <v>38.792599999999936</v>
      </c>
      <c r="EA264" s="53">
        <v>20.525917742857303</v>
      </c>
      <c r="EB264" s="52"/>
      <c r="EC264" s="53">
        <f t="shared" si="162"/>
        <v>59.318517742857239</v>
      </c>
      <c r="EE264" s="75">
        <f t="shared" si="175"/>
        <v>46112</v>
      </c>
      <c r="EF264" s="56">
        <v>7388.97</v>
      </c>
      <c r="EG264" s="57">
        <v>1567.81</v>
      </c>
      <c r="EH264" s="70"/>
      <c r="EI264" s="59">
        <v>105.62</v>
      </c>
      <c r="EJ264" s="27"/>
      <c r="EK264" s="51"/>
      <c r="EL264" s="52"/>
      <c r="EM264" s="52"/>
      <c r="EN264" s="53">
        <f t="shared" si="163"/>
        <v>105.62</v>
      </c>
      <c r="EP264" s="75">
        <f t="shared" si="176"/>
        <v>46112</v>
      </c>
      <c r="EQ264" s="64">
        <v>616.29999999999995</v>
      </c>
      <c r="ER264" s="56">
        <v>336.47</v>
      </c>
      <c r="ES264" s="70"/>
      <c r="ET264" s="59"/>
      <c r="EV264" s="51"/>
      <c r="EW264" s="52"/>
      <c r="EX264" s="52"/>
      <c r="EY264" s="53">
        <f t="shared" si="164"/>
        <v>0</v>
      </c>
    </row>
    <row r="265" spans="2:155" ht="15.75" thickBot="1" x14ac:dyDescent="0.3">
      <c r="B265" s="32"/>
      <c r="C265" s="431">
        <f>SUM(C234:C264)</f>
        <v>933998.41999999993</v>
      </c>
      <c r="D265" s="431">
        <f>SUM(D234:D264)</f>
        <v>134692.13999999998</v>
      </c>
      <c r="E265" s="431">
        <f>SUM(E234:E264)</f>
        <v>97096.770000000019</v>
      </c>
      <c r="F265" s="432">
        <f>SUM(F234:F264)</f>
        <v>54866.840000000004</v>
      </c>
      <c r="G265" s="32"/>
      <c r="H265" s="241"/>
      <c r="I265" s="242">
        <f>SUM(I234:I264)</f>
        <v>0</v>
      </c>
      <c r="J265" s="243">
        <f>SUM(J234:J264)</f>
        <v>466.48524427209503</v>
      </c>
      <c r="K265" s="243">
        <f>SUM(K234:K264)</f>
        <v>325.12367619999981</v>
      </c>
      <c r="L265" s="243">
        <f>SUM(L234:L264)</f>
        <v>791.96892047209485</v>
      </c>
      <c r="M265" s="32"/>
      <c r="N265" s="32"/>
      <c r="O265" s="431">
        <f>SUM(O234:O264)</f>
        <v>116154.88</v>
      </c>
      <c r="P265" s="431">
        <f>SUM(P234:P264)</f>
        <v>14007.460000000001</v>
      </c>
      <c r="Q265" s="432">
        <f>SUM(Q234:Q264)</f>
        <v>0</v>
      </c>
      <c r="R265" s="432">
        <f>SUM(R234:R264)</f>
        <v>0</v>
      </c>
      <c r="S265" s="241"/>
      <c r="T265" s="242">
        <f>SUM(T234:T264)</f>
        <v>11429.026169999996</v>
      </c>
      <c r="U265" s="243">
        <f>SUM(U234:U264)</f>
        <v>105.93928505952522</v>
      </c>
      <c r="V265" s="243">
        <f>SUM(V234:V264)</f>
        <v>0</v>
      </c>
      <c r="W265" s="243">
        <f>SUM(W234:W264)</f>
        <v>11534.965455059519</v>
      </c>
      <c r="X265" s="32"/>
      <c r="Y265" s="32"/>
      <c r="Z265" s="431">
        <f>SUM(Z234:Z264)</f>
        <v>246520.90000000002</v>
      </c>
      <c r="AA265" s="431">
        <f>SUM(AA234:AA264)</f>
        <v>49903.729999999989</v>
      </c>
      <c r="AB265" s="431">
        <f>SUM(AB234:AB264)</f>
        <v>0</v>
      </c>
      <c r="AC265" s="432">
        <f>SUM(AC234:AC264)</f>
        <v>4349.9799999999987</v>
      </c>
      <c r="AD265" s="241"/>
      <c r="AE265" s="242">
        <f>SUM(AE234:AE264)</f>
        <v>2657.392809999998</v>
      </c>
      <c r="AF265" s="243">
        <f>SUM(AF234:AF264)</f>
        <v>-2.3644114285713727</v>
      </c>
      <c r="AG265" s="243">
        <f>SUM(AG234:AG264)</f>
        <v>1.795393599999997</v>
      </c>
      <c r="AH265" s="243">
        <f>SUM(AH234:AH264)</f>
        <v>7006.8037921714258</v>
      </c>
      <c r="AI265" s="32"/>
      <c r="AJ265" s="32"/>
      <c r="AK265" s="431">
        <f>SUM(AK234:AK264)</f>
        <v>156943.15999999997</v>
      </c>
      <c r="AL265" s="431">
        <f>SUM(AL234:AL264)</f>
        <v>18645.920000000002</v>
      </c>
      <c r="AM265" s="432">
        <f>SUM(AM234:AM264)</f>
        <v>0</v>
      </c>
      <c r="AN265" s="432">
        <f>SUM(AN234:AN264)</f>
        <v>0</v>
      </c>
      <c r="AO265" s="241"/>
      <c r="AP265" s="242">
        <f>SUM(AP234:AP264)</f>
        <v>0</v>
      </c>
      <c r="AQ265" s="243">
        <f>SUM(AQ234:AQ264)</f>
        <v>0</v>
      </c>
      <c r="AR265" s="243">
        <f>SUM(AR234:AR264)</f>
        <v>0</v>
      </c>
      <c r="AS265" s="243">
        <f>SUM(AS234:AS264)</f>
        <v>0</v>
      </c>
      <c r="AT265" s="32"/>
      <c r="AU265" s="32"/>
      <c r="AV265" s="431">
        <f>SUM(AV234:AV264)</f>
        <v>86588.389999999985</v>
      </c>
      <c r="AW265" s="431">
        <f>SUM(AW234:AW264)</f>
        <v>4618.4999999999991</v>
      </c>
      <c r="AX265" s="432">
        <f>SUM(AX234:AX264)</f>
        <v>0</v>
      </c>
      <c r="AY265" s="432">
        <f>SUM(AY234:AY264)</f>
        <v>6663.64</v>
      </c>
      <c r="AZ265" s="241"/>
      <c r="BA265" s="242">
        <f>SUM(BA234:BA264)</f>
        <v>5776.9821049999973</v>
      </c>
      <c r="BB265" s="243">
        <f>SUM(BB234:BB264)</f>
        <v>607.16852917228789</v>
      </c>
      <c r="BC265" s="243">
        <f>SUM(BC234:BC264)</f>
        <v>0</v>
      </c>
      <c r="BD265" s="243">
        <f>SUM(BD234:BD264)</f>
        <v>13047.790634172285</v>
      </c>
      <c r="BE265" s="32"/>
      <c r="BF265" s="32"/>
      <c r="BG265" s="431">
        <f>SUM(BG234:BG264)</f>
        <v>172362.97</v>
      </c>
      <c r="BH265" s="431">
        <f>SUM(BH234:BH264)</f>
        <v>32423.929999999993</v>
      </c>
      <c r="BI265" s="432">
        <f>SUM(BI234:BI264)</f>
        <v>0</v>
      </c>
      <c r="BJ265" s="432">
        <f>SUM(BJ234:BJ264)</f>
        <v>280.77000000000004</v>
      </c>
      <c r="BK265" s="241"/>
      <c r="BL265" s="242">
        <f>SUM(BL234:BL264)</f>
        <v>11596.260497999992</v>
      </c>
      <c r="BM265" s="243">
        <f>SUM(BM234:BM264)</f>
        <v>1132.2482070093331</v>
      </c>
      <c r="BN265" s="243">
        <f>SUM(BN234:BN264)</f>
        <v>0</v>
      </c>
      <c r="BO265" s="243">
        <f>SUM(BO234:BO264)</f>
        <v>13009.27870500933</v>
      </c>
      <c r="BP265" s="32"/>
      <c r="BQ265" s="32"/>
      <c r="BR265" s="431">
        <f>SUM(BR234:BR264)</f>
        <v>15420.83</v>
      </c>
      <c r="BS265" s="431">
        <f>SUM(BS234:BS264)</f>
        <v>11366.78</v>
      </c>
      <c r="BT265" s="432">
        <f>SUM(BT234:BT264)</f>
        <v>0</v>
      </c>
      <c r="BU265" s="432">
        <f>SUM(BU234:BU264)</f>
        <v>46.09</v>
      </c>
      <c r="BV265" s="241"/>
      <c r="BW265" s="242">
        <f>SUM(BW234:BW264)</f>
        <v>0</v>
      </c>
      <c r="BX265" s="243">
        <f>SUM(BX234:BX264)</f>
        <v>0</v>
      </c>
      <c r="BY265" s="243">
        <f>SUM(BY234:BY264)</f>
        <v>0</v>
      </c>
      <c r="BZ265" s="243">
        <f>SUM(BZ234:BZ264)</f>
        <v>46.09</v>
      </c>
      <c r="CA265" s="32"/>
      <c r="CB265" s="32"/>
      <c r="CC265" s="431">
        <f>SUM(CC234:CC264)</f>
        <v>917761.69000000006</v>
      </c>
      <c r="CD265" s="431">
        <f>SUM(CD234:CD264)</f>
        <v>95875.739999999991</v>
      </c>
      <c r="CE265" s="432">
        <f>SUM(CE234:CE264)</f>
        <v>0</v>
      </c>
      <c r="CF265" s="432">
        <f>SUM(CF234:CF264)</f>
        <v>0</v>
      </c>
      <c r="CG265" s="241"/>
      <c r="CH265" s="242">
        <f>SUM(CH234:CH264)</f>
        <v>0</v>
      </c>
      <c r="CI265" s="243">
        <f>SUM(CI234:CI264)</f>
        <v>0</v>
      </c>
      <c r="CJ265" s="243">
        <f>SUM(CJ234:CJ264)</f>
        <v>84.962803700000009</v>
      </c>
      <c r="CK265" s="243">
        <f>SUM(CK234:CK264)</f>
        <v>84.962803700000009</v>
      </c>
      <c r="CL265" s="32"/>
      <c r="CM265" s="32"/>
      <c r="CN265" s="431">
        <f>SUM(CN234:CN264)</f>
        <v>486044.83</v>
      </c>
      <c r="CO265" s="431">
        <f>SUM(CO234:CO264)</f>
        <v>100226.88000000002</v>
      </c>
      <c r="CP265" s="432">
        <f>SUM(CP234:CP264)</f>
        <v>0</v>
      </c>
      <c r="CQ265" s="432">
        <f>SUM(CQ234:CQ264)</f>
        <v>0</v>
      </c>
      <c r="CR265" s="241"/>
      <c r="CS265" s="242">
        <f>SUM(CS234:CS264)</f>
        <v>2948.0685899999985</v>
      </c>
      <c r="CT265" s="243">
        <f>SUM(CT234:CT264)</f>
        <v>9509.0223019958867</v>
      </c>
      <c r="CU265" s="243">
        <f>SUM(CU234:CU264)</f>
        <v>226.55740659999992</v>
      </c>
      <c r="CV265" s="243">
        <f>SUM(CV234:CV264)</f>
        <v>12683.648298595881</v>
      </c>
      <c r="CW265" s="32"/>
      <c r="CX265" s="32"/>
      <c r="CY265" s="431">
        <f>SUM(CY234:CY264)</f>
        <v>193721.31000000003</v>
      </c>
      <c r="CZ265" s="431">
        <f>SUM(CZ234:CZ264)</f>
        <v>28482.92</v>
      </c>
      <c r="DA265" s="432">
        <f>SUM(DA234:DA264)</f>
        <v>0</v>
      </c>
      <c r="DB265" s="432">
        <f>SUM(DB234:DB264)</f>
        <v>0</v>
      </c>
      <c r="DC265" s="241"/>
      <c r="DD265" s="242">
        <f>SUM(DD234:DD264)</f>
        <v>10367.843082999996</v>
      </c>
      <c r="DE265" s="243">
        <f>SUM(DE234:DE264)</f>
        <v>4155.7562359534668</v>
      </c>
      <c r="DF265" s="243">
        <f>SUM(DF234:DF264)</f>
        <v>0</v>
      </c>
      <c r="DG265" s="243">
        <f>SUM(DG234:DG264)</f>
        <v>14523.599318953458</v>
      </c>
      <c r="DH265" s="32"/>
      <c r="DI265" s="32"/>
      <c r="DJ265" s="431">
        <f>SUM(DJ234:DJ264)</f>
        <v>44457.779999999992</v>
      </c>
      <c r="DK265" s="431">
        <f>SUM(DK234:DK264)</f>
        <v>0</v>
      </c>
      <c r="DL265" s="432">
        <f>SUM(DL234:DL264)</f>
        <v>0</v>
      </c>
      <c r="DM265" s="432">
        <f>SUM(DM234:DM264)</f>
        <v>0</v>
      </c>
      <c r="DN265" s="241"/>
      <c r="DO265" s="242">
        <f>SUM(DO234:DO264)</f>
        <v>0</v>
      </c>
      <c r="DP265" s="243">
        <f>SUM(DP234:DP264)</f>
        <v>0</v>
      </c>
      <c r="DQ265" s="243">
        <f>SUM(DQ234:DQ264)</f>
        <v>0</v>
      </c>
      <c r="DR265" s="243">
        <f>SUM(DR234:DR264)</f>
        <v>0</v>
      </c>
      <c r="DS265" s="32"/>
      <c r="DT265" s="32"/>
      <c r="DU265" s="431">
        <f>SUM(DU234:DU264)</f>
        <v>92060.54</v>
      </c>
      <c r="DV265" s="432">
        <f>SUM(DV234:DV264)</f>
        <v>15065.59</v>
      </c>
      <c r="DW265" s="432">
        <f>SUM(DW234:DW264)</f>
        <v>0</v>
      </c>
      <c r="DX265" s="432">
        <f>SUM(DX234:DX264)</f>
        <v>0</v>
      </c>
      <c r="DY265" s="241"/>
      <c r="DZ265" s="242">
        <f>SUM(DZ234:DZ264)</f>
        <v>3983.699749999997</v>
      </c>
      <c r="EA265" s="243">
        <f>SUM(EA234:EA264)</f>
        <v>5743.7204243655251</v>
      </c>
      <c r="EB265" s="243">
        <f>SUM(EB234:EB264)</f>
        <v>0</v>
      </c>
      <c r="EC265" s="243">
        <f>SUM(EC234:EC264)</f>
        <v>9727.4201743655194</v>
      </c>
      <c r="ED265" s="32"/>
      <c r="EE265" s="32"/>
      <c r="EF265" s="431">
        <f>SUM(EF234:EF264)</f>
        <v>242631.20999999996</v>
      </c>
      <c r="EG265" s="431">
        <f>SUM(EG234:EG264)</f>
        <v>43497.270000000004</v>
      </c>
      <c r="EH265" s="432">
        <f>SUM(EH234:EH264)</f>
        <v>0</v>
      </c>
      <c r="EI265" s="432">
        <f>SUM(EI234:EI264)</f>
        <v>3526.1400000000003</v>
      </c>
      <c r="EJ265" s="241"/>
      <c r="EK265" s="242">
        <f>SUM(EK234:EK264)</f>
        <v>214.83778999999987</v>
      </c>
      <c r="EL265" s="243">
        <f>SUM(EL234:EL264)</f>
        <v>0</v>
      </c>
      <c r="EM265" s="243">
        <f>SUM(EM234:EM264)</f>
        <v>0</v>
      </c>
      <c r="EN265" s="243">
        <f>SUM(EN234:EN264)</f>
        <v>3740.9777900000004</v>
      </c>
      <c r="EO265" s="32"/>
      <c r="EP265" s="32"/>
      <c r="EQ265" s="431">
        <f>SUM(EQ234:EQ264)</f>
        <v>29147.999999999996</v>
      </c>
      <c r="ER265" s="431">
        <f>SUM(ER234:ER264)</f>
        <v>9099.2900000000009</v>
      </c>
      <c r="ES265" s="432">
        <f>SUM(ES234:ES264)</f>
        <v>0</v>
      </c>
      <c r="ET265" s="432">
        <f>SUM(ET234:ET264)</f>
        <v>0</v>
      </c>
      <c r="EV265" s="242">
        <f>SUM(EV234:EV264)</f>
        <v>0</v>
      </c>
      <c r="EW265" s="243">
        <f>SUM(EW234:EW264)</f>
        <v>0</v>
      </c>
      <c r="EX265" s="243">
        <f>SUM(EX234:EX264)</f>
        <v>0</v>
      </c>
      <c r="EY265" s="243">
        <f>SUM(EY234:EY264)</f>
        <v>0</v>
      </c>
    </row>
    <row r="268" spans="2:155" ht="21" x14ac:dyDescent="0.35">
      <c r="C268" s="1" t="s">
        <v>0</v>
      </c>
      <c r="O268" s="1" t="s">
        <v>1</v>
      </c>
      <c r="AA268" s="1" t="s">
        <v>2</v>
      </c>
      <c r="AL268" s="1" t="s">
        <v>3</v>
      </c>
      <c r="AW268" s="1" t="s">
        <v>4</v>
      </c>
      <c r="BH268" s="1" t="s">
        <v>5</v>
      </c>
      <c r="BS268" s="1" t="s">
        <v>6</v>
      </c>
      <c r="CD268" s="1" t="s">
        <v>7</v>
      </c>
      <c r="CO268" s="1" t="s">
        <v>8</v>
      </c>
      <c r="CZ268" s="1" t="s">
        <v>9</v>
      </c>
      <c r="DK268" s="1" t="s">
        <v>10</v>
      </c>
      <c r="DV268" s="1" t="s">
        <v>11</v>
      </c>
      <c r="EG268" s="1" t="s">
        <v>12</v>
      </c>
      <c r="ER268" s="1" t="s">
        <v>13</v>
      </c>
    </row>
    <row r="269" spans="2:155" ht="15.75" thickBot="1" x14ac:dyDescent="0.3"/>
    <row r="270" spans="2:155" x14ac:dyDescent="0.25">
      <c r="B270" s="2" t="s">
        <v>14</v>
      </c>
      <c r="C270" s="3" t="s">
        <v>15</v>
      </c>
      <c r="D270" s="4" t="s">
        <v>15</v>
      </c>
      <c r="E270" s="4" t="s">
        <v>15</v>
      </c>
      <c r="F270" s="5" t="s">
        <v>16</v>
      </c>
      <c r="G270" s="5" t="s">
        <v>16</v>
      </c>
      <c r="H270" s="6"/>
      <c r="I270" s="7" t="s">
        <v>16</v>
      </c>
      <c r="J270" s="8" t="s">
        <v>16</v>
      </c>
      <c r="K270" s="9" t="s">
        <v>16</v>
      </c>
      <c r="L270" s="10" t="s">
        <v>17</v>
      </c>
      <c r="N270" s="2" t="s">
        <v>14</v>
      </c>
      <c r="O270" s="3" t="s">
        <v>15</v>
      </c>
      <c r="P270" s="4" t="s">
        <v>15</v>
      </c>
      <c r="Q270" s="5" t="s">
        <v>16</v>
      </c>
      <c r="R270" s="11" t="s">
        <v>16</v>
      </c>
      <c r="S270" s="6"/>
      <c r="T270" s="7" t="s">
        <v>16</v>
      </c>
      <c r="U270" s="8" t="s">
        <v>16</v>
      </c>
      <c r="V270" s="9" t="s">
        <v>16</v>
      </c>
      <c r="W270" s="10" t="s">
        <v>17</v>
      </c>
      <c r="Y270" s="2" t="s">
        <v>14</v>
      </c>
      <c r="Z270" s="3" t="s">
        <v>15</v>
      </c>
      <c r="AA270" s="4" t="s">
        <v>15</v>
      </c>
      <c r="AB270" s="4" t="s">
        <v>16</v>
      </c>
      <c r="AC270" s="11" t="s">
        <v>16</v>
      </c>
      <c r="AD270" s="6"/>
      <c r="AE270" s="7" t="s">
        <v>16</v>
      </c>
      <c r="AF270" s="8" t="s">
        <v>16</v>
      </c>
      <c r="AG270" s="9" t="s">
        <v>16</v>
      </c>
      <c r="AH270" s="10" t="s">
        <v>17</v>
      </c>
      <c r="AJ270" s="2" t="s">
        <v>14</v>
      </c>
      <c r="AK270" s="3" t="s">
        <v>15</v>
      </c>
      <c r="AL270" s="4" t="s">
        <v>15</v>
      </c>
      <c r="AM270" s="5" t="s">
        <v>16</v>
      </c>
      <c r="AN270" s="11" t="s">
        <v>16</v>
      </c>
      <c r="AO270" s="6"/>
      <c r="AP270" s="7" t="s">
        <v>16</v>
      </c>
      <c r="AQ270" s="8" t="s">
        <v>16</v>
      </c>
      <c r="AR270" s="9" t="s">
        <v>16</v>
      </c>
      <c r="AS270" s="10" t="s">
        <v>17</v>
      </c>
      <c r="AU270" s="2" t="s">
        <v>14</v>
      </c>
      <c r="AV270" s="3" t="s">
        <v>15</v>
      </c>
      <c r="AW270" s="4" t="s">
        <v>15</v>
      </c>
      <c r="AX270" s="5" t="s">
        <v>16</v>
      </c>
      <c r="AY270" s="11" t="s">
        <v>16</v>
      </c>
      <c r="AZ270" s="6"/>
      <c r="BA270" s="7" t="s">
        <v>16</v>
      </c>
      <c r="BB270" s="8" t="s">
        <v>16</v>
      </c>
      <c r="BC270" s="9" t="s">
        <v>16</v>
      </c>
      <c r="BD270" s="10" t="s">
        <v>17</v>
      </c>
      <c r="BF270" s="2" t="s">
        <v>14</v>
      </c>
      <c r="BG270" s="3" t="s">
        <v>15</v>
      </c>
      <c r="BH270" s="4" t="s">
        <v>15</v>
      </c>
      <c r="BI270" s="5" t="s">
        <v>16</v>
      </c>
      <c r="BJ270" s="11" t="s">
        <v>16</v>
      </c>
      <c r="BK270" s="6"/>
      <c r="BL270" s="7" t="s">
        <v>16</v>
      </c>
      <c r="BM270" s="8" t="s">
        <v>16</v>
      </c>
      <c r="BN270" s="9" t="s">
        <v>16</v>
      </c>
      <c r="BO270" s="10" t="s">
        <v>17</v>
      </c>
      <c r="BQ270" s="2" t="s">
        <v>14</v>
      </c>
      <c r="BR270" s="3" t="s">
        <v>15</v>
      </c>
      <c r="BS270" s="4" t="s">
        <v>15</v>
      </c>
      <c r="BT270" s="5" t="s">
        <v>16</v>
      </c>
      <c r="BU270" s="11" t="s">
        <v>16</v>
      </c>
      <c r="BV270" s="6"/>
      <c r="BW270" s="7" t="s">
        <v>16</v>
      </c>
      <c r="BX270" s="8" t="s">
        <v>16</v>
      </c>
      <c r="BY270" s="9" t="s">
        <v>16</v>
      </c>
      <c r="BZ270" s="10" t="s">
        <v>17</v>
      </c>
      <c r="CB270" s="2" t="s">
        <v>14</v>
      </c>
      <c r="CC270" s="3" t="s">
        <v>15</v>
      </c>
      <c r="CD270" s="4" t="s">
        <v>15</v>
      </c>
      <c r="CE270" s="5" t="s">
        <v>16</v>
      </c>
      <c r="CF270" s="5" t="s">
        <v>16</v>
      </c>
      <c r="CG270" s="6"/>
      <c r="CH270" s="7" t="s">
        <v>16</v>
      </c>
      <c r="CI270" s="8" t="s">
        <v>16</v>
      </c>
      <c r="CJ270" s="9" t="s">
        <v>16</v>
      </c>
      <c r="CK270" s="10" t="s">
        <v>17</v>
      </c>
      <c r="CM270" s="2" t="s">
        <v>14</v>
      </c>
      <c r="CN270" s="3" t="s">
        <v>15</v>
      </c>
      <c r="CO270" s="4" t="s">
        <v>15</v>
      </c>
      <c r="CP270" s="5" t="s">
        <v>16</v>
      </c>
      <c r="CQ270" s="11" t="s">
        <v>16</v>
      </c>
      <c r="CR270" s="6"/>
      <c r="CS270" s="7" t="s">
        <v>16</v>
      </c>
      <c r="CT270" s="8" t="s">
        <v>16</v>
      </c>
      <c r="CU270" s="9" t="s">
        <v>16</v>
      </c>
      <c r="CV270" s="10" t="s">
        <v>17</v>
      </c>
      <c r="CX270" s="2" t="s">
        <v>14</v>
      </c>
      <c r="CY270" s="3" t="s">
        <v>15</v>
      </c>
      <c r="CZ270" s="4" t="s">
        <v>15</v>
      </c>
      <c r="DA270" s="5" t="s">
        <v>16</v>
      </c>
      <c r="DB270" s="11" t="s">
        <v>16</v>
      </c>
      <c r="DC270" s="6"/>
      <c r="DD270" s="7" t="s">
        <v>16</v>
      </c>
      <c r="DE270" s="8" t="s">
        <v>16</v>
      </c>
      <c r="DF270" s="9" t="s">
        <v>16</v>
      </c>
      <c r="DG270" s="10" t="s">
        <v>17</v>
      </c>
      <c r="DI270" s="2" t="s">
        <v>14</v>
      </c>
      <c r="DJ270" s="3" t="s">
        <v>15</v>
      </c>
      <c r="DK270" s="4" t="s">
        <v>15</v>
      </c>
      <c r="DL270" s="5" t="s">
        <v>16</v>
      </c>
      <c r="DM270" s="11" t="s">
        <v>16</v>
      </c>
      <c r="DN270" s="6"/>
      <c r="DO270" s="7" t="s">
        <v>16</v>
      </c>
      <c r="DP270" s="8" t="s">
        <v>16</v>
      </c>
      <c r="DQ270" s="9" t="s">
        <v>16</v>
      </c>
      <c r="DR270" s="10" t="s">
        <v>17</v>
      </c>
      <c r="DT270" s="2" t="s">
        <v>14</v>
      </c>
      <c r="DU270" s="3" t="s">
        <v>15</v>
      </c>
      <c r="DV270" s="4" t="s">
        <v>15</v>
      </c>
      <c r="DW270" s="5" t="s">
        <v>16</v>
      </c>
      <c r="DX270" s="11" t="s">
        <v>16</v>
      </c>
      <c r="DY270" s="6"/>
      <c r="DZ270" s="7" t="s">
        <v>16</v>
      </c>
      <c r="EA270" s="8" t="s">
        <v>16</v>
      </c>
      <c r="EB270" s="9" t="s">
        <v>16</v>
      </c>
      <c r="EC270" s="10" t="s">
        <v>17</v>
      </c>
      <c r="EE270" s="2" t="s">
        <v>14</v>
      </c>
      <c r="EF270" s="3" t="s">
        <v>15</v>
      </c>
      <c r="EG270" s="4" t="s">
        <v>15</v>
      </c>
      <c r="EH270" s="5" t="s">
        <v>16</v>
      </c>
      <c r="EI270" s="11" t="s">
        <v>16</v>
      </c>
      <c r="EJ270" s="6"/>
      <c r="EK270" s="7" t="s">
        <v>16</v>
      </c>
      <c r="EL270" s="8" t="s">
        <v>16</v>
      </c>
      <c r="EM270" s="9" t="s">
        <v>16</v>
      </c>
      <c r="EN270" s="10" t="s">
        <v>17</v>
      </c>
      <c r="EP270" s="2" t="s">
        <v>14</v>
      </c>
      <c r="EQ270" s="3" t="s">
        <v>15</v>
      </c>
      <c r="ER270" s="4" t="s">
        <v>15</v>
      </c>
      <c r="ES270" s="5" t="s">
        <v>16</v>
      </c>
      <c r="ET270" s="11" t="s">
        <v>16</v>
      </c>
      <c r="EV270" s="7" t="s">
        <v>16</v>
      </c>
      <c r="EW270" s="8" t="s">
        <v>16</v>
      </c>
      <c r="EX270" s="9" t="s">
        <v>16</v>
      </c>
      <c r="EY270" s="10" t="s">
        <v>17</v>
      </c>
    </row>
    <row r="271" spans="2:155" ht="15.75" thickBot="1" x14ac:dyDescent="0.3">
      <c r="B271" s="87"/>
      <c r="C271" s="13" t="s">
        <v>18</v>
      </c>
      <c r="D271" s="14" t="s">
        <v>19</v>
      </c>
      <c r="E271" s="14" t="s">
        <v>20</v>
      </c>
      <c r="F271" s="15" t="s">
        <v>20</v>
      </c>
      <c r="G271" s="15" t="s">
        <v>27</v>
      </c>
      <c r="H271" s="6"/>
      <c r="I271" s="16" t="s">
        <v>21</v>
      </c>
      <c r="J271" s="17" t="s">
        <v>22</v>
      </c>
      <c r="K271" s="18" t="s">
        <v>23</v>
      </c>
      <c r="L271" s="19" t="s">
        <v>24</v>
      </c>
      <c r="N271" s="12"/>
      <c r="O271" s="13" t="s">
        <v>18</v>
      </c>
      <c r="P271" s="14" t="s">
        <v>19</v>
      </c>
      <c r="Q271" s="15" t="s">
        <v>19</v>
      </c>
      <c r="R271" s="20" t="s">
        <v>25</v>
      </c>
      <c r="S271" s="6"/>
      <c r="T271" s="16" t="s">
        <v>21</v>
      </c>
      <c r="U271" s="17" t="s">
        <v>22</v>
      </c>
      <c r="V271" s="18" t="s">
        <v>23</v>
      </c>
      <c r="W271" s="19" t="s">
        <v>24</v>
      </c>
      <c r="Y271" s="12"/>
      <c r="Z271" s="13" t="s">
        <v>18</v>
      </c>
      <c r="AA271" s="14" t="s">
        <v>19</v>
      </c>
      <c r="AB271" s="14" t="s">
        <v>19</v>
      </c>
      <c r="AC271" s="20" t="s">
        <v>25</v>
      </c>
      <c r="AD271" s="6"/>
      <c r="AE271" s="16" t="s">
        <v>21</v>
      </c>
      <c r="AF271" s="17" t="s">
        <v>22</v>
      </c>
      <c r="AG271" s="18" t="s">
        <v>23</v>
      </c>
      <c r="AH271" s="21" t="s">
        <v>24</v>
      </c>
      <c r="AJ271" s="12"/>
      <c r="AK271" s="13" t="s">
        <v>18</v>
      </c>
      <c r="AL271" s="14" t="s">
        <v>19</v>
      </c>
      <c r="AM271" s="15" t="s">
        <v>19</v>
      </c>
      <c r="AN271" s="20" t="s">
        <v>25</v>
      </c>
      <c r="AO271" s="6"/>
      <c r="AP271" s="16" t="s">
        <v>21</v>
      </c>
      <c r="AQ271" s="17" t="s">
        <v>22</v>
      </c>
      <c r="AR271" s="18" t="s">
        <v>23</v>
      </c>
      <c r="AS271" s="21" t="s">
        <v>24</v>
      </c>
      <c r="AU271" s="12"/>
      <c r="AV271" s="13" t="s">
        <v>18</v>
      </c>
      <c r="AW271" s="14" t="s">
        <v>19</v>
      </c>
      <c r="AX271" s="15" t="s">
        <v>19</v>
      </c>
      <c r="AY271" s="20" t="s">
        <v>25</v>
      </c>
      <c r="AZ271" s="6"/>
      <c r="BA271" s="16" t="s">
        <v>21</v>
      </c>
      <c r="BB271" s="17" t="s">
        <v>22</v>
      </c>
      <c r="BC271" s="18" t="s">
        <v>23</v>
      </c>
      <c r="BD271" s="21" t="s">
        <v>24</v>
      </c>
      <c r="BF271" s="12"/>
      <c r="BG271" s="13" t="s">
        <v>18</v>
      </c>
      <c r="BH271" s="14" t="s">
        <v>19</v>
      </c>
      <c r="BI271" s="15" t="s">
        <v>19</v>
      </c>
      <c r="BJ271" s="20" t="s">
        <v>25</v>
      </c>
      <c r="BK271" s="6"/>
      <c r="BL271" s="16" t="s">
        <v>21</v>
      </c>
      <c r="BM271" s="17" t="s">
        <v>22</v>
      </c>
      <c r="BN271" s="18" t="s">
        <v>23</v>
      </c>
      <c r="BO271" s="21" t="s">
        <v>24</v>
      </c>
      <c r="BQ271" s="12"/>
      <c r="BR271" s="13" t="s">
        <v>18</v>
      </c>
      <c r="BS271" s="14" t="s">
        <v>19</v>
      </c>
      <c r="BT271" s="15" t="s">
        <v>19</v>
      </c>
      <c r="BU271" s="20" t="s">
        <v>25</v>
      </c>
      <c r="BV271" s="6"/>
      <c r="BW271" s="16" t="s">
        <v>21</v>
      </c>
      <c r="BX271" s="17" t="s">
        <v>22</v>
      </c>
      <c r="BY271" s="18" t="s">
        <v>23</v>
      </c>
      <c r="BZ271" s="21" t="s">
        <v>24</v>
      </c>
      <c r="CB271" s="12"/>
      <c r="CC271" s="13" t="s">
        <v>18</v>
      </c>
      <c r="CD271" s="14" t="s">
        <v>19</v>
      </c>
      <c r="CE271" s="15" t="s">
        <v>19</v>
      </c>
      <c r="CF271" s="15" t="s">
        <v>25</v>
      </c>
      <c r="CG271" s="6"/>
      <c r="CH271" s="16" t="s">
        <v>21</v>
      </c>
      <c r="CI271" s="17" t="s">
        <v>22</v>
      </c>
      <c r="CJ271" s="18" t="s">
        <v>23</v>
      </c>
      <c r="CK271" s="21" t="s">
        <v>24</v>
      </c>
      <c r="CM271" s="12"/>
      <c r="CN271" s="13" t="s">
        <v>18</v>
      </c>
      <c r="CO271" s="14" t="s">
        <v>19</v>
      </c>
      <c r="CP271" s="15" t="s">
        <v>19</v>
      </c>
      <c r="CQ271" s="20" t="s">
        <v>25</v>
      </c>
      <c r="CR271" s="6"/>
      <c r="CS271" s="16" t="s">
        <v>21</v>
      </c>
      <c r="CT271" s="17" t="s">
        <v>22</v>
      </c>
      <c r="CU271" s="18" t="s">
        <v>23</v>
      </c>
      <c r="CV271" s="21" t="s">
        <v>24</v>
      </c>
      <c r="CX271" s="12"/>
      <c r="CY271" s="13" t="s">
        <v>18</v>
      </c>
      <c r="CZ271" s="14" t="s">
        <v>19</v>
      </c>
      <c r="DA271" s="15" t="s">
        <v>19</v>
      </c>
      <c r="DB271" s="20" t="s">
        <v>25</v>
      </c>
      <c r="DC271" s="6"/>
      <c r="DD271" s="16" t="s">
        <v>21</v>
      </c>
      <c r="DE271" s="17" t="s">
        <v>22</v>
      </c>
      <c r="DF271" s="18" t="s">
        <v>23</v>
      </c>
      <c r="DG271" s="21" t="s">
        <v>24</v>
      </c>
      <c r="DI271" s="12"/>
      <c r="DJ271" s="13" t="s">
        <v>18</v>
      </c>
      <c r="DK271" s="14" t="s">
        <v>19</v>
      </c>
      <c r="DL271" s="15" t="s">
        <v>19</v>
      </c>
      <c r="DM271" s="20" t="s">
        <v>25</v>
      </c>
      <c r="DN271" s="6"/>
      <c r="DO271" s="16" t="s">
        <v>21</v>
      </c>
      <c r="DP271" s="17" t="s">
        <v>22</v>
      </c>
      <c r="DQ271" s="18" t="s">
        <v>23</v>
      </c>
      <c r="DR271" s="21" t="s">
        <v>24</v>
      </c>
      <c r="DT271" s="12"/>
      <c r="DU271" s="13" t="s">
        <v>18</v>
      </c>
      <c r="DV271" s="14" t="s">
        <v>19</v>
      </c>
      <c r="DW271" s="15" t="s">
        <v>19</v>
      </c>
      <c r="DX271" s="20" t="s">
        <v>25</v>
      </c>
      <c r="DY271" s="6"/>
      <c r="DZ271" s="16" t="s">
        <v>21</v>
      </c>
      <c r="EA271" s="17" t="s">
        <v>22</v>
      </c>
      <c r="EB271" s="18" t="s">
        <v>23</v>
      </c>
      <c r="EC271" s="21" t="s">
        <v>24</v>
      </c>
      <c r="EE271" s="12"/>
      <c r="EF271" s="13" t="s">
        <v>18</v>
      </c>
      <c r="EG271" s="14" t="s">
        <v>19</v>
      </c>
      <c r="EH271" s="15" t="s">
        <v>19</v>
      </c>
      <c r="EI271" s="20" t="s">
        <v>25</v>
      </c>
      <c r="EJ271" s="6"/>
      <c r="EK271" s="16" t="s">
        <v>21</v>
      </c>
      <c r="EL271" s="17" t="s">
        <v>22</v>
      </c>
      <c r="EM271" s="18" t="s">
        <v>23</v>
      </c>
      <c r="EN271" s="21" t="s">
        <v>24</v>
      </c>
      <c r="EP271" s="12"/>
      <c r="EQ271" s="13" t="s">
        <v>18</v>
      </c>
      <c r="ER271" s="14" t="s">
        <v>19</v>
      </c>
      <c r="ES271" s="15" t="s">
        <v>19</v>
      </c>
      <c r="ET271" s="20" t="s">
        <v>25</v>
      </c>
      <c r="EV271" s="16" t="s">
        <v>21</v>
      </c>
      <c r="EW271" s="17" t="s">
        <v>22</v>
      </c>
      <c r="EX271" s="18" t="s">
        <v>23</v>
      </c>
      <c r="EY271" s="21" t="s">
        <v>24</v>
      </c>
    </row>
    <row r="272" spans="2:155" x14ac:dyDescent="0.25">
      <c r="B272" s="22">
        <v>46113</v>
      </c>
      <c r="C272" s="23">
        <v>29654.14</v>
      </c>
      <c r="D272" s="24">
        <v>3826.89</v>
      </c>
      <c r="E272" s="25">
        <v>4565.46</v>
      </c>
      <c r="F272" s="26">
        <v>1244.53</v>
      </c>
      <c r="G272" s="101"/>
      <c r="H272" s="27"/>
      <c r="I272" s="28"/>
      <c r="J272" s="30"/>
      <c r="K272" s="29">
        <v>34.843501599999996</v>
      </c>
      <c r="L272" s="30">
        <f>SUM(G272:K272)</f>
        <v>34.843501599999996</v>
      </c>
      <c r="N272" s="22">
        <f>+B272</f>
        <v>46113</v>
      </c>
      <c r="O272" s="31">
        <v>8065.43</v>
      </c>
      <c r="P272" s="31">
        <v>645.32000000000005</v>
      </c>
      <c r="Q272" s="36"/>
      <c r="R272" s="26"/>
      <c r="S272" s="27"/>
      <c r="T272" s="239">
        <v>60.807919999999683</v>
      </c>
      <c r="U272" s="30">
        <v>-8.1795765214283165</v>
      </c>
      <c r="V272" s="29"/>
      <c r="W272" s="30">
        <f>SUM(R272:V272)</f>
        <v>52.628343478571367</v>
      </c>
      <c r="Y272" s="22">
        <f>+N272</f>
        <v>46113</v>
      </c>
      <c r="Z272" s="34">
        <v>8565.08</v>
      </c>
      <c r="AA272" s="35">
        <v>1694.32</v>
      </c>
      <c r="AB272" s="43"/>
      <c r="AC272" s="37">
        <v>135.87</v>
      </c>
      <c r="AD272" s="27"/>
      <c r="AE272" s="239">
        <v>75.850239999999872</v>
      </c>
      <c r="AF272" s="29"/>
      <c r="AG272" s="29"/>
      <c r="AH272" s="30">
        <f>SUM(AC272:AG272)</f>
        <v>211.72023999999988</v>
      </c>
      <c r="AJ272" s="22">
        <f>+Y272</f>
        <v>46113</v>
      </c>
      <c r="AK272" s="34">
        <v>5028.04</v>
      </c>
      <c r="AL272" s="35">
        <v>324.60000000000002</v>
      </c>
      <c r="AM272" s="36"/>
      <c r="AN272" s="36"/>
      <c r="AO272" s="27"/>
      <c r="AP272" s="28"/>
      <c r="AQ272" s="29"/>
      <c r="AR272" s="29"/>
      <c r="AS272" s="30">
        <f>SUM(AN272:AR272)</f>
        <v>0</v>
      </c>
      <c r="AU272" s="22">
        <f>+AJ272</f>
        <v>46113</v>
      </c>
      <c r="AV272" s="39">
        <v>1574.14</v>
      </c>
      <c r="AW272" s="39">
        <v>243.4</v>
      </c>
      <c r="AX272" s="36"/>
      <c r="AY272" s="37"/>
      <c r="AZ272" s="27"/>
      <c r="BA272" s="239">
        <v>44.555337999999963</v>
      </c>
      <c r="BB272" s="30">
        <v>-7.186914462856862</v>
      </c>
      <c r="BC272" s="29"/>
      <c r="BD272" s="30">
        <f>SUM(AY272:BC272)</f>
        <v>37.368423537143101</v>
      </c>
      <c r="BF272" s="22">
        <f>+AU272</f>
        <v>46113</v>
      </c>
      <c r="BG272" s="34">
        <v>8438.7199999999993</v>
      </c>
      <c r="BH272" s="35">
        <v>733.25</v>
      </c>
      <c r="BI272" s="36"/>
      <c r="BJ272" s="37"/>
      <c r="BK272" s="27"/>
      <c r="BL272" s="28">
        <v>272.28152999999958</v>
      </c>
      <c r="BM272" s="29">
        <v>46.524588875428577</v>
      </c>
      <c r="BN272" s="29"/>
      <c r="BO272" s="30">
        <f>SUM(BJ272:BN272)</f>
        <v>318.80611887542818</v>
      </c>
      <c r="BQ272" s="22">
        <f>+BF272</f>
        <v>46113</v>
      </c>
      <c r="BR272" s="35">
        <v>380</v>
      </c>
      <c r="BS272" s="35">
        <v>442.47</v>
      </c>
      <c r="BT272" s="36"/>
      <c r="BU272" s="40"/>
      <c r="BV272" s="27"/>
      <c r="BW272" s="28"/>
      <c r="BX272" s="29"/>
      <c r="BY272" s="29"/>
      <c r="BZ272" s="30">
        <f>SUM(BU272:BY272)</f>
        <v>0</v>
      </c>
      <c r="CB272" s="22">
        <f>+BQ272</f>
        <v>46113</v>
      </c>
      <c r="CC272" s="34">
        <v>25530.16</v>
      </c>
      <c r="CD272" s="35">
        <v>4374.92</v>
      </c>
      <c r="CE272" s="36"/>
      <c r="CF272" s="116"/>
      <c r="CG272" s="27"/>
      <c r="CH272" s="28"/>
      <c r="CI272" s="29"/>
      <c r="CJ272" s="29"/>
      <c r="CK272" s="30">
        <f>SUM(CF272:CJ272)</f>
        <v>0</v>
      </c>
      <c r="CM272" s="22">
        <f>+CB272</f>
        <v>46113</v>
      </c>
      <c r="CN272" s="34">
        <v>19659.990000000002</v>
      </c>
      <c r="CO272" s="35">
        <v>2300.8000000000002</v>
      </c>
      <c r="CP272" s="36"/>
      <c r="CQ272" s="41"/>
      <c r="CR272" s="27"/>
      <c r="CS272" s="239">
        <v>110.76587999999994</v>
      </c>
      <c r="CT272" s="30">
        <v>353.5422573177143</v>
      </c>
      <c r="CU272" s="30"/>
      <c r="CV272" s="30">
        <f>SUM(CQ272:CU272)</f>
        <v>464.30813731771423</v>
      </c>
      <c r="CX272" s="22">
        <f>+CM272</f>
        <v>46113</v>
      </c>
      <c r="CY272" s="34">
        <v>8261.4500000000007</v>
      </c>
      <c r="CZ272" s="35">
        <v>2260.7600000000002</v>
      </c>
      <c r="DA272" s="36"/>
      <c r="DB272" s="37"/>
      <c r="DC272" s="27"/>
      <c r="DD272" s="239">
        <v>420.22257199999899</v>
      </c>
      <c r="DE272" s="30">
        <v>181.36482642928615</v>
      </c>
      <c r="DF272" s="30"/>
      <c r="DG272" s="30">
        <f>SUM(DB272:DF272)</f>
        <v>601.58739842928514</v>
      </c>
      <c r="DI272" s="22">
        <f>+CX272</f>
        <v>46113</v>
      </c>
      <c r="DJ272" s="34">
        <v>2102.33</v>
      </c>
      <c r="DK272" s="43"/>
      <c r="DL272" s="36"/>
      <c r="DM272" s="41"/>
      <c r="DN272" s="27"/>
      <c r="DO272" s="28"/>
      <c r="DP272" s="29"/>
      <c r="DQ272" s="29"/>
      <c r="DR272" s="30">
        <f>SUM(DM272:DQ272)</f>
        <v>0</v>
      </c>
      <c r="DT272" s="22">
        <f>+DI272</f>
        <v>46113</v>
      </c>
      <c r="DU272" s="34">
        <v>6340.09</v>
      </c>
      <c r="DV272" s="35">
        <v>646.97</v>
      </c>
      <c r="DW272" s="36"/>
      <c r="DX272" s="41"/>
      <c r="DY272" s="27"/>
      <c r="DZ272" s="239">
        <v>167.89455999999967</v>
      </c>
      <c r="EA272" s="30">
        <v>15.865398071428672</v>
      </c>
      <c r="EB272" s="30"/>
      <c r="EC272" s="30">
        <f>SUM(DX272:EB272)</f>
        <v>183.75995807142834</v>
      </c>
      <c r="EE272" s="22">
        <f>+DT272</f>
        <v>46113</v>
      </c>
      <c r="EF272" s="34">
        <v>8283.1</v>
      </c>
      <c r="EG272" s="35">
        <v>960.41</v>
      </c>
      <c r="EH272" s="36"/>
      <c r="EI272" s="37">
        <v>71.209999999999994</v>
      </c>
      <c r="EJ272" s="27"/>
      <c r="EK272" s="28">
        <v>30.796739999999943</v>
      </c>
      <c r="EL272" s="29"/>
      <c r="EM272" s="29"/>
      <c r="EN272" s="30">
        <f>SUM(EI272:EM272)</f>
        <v>102.00673999999994</v>
      </c>
      <c r="EP272" s="22">
        <f>+EE272</f>
        <v>46113</v>
      </c>
      <c r="EQ272" s="45">
        <v>2002.15</v>
      </c>
      <c r="ER272" s="46">
        <v>585.83000000000004</v>
      </c>
      <c r="ES272" s="36"/>
      <c r="ET272" s="37"/>
      <c r="EV272" s="28"/>
      <c r="EW272" s="29"/>
      <c r="EX272" s="29"/>
      <c r="EY272" s="30">
        <f>SUM(ET272:EX272)</f>
        <v>0</v>
      </c>
    </row>
    <row r="273" spans="2:155" x14ac:dyDescent="0.25">
      <c r="B273" s="47">
        <v>46114</v>
      </c>
      <c r="C273" s="48">
        <v>19903.04</v>
      </c>
      <c r="D273" s="49">
        <v>3232.59</v>
      </c>
      <c r="E273" s="50">
        <v>2310.48</v>
      </c>
      <c r="F273" s="49">
        <v>560.1</v>
      </c>
      <c r="G273" s="50"/>
      <c r="H273" s="27"/>
      <c r="I273" s="51"/>
      <c r="J273" s="53"/>
      <c r="K273" s="52"/>
      <c r="L273" s="53">
        <f t="shared" ref="L273:L301" si="178">SUM(G273:K273)</f>
        <v>0</v>
      </c>
      <c r="N273" s="47">
        <f>+B273</f>
        <v>46114</v>
      </c>
      <c r="O273" s="54">
        <v>8783.83</v>
      </c>
      <c r="P273" s="54">
        <v>1001.43</v>
      </c>
      <c r="Q273" s="58"/>
      <c r="R273" s="55"/>
      <c r="S273" s="27"/>
      <c r="T273" s="240">
        <v>27.976509999999628</v>
      </c>
      <c r="U273" s="53">
        <v>-8.457153428571246</v>
      </c>
      <c r="V273" s="52"/>
      <c r="W273" s="53">
        <f>SUM(R273:V273)</f>
        <v>19.519356571428382</v>
      </c>
      <c r="Y273" s="47">
        <f>+N273</f>
        <v>46114</v>
      </c>
      <c r="Z273" s="56">
        <v>6968.9</v>
      </c>
      <c r="AA273" s="57">
        <v>1078.58</v>
      </c>
      <c r="AB273" s="63"/>
      <c r="AC273" s="59">
        <v>74.8</v>
      </c>
      <c r="AD273" s="27"/>
      <c r="AE273" s="240"/>
      <c r="AF273" s="52"/>
      <c r="AG273" s="52"/>
      <c r="AH273" s="53">
        <f>SUM(AC273:AG273)</f>
        <v>74.8</v>
      </c>
      <c r="AJ273" s="47">
        <f>+Y273</f>
        <v>46114</v>
      </c>
      <c r="AK273" s="56">
        <v>7630.25</v>
      </c>
      <c r="AL273" s="57">
        <v>404.08</v>
      </c>
      <c r="AM273" s="58"/>
      <c r="AN273" s="58"/>
      <c r="AO273" s="27"/>
      <c r="AP273" s="51"/>
      <c r="AQ273" s="52"/>
      <c r="AR273" s="52"/>
      <c r="AS273" s="53">
        <f>SUM(AN273:AR273)</f>
        <v>0</v>
      </c>
      <c r="AU273" s="113">
        <f>+AJ273</f>
        <v>46114</v>
      </c>
      <c r="AV273" s="57">
        <v>3624.32</v>
      </c>
      <c r="AW273" s="57">
        <v>347.72</v>
      </c>
      <c r="AX273" s="58"/>
      <c r="AY273" s="59"/>
      <c r="AZ273" s="27"/>
      <c r="BA273" s="240">
        <v>13.727159999999941</v>
      </c>
      <c r="BB273" s="53">
        <v>-7.7459636635712741</v>
      </c>
      <c r="BC273" s="52"/>
      <c r="BD273" s="53">
        <f>SUM(AY273:BC273)</f>
        <v>5.9811963364286669</v>
      </c>
      <c r="BF273" s="47">
        <f>+AU273</f>
        <v>46114</v>
      </c>
      <c r="BG273" s="56">
        <v>8853.5</v>
      </c>
      <c r="BH273" s="57">
        <v>572.66</v>
      </c>
      <c r="BI273" s="58"/>
      <c r="BJ273" s="59"/>
      <c r="BK273" s="27"/>
      <c r="BL273" s="51">
        <v>69.420939999999888</v>
      </c>
      <c r="BM273" s="52"/>
      <c r="BN273" s="52"/>
      <c r="BO273" s="53">
        <f>SUM(BJ273:BN273)</f>
        <v>69.420939999999888</v>
      </c>
      <c r="BQ273" s="47">
        <f>+BF273</f>
        <v>46114</v>
      </c>
      <c r="BR273" s="57">
        <v>412.34</v>
      </c>
      <c r="BS273" s="57">
        <v>192.35</v>
      </c>
      <c r="BT273" s="58"/>
      <c r="BU273" s="61"/>
      <c r="BV273" s="27"/>
      <c r="BW273" s="51"/>
      <c r="BX273" s="52"/>
      <c r="BY273" s="52"/>
      <c r="BZ273" s="53">
        <f>SUM(BU273:BY273)</f>
        <v>0</v>
      </c>
      <c r="CB273" s="47">
        <f>+BQ273</f>
        <v>46114</v>
      </c>
      <c r="CC273" s="56">
        <v>26251.94</v>
      </c>
      <c r="CD273" s="57">
        <v>2562.9699999999998</v>
      </c>
      <c r="CE273" s="58"/>
      <c r="CF273" s="117"/>
      <c r="CG273" s="27"/>
      <c r="CH273" s="51"/>
      <c r="CI273" s="52"/>
      <c r="CJ273" s="52"/>
      <c r="CK273" s="53">
        <f>SUM(CF273:CJ273)</f>
        <v>0</v>
      </c>
      <c r="CM273" s="47">
        <f>+CB273</f>
        <v>46114</v>
      </c>
      <c r="CN273" s="56">
        <v>8950.2900000000009</v>
      </c>
      <c r="CO273" s="57">
        <v>1440.94</v>
      </c>
      <c r="CP273" s="58"/>
      <c r="CQ273" s="62"/>
      <c r="CR273" s="27"/>
      <c r="CS273" s="240">
        <v>82.843559999999911</v>
      </c>
      <c r="CT273" s="53">
        <v>1.5516536357142847</v>
      </c>
      <c r="CU273" s="53"/>
      <c r="CV273" s="53">
        <f t="shared" ref="CV273:CV301" si="179">SUM(CQ273:CU273)</f>
        <v>84.3952136357142</v>
      </c>
      <c r="CX273" s="47">
        <f>+CM273</f>
        <v>46114</v>
      </c>
      <c r="CY273" s="56">
        <v>8604.2199999999993</v>
      </c>
      <c r="CZ273" s="57">
        <v>3293.45</v>
      </c>
      <c r="DA273" s="58"/>
      <c r="DB273" s="59"/>
      <c r="DC273" s="27"/>
      <c r="DD273" s="240">
        <v>56.245111999999807</v>
      </c>
      <c r="DE273" s="53">
        <v>69.782319482857247</v>
      </c>
      <c r="DF273" s="53"/>
      <c r="DG273" s="53">
        <f t="shared" ref="DG273:DG301" si="180">SUM(DB273:DF273)</f>
        <v>126.02743148285705</v>
      </c>
      <c r="DI273" s="47">
        <f>+CX273</f>
        <v>46114</v>
      </c>
      <c r="DJ273" s="56">
        <v>2208.2600000000002</v>
      </c>
      <c r="DK273" s="63"/>
      <c r="DL273" s="58"/>
      <c r="DM273" s="62"/>
      <c r="DN273" s="27"/>
      <c r="DO273" s="51"/>
      <c r="DP273" s="52"/>
      <c r="DQ273" s="52"/>
      <c r="DR273" s="53">
        <f t="shared" ref="DR273:DR297" si="181">SUM(DM273:DQ273)</f>
        <v>0</v>
      </c>
      <c r="DT273" s="47">
        <f>+DI273</f>
        <v>46114</v>
      </c>
      <c r="DU273" s="56">
        <v>7977.13</v>
      </c>
      <c r="DV273" s="57">
        <v>739.98</v>
      </c>
      <c r="DW273" s="58"/>
      <c r="DX273" s="62"/>
      <c r="DY273" s="27"/>
      <c r="DZ273" s="240">
        <v>60.960899999999924</v>
      </c>
      <c r="EA273" s="53">
        <v>14.742267571428727</v>
      </c>
      <c r="EB273" s="53"/>
      <c r="EC273" s="53">
        <f t="shared" ref="EC273:EC301" si="182">SUM(DX273:EB273)</f>
        <v>75.703167571428651</v>
      </c>
      <c r="EE273" s="47">
        <f>+DT273</f>
        <v>46114</v>
      </c>
      <c r="EF273" s="56">
        <v>6364.59</v>
      </c>
      <c r="EG273" s="57">
        <v>27.42</v>
      </c>
      <c r="EH273" s="58"/>
      <c r="EI273" s="59">
        <v>57.56</v>
      </c>
      <c r="EJ273" s="27"/>
      <c r="EK273" s="51"/>
      <c r="EL273" s="52"/>
      <c r="EM273" s="52"/>
      <c r="EN273" s="53">
        <f t="shared" ref="EN273:EN301" si="183">SUM(EI273:EM273)</f>
        <v>57.56</v>
      </c>
      <c r="EP273" s="47">
        <f>+EE273</f>
        <v>46114</v>
      </c>
      <c r="EQ273" s="64">
        <v>1176.9000000000001</v>
      </c>
      <c r="ER273" s="65">
        <v>636.4</v>
      </c>
      <c r="ES273" s="58"/>
      <c r="ET273" s="59"/>
      <c r="EV273" s="51"/>
      <c r="EW273" s="52"/>
      <c r="EX273" s="52"/>
      <c r="EY273" s="53">
        <f>SUM(ET273:EX273)</f>
        <v>0</v>
      </c>
    </row>
    <row r="274" spans="2:155" x14ac:dyDescent="0.25">
      <c r="B274" s="47">
        <v>46115</v>
      </c>
      <c r="C274" s="48">
        <v>15530.9</v>
      </c>
      <c r="D274" s="49">
        <v>1764.84</v>
      </c>
      <c r="E274" s="50">
        <v>5539</v>
      </c>
      <c r="F274" s="55">
        <v>647.72</v>
      </c>
      <c r="G274" s="102"/>
      <c r="H274" s="27"/>
      <c r="I274" s="51"/>
      <c r="J274" s="53"/>
      <c r="K274" s="52"/>
      <c r="L274" s="53">
        <f t="shared" si="178"/>
        <v>0</v>
      </c>
      <c r="N274" s="47">
        <f t="shared" ref="N274:N301" si="184">+B274</f>
        <v>46115</v>
      </c>
      <c r="O274" s="54">
        <v>2975.67</v>
      </c>
      <c r="P274" s="54">
        <v>288.83</v>
      </c>
      <c r="Q274" s="58"/>
      <c r="R274" s="55"/>
      <c r="S274" s="27"/>
      <c r="T274" s="240">
        <v>9.6469399999999439</v>
      </c>
      <c r="U274" s="53"/>
      <c r="V274" s="52"/>
      <c r="W274" s="53">
        <f t="shared" ref="W274:W301" si="185">SUM(R274:V274)</f>
        <v>9.6469399999999439</v>
      </c>
      <c r="Y274" s="47">
        <f t="shared" ref="Y274:Y301" si="186">+N274</f>
        <v>46115</v>
      </c>
      <c r="Z274" s="56">
        <v>6987.53</v>
      </c>
      <c r="AA274" s="57">
        <v>1230.8599999999999</v>
      </c>
      <c r="AB274" s="63"/>
      <c r="AC274" s="59">
        <v>104.93</v>
      </c>
      <c r="AD274" s="27"/>
      <c r="AE274" s="240">
        <v>14.914159999999953</v>
      </c>
      <c r="AF274" s="52"/>
      <c r="AG274" s="52"/>
      <c r="AH274" s="53">
        <f t="shared" ref="AH274:AH301" si="187">SUM(AC274:AG274)</f>
        <v>119.84415999999996</v>
      </c>
      <c r="AJ274" s="47">
        <f t="shared" ref="AJ274:AJ301" si="188">+Y274</f>
        <v>46115</v>
      </c>
      <c r="AK274" s="56">
        <v>5973.65</v>
      </c>
      <c r="AL274" s="57">
        <v>278.73</v>
      </c>
      <c r="AM274" s="58"/>
      <c r="AN274" s="58"/>
      <c r="AO274" s="27"/>
      <c r="AP274" s="51"/>
      <c r="AQ274" s="52"/>
      <c r="AR274" s="52"/>
      <c r="AS274" s="53">
        <f t="shared" ref="AS274:AS301" si="189">SUM(AN274:AR274)</f>
        <v>0</v>
      </c>
      <c r="AU274" s="113">
        <f t="shared" ref="AU274:AU301" si="190">+AJ274</f>
        <v>46115</v>
      </c>
      <c r="AV274" s="57">
        <v>2150.12</v>
      </c>
      <c r="AW274" s="57">
        <v>50</v>
      </c>
      <c r="AX274" s="58"/>
      <c r="AY274" s="59"/>
      <c r="AZ274" s="27"/>
      <c r="BA274" s="240">
        <v>0.27299699999994687</v>
      </c>
      <c r="BB274" s="53"/>
      <c r="BC274" s="52"/>
      <c r="BD274" s="53">
        <f t="shared" ref="BD274:BD301" si="191">SUM(AY274:BC274)</f>
        <v>0.27299699999994687</v>
      </c>
      <c r="BF274" s="47">
        <f>+AU274</f>
        <v>46115</v>
      </c>
      <c r="BG274" s="56">
        <v>7080.68</v>
      </c>
      <c r="BH274" s="57">
        <v>255.37</v>
      </c>
      <c r="BI274" s="58"/>
      <c r="BJ274" s="59"/>
      <c r="BK274" s="27"/>
      <c r="BL274" s="51">
        <v>86.980679999999865</v>
      </c>
      <c r="BM274" s="52"/>
      <c r="BN274" s="52"/>
      <c r="BO274" s="53">
        <f t="shared" ref="BO274:BO301" si="192">SUM(BJ274:BN274)</f>
        <v>86.980679999999865</v>
      </c>
      <c r="BQ274" s="47">
        <f t="shared" ref="BQ274:BQ301" si="193">+BF274</f>
        <v>46115</v>
      </c>
      <c r="BR274" s="57">
        <v>210</v>
      </c>
      <c r="BS274" s="57">
        <v>697.48</v>
      </c>
      <c r="BT274" s="58"/>
      <c r="BU274" s="61"/>
      <c r="BV274" s="27"/>
      <c r="BW274" s="51"/>
      <c r="BX274" s="52"/>
      <c r="BY274" s="52"/>
      <c r="BZ274" s="53">
        <f t="shared" ref="BZ274:BZ301" si="194">SUM(BU274:BY274)</f>
        <v>0</v>
      </c>
      <c r="CB274" s="47">
        <f t="shared" ref="CB274:CB301" si="195">+BQ274</f>
        <v>46115</v>
      </c>
      <c r="CC274" s="56">
        <v>17995.77</v>
      </c>
      <c r="CD274" s="57">
        <v>1739.74</v>
      </c>
      <c r="CE274" s="58"/>
      <c r="CF274" s="117"/>
      <c r="CG274" s="27"/>
      <c r="CH274" s="51"/>
      <c r="CI274" s="52"/>
      <c r="CJ274" s="52"/>
      <c r="CK274" s="53">
        <f t="shared" ref="CK274:CK301" si="196">SUM(CF274:CJ274)</f>
        <v>0</v>
      </c>
      <c r="CM274" s="47">
        <f t="shared" ref="CM274:CM301" si="197">+CB274</f>
        <v>46115</v>
      </c>
      <c r="CN274" s="56">
        <v>5155.42</v>
      </c>
      <c r="CO274" s="57">
        <v>1203.73</v>
      </c>
      <c r="CP274" s="58"/>
      <c r="CQ274" s="62"/>
      <c r="CR274" s="27"/>
      <c r="CS274" s="240"/>
      <c r="CT274" s="53"/>
      <c r="CU274" s="53"/>
      <c r="CV274" s="53">
        <f t="shared" si="179"/>
        <v>0</v>
      </c>
      <c r="CX274" s="47">
        <f t="shared" ref="CX274:CX301" si="198">+CM274</f>
        <v>46115</v>
      </c>
      <c r="CY274" s="56">
        <v>6980.02</v>
      </c>
      <c r="CZ274" s="57">
        <v>2130.29</v>
      </c>
      <c r="DA274" s="58"/>
      <c r="DB274" s="59"/>
      <c r="DC274" s="27"/>
      <c r="DD274" s="240">
        <v>72.695651999999924</v>
      </c>
      <c r="DE274" s="53">
        <v>35.976269371428657</v>
      </c>
      <c r="DF274" s="53"/>
      <c r="DG274" s="53">
        <f t="shared" si="180"/>
        <v>108.67192137142858</v>
      </c>
      <c r="DI274" s="47">
        <f t="shared" ref="DI274:DI301" si="199">+CX274</f>
        <v>46115</v>
      </c>
      <c r="DJ274" s="56">
        <v>787</v>
      </c>
      <c r="DK274" s="63"/>
      <c r="DL274" s="58"/>
      <c r="DM274" s="62"/>
      <c r="DN274" s="27"/>
      <c r="DO274" s="51"/>
      <c r="DP274" s="52"/>
      <c r="DQ274" s="52"/>
      <c r="DR274" s="53">
        <f t="shared" si="181"/>
        <v>0</v>
      </c>
      <c r="DT274" s="47">
        <f t="shared" ref="DT274:DT301" si="200">+DI274</f>
        <v>46115</v>
      </c>
      <c r="DU274" s="56">
        <v>7248.39</v>
      </c>
      <c r="DV274" s="57">
        <v>714.83</v>
      </c>
      <c r="DW274" s="58"/>
      <c r="DX274" s="62"/>
      <c r="DY274" s="27"/>
      <c r="DZ274" s="240">
        <v>30.858239999999938</v>
      </c>
      <c r="EA274" s="53">
        <v>24.631478814285856</v>
      </c>
      <c r="EB274" s="53"/>
      <c r="EC274" s="53">
        <f t="shared" si="182"/>
        <v>55.489718814285794</v>
      </c>
      <c r="EE274" s="47">
        <f t="shared" ref="EE274:EE301" si="201">+DT274</f>
        <v>46115</v>
      </c>
      <c r="EF274" s="56">
        <v>4839.88</v>
      </c>
      <c r="EG274" s="57">
        <v>699.96</v>
      </c>
      <c r="EH274" s="58"/>
      <c r="EI274" s="59">
        <v>38.08</v>
      </c>
      <c r="EJ274" s="27"/>
      <c r="EK274" s="51"/>
      <c r="EL274" s="52"/>
      <c r="EM274" s="52"/>
      <c r="EN274" s="53">
        <f t="shared" si="183"/>
        <v>38.08</v>
      </c>
      <c r="EP274" s="47">
        <f t="shared" ref="EP274:EP301" si="202">+EE274</f>
        <v>46115</v>
      </c>
      <c r="EQ274" s="64">
        <v>1434.28</v>
      </c>
      <c r="ER274" s="56">
        <v>431.14</v>
      </c>
      <c r="ES274" s="58"/>
      <c r="ET274" s="59"/>
      <c r="EV274" s="51"/>
      <c r="EW274" s="52"/>
      <c r="EX274" s="52"/>
      <c r="EY274" s="53">
        <f t="shared" ref="EY274:EY301" si="203">SUM(ET274:EX274)</f>
        <v>0</v>
      </c>
    </row>
    <row r="275" spans="2:155" x14ac:dyDescent="0.25">
      <c r="B275" s="47">
        <v>46116</v>
      </c>
      <c r="C275" s="48">
        <v>17149.47</v>
      </c>
      <c r="D275" s="49">
        <v>2010.5</v>
      </c>
      <c r="E275" s="50">
        <v>2835.92</v>
      </c>
      <c r="F275" s="55">
        <v>1006.29</v>
      </c>
      <c r="G275" s="102"/>
      <c r="H275" s="27"/>
      <c r="I275" s="51"/>
      <c r="J275" s="53"/>
      <c r="K275" s="52"/>
      <c r="L275" s="53">
        <f t="shared" si="178"/>
        <v>0</v>
      </c>
      <c r="N275" s="47">
        <f t="shared" si="184"/>
        <v>46116</v>
      </c>
      <c r="O275" s="54">
        <v>2814.09</v>
      </c>
      <c r="P275" s="54">
        <v>277.49</v>
      </c>
      <c r="Q275" s="58"/>
      <c r="R275" s="55"/>
      <c r="S275" s="27"/>
      <c r="T275" s="240"/>
      <c r="U275" s="53"/>
      <c r="V275" s="52"/>
      <c r="W275" s="53">
        <f t="shared" si="185"/>
        <v>0</v>
      </c>
      <c r="Y275" s="47">
        <f t="shared" si="186"/>
        <v>46116</v>
      </c>
      <c r="Z275" s="56">
        <v>7175.34</v>
      </c>
      <c r="AA275" s="57">
        <v>1010.92</v>
      </c>
      <c r="AB275" s="63"/>
      <c r="AC275" s="59">
        <v>184.31</v>
      </c>
      <c r="AD275" s="27"/>
      <c r="AE275" s="240"/>
      <c r="AF275" s="52"/>
      <c r="AG275" s="52"/>
      <c r="AH275" s="53">
        <f t="shared" si="187"/>
        <v>184.31</v>
      </c>
      <c r="AJ275" s="47">
        <f t="shared" si="188"/>
        <v>46116</v>
      </c>
      <c r="AK275" s="56">
        <v>5383.24</v>
      </c>
      <c r="AL275" s="57">
        <v>198.34</v>
      </c>
      <c r="AM275" s="58"/>
      <c r="AN275" s="58"/>
      <c r="AO275" s="27"/>
      <c r="AP275" s="51"/>
      <c r="AQ275" s="52"/>
      <c r="AR275" s="52"/>
      <c r="AS275" s="53">
        <f t="shared" si="189"/>
        <v>0</v>
      </c>
      <c r="AU275" s="113">
        <f t="shared" si="190"/>
        <v>46116</v>
      </c>
      <c r="AV275" s="57">
        <v>9881.2000000000007</v>
      </c>
      <c r="AW275" s="57">
        <v>134.22</v>
      </c>
      <c r="AX275" s="58"/>
      <c r="AY275" s="59"/>
      <c r="AZ275" s="27"/>
      <c r="BA275" s="240">
        <v>90.910890999999765</v>
      </c>
      <c r="BB275" s="53"/>
      <c r="BC275" s="52"/>
      <c r="BD275" s="53">
        <f t="shared" si="191"/>
        <v>90.910890999999765</v>
      </c>
      <c r="BF275" s="47">
        <f>+AU275</f>
        <v>46116</v>
      </c>
      <c r="BG275" s="56">
        <v>7584.97</v>
      </c>
      <c r="BH275" s="57">
        <v>779.71</v>
      </c>
      <c r="BI275" s="58"/>
      <c r="BJ275" s="59"/>
      <c r="BK275" s="27"/>
      <c r="BL275" s="51">
        <v>185.72485999999967</v>
      </c>
      <c r="BM275" s="52">
        <v>24.553142821428736</v>
      </c>
      <c r="BN275" s="52"/>
      <c r="BO275" s="53">
        <f t="shared" si="192"/>
        <v>210.2780028214284</v>
      </c>
      <c r="BQ275" s="47">
        <f t="shared" si="193"/>
        <v>46116</v>
      </c>
      <c r="BR275" s="57">
        <v>200</v>
      </c>
      <c r="BS275" s="57">
        <v>351.15</v>
      </c>
      <c r="BT275" s="58"/>
      <c r="BU275" s="61"/>
      <c r="BV275" s="27"/>
      <c r="BW275" s="51"/>
      <c r="BX275" s="52"/>
      <c r="BY275" s="52"/>
      <c r="BZ275" s="53">
        <f t="shared" si="194"/>
        <v>0</v>
      </c>
      <c r="CB275" s="47">
        <f t="shared" si="195"/>
        <v>46116</v>
      </c>
      <c r="CC275" s="56">
        <v>16326.72</v>
      </c>
      <c r="CD275" s="57">
        <v>2030.59</v>
      </c>
      <c r="CE275" s="58"/>
      <c r="CF275" s="117"/>
      <c r="CG275" s="27"/>
      <c r="CH275" s="51"/>
      <c r="CI275" s="52"/>
      <c r="CJ275" s="52"/>
      <c r="CK275" s="53">
        <f t="shared" si="196"/>
        <v>0</v>
      </c>
      <c r="CM275" s="47">
        <f t="shared" si="197"/>
        <v>46116</v>
      </c>
      <c r="CN275" s="56">
        <v>6837.74</v>
      </c>
      <c r="CO275" s="57">
        <v>1124.04</v>
      </c>
      <c r="CP275" s="58"/>
      <c r="CQ275" s="62"/>
      <c r="CR275" s="27"/>
      <c r="CS275" s="240"/>
      <c r="CT275" s="53">
        <v>106.76207799571432</v>
      </c>
      <c r="CU275" s="53"/>
      <c r="CV275" s="53">
        <f t="shared" si="179"/>
        <v>106.76207799571432</v>
      </c>
      <c r="CX275" s="47">
        <f t="shared" si="198"/>
        <v>46116</v>
      </c>
      <c r="CY275" s="56">
        <v>8666.01</v>
      </c>
      <c r="CZ275" s="57">
        <v>1350.77</v>
      </c>
      <c r="DA275" s="58"/>
      <c r="DB275" s="59"/>
      <c r="DC275" s="27"/>
      <c r="DD275" s="240">
        <v>53.884815999999901</v>
      </c>
      <c r="DE275" s="53">
        <v>142.93369113571464</v>
      </c>
      <c r="DF275" s="53"/>
      <c r="DG275" s="53">
        <f t="shared" si="180"/>
        <v>196.81850713571453</v>
      </c>
      <c r="DI275" s="47">
        <f t="shared" si="199"/>
        <v>46116</v>
      </c>
      <c r="DJ275" s="56">
        <v>2541.2600000000002</v>
      </c>
      <c r="DK275" s="63"/>
      <c r="DL275" s="58"/>
      <c r="DM275" s="62"/>
      <c r="DN275" s="27"/>
      <c r="DO275" s="51"/>
      <c r="DP275" s="52"/>
      <c r="DQ275" s="52"/>
      <c r="DR275" s="53">
        <f t="shared" si="181"/>
        <v>0</v>
      </c>
      <c r="DT275" s="47">
        <f t="shared" si="200"/>
        <v>46116</v>
      </c>
      <c r="DU275" s="56">
        <v>8925.7099999999991</v>
      </c>
      <c r="DV275" s="57">
        <v>602.97</v>
      </c>
      <c r="DW275" s="58"/>
      <c r="DX275" s="62"/>
      <c r="DY275" s="27"/>
      <c r="DZ275" s="240">
        <v>27.531899999999979</v>
      </c>
      <c r="EA275" s="53">
        <v>16.848845114285837</v>
      </c>
      <c r="EB275" s="53"/>
      <c r="EC275" s="53">
        <f t="shared" si="182"/>
        <v>44.380745114285816</v>
      </c>
      <c r="EE275" s="47">
        <f t="shared" si="201"/>
        <v>46116</v>
      </c>
      <c r="EF275" s="56">
        <v>5914.84</v>
      </c>
      <c r="EG275" s="57">
        <v>1433.11</v>
      </c>
      <c r="EH275" s="58"/>
      <c r="EI275" s="59">
        <v>29.96</v>
      </c>
      <c r="EJ275" s="27"/>
      <c r="EK275" s="51"/>
      <c r="EL275" s="52"/>
      <c r="EM275" s="52"/>
      <c r="EN275" s="53">
        <f t="shared" si="183"/>
        <v>29.96</v>
      </c>
      <c r="EP275" s="47">
        <f t="shared" si="202"/>
        <v>46116</v>
      </c>
      <c r="EQ275" s="64">
        <v>1634.65</v>
      </c>
      <c r="ER275" s="56">
        <v>569.99</v>
      </c>
      <c r="ES275" s="58"/>
      <c r="ET275" s="59"/>
      <c r="EV275" s="51"/>
      <c r="EW275" s="52"/>
      <c r="EX275" s="52"/>
      <c r="EY275" s="53">
        <f t="shared" si="203"/>
        <v>0</v>
      </c>
    </row>
    <row r="276" spans="2:155" x14ac:dyDescent="0.25">
      <c r="B276" s="47">
        <v>46117</v>
      </c>
      <c r="C276" s="48">
        <v>17688.75</v>
      </c>
      <c r="D276" s="49">
        <v>1686.76</v>
      </c>
      <c r="E276" s="50">
        <v>2345.6999999999998</v>
      </c>
      <c r="F276" s="66">
        <v>754.68</v>
      </c>
      <c r="G276" s="50"/>
      <c r="H276" s="27"/>
      <c r="I276" s="51"/>
      <c r="J276" s="53"/>
      <c r="K276" s="52"/>
      <c r="L276" s="53">
        <f t="shared" si="178"/>
        <v>0</v>
      </c>
      <c r="N276" s="47">
        <f t="shared" si="184"/>
        <v>46117</v>
      </c>
      <c r="O276" s="54">
        <v>9082.67</v>
      </c>
      <c r="P276" s="54">
        <v>405.7</v>
      </c>
      <c r="Q276" s="58"/>
      <c r="R276" s="55"/>
      <c r="S276" s="27"/>
      <c r="T276" s="240">
        <v>8.6872199999999964</v>
      </c>
      <c r="U276" s="53"/>
      <c r="V276" s="52"/>
      <c r="W276" s="53">
        <f t="shared" si="185"/>
        <v>8.6872199999999964</v>
      </c>
      <c r="Y276" s="47">
        <f t="shared" si="186"/>
        <v>46117</v>
      </c>
      <c r="Z276" s="56">
        <v>6586.71</v>
      </c>
      <c r="AA276" s="57">
        <v>1179.68</v>
      </c>
      <c r="AB276" s="63"/>
      <c r="AC276" s="59">
        <v>141.49</v>
      </c>
      <c r="AD276" s="27"/>
      <c r="AE276" s="240">
        <v>44.224899999999963</v>
      </c>
      <c r="AF276" s="52"/>
      <c r="AG276" s="52"/>
      <c r="AH276" s="53">
        <f t="shared" si="187"/>
        <v>185.71489999999997</v>
      </c>
      <c r="AJ276" s="47">
        <f t="shared" si="188"/>
        <v>46117</v>
      </c>
      <c r="AK276" s="56">
        <v>3604.72</v>
      </c>
      <c r="AL276" s="57">
        <v>177.6</v>
      </c>
      <c r="AM276" s="58"/>
      <c r="AN276" s="58"/>
      <c r="AO276" s="27"/>
      <c r="AP276" s="51"/>
      <c r="AQ276" s="52"/>
      <c r="AR276" s="52"/>
      <c r="AS276" s="53">
        <f t="shared" si="189"/>
        <v>0</v>
      </c>
      <c r="AU276" s="113">
        <f t="shared" si="190"/>
        <v>46117</v>
      </c>
      <c r="AV276" s="57">
        <v>7424.89</v>
      </c>
      <c r="AW276" s="57">
        <v>281.14999999999998</v>
      </c>
      <c r="AX276" s="58"/>
      <c r="AY276" s="59"/>
      <c r="AZ276" s="27"/>
      <c r="BA276" s="240">
        <v>6.8212999999985868E-2</v>
      </c>
      <c r="BB276" s="53">
        <v>-19.850889239999447</v>
      </c>
      <c r="BC276" s="52"/>
      <c r="BD276" s="53">
        <f t="shared" si="191"/>
        <v>-19.782676239999461</v>
      </c>
      <c r="BF276" s="47">
        <f>+AU276</f>
        <v>46117</v>
      </c>
      <c r="BG276" s="56">
        <v>6696.42</v>
      </c>
      <c r="BH276" s="57">
        <v>608.38</v>
      </c>
      <c r="BI276" s="58"/>
      <c r="BJ276" s="59"/>
      <c r="BK276" s="27"/>
      <c r="BL276" s="51">
        <v>47.143799999999828</v>
      </c>
      <c r="BM276" s="52"/>
      <c r="BN276" s="52"/>
      <c r="BO276" s="53">
        <f t="shared" si="192"/>
        <v>47.143799999999828</v>
      </c>
      <c r="BQ276" s="47">
        <f t="shared" si="193"/>
        <v>46117</v>
      </c>
      <c r="BR276" s="57">
        <v>290</v>
      </c>
      <c r="BS276" s="57">
        <v>453.4</v>
      </c>
      <c r="BT276" s="58"/>
      <c r="BU276" s="61"/>
      <c r="BV276" s="27"/>
      <c r="BW276" s="51"/>
      <c r="BX276" s="52"/>
      <c r="BY276" s="52"/>
      <c r="BZ276" s="53">
        <f t="shared" si="194"/>
        <v>0</v>
      </c>
      <c r="CB276" s="47">
        <f t="shared" si="195"/>
        <v>46117</v>
      </c>
      <c r="CC276" s="56">
        <v>16947.63</v>
      </c>
      <c r="CD276" s="57">
        <v>2084.4699999999998</v>
      </c>
      <c r="CE276" s="58"/>
      <c r="CF276" s="117"/>
      <c r="CG276" s="27"/>
      <c r="CH276" s="51"/>
      <c r="CI276" s="52"/>
      <c r="CJ276" s="52"/>
      <c r="CK276" s="53">
        <f t="shared" si="196"/>
        <v>0</v>
      </c>
      <c r="CM276" s="47">
        <f t="shared" si="197"/>
        <v>46117</v>
      </c>
      <c r="CN276" s="56">
        <v>8691.9699999999993</v>
      </c>
      <c r="CO276" s="57">
        <v>789.6</v>
      </c>
      <c r="CP276" s="58"/>
      <c r="CQ276" s="62"/>
      <c r="CR276" s="27"/>
      <c r="CS276" s="240"/>
      <c r="CT276" s="53"/>
      <c r="CU276" s="53"/>
      <c r="CV276" s="53">
        <f t="shared" si="179"/>
        <v>0</v>
      </c>
      <c r="CX276" s="47">
        <f t="shared" si="198"/>
        <v>46117</v>
      </c>
      <c r="CY276" s="56">
        <v>15313.12</v>
      </c>
      <c r="CZ276" s="57">
        <v>3772.93</v>
      </c>
      <c r="DA276" s="58"/>
      <c r="DB276" s="59"/>
      <c r="DC276" s="27"/>
      <c r="DD276" s="240">
        <v>87.226859999999903</v>
      </c>
      <c r="DE276" s="53"/>
      <c r="DF276" s="53"/>
      <c r="DG276" s="53">
        <f t="shared" si="180"/>
        <v>87.226859999999903</v>
      </c>
      <c r="DI276" s="47">
        <f t="shared" si="199"/>
        <v>46117</v>
      </c>
      <c r="DJ276" s="56">
        <v>1735.17</v>
      </c>
      <c r="DK276" s="63"/>
      <c r="DL276" s="58"/>
      <c r="DM276" s="62"/>
      <c r="DN276" s="27"/>
      <c r="DO276" s="51"/>
      <c r="DP276" s="52"/>
      <c r="DQ276" s="52"/>
      <c r="DR276" s="53">
        <f t="shared" si="181"/>
        <v>0</v>
      </c>
      <c r="DT276" s="47">
        <f t="shared" si="200"/>
        <v>46117</v>
      </c>
      <c r="DU276" s="56">
        <v>4754.08</v>
      </c>
      <c r="DV276" s="57">
        <v>1054.8900000000001</v>
      </c>
      <c r="DW276" s="58"/>
      <c r="DX276" s="62"/>
      <c r="DY276" s="27"/>
      <c r="DZ276" s="240">
        <v>52.101179999999886</v>
      </c>
      <c r="EA276" s="53">
        <v>15.212283528571561</v>
      </c>
      <c r="EB276" s="53"/>
      <c r="EC276" s="53">
        <f t="shared" si="182"/>
        <v>67.313463528571447</v>
      </c>
      <c r="EE276" s="47">
        <f t="shared" si="201"/>
        <v>46117</v>
      </c>
      <c r="EF276" s="56">
        <v>5879.08</v>
      </c>
      <c r="EG276" s="57">
        <v>221.45</v>
      </c>
      <c r="EH276" s="58"/>
      <c r="EI276" s="59">
        <v>42.13</v>
      </c>
      <c r="EJ276" s="27"/>
      <c r="EK276" s="51"/>
      <c r="EL276" s="52"/>
      <c r="EM276" s="52"/>
      <c r="EN276" s="53">
        <f t="shared" si="183"/>
        <v>42.13</v>
      </c>
      <c r="EP276" s="47">
        <f t="shared" si="202"/>
        <v>46117</v>
      </c>
      <c r="EQ276" s="64">
        <v>1768.19</v>
      </c>
      <c r="ER276" s="56">
        <v>690.77</v>
      </c>
      <c r="ES276" s="58"/>
      <c r="ET276" s="59"/>
      <c r="EV276" s="51"/>
      <c r="EW276" s="52"/>
      <c r="EX276" s="52"/>
      <c r="EY276" s="53">
        <f t="shared" si="203"/>
        <v>0</v>
      </c>
    </row>
    <row r="277" spans="2:155" x14ac:dyDescent="0.25">
      <c r="B277" s="47">
        <v>46118</v>
      </c>
      <c r="C277" s="48">
        <v>27393.4</v>
      </c>
      <c r="D277" s="49">
        <v>3715.01</v>
      </c>
      <c r="E277" s="50">
        <v>8346.26</v>
      </c>
      <c r="F277" s="55">
        <v>1382.16</v>
      </c>
      <c r="G277" s="102"/>
      <c r="H277" s="27"/>
      <c r="I277" s="51"/>
      <c r="J277" s="53"/>
      <c r="K277" s="52">
        <v>11.745599999999996</v>
      </c>
      <c r="L277" s="53">
        <f t="shared" si="178"/>
        <v>11.745599999999996</v>
      </c>
      <c r="N277" s="47">
        <f t="shared" si="184"/>
        <v>46118</v>
      </c>
      <c r="O277" s="54">
        <v>4361.29</v>
      </c>
      <c r="P277" s="54">
        <v>342.44</v>
      </c>
      <c r="Q277" s="58"/>
      <c r="R277" s="55"/>
      <c r="S277" s="27"/>
      <c r="T277" s="240">
        <v>18.807779999999681</v>
      </c>
      <c r="U277" s="53"/>
      <c r="V277" s="52"/>
      <c r="W277" s="53">
        <f t="shared" si="185"/>
        <v>18.807779999999681</v>
      </c>
      <c r="Y277" s="47">
        <f t="shared" si="186"/>
        <v>46118</v>
      </c>
      <c r="Z277" s="56">
        <v>7623.84</v>
      </c>
      <c r="AA277" s="57">
        <v>1476.5</v>
      </c>
      <c r="AB277" s="63"/>
      <c r="AC277" s="59">
        <v>155.91999999999999</v>
      </c>
      <c r="AD277" s="27"/>
      <c r="AE277" s="240">
        <v>94.063999999999851</v>
      </c>
      <c r="AF277" s="52"/>
      <c r="AG277" s="52"/>
      <c r="AH277" s="53">
        <f t="shared" si="187"/>
        <v>249.98399999999984</v>
      </c>
      <c r="AJ277" s="47">
        <f t="shared" si="188"/>
        <v>46118</v>
      </c>
      <c r="AK277" s="56">
        <v>5265.77</v>
      </c>
      <c r="AL277" s="57">
        <v>442.98</v>
      </c>
      <c r="AM277" s="58"/>
      <c r="AN277" s="58"/>
      <c r="AO277" s="27"/>
      <c r="AP277" s="51"/>
      <c r="AQ277" s="52"/>
      <c r="AR277" s="52"/>
      <c r="AS277" s="53">
        <f t="shared" si="189"/>
        <v>0</v>
      </c>
      <c r="AU277" s="113">
        <f t="shared" si="190"/>
        <v>46118</v>
      </c>
      <c r="AV277" s="57">
        <v>1656.03</v>
      </c>
      <c r="AW277" s="57">
        <v>150</v>
      </c>
      <c r="AX277" s="58"/>
      <c r="AY277" s="59">
        <v>11.16</v>
      </c>
      <c r="AZ277" s="27"/>
      <c r="BA277" s="240">
        <v>66.114903999999555</v>
      </c>
      <c r="BB277" s="53"/>
      <c r="BC277" s="52"/>
      <c r="BD277" s="53">
        <f t="shared" si="191"/>
        <v>77.274903999999552</v>
      </c>
      <c r="BF277" s="47">
        <f t="shared" ref="BF277:BF301" si="204">+AU277</f>
        <v>46118</v>
      </c>
      <c r="BG277" s="56">
        <v>14641.18</v>
      </c>
      <c r="BH277" s="57">
        <v>763.56</v>
      </c>
      <c r="BI277" s="58"/>
      <c r="BJ277" s="59">
        <v>15.08</v>
      </c>
      <c r="BK277" s="27"/>
      <c r="BL277" s="51">
        <v>165.27036999999979</v>
      </c>
      <c r="BM277" s="52"/>
      <c r="BN277" s="52"/>
      <c r="BO277" s="53">
        <f t="shared" si="192"/>
        <v>180.3503699999998</v>
      </c>
      <c r="BQ277" s="47">
        <f t="shared" si="193"/>
        <v>46118</v>
      </c>
      <c r="BR277" s="57">
        <v>547</v>
      </c>
      <c r="BS277" s="57">
        <v>414.33</v>
      </c>
      <c r="BT277" s="58"/>
      <c r="BU277" s="61"/>
      <c r="BV277" s="27"/>
      <c r="BW277" s="51"/>
      <c r="BX277" s="52"/>
      <c r="BY277" s="52"/>
      <c r="BZ277" s="53">
        <f t="shared" si="194"/>
        <v>0</v>
      </c>
      <c r="CB277" s="47">
        <f t="shared" si="195"/>
        <v>46118</v>
      </c>
      <c r="CC277" s="56">
        <v>16933.240000000002</v>
      </c>
      <c r="CD277" s="57">
        <v>2723.55</v>
      </c>
      <c r="CE277" s="58"/>
      <c r="CF277" s="117"/>
      <c r="CG277" s="27"/>
      <c r="CH277" s="51"/>
      <c r="CI277" s="52"/>
      <c r="CJ277" s="52"/>
      <c r="CK277" s="53">
        <f t="shared" si="196"/>
        <v>0</v>
      </c>
      <c r="CM277" s="47">
        <f t="shared" si="197"/>
        <v>46118</v>
      </c>
      <c r="CN277" s="56">
        <v>12990.44</v>
      </c>
      <c r="CO277" s="57">
        <v>1197.32</v>
      </c>
      <c r="CP277" s="58"/>
      <c r="CQ277" s="62"/>
      <c r="CR277" s="27"/>
      <c r="CS277" s="240">
        <v>123.66425999999989</v>
      </c>
      <c r="CT277" s="53">
        <v>94.554567677428594</v>
      </c>
      <c r="CU277" s="53"/>
      <c r="CV277" s="53">
        <f t="shared" si="179"/>
        <v>218.21882767742846</v>
      </c>
      <c r="CX277" s="47">
        <f t="shared" si="198"/>
        <v>46118</v>
      </c>
      <c r="CY277" s="56">
        <v>5669.48</v>
      </c>
      <c r="CZ277" s="57">
        <v>827.01</v>
      </c>
      <c r="DA277" s="58"/>
      <c r="DB277" s="59"/>
      <c r="DC277" s="27"/>
      <c r="DD277" s="240">
        <v>195.82578799999987</v>
      </c>
      <c r="DE277" s="53"/>
      <c r="DF277" s="53"/>
      <c r="DG277" s="53">
        <f t="shared" si="180"/>
        <v>195.82578799999987</v>
      </c>
      <c r="DI277" s="47">
        <f t="shared" si="199"/>
        <v>46118</v>
      </c>
      <c r="DJ277" s="56">
        <v>2566.86</v>
      </c>
      <c r="DK277" s="63"/>
      <c r="DL277" s="58"/>
      <c r="DM277" s="62"/>
      <c r="DN277" s="27"/>
      <c r="DO277" s="51"/>
      <c r="DP277" s="52"/>
      <c r="DQ277" s="52"/>
      <c r="DR277" s="53">
        <f t="shared" si="181"/>
        <v>0</v>
      </c>
      <c r="DT277" s="47">
        <f t="shared" si="200"/>
        <v>46118</v>
      </c>
      <c r="DU277" s="56">
        <v>8854.49</v>
      </c>
      <c r="DV277" s="57">
        <v>800.07</v>
      </c>
      <c r="DW277" s="58"/>
      <c r="DX277" s="62"/>
      <c r="DY277" s="27"/>
      <c r="DZ277" s="240">
        <v>65.791479999999922</v>
      </c>
      <c r="EA277" s="53"/>
      <c r="EB277" s="53"/>
      <c r="EC277" s="53">
        <f t="shared" si="182"/>
        <v>65.791479999999922</v>
      </c>
      <c r="EE277" s="47">
        <f t="shared" si="201"/>
        <v>46118</v>
      </c>
      <c r="EF277" s="56">
        <v>7907.81</v>
      </c>
      <c r="EG277" s="57">
        <v>1207.76</v>
      </c>
      <c r="EH277" s="58"/>
      <c r="EI277" s="59">
        <v>124.16</v>
      </c>
      <c r="EJ277" s="27"/>
      <c r="EK277" s="51">
        <v>41.601599999999905</v>
      </c>
      <c r="EL277" s="52"/>
      <c r="EM277" s="52"/>
      <c r="EN277" s="53">
        <f t="shared" si="183"/>
        <v>165.7615999999999</v>
      </c>
      <c r="EP277" s="47">
        <f t="shared" si="202"/>
        <v>46118</v>
      </c>
      <c r="EQ277" s="64">
        <v>792.31</v>
      </c>
      <c r="ER277" s="56">
        <v>555.24</v>
      </c>
      <c r="ES277" s="58"/>
      <c r="ET277" s="59"/>
      <c r="EV277" s="51"/>
      <c r="EW277" s="52"/>
      <c r="EX277" s="52"/>
      <c r="EY277" s="53">
        <f t="shared" si="203"/>
        <v>0</v>
      </c>
    </row>
    <row r="278" spans="2:155" x14ac:dyDescent="0.25">
      <c r="B278" s="47">
        <v>46119</v>
      </c>
      <c r="C278" s="48">
        <v>23592.22</v>
      </c>
      <c r="D278" s="49">
        <v>3030.32</v>
      </c>
      <c r="E278" s="50">
        <v>4190.04</v>
      </c>
      <c r="F278" s="55">
        <v>1519.41</v>
      </c>
      <c r="G278" s="102"/>
      <c r="H278" s="27"/>
      <c r="I278" s="51"/>
      <c r="J278" s="53"/>
      <c r="K278" s="52"/>
      <c r="L278" s="53">
        <f t="shared" si="178"/>
        <v>0</v>
      </c>
      <c r="N278" s="47">
        <f t="shared" si="184"/>
        <v>46119</v>
      </c>
      <c r="O278" s="54">
        <v>1383.08</v>
      </c>
      <c r="P278" s="54">
        <v>198.14</v>
      </c>
      <c r="Q278" s="58"/>
      <c r="R278" s="55"/>
      <c r="S278" s="27"/>
      <c r="T278" s="240">
        <v>18.451689999999928</v>
      </c>
      <c r="U278" s="53"/>
      <c r="V278" s="52"/>
      <c r="W278" s="53">
        <f t="shared" si="185"/>
        <v>18.451689999999928</v>
      </c>
      <c r="Y278" s="47">
        <f t="shared" si="186"/>
        <v>46119</v>
      </c>
      <c r="Z278" s="56">
        <v>8798.6299999999992</v>
      </c>
      <c r="AA278" s="57">
        <v>1648.67</v>
      </c>
      <c r="AB278" s="63"/>
      <c r="AC278" s="59">
        <f>113.71+29.83</f>
        <v>143.54</v>
      </c>
      <c r="AD278" s="27"/>
      <c r="AE278" s="240">
        <v>269.85523999999918</v>
      </c>
      <c r="AF278" s="52"/>
      <c r="AG278" s="52"/>
      <c r="AH278" s="53">
        <f t="shared" si="187"/>
        <v>413.39523999999915</v>
      </c>
      <c r="AJ278" s="47">
        <f t="shared" si="188"/>
        <v>46119</v>
      </c>
      <c r="AK278" s="56">
        <v>4080.53</v>
      </c>
      <c r="AL278" s="57">
        <v>118.34</v>
      </c>
      <c r="AM278" s="58"/>
      <c r="AN278" s="58"/>
      <c r="AO278" s="27"/>
      <c r="AP278" s="51"/>
      <c r="AQ278" s="52"/>
      <c r="AR278" s="52"/>
      <c r="AS278" s="53">
        <f t="shared" si="189"/>
        <v>0</v>
      </c>
      <c r="AU278" s="113">
        <f t="shared" si="190"/>
        <v>46119</v>
      </c>
      <c r="AV278" s="57">
        <v>681.04</v>
      </c>
      <c r="AW278" s="57">
        <v>244.22</v>
      </c>
      <c r="AX278" s="58"/>
      <c r="AY278" s="59">
        <v>75.239999999999995</v>
      </c>
      <c r="AZ278" s="27"/>
      <c r="BA278" s="240">
        <v>182.01861199999982</v>
      </c>
      <c r="BB278" s="53"/>
      <c r="BC278" s="52"/>
      <c r="BD278" s="53">
        <f t="shared" si="191"/>
        <v>257.2586119999998</v>
      </c>
      <c r="BF278" s="47">
        <f t="shared" si="204"/>
        <v>46119</v>
      </c>
      <c r="BG278" s="56">
        <v>11812.84</v>
      </c>
      <c r="BH278" s="57">
        <v>639.4</v>
      </c>
      <c r="BI278" s="58"/>
      <c r="BJ278" s="59"/>
      <c r="BK278" s="27"/>
      <c r="BL278" s="51">
        <v>135.51842999999968</v>
      </c>
      <c r="BM278" s="52">
        <v>32.903232904476226</v>
      </c>
      <c r="BN278" s="52"/>
      <c r="BO278" s="53">
        <f t="shared" si="192"/>
        <v>168.42166290447591</v>
      </c>
      <c r="BQ278" s="47">
        <f t="shared" si="193"/>
        <v>46119</v>
      </c>
      <c r="BR278" s="57">
        <v>500.73</v>
      </c>
      <c r="BS278" s="57">
        <v>351.03</v>
      </c>
      <c r="BT278" s="58"/>
      <c r="BU278" s="61"/>
      <c r="BV278" s="27"/>
      <c r="BW278" s="51"/>
      <c r="BX278" s="52"/>
      <c r="BY278" s="52"/>
      <c r="BZ278" s="53">
        <f t="shared" si="194"/>
        <v>0</v>
      </c>
      <c r="CB278" s="47">
        <f t="shared" si="195"/>
        <v>46119</v>
      </c>
      <c r="CC278" s="56">
        <v>22205.62</v>
      </c>
      <c r="CD278" s="57">
        <v>2950.69</v>
      </c>
      <c r="CE278" s="58"/>
      <c r="CF278" s="117"/>
      <c r="CG278" s="27"/>
      <c r="CH278" s="51"/>
      <c r="CI278" s="52"/>
      <c r="CJ278" s="52"/>
      <c r="CK278" s="53">
        <f t="shared" si="196"/>
        <v>0</v>
      </c>
      <c r="CM278" s="47">
        <f t="shared" si="197"/>
        <v>46119</v>
      </c>
      <c r="CN278" s="56">
        <v>14586.89</v>
      </c>
      <c r="CO278" s="57">
        <v>1291.5</v>
      </c>
      <c r="CP278" s="58"/>
      <c r="CQ278" s="62"/>
      <c r="CR278" s="27"/>
      <c r="CS278" s="240">
        <v>58.505275999999981</v>
      </c>
      <c r="CT278" s="53">
        <v>276.86581541047622</v>
      </c>
      <c r="CU278" s="53"/>
      <c r="CV278" s="53">
        <f t="shared" si="179"/>
        <v>335.3710914104762</v>
      </c>
      <c r="CX278" s="47">
        <f t="shared" si="198"/>
        <v>46119</v>
      </c>
      <c r="CY278" s="56">
        <v>8375.7099999999991</v>
      </c>
      <c r="CZ278" s="57">
        <v>497.44</v>
      </c>
      <c r="DA278" s="58"/>
      <c r="DB278" s="59"/>
      <c r="DC278" s="27"/>
      <c r="DD278" s="240">
        <v>127.65089599999999</v>
      </c>
      <c r="DE278" s="53">
        <v>51.770764231809608</v>
      </c>
      <c r="DF278" s="53"/>
      <c r="DG278" s="53">
        <f t="shared" si="180"/>
        <v>179.4216602318096</v>
      </c>
      <c r="DI278" s="47">
        <f t="shared" si="199"/>
        <v>46119</v>
      </c>
      <c r="DJ278" s="56">
        <v>2363.9299999999998</v>
      </c>
      <c r="DK278" s="63"/>
      <c r="DL278" s="58"/>
      <c r="DM278" s="62"/>
      <c r="DN278" s="27"/>
      <c r="DO278" s="51"/>
      <c r="DP278" s="52"/>
      <c r="DQ278" s="52"/>
      <c r="DR278" s="53">
        <f t="shared" si="181"/>
        <v>0</v>
      </c>
      <c r="DT278" s="47">
        <f t="shared" si="200"/>
        <v>46119</v>
      </c>
      <c r="DU278" s="56">
        <v>7648.86</v>
      </c>
      <c r="DV278" s="57">
        <v>496.24</v>
      </c>
      <c r="DW278" s="58"/>
      <c r="DX278" s="62"/>
      <c r="DY278" s="27"/>
      <c r="DZ278" s="240">
        <v>60.999799999999908</v>
      </c>
      <c r="EA278" s="53">
        <v>27.604483333333519</v>
      </c>
      <c r="EB278" s="53"/>
      <c r="EC278" s="53">
        <f t="shared" si="182"/>
        <v>88.604283333333427</v>
      </c>
      <c r="EE278" s="47">
        <f t="shared" si="201"/>
        <v>46119</v>
      </c>
      <c r="EF278" s="56">
        <v>8307.2900000000009</v>
      </c>
      <c r="EG278" s="57">
        <v>1680.27</v>
      </c>
      <c r="EH278" s="58"/>
      <c r="EI278" s="59">
        <v>75.22</v>
      </c>
      <c r="EJ278" s="27"/>
      <c r="EK278" s="51"/>
      <c r="EL278" s="52"/>
      <c r="EM278" s="52"/>
      <c r="EN278" s="53">
        <f t="shared" si="183"/>
        <v>75.22</v>
      </c>
      <c r="EP278" s="47">
        <f t="shared" si="202"/>
        <v>46119</v>
      </c>
      <c r="EQ278" s="64">
        <v>1987.48</v>
      </c>
      <c r="ER278" s="56">
        <v>689.3</v>
      </c>
      <c r="ES278" s="58"/>
      <c r="ET278" s="59"/>
      <c r="EV278" s="51"/>
      <c r="EW278" s="52"/>
      <c r="EX278" s="52"/>
      <c r="EY278" s="53">
        <f t="shared" si="203"/>
        <v>0</v>
      </c>
    </row>
    <row r="279" spans="2:155" x14ac:dyDescent="0.25">
      <c r="B279" s="47">
        <v>46120</v>
      </c>
      <c r="C279" s="48">
        <v>24724.03</v>
      </c>
      <c r="D279" s="49">
        <v>2917.67</v>
      </c>
      <c r="E279" s="50">
        <v>4377</v>
      </c>
      <c r="F279" s="55">
        <v>1309.1199999999999</v>
      </c>
      <c r="G279" s="102"/>
      <c r="H279" s="27"/>
      <c r="I279" s="51"/>
      <c r="J279" s="53"/>
      <c r="K279" s="52"/>
      <c r="L279" s="53">
        <f t="shared" si="178"/>
        <v>0</v>
      </c>
      <c r="N279" s="47">
        <f t="shared" si="184"/>
        <v>46120</v>
      </c>
      <c r="O279" s="54">
        <v>3043.1</v>
      </c>
      <c r="P279" s="54">
        <v>242.12</v>
      </c>
      <c r="Q279" s="58"/>
      <c r="R279" s="55"/>
      <c r="S279" s="27"/>
      <c r="T279" s="240">
        <v>90.704949999999627</v>
      </c>
      <c r="U279" s="53">
        <v>-4.2006548995237836</v>
      </c>
      <c r="V279" s="52"/>
      <c r="W279" s="53">
        <f t="shared" si="185"/>
        <v>86.504295100475844</v>
      </c>
      <c r="Y279" s="47">
        <f t="shared" si="186"/>
        <v>46120</v>
      </c>
      <c r="Z279" s="56">
        <v>12751.11</v>
      </c>
      <c r="AA279" s="57">
        <v>1983.02</v>
      </c>
      <c r="AB279" s="63"/>
      <c r="AC279" s="59">
        <v>255.75</v>
      </c>
      <c r="AD279" s="27"/>
      <c r="AE279" s="240"/>
      <c r="AF279" s="52"/>
      <c r="AG279" s="52"/>
      <c r="AH279" s="53">
        <f t="shared" si="187"/>
        <v>255.75</v>
      </c>
      <c r="AJ279" s="47">
        <f t="shared" si="188"/>
        <v>46120</v>
      </c>
      <c r="AK279" s="56">
        <v>4787.22</v>
      </c>
      <c r="AL279" s="57">
        <v>320.43</v>
      </c>
      <c r="AM279" s="58"/>
      <c r="AN279" s="58"/>
      <c r="AO279" s="27"/>
      <c r="AP279" s="51"/>
      <c r="AQ279" s="52"/>
      <c r="AR279" s="52"/>
      <c r="AS279" s="53">
        <f t="shared" si="189"/>
        <v>0</v>
      </c>
      <c r="AU279" s="113">
        <f t="shared" si="190"/>
        <v>46120</v>
      </c>
      <c r="AV279" s="57">
        <v>267</v>
      </c>
      <c r="AW279" s="57">
        <f>70+58.54</f>
        <v>128.54</v>
      </c>
      <c r="AX279" s="58"/>
      <c r="AY279" s="59">
        <v>14.38</v>
      </c>
      <c r="AZ279" s="27"/>
      <c r="BA279" s="240">
        <v>196.13290999999941</v>
      </c>
      <c r="BB279" s="53"/>
      <c r="BC279" s="52"/>
      <c r="BD279" s="53">
        <f t="shared" si="191"/>
        <v>210.51290999999941</v>
      </c>
      <c r="BF279" s="47">
        <f t="shared" si="204"/>
        <v>46120</v>
      </c>
      <c r="BG279" s="56">
        <v>7040.82</v>
      </c>
      <c r="BH279" s="57">
        <v>584.58000000000004</v>
      </c>
      <c r="BI279" s="58"/>
      <c r="BJ279" s="59"/>
      <c r="BK279" s="27"/>
      <c r="BL279" s="51">
        <v>149.21834999999976</v>
      </c>
      <c r="BM279" s="52"/>
      <c r="BN279" s="52"/>
      <c r="BO279" s="53">
        <f t="shared" si="192"/>
        <v>149.21834999999976</v>
      </c>
      <c r="BQ279" s="47">
        <f t="shared" si="193"/>
        <v>46120</v>
      </c>
      <c r="BR279" s="57">
        <v>210</v>
      </c>
      <c r="BS279" s="57">
        <v>492.51</v>
      </c>
      <c r="BT279" s="58"/>
      <c r="BU279" s="61"/>
      <c r="BV279" s="27"/>
      <c r="BW279" s="51"/>
      <c r="BX279" s="52"/>
      <c r="BY279" s="52"/>
      <c r="BZ279" s="53">
        <f t="shared" si="194"/>
        <v>0</v>
      </c>
      <c r="CB279" s="47">
        <f t="shared" si="195"/>
        <v>46120</v>
      </c>
      <c r="CC279" s="56">
        <v>18656.849999999999</v>
      </c>
      <c r="CD279" s="57">
        <v>1891.59</v>
      </c>
      <c r="CE279" s="58"/>
      <c r="CF279" s="117"/>
      <c r="CG279" s="27"/>
      <c r="CH279" s="51"/>
      <c r="CI279" s="52"/>
      <c r="CJ279" s="52"/>
      <c r="CK279" s="53">
        <f t="shared" si="196"/>
        <v>0</v>
      </c>
      <c r="CM279" s="47">
        <f t="shared" si="197"/>
        <v>46120</v>
      </c>
      <c r="CN279" s="56">
        <v>14996.94</v>
      </c>
      <c r="CO279" s="57">
        <v>2299.0700000000002</v>
      </c>
      <c r="CP279" s="58"/>
      <c r="CQ279" s="62"/>
      <c r="CR279" s="27"/>
      <c r="CS279" s="240">
        <v>64.339200000000005</v>
      </c>
      <c r="CT279" s="53">
        <v>134.75849696199992</v>
      </c>
      <c r="CU279" s="53"/>
      <c r="CV279" s="53">
        <f t="shared" si="179"/>
        <v>199.09769696199993</v>
      </c>
      <c r="CX279" s="47">
        <f t="shared" si="198"/>
        <v>46120</v>
      </c>
      <c r="CY279" s="56">
        <v>6073.21</v>
      </c>
      <c r="CZ279" s="57">
        <v>1085.29</v>
      </c>
      <c r="DA279" s="58"/>
      <c r="DB279" s="59"/>
      <c r="DC279" s="27"/>
      <c r="DD279" s="240">
        <v>127.8139529999999</v>
      </c>
      <c r="DE279" s="53">
        <v>63.669675038476214</v>
      </c>
      <c r="DF279" s="53"/>
      <c r="DG279" s="53">
        <f t="shared" si="180"/>
        <v>191.48362803847613</v>
      </c>
      <c r="DI279" s="47">
        <f t="shared" si="199"/>
        <v>46120</v>
      </c>
      <c r="DJ279" s="56">
        <v>3306.23</v>
      </c>
      <c r="DK279" s="63"/>
      <c r="DL279" s="58"/>
      <c r="DM279" s="62"/>
      <c r="DN279" s="27"/>
      <c r="DO279" s="51"/>
      <c r="DP279" s="52"/>
      <c r="DQ279" s="52"/>
      <c r="DR279" s="53">
        <f t="shared" si="181"/>
        <v>0</v>
      </c>
      <c r="DT279" s="47">
        <f t="shared" si="200"/>
        <v>46120</v>
      </c>
      <c r="DU279" s="56">
        <v>11241.88</v>
      </c>
      <c r="DV279" s="57">
        <v>475.87</v>
      </c>
      <c r="DW279" s="58"/>
      <c r="DX279" s="62"/>
      <c r="DY279" s="27"/>
      <c r="DZ279" s="240">
        <v>21.238360000000057</v>
      </c>
      <c r="EA279" s="53">
        <v>62.135325884762096</v>
      </c>
      <c r="EB279" s="53"/>
      <c r="EC279" s="53">
        <f t="shared" si="182"/>
        <v>83.373685884762153</v>
      </c>
      <c r="EE279" s="47">
        <f t="shared" si="201"/>
        <v>46120</v>
      </c>
      <c r="EF279" s="56">
        <v>9439.02</v>
      </c>
      <c r="EG279" s="57">
        <v>1774.97</v>
      </c>
      <c r="EH279" s="58"/>
      <c r="EI279" s="59">
        <v>98.74</v>
      </c>
      <c r="EJ279" s="27"/>
      <c r="EK279" s="51"/>
      <c r="EL279" s="52"/>
      <c r="EM279" s="52"/>
      <c r="EN279" s="53">
        <f t="shared" si="183"/>
        <v>98.74</v>
      </c>
      <c r="EP279" s="47">
        <f t="shared" si="202"/>
        <v>46120</v>
      </c>
      <c r="EQ279" s="64">
        <v>1717.49</v>
      </c>
      <c r="ER279" s="56">
        <v>520.14</v>
      </c>
      <c r="ES279" s="58"/>
      <c r="ET279" s="59"/>
      <c r="EV279" s="51"/>
      <c r="EW279" s="52"/>
      <c r="EX279" s="52"/>
      <c r="EY279" s="53">
        <f t="shared" si="203"/>
        <v>0</v>
      </c>
    </row>
    <row r="280" spans="2:155" x14ac:dyDescent="0.25">
      <c r="B280" s="47">
        <v>46121</v>
      </c>
      <c r="C280" s="48">
        <v>19601.939999999999</v>
      </c>
      <c r="D280" s="49">
        <v>3298.65</v>
      </c>
      <c r="E280" s="50">
        <v>3669.73</v>
      </c>
      <c r="F280" s="49">
        <v>1443.72</v>
      </c>
      <c r="G280" s="50"/>
      <c r="H280" s="27"/>
      <c r="I280" s="51"/>
      <c r="J280" s="53"/>
      <c r="K280" s="52"/>
      <c r="L280" s="53">
        <f t="shared" si="178"/>
        <v>0</v>
      </c>
      <c r="N280" s="47">
        <f t="shared" si="184"/>
        <v>46121</v>
      </c>
      <c r="O280" s="54">
        <v>2475.5300000000002</v>
      </c>
      <c r="P280" s="54">
        <v>20</v>
      </c>
      <c r="Q280" s="58"/>
      <c r="R280" s="55"/>
      <c r="S280" s="27"/>
      <c r="T280" s="240">
        <v>148.6474199999997</v>
      </c>
      <c r="U280" s="53">
        <v>44.765702265714424</v>
      </c>
      <c r="V280" s="52"/>
      <c r="W280" s="53">
        <f t="shared" si="185"/>
        <v>193.41312226571412</v>
      </c>
      <c r="Y280" s="47">
        <f t="shared" si="186"/>
        <v>46121</v>
      </c>
      <c r="Z280" s="56">
        <v>9568.14</v>
      </c>
      <c r="AA280" s="57">
        <v>2036.65</v>
      </c>
      <c r="AB280" s="63"/>
      <c r="AC280" s="59">
        <v>134.66999999999999</v>
      </c>
      <c r="AD280" s="27"/>
      <c r="AE280" s="240">
        <v>44.599999999999909</v>
      </c>
      <c r="AF280" s="52"/>
      <c r="AG280" s="52"/>
      <c r="AH280" s="53">
        <f t="shared" si="187"/>
        <v>179.2699999999999</v>
      </c>
      <c r="AJ280" s="47">
        <f t="shared" si="188"/>
        <v>46121</v>
      </c>
      <c r="AK280" s="56">
        <v>5261.01</v>
      </c>
      <c r="AL280" s="57">
        <v>671.76</v>
      </c>
      <c r="AM280" s="58"/>
      <c r="AN280" s="58"/>
      <c r="AO280" s="27"/>
      <c r="AP280" s="51"/>
      <c r="AQ280" s="52"/>
      <c r="AR280" s="52"/>
      <c r="AS280" s="53">
        <f t="shared" si="189"/>
        <v>0</v>
      </c>
      <c r="AU280" s="113">
        <f t="shared" si="190"/>
        <v>46121</v>
      </c>
      <c r="AV280" s="57">
        <v>907.14</v>
      </c>
      <c r="AW280" s="57">
        <v>0</v>
      </c>
      <c r="AX280" s="58"/>
      <c r="AY280" s="59"/>
      <c r="AZ280" s="27"/>
      <c r="BA280" s="240">
        <v>100.69860499999987</v>
      </c>
      <c r="BB280" s="53">
        <v>41.477532995809668</v>
      </c>
      <c r="BC280" s="52"/>
      <c r="BD280" s="53">
        <f t="shared" si="191"/>
        <v>142.17613799580954</v>
      </c>
      <c r="BF280" s="47">
        <f t="shared" si="204"/>
        <v>46121</v>
      </c>
      <c r="BG280" s="56">
        <v>7654.21</v>
      </c>
      <c r="BH280" s="57">
        <v>1142.3499999999999</v>
      </c>
      <c r="BI280" s="58"/>
      <c r="BJ280" s="59"/>
      <c r="BK280" s="27"/>
      <c r="BL280" s="51">
        <v>199.62892999999971</v>
      </c>
      <c r="BM280" s="52"/>
      <c r="BN280" s="52"/>
      <c r="BO280" s="53">
        <f t="shared" si="192"/>
        <v>199.62892999999971</v>
      </c>
      <c r="BQ280" s="47">
        <f t="shared" si="193"/>
        <v>46121</v>
      </c>
      <c r="BR280" s="57">
        <v>286.23</v>
      </c>
      <c r="BS280" s="57">
        <v>493</v>
      </c>
      <c r="BT280" s="58"/>
      <c r="BU280" s="61"/>
      <c r="BV280" s="27"/>
      <c r="BW280" s="51"/>
      <c r="BX280" s="52"/>
      <c r="BY280" s="52"/>
      <c r="BZ280" s="53">
        <f t="shared" si="194"/>
        <v>0</v>
      </c>
      <c r="CB280" s="47">
        <f t="shared" si="195"/>
        <v>46121</v>
      </c>
      <c r="CC280" s="56">
        <v>19648.580000000002</v>
      </c>
      <c r="CD280" s="57">
        <v>2280.52</v>
      </c>
      <c r="CE280" s="58"/>
      <c r="CF280" s="117"/>
      <c r="CG280" s="27"/>
      <c r="CH280" s="51"/>
      <c r="CI280" s="52"/>
      <c r="CJ280" s="52"/>
      <c r="CK280" s="53">
        <f t="shared" si="196"/>
        <v>0</v>
      </c>
      <c r="CM280" s="47">
        <f t="shared" si="197"/>
        <v>46121</v>
      </c>
      <c r="CN280" s="56">
        <v>14477.13</v>
      </c>
      <c r="CO280" s="57">
        <v>1218.1199999999999</v>
      </c>
      <c r="CP280" s="58"/>
      <c r="CQ280" s="62"/>
      <c r="CR280" s="27"/>
      <c r="CS280" s="240">
        <v>48.46464000000001</v>
      </c>
      <c r="CT280" s="53">
        <v>183.57257726057145</v>
      </c>
      <c r="CU280" s="53"/>
      <c r="CV280" s="53">
        <f t="shared" si="179"/>
        <v>232.03721726057145</v>
      </c>
      <c r="CX280" s="47">
        <f t="shared" si="198"/>
        <v>46121</v>
      </c>
      <c r="CY280" s="56">
        <v>7532.16</v>
      </c>
      <c r="CZ280" s="57">
        <v>994.37</v>
      </c>
      <c r="DA280" s="58"/>
      <c r="DB280" s="59"/>
      <c r="DC280" s="27"/>
      <c r="DD280" s="240">
        <v>133.59400799999992</v>
      </c>
      <c r="DE280" s="53">
        <v>136.30360725923799</v>
      </c>
      <c r="DF280" s="53"/>
      <c r="DG280" s="53">
        <f t="shared" si="180"/>
        <v>269.89761525923791</v>
      </c>
      <c r="DI280" s="47">
        <f t="shared" si="199"/>
        <v>46121</v>
      </c>
      <c r="DJ280" s="56">
        <v>2251.42</v>
      </c>
      <c r="DK280" s="63"/>
      <c r="DL280" s="58"/>
      <c r="DM280" s="62"/>
      <c r="DN280" s="27"/>
      <c r="DO280" s="51"/>
      <c r="DP280" s="52"/>
      <c r="DQ280" s="52"/>
      <c r="DR280" s="53">
        <f t="shared" si="181"/>
        <v>0</v>
      </c>
      <c r="DT280" s="47">
        <f t="shared" si="200"/>
        <v>46121</v>
      </c>
      <c r="DU280" s="56">
        <v>4828.83</v>
      </c>
      <c r="DV280" s="57">
        <v>448.4</v>
      </c>
      <c r="DW280" s="58"/>
      <c r="DX280" s="62"/>
      <c r="DY280" s="27"/>
      <c r="DZ280" s="240">
        <v>27.33328999999992</v>
      </c>
      <c r="EA280" s="53">
        <v>68.873185916666785</v>
      </c>
      <c r="EB280" s="53">
        <v>3.86384129999999</v>
      </c>
      <c r="EC280" s="53">
        <f t="shared" si="182"/>
        <v>100.07031721666669</v>
      </c>
      <c r="EE280" s="47">
        <f t="shared" si="201"/>
        <v>46121</v>
      </c>
      <c r="EF280" s="56">
        <v>8474.14</v>
      </c>
      <c r="EG280" s="57">
        <v>1586.78</v>
      </c>
      <c r="EH280" s="58"/>
      <c r="EI280" s="59">
        <v>120.45</v>
      </c>
      <c r="EJ280" s="27"/>
      <c r="EK280" s="51"/>
      <c r="EL280" s="52"/>
      <c r="EM280" s="52"/>
      <c r="EN280" s="53">
        <f t="shared" si="183"/>
        <v>120.45</v>
      </c>
      <c r="EP280" s="47">
        <f t="shared" si="202"/>
        <v>46121</v>
      </c>
      <c r="EQ280" s="64">
        <v>1982.47</v>
      </c>
      <c r="ER280" s="56">
        <v>485.3</v>
      </c>
      <c r="ES280" s="58"/>
      <c r="ET280" s="59"/>
      <c r="EV280" s="51"/>
      <c r="EW280" s="52"/>
      <c r="EX280" s="52"/>
      <c r="EY280" s="53">
        <f t="shared" si="203"/>
        <v>0</v>
      </c>
    </row>
    <row r="281" spans="2:155" x14ac:dyDescent="0.25">
      <c r="B281" s="47">
        <v>46122</v>
      </c>
      <c r="C281" s="48">
        <v>21018.38</v>
      </c>
      <c r="D281" s="49">
        <v>4818.4799999999996</v>
      </c>
      <c r="E281" s="50">
        <v>5868.41</v>
      </c>
      <c r="F281" s="49">
        <v>1195.6600000000001</v>
      </c>
      <c r="G281" s="50"/>
      <c r="H281" s="27"/>
      <c r="I281" s="51"/>
      <c r="J281" s="53"/>
      <c r="K281" s="52"/>
      <c r="L281" s="53">
        <f t="shared" si="178"/>
        <v>0</v>
      </c>
      <c r="N281" s="47">
        <f t="shared" si="184"/>
        <v>46122</v>
      </c>
      <c r="O281" s="54">
        <v>3755.96</v>
      </c>
      <c r="P281" s="54">
        <v>299.26</v>
      </c>
      <c r="Q281" s="58"/>
      <c r="R281" s="55"/>
      <c r="S281" s="27"/>
      <c r="T281" s="240">
        <v>111.37267999999975</v>
      </c>
      <c r="U281" s="53">
        <v>20.689847087142994</v>
      </c>
      <c r="V281" s="52"/>
      <c r="W281" s="53">
        <f t="shared" si="185"/>
        <v>132.06252708714274</v>
      </c>
      <c r="Y281" s="47">
        <f t="shared" si="186"/>
        <v>46122</v>
      </c>
      <c r="Z281" s="56">
        <v>7126.62</v>
      </c>
      <c r="AA281" s="57">
        <v>2147.0100000000002</v>
      </c>
      <c r="AB281" s="63"/>
      <c r="AC281" s="59">
        <v>199.45</v>
      </c>
      <c r="AD281" s="27"/>
      <c r="AE281" s="240">
        <v>11.991839999999996</v>
      </c>
      <c r="AF281" s="52"/>
      <c r="AG281" s="52"/>
      <c r="AH281" s="53">
        <f t="shared" si="187"/>
        <v>211.44183999999998</v>
      </c>
      <c r="AJ281" s="47">
        <f t="shared" si="188"/>
        <v>46122</v>
      </c>
      <c r="AK281" s="56">
        <v>4438.95</v>
      </c>
      <c r="AL281" s="57">
        <v>597.82000000000005</v>
      </c>
      <c r="AM281" s="58"/>
      <c r="AN281" s="58"/>
      <c r="AO281" s="27"/>
      <c r="AP281" s="51"/>
      <c r="AQ281" s="52"/>
      <c r="AR281" s="52"/>
      <c r="AS281" s="53">
        <f t="shared" si="189"/>
        <v>0</v>
      </c>
      <c r="AU281" s="113">
        <f t="shared" si="190"/>
        <v>46122</v>
      </c>
      <c r="AV281" s="57">
        <v>2138</v>
      </c>
      <c r="AW281" s="57">
        <v>251.35</v>
      </c>
      <c r="AX281" s="58"/>
      <c r="AY281" s="59">
        <v>12</v>
      </c>
      <c r="AZ281" s="27"/>
      <c r="BA281" s="240">
        <v>77.91780799999998</v>
      </c>
      <c r="BB281" s="53">
        <v>10.031528523428676</v>
      </c>
      <c r="BC281" s="52"/>
      <c r="BD281" s="53">
        <f t="shared" si="191"/>
        <v>99.949336523428656</v>
      </c>
      <c r="BF281" s="47">
        <f t="shared" si="204"/>
        <v>46122</v>
      </c>
      <c r="BG281" s="56">
        <v>8388.89</v>
      </c>
      <c r="BH281" s="57">
        <v>562.15</v>
      </c>
      <c r="BI281" s="58"/>
      <c r="BJ281" s="59">
        <v>31.71</v>
      </c>
      <c r="BK281" s="27"/>
      <c r="BL281" s="51">
        <v>151.03622999999988</v>
      </c>
      <c r="BM281" s="52">
        <v>35.329570091428799</v>
      </c>
      <c r="BN281" s="52"/>
      <c r="BO281" s="53">
        <f t="shared" si="192"/>
        <v>218.07580009142868</v>
      </c>
      <c r="BQ281" s="47">
        <f t="shared" si="193"/>
        <v>46122</v>
      </c>
      <c r="BR281" s="57">
        <v>402.96</v>
      </c>
      <c r="BS281" s="57">
        <v>411.68</v>
      </c>
      <c r="BT281" s="58"/>
      <c r="BU281" s="61"/>
      <c r="BV281" s="27"/>
      <c r="BW281" s="51"/>
      <c r="BX281" s="52"/>
      <c r="BY281" s="52"/>
      <c r="BZ281" s="53">
        <f t="shared" si="194"/>
        <v>0</v>
      </c>
      <c r="CB281" s="47">
        <f t="shared" si="195"/>
        <v>46122</v>
      </c>
      <c r="CC281" s="56">
        <v>24164.04</v>
      </c>
      <c r="CD281" s="57">
        <v>2978.84</v>
      </c>
      <c r="CE281" s="58"/>
      <c r="CF281" s="118"/>
      <c r="CG281" s="27"/>
      <c r="CH281" s="51"/>
      <c r="CI281" s="52"/>
      <c r="CJ281" s="52"/>
      <c r="CK281" s="53">
        <f t="shared" si="196"/>
        <v>0</v>
      </c>
      <c r="CM281" s="47">
        <f t="shared" si="197"/>
        <v>46122</v>
      </c>
      <c r="CN281" s="56">
        <v>14796</v>
      </c>
      <c r="CO281" s="57">
        <v>2360.29</v>
      </c>
      <c r="CP281" s="58"/>
      <c r="CQ281" s="62"/>
      <c r="CR281" s="27"/>
      <c r="CS281" s="240">
        <v>64.949759999999998</v>
      </c>
      <c r="CT281" s="53">
        <v>170.1641323325714</v>
      </c>
      <c r="CU281" s="53">
        <v>35.0544802</v>
      </c>
      <c r="CV281" s="53">
        <f t="shared" si="179"/>
        <v>270.16837253257142</v>
      </c>
      <c r="CX281" s="47">
        <f t="shared" si="198"/>
        <v>46122</v>
      </c>
      <c r="CY281" s="56">
        <v>6044.54</v>
      </c>
      <c r="CZ281" s="57">
        <v>1033.02</v>
      </c>
      <c r="DA281" s="58"/>
      <c r="DB281" s="59"/>
      <c r="DC281" s="27"/>
      <c r="DD281" s="240">
        <v>168.36818699999944</v>
      </c>
      <c r="DE281" s="53">
        <v>51.424640071714521</v>
      </c>
      <c r="DF281" s="53"/>
      <c r="DG281" s="53">
        <f t="shared" si="180"/>
        <v>219.79282707171396</v>
      </c>
      <c r="DI281" s="47">
        <f t="shared" si="199"/>
        <v>46122</v>
      </c>
      <c r="DJ281" s="56">
        <v>1792.07</v>
      </c>
      <c r="DK281" s="63"/>
      <c r="DL281" s="58"/>
      <c r="DM281" s="62"/>
      <c r="DN281" s="27"/>
      <c r="DO281" s="51"/>
      <c r="DP281" s="52"/>
      <c r="DQ281" s="52"/>
      <c r="DR281" s="53">
        <f t="shared" si="181"/>
        <v>0</v>
      </c>
      <c r="DT281" s="47">
        <f t="shared" si="200"/>
        <v>46122</v>
      </c>
      <c r="DU281" s="56">
        <v>5230.91</v>
      </c>
      <c r="DV281" s="57">
        <v>593.08000000000004</v>
      </c>
      <c r="DW281" s="58"/>
      <c r="DX281" s="62"/>
      <c r="DY281" s="27"/>
      <c r="DZ281" s="240">
        <v>12.038399999999996</v>
      </c>
      <c r="EA281" s="53"/>
      <c r="EB281" s="53"/>
      <c r="EC281" s="53">
        <f t="shared" si="182"/>
        <v>12.038399999999996</v>
      </c>
      <c r="EE281" s="47">
        <f t="shared" si="201"/>
        <v>46122</v>
      </c>
      <c r="EF281" s="56">
        <v>10561.56</v>
      </c>
      <c r="EG281" s="57">
        <v>1272.0999999999999</v>
      </c>
      <c r="EH281" s="58"/>
      <c r="EI281" s="59">
        <v>51.39</v>
      </c>
      <c r="EJ281" s="27"/>
      <c r="EK281" s="51"/>
      <c r="EL281" s="52"/>
      <c r="EM281" s="52"/>
      <c r="EN281" s="53">
        <f t="shared" si="183"/>
        <v>51.39</v>
      </c>
      <c r="EP281" s="47">
        <f t="shared" si="202"/>
        <v>46122</v>
      </c>
      <c r="EQ281" s="64">
        <v>1960.92</v>
      </c>
      <c r="ER281" s="56">
        <v>646.79999999999995</v>
      </c>
      <c r="ES281" s="58"/>
      <c r="ET281" s="59"/>
      <c r="EV281" s="51"/>
      <c r="EW281" s="52"/>
      <c r="EX281" s="52"/>
      <c r="EY281" s="53">
        <f t="shared" si="203"/>
        <v>0</v>
      </c>
    </row>
    <row r="282" spans="2:155" x14ac:dyDescent="0.25">
      <c r="B282" s="47">
        <v>46123</v>
      </c>
      <c r="C282" s="48">
        <v>22384.44</v>
      </c>
      <c r="D282" s="49">
        <v>4641.5200000000004</v>
      </c>
      <c r="E282" s="50">
        <v>3926.39</v>
      </c>
      <c r="F282" s="49">
        <v>933.43</v>
      </c>
      <c r="G282" s="50"/>
      <c r="H282" s="27"/>
      <c r="I282" s="51"/>
      <c r="J282" s="53"/>
      <c r="K282" s="52">
        <v>46.763558999999987</v>
      </c>
      <c r="L282" s="53">
        <f t="shared" si="178"/>
        <v>46.763558999999987</v>
      </c>
      <c r="N282" s="47">
        <f t="shared" si="184"/>
        <v>46123</v>
      </c>
      <c r="O282" s="54">
        <v>5764.8</v>
      </c>
      <c r="P282" s="54">
        <v>400.05</v>
      </c>
      <c r="Q282" s="58"/>
      <c r="R282" s="55"/>
      <c r="S282" s="27"/>
      <c r="T282" s="240">
        <v>50.017049999999848</v>
      </c>
      <c r="U282" s="53"/>
      <c r="V282" s="52"/>
      <c r="W282" s="53">
        <f t="shared" si="185"/>
        <v>50.017049999999848</v>
      </c>
      <c r="Y282" s="47">
        <f t="shared" si="186"/>
        <v>46123</v>
      </c>
      <c r="Z282" s="56">
        <v>9789.0300000000007</v>
      </c>
      <c r="AA282" s="57">
        <v>2244.41</v>
      </c>
      <c r="AB282" s="63"/>
      <c r="AC282" s="59">
        <v>134.55000000000001</v>
      </c>
      <c r="AD282" s="27"/>
      <c r="AE282" s="240">
        <v>13.267799999999966</v>
      </c>
      <c r="AF282" s="52"/>
      <c r="AG282" s="52"/>
      <c r="AH282" s="53">
        <f t="shared" si="187"/>
        <v>147.81779999999998</v>
      </c>
      <c r="AJ282" s="47">
        <f t="shared" si="188"/>
        <v>46123</v>
      </c>
      <c r="AK282" s="56">
        <v>6896.98</v>
      </c>
      <c r="AL282" s="57">
        <v>737.46</v>
      </c>
      <c r="AM282" s="58"/>
      <c r="AN282" s="58"/>
      <c r="AO282" s="27"/>
      <c r="AP282" s="51"/>
      <c r="AQ282" s="52"/>
      <c r="AR282" s="52"/>
      <c r="AS282" s="53">
        <f t="shared" si="189"/>
        <v>0</v>
      </c>
      <c r="AU282" s="113">
        <f t="shared" si="190"/>
        <v>46123</v>
      </c>
      <c r="AV282" s="57">
        <v>1127.45</v>
      </c>
      <c r="AW282" s="57">
        <v>0</v>
      </c>
      <c r="AX282" s="58"/>
      <c r="AY282" s="59"/>
      <c r="AZ282" s="27"/>
      <c r="BA282" s="240">
        <v>79.465766999999829</v>
      </c>
      <c r="BB282" s="53">
        <v>17.09100855385725</v>
      </c>
      <c r="BC282" s="52"/>
      <c r="BD282" s="53">
        <f t="shared" si="191"/>
        <v>96.556775553857079</v>
      </c>
      <c r="BF282" s="47">
        <f t="shared" si="204"/>
        <v>46123</v>
      </c>
      <c r="BG282" s="56">
        <v>6611.26</v>
      </c>
      <c r="BH282" s="57">
        <v>650.54999999999995</v>
      </c>
      <c r="BI282" s="58"/>
      <c r="BJ282" s="59"/>
      <c r="BK282" s="27"/>
      <c r="BL282" s="51">
        <v>19.479949999999974</v>
      </c>
      <c r="BM282" s="52"/>
      <c r="BN282" s="52"/>
      <c r="BO282" s="53">
        <f t="shared" si="192"/>
        <v>19.479949999999974</v>
      </c>
      <c r="BQ282" s="47">
        <f t="shared" si="193"/>
        <v>46123</v>
      </c>
      <c r="BR282" s="57">
        <v>1356.59</v>
      </c>
      <c r="BS282" s="57">
        <v>675.34</v>
      </c>
      <c r="BT282" s="58"/>
      <c r="BU282" s="61"/>
      <c r="BV282" s="27"/>
      <c r="BW282" s="51"/>
      <c r="BX282" s="52"/>
      <c r="BY282" s="52"/>
      <c r="BZ282" s="53">
        <f t="shared" si="194"/>
        <v>0</v>
      </c>
      <c r="CB282" s="47">
        <f t="shared" si="195"/>
        <v>46123</v>
      </c>
      <c r="CC282" s="56">
        <v>23684.17</v>
      </c>
      <c r="CD282" s="57">
        <v>1938.36</v>
      </c>
      <c r="CE282" s="58"/>
      <c r="CF282" s="117"/>
      <c r="CG282" s="27"/>
      <c r="CH282" s="51"/>
      <c r="CI282" s="52"/>
      <c r="CJ282" s="52"/>
      <c r="CK282" s="53">
        <f t="shared" si="196"/>
        <v>0</v>
      </c>
      <c r="CM282" s="47">
        <f t="shared" si="197"/>
        <v>46123</v>
      </c>
      <c r="CN282" s="56">
        <v>11113.72</v>
      </c>
      <c r="CO282" s="57">
        <v>1298.94</v>
      </c>
      <c r="CP282" s="58"/>
      <c r="CQ282" s="62"/>
      <c r="CR282" s="27"/>
      <c r="CS282" s="240">
        <v>48.891529999999989</v>
      </c>
      <c r="CT282" s="53">
        <v>249.49419128057133</v>
      </c>
      <c r="CU282" s="53"/>
      <c r="CV282" s="53">
        <f t="shared" si="179"/>
        <v>298.38572128057132</v>
      </c>
      <c r="CX282" s="47">
        <f t="shared" si="198"/>
        <v>46123</v>
      </c>
      <c r="CY282" s="56">
        <v>5795.73</v>
      </c>
      <c r="CZ282" s="57">
        <v>473.63</v>
      </c>
      <c r="DA282" s="58"/>
      <c r="DB282" s="59"/>
      <c r="DC282" s="27"/>
      <c r="DD282" s="240">
        <v>191.7027129999999</v>
      </c>
      <c r="DE282" s="53">
        <v>74.30646180900078</v>
      </c>
      <c r="DF282" s="53"/>
      <c r="DG282" s="53">
        <f t="shared" si="180"/>
        <v>266.00917480900068</v>
      </c>
      <c r="DI282" s="47">
        <f t="shared" si="199"/>
        <v>46123</v>
      </c>
      <c r="DJ282" s="56">
        <v>1161.6199999999999</v>
      </c>
      <c r="DK282" s="63"/>
      <c r="DL282" s="58"/>
      <c r="DM282" s="62"/>
      <c r="DN282" s="27"/>
      <c r="DO282" s="51"/>
      <c r="DP282" s="52"/>
      <c r="DQ282" s="52"/>
      <c r="DR282" s="53">
        <f t="shared" si="181"/>
        <v>0</v>
      </c>
      <c r="DT282" s="47">
        <f t="shared" si="200"/>
        <v>46123</v>
      </c>
      <c r="DU282" s="56">
        <v>3341.34</v>
      </c>
      <c r="DV282" s="57">
        <v>778.09</v>
      </c>
      <c r="DW282" s="58"/>
      <c r="DX282" s="62"/>
      <c r="DY282" s="27"/>
      <c r="DZ282" s="240">
        <v>42.006720000000001</v>
      </c>
      <c r="EA282" s="53">
        <v>16.544729541428694</v>
      </c>
      <c r="EB282" s="53"/>
      <c r="EC282" s="53">
        <f t="shared" si="182"/>
        <v>58.551449541428696</v>
      </c>
      <c r="EE282" s="47">
        <f t="shared" si="201"/>
        <v>46123</v>
      </c>
      <c r="EF282" s="56">
        <v>8091.34</v>
      </c>
      <c r="EG282" s="57">
        <v>1403.57</v>
      </c>
      <c r="EH282" s="58"/>
      <c r="EI282" s="59">
        <v>44.24</v>
      </c>
      <c r="EJ282" s="27"/>
      <c r="EK282" s="51"/>
      <c r="EL282" s="52"/>
      <c r="EM282" s="52"/>
      <c r="EN282" s="53">
        <f t="shared" si="183"/>
        <v>44.24</v>
      </c>
      <c r="EP282" s="47">
        <f t="shared" si="202"/>
        <v>46123</v>
      </c>
      <c r="EQ282" s="64">
        <v>1854.43</v>
      </c>
      <c r="ER282" s="56">
        <v>638.86</v>
      </c>
      <c r="ES282" s="58"/>
      <c r="ET282" s="59"/>
      <c r="EV282" s="51"/>
      <c r="EW282" s="52"/>
      <c r="EX282" s="52"/>
      <c r="EY282" s="53">
        <f t="shared" si="203"/>
        <v>0</v>
      </c>
    </row>
    <row r="283" spans="2:155" x14ac:dyDescent="0.25">
      <c r="B283" s="47">
        <v>46124</v>
      </c>
      <c r="C283" s="48">
        <v>16653.72</v>
      </c>
      <c r="D283" s="49">
        <v>3574.2</v>
      </c>
      <c r="E283" s="50">
        <v>2424.0700000000002</v>
      </c>
      <c r="F283" s="49">
        <v>763.33</v>
      </c>
      <c r="G283" s="50"/>
      <c r="H283" s="27"/>
      <c r="I283" s="51"/>
      <c r="J283" s="53"/>
      <c r="K283" s="52"/>
      <c r="L283" s="53">
        <f t="shared" si="178"/>
        <v>0</v>
      </c>
      <c r="N283" s="47">
        <f t="shared" si="184"/>
        <v>46124</v>
      </c>
      <c r="O283" s="54">
        <v>2693.93</v>
      </c>
      <c r="P283" s="54">
        <v>192.07</v>
      </c>
      <c r="Q283" s="58"/>
      <c r="R283" s="55"/>
      <c r="S283" s="27"/>
      <c r="T283" s="240">
        <v>10.063149999999951</v>
      </c>
      <c r="U283" s="53"/>
      <c r="V283" s="52"/>
      <c r="W283" s="53">
        <f t="shared" si="185"/>
        <v>10.063149999999951</v>
      </c>
      <c r="Y283" s="47">
        <f t="shared" si="186"/>
        <v>46124</v>
      </c>
      <c r="Z283" s="56">
        <v>9387.7000000000007</v>
      </c>
      <c r="AA283" s="57">
        <v>2281.62</v>
      </c>
      <c r="AB283" s="63"/>
      <c r="AC283" s="59">
        <v>98.5</v>
      </c>
      <c r="AD283" s="27"/>
      <c r="AE283" s="240">
        <v>4.3721999999999923</v>
      </c>
      <c r="AF283" s="52"/>
      <c r="AG283" s="52"/>
      <c r="AH283" s="53">
        <f t="shared" si="187"/>
        <v>102.87219999999999</v>
      </c>
      <c r="AJ283" s="47">
        <f t="shared" si="188"/>
        <v>46124</v>
      </c>
      <c r="AK283" s="56">
        <v>6409.8</v>
      </c>
      <c r="AL283" s="57">
        <v>220.92</v>
      </c>
      <c r="AM283" s="58"/>
      <c r="AN283" s="58"/>
      <c r="AO283" s="27"/>
      <c r="AP283" s="51"/>
      <c r="AQ283" s="52"/>
      <c r="AR283" s="52"/>
      <c r="AS283" s="53">
        <f t="shared" si="189"/>
        <v>0</v>
      </c>
      <c r="AU283" s="113">
        <f t="shared" si="190"/>
        <v>46124</v>
      </c>
      <c r="AV283" s="57">
        <v>870.02</v>
      </c>
      <c r="AW283" s="57">
        <v>20</v>
      </c>
      <c r="AX283" s="58"/>
      <c r="AY283" s="59"/>
      <c r="AZ283" s="27"/>
      <c r="BA283" s="240">
        <v>15.449174999999968</v>
      </c>
      <c r="BB283" s="53">
        <v>18.309031626000092</v>
      </c>
      <c r="BC283" s="52"/>
      <c r="BD283" s="53">
        <f t="shared" si="191"/>
        <v>33.75820662600006</v>
      </c>
      <c r="BF283" s="47">
        <f t="shared" si="204"/>
        <v>46124</v>
      </c>
      <c r="BG283" s="56">
        <v>7791.2</v>
      </c>
      <c r="BH283" s="57">
        <v>663.33</v>
      </c>
      <c r="BI283" s="58"/>
      <c r="BJ283" s="59"/>
      <c r="BK283" s="27"/>
      <c r="BL283" s="51">
        <v>130.40060999999994</v>
      </c>
      <c r="BM283" s="52"/>
      <c r="BN283" s="52"/>
      <c r="BO283" s="53">
        <f t="shared" si="192"/>
        <v>130.40060999999994</v>
      </c>
      <c r="BQ283" s="47">
        <f t="shared" si="193"/>
        <v>46124</v>
      </c>
      <c r="BR283" s="57">
        <v>393</v>
      </c>
      <c r="BS283" s="57">
        <v>331.74</v>
      </c>
      <c r="BT283" s="58"/>
      <c r="BU283" s="61"/>
      <c r="BV283" s="27"/>
      <c r="BW283" s="51"/>
      <c r="BX283" s="52"/>
      <c r="BY283" s="52"/>
      <c r="BZ283" s="53">
        <f t="shared" si="194"/>
        <v>0</v>
      </c>
      <c r="CB283" s="47">
        <f t="shared" si="195"/>
        <v>46124</v>
      </c>
      <c r="CC283" s="56">
        <v>25981.74</v>
      </c>
      <c r="CD283" s="57">
        <v>3180.27</v>
      </c>
      <c r="CE283" s="58"/>
      <c r="CF283" s="117"/>
      <c r="CG283" s="27"/>
      <c r="CH283" s="51"/>
      <c r="CI283" s="52"/>
      <c r="CJ283" s="52"/>
      <c r="CK283" s="53">
        <f t="shared" si="196"/>
        <v>0</v>
      </c>
      <c r="CM283" s="47">
        <f t="shared" si="197"/>
        <v>46124</v>
      </c>
      <c r="CN283" s="56">
        <v>9805.8799999999992</v>
      </c>
      <c r="CO283" s="57">
        <v>1187.9100000000001</v>
      </c>
      <c r="CP283" s="58"/>
      <c r="CQ283" s="62"/>
      <c r="CR283" s="27"/>
      <c r="CS283" s="240"/>
      <c r="CT283" s="53">
        <v>37.121931428571429</v>
      </c>
      <c r="CU283" s="53"/>
      <c r="CV283" s="53">
        <f t="shared" si="179"/>
        <v>37.121931428571429</v>
      </c>
      <c r="CX283" s="47">
        <f t="shared" si="198"/>
        <v>46124</v>
      </c>
      <c r="CY283" s="56">
        <v>2268</v>
      </c>
      <c r="CZ283" s="57">
        <v>657.39</v>
      </c>
      <c r="DA283" s="58"/>
      <c r="DB283" s="59"/>
      <c r="DC283" s="27"/>
      <c r="DD283" s="240">
        <v>13.233522999999991</v>
      </c>
      <c r="DE283" s="53">
        <v>43.462873385143325</v>
      </c>
      <c r="DF283" s="53"/>
      <c r="DG283" s="53">
        <f t="shared" si="180"/>
        <v>56.696396385143316</v>
      </c>
      <c r="DI283" s="47">
        <f t="shared" si="199"/>
        <v>46124</v>
      </c>
      <c r="DJ283" s="56">
        <v>1686.08</v>
      </c>
      <c r="DK283" s="63"/>
      <c r="DL283" s="58"/>
      <c r="DM283" s="62"/>
      <c r="DN283" s="27"/>
      <c r="DO283" s="51"/>
      <c r="DP283" s="52"/>
      <c r="DQ283" s="52"/>
      <c r="DR283" s="53">
        <f t="shared" si="181"/>
        <v>0</v>
      </c>
      <c r="DT283" s="47">
        <f t="shared" si="200"/>
        <v>46124</v>
      </c>
      <c r="DU283" s="56">
        <v>1995.08</v>
      </c>
      <c r="DV283" s="57">
        <v>518.01</v>
      </c>
      <c r="DW283" s="58"/>
      <c r="DX283" s="62"/>
      <c r="DY283" s="27"/>
      <c r="DZ283" s="240">
        <v>6.168120000000016</v>
      </c>
      <c r="EA283" s="53">
        <v>44.480510510000386</v>
      </c>
      <c r="EB283" s="53"/>
      <c r="EC283" s="53">
        <f t="shared" si="182"/>
        <v>50.648630510000402</v>
      </c>
      <c r="EE283" s="47">
        <f t="shared" si="201"/>
        <v>46124</v>
      </c>
      <c r="EF283" s="56">
        <v>7914.81</v>
      </c>
      <c r="EG283" s="57">
        <v>758.61</v>
      </c>
      <c r="EH283" s="58"/>
      <c r="EI283" s="59">
        <v>17.420000000000002</v>
      </c>
      <c r="EJ283" s="27"/>
      <c r="EK283" s="51"/>
      <c r="EL283" s="52"/>
      <c r="EM283" s="52"/>
      <c r="EN283" s="53">
        <f t="shared" si="183"/>
        <v>17.420000000000002</v>
      </c>
      <c r="EP283" s="47">
        <f t="shared" si="202"/>
        <v>46124</v>
      </c>
      <c r="EQ283" s="64">
        <v>1730.22</v>
      </c>
      <c r="ER283" s="56">
        <v>602.62</v>
      </c>
      <c r="ES283" s="58"/>
      <c r="ET283" s="59"/>
      <c r="EV283" s="51"/>
      <c r="EW283" s="52"/>
      <c r="EX283" s="52"/>
      <c r="EY283" s="53">
        <f t="shared" si="203"/>
        <v>0</v>
      </c>
    </row>
    <row r="284" spans="2:155" x14ac:dyDescent="0.25">
      <c r="B284" s="47">
        <v>46125</v>
      </c>
      <c r="C284" s="48">
        <v>25110.49</v>
      </c>
      <c r="D284" s="49">
        <v>4058.06</v>
      </c>
      <c r="E284" s="50">
        <v>3437.46</v>
      </c>
      <c r="F284" s="49">
        <f>1080.73+90.13</f>
        <v>1170.8600000000001</v>
      </c>
      <c r="G284" s="50"/>
      <c r="H284" s="27"/>
      <c r="I284" s="51"/>
      <c r="J284" s="53">
        <v>9.9323987378571417</v>
      </c>
      <c r="K284" s="52">
        <v>46.390940999999998</v>
      </c>
      <c r="L284" s="53">
        <f t="shared" si="178"/>
        <v>56.32333973785714</v>
      </c>
      <c r="N284" s="47">
        <f t="shared" si="184"/>
        <v>46125</v>
      </c>
      <c r="O284" s="54">
        <v>4146.1499999999996</v>
      </c>
      <c r="P284" s="54">
        <v>509.22</v>
      </c>
      <c r="Q284" s="58"/>
      <c r="R284" s="69"/>
      <c r="S284" s="27"/>
      <c r="T284" s="240">
        <v>152.24023999999994</v>
      </c>
      <c r="U284" s="53">
        <v>15.725703660000192</v>
      </c>
      <c r="V284" s="52"/>
      <c r="W284" s="53">
        <f t="shared" si="185"/>
        <v>167.96594366000014</v>
      </c>
      <c r="Y284" s="47">
        <f t="shared" si="186"/>
        <v>46125</v>
      </c>
      <c r="Z284" s="56">
        <v>9561.7800000000007</v>
      </c>
      <c r="AA284" s="57">
        <v>1797.79</v>
      </c>
      <c r="AB284" s="63"/>
      <c r="AC284" s="59">
        <v>232.96</v>
      </c>
      <c r="AD284" s="27"/>
      <c r="AE284" s="240">
        <v>91.195389999999946</v>
      </c>
      <c r="AF284" s="52"/>
      <c r="AG284" s="52"/>
      <c r="AH284" s="53">
        <f t="shared" si="187"/>
        <v>324.15538999999995</v>
      </c>
      <c r="AJ284" s="47">
        <f t="shared" si="188"/>
        <v>46125</v>
      </c>
      <c r="AK284" s="56">
        <v>6850.9</v>
      </c>
      <c r="AL284" s="57">
        <v>294.02</v>
      </c>
      <c r="AM284" s="58"/>
      <c r="AN284" s="58"/>
      <c r="AO284" s="27"/>
      <c r="AP284" s="51"/>
      <c r="AQ284" s="52"/>
      <c r="AR284" s="52"/>
      <c r="AS284" s="53">
        <f t="shared" si="189"/>
        <v>0</v>
      </c>
      <c r="AU284" s="113">
        <f t="shared" si="190"/>
        <v>46125</v>
      </c>
      <c r="AV284" s="57">
        <v>1532.8</v>
      </c>
      <c r="AW284" s="57">
        <v>72.78</v>
      </c>
      <c r="AX284" s="58"/>
      <c r="AY284" s="59">
        <v>50.7</v>
      </c>
      <c r="AZ284" s="27"/>
      <c r="BA284" s="240">
        <v>133.95525399999988</v>
      </c>
      <c r="BB284" s="53">
        <v>19.06120374000011</v>
      </c>
      <c r="BC284" s="52"/>
      <c r="BD284" s="53">
        <f t="shared" si="191"/>
        <v>203.71645774000001</v>
      </c>
      <c r="BF284" s="47">
        <f t="shared" si="204"/>
        <v>46125</v>
      </c>
      <c r="BG284" s="56">
        <v>7004.56</v>
      </c>
      <c r="BH284" s="57">
        <v>272</v>
      </c>
      <c r="BI284" s="58"/>
      <c r="BJ284" s="59"/>
      <c r="BK284" s="27"/>
      <c r="BL284" s="51">
        <v>129.61566999999997</v>
      </c>
      <c r="BM284" s="52">
        <v>31.139140368571546</v>
      </c>
      <c r="BN284" s="52"/>
      <c r="BO284" s="53">
        <f t="shared" si="192"/>
        <v>160.7548103685715</v>
      </c>
      <c r="BQ284" s="47">
        <f t="shared" si="193"/>
        <v>46125</v>
      </c>
      <c r="BR284" s="57">
        <v>714.42</v>
      </c>
      <c r="BS284" s="57">
        <v>763.97</v>
      </c>
      <c r="BT284" s="58"/>
      <c r="BU284" s="61">
        <v>26.1</v>
      </c>
      <c r="BV284" s="27"/>
      <c r="BW284" s="51"/>
      <c r="BX284" s="52"/>
      <c r="BY284" s="52"/>
      <c r="BZ284" s="53">
        <f t="shared" si="194"/>
        <v>26.1</v>
      </c>
      <c r="CB284" s="47">
        <f t="shared" si="195"/>
        <v>46125</v>
      </c>
      <c r="CC284" s="56">
        <v>21029.23</v>
      </c>
      <c r="CD284" s="57">
        <v>1979.37</v>
      </c>
      <c r="CE284" s="58"/>
      <c r="CF284" s="118"/>
      <c r="CG284" s="27"/>
      <c r="CH284" s="51"/>
      <c r="CI284" s="52"/>
      <c r="CJ284" s="52"/>
      <c r="CK284" s="53">
        <f t="shared" si="196"/>
        <v>0</v>
      </c>
      <c r="CM284" s="47">
        <f t="shared" si="197"/>
        <v>46125</v>
      </c>
      <c r="CN284" s="56">
        <v>17181.2</v>
      </c>
      <c r="CO284" s="57">
        <v>1013.05</v>
      </c>
      <c r="CP284" s="58"/>
      <c r="CQ284" s="62"/>
      <c r="CR284" s="27"/>
      <c r="CS284" s="240">
        <v>191.38379999999995</v>
      </c>
      <c r="CT284" s="53">
        <v>464.56654818400023</v>
      </c>
      <c r="CU284" s="53"/>
      <c r="CV284" s="53">
        <f t="shared" si="179"/>
        <v>655.95034818400018</v>
      </c>
      <c r="CX284" s="47">
        <f t="shared" si="198"/>
        <v>46125</v>
      </c>
      <c r="CY284" s="56">
        <v>5225.97</v>
      </c>
      <c r="CZ284" s="57">
        <v>762.79</v>
      </c>
      <c r="DA284" s="58"/>
      <c r="DB284" s="59"/>
      <c r="DC284" s="27"/>
      <c r="DD284" s="240">
        <v>132.66838099999995</v>
      </c>
      <c r="DE284" s="53">
        <v>36.351569409857518</v>
      </c>
      <c r="DF284" s="53"/>
      <c r="DG284" s="53">
        <f t="shared" si="180"/>
        <v>169.01995040985747</v>
      </c>
      <c r="DI284" s="47">
        <f t="shared" si="199"/>
        <v>46125</v>
      </c>
      <c r="DJ284" s="56">
        <v>2618.52</v>
      </c>
      <c r="DK284" s="63"/>
      <c r="DL284" s="58"/>
      <c r="DM284" s="62"/>
      <c r="DN284" s="27"/>
      <c r="DO284" s="51"/>
      <c r="DP284" s="52"/>
      <c r="DQ284" s="52"/>
      <c r="DR284" s="53">
        <f t="shared" si="181"/>
        <v>0</v>
      </c>
      <c r="DT284" s="47">
        <f t="shared" si="200"/>
        <v>46125</v>
      </c>
      <c r="DU284" s="56">
        <v>11529.01</v>
      </c>
      <c r="DV284" s="57">
        <v>585.08000000000004</v>
      </c>
      <c r="DW284" s="58"/>
      <c r="DX284" s="62"/>
      <c r="DY284" s="27"/>
      <c r="DZ284" s="240">
        <v>68.061000000000064</v>
      </c>
      <c r="EA284" s="53">
        <v>11.531750001428634</v>
      </c>
      <c r="EB284" s="53"/>
      <c r="EC284" s="53">
        <f t="shared" si="182"/>
        <v>79.592750001428698</v>
      </c>
      <c r="EE284" s="47">
        <f t="shared" si="201"/>
        <v>46125</v>
      </c>
      <c r="EF284" s="56">
        <v>6683.57</v>
      </c>
      <c r="EG284" s="57">
        <v>1528.64</v>
      </c>
      <c r="EH284" s="58"/>
      <c r="EI284" s="59">
        <v>67.25</v>
      </c>
      <c r="EJ284" s="27"/>
      <c r="EK284" s="51"/>
      <c r="EL284" s="52"/>
      <c r="EM284" s="52"/>
      <c r="EN284" s="53">
        <f t="shared" si="183"/>
        <v>67.25</v>
      </c>
      <c r="EP284" s="47">
        <f t="shared" si="202"/>
        <v>46125</v>
      </c>
      <c r="EQ284" s="64">
        <v>1306.8</v>
      </c>
      <c r="ER284" s="56">
        <v>714.01</v>
      </c>
      <c r="ES284" s="58"/>
      <c r="ET284" s="59"/>
      <c r="EV284" s="51"/>
      <c r="EW284" s="52"/>
      <c r="EX284" s="52"/>
      <c r="EY284" s="53">
        <f t="shared" si="203"/>
        <v>0</v>
      </c>
    </row>
    <row r="285" spans="2:155" x14ac:dyDescent="0.25">
      <c r="B285" s="47">
        <v>46126</v>
      </c>
      <c r="C285" s="48">
        <v>26629.96</v>
      </c>
      <c r="D285" s="49">
        <v>4445.68</v>
      </c>
      <c r="E285" s="50">
        <v>4045.54</v>
      </c>
      <c r="F285" s="49">
        <f>1023.62+207.67</f>
        <v>1231.29</v>
      </c>
      <c r="G285" s="50"/>
      <c r="H285" s="27"/>
      <c r="I285" s="51"/>
      <c r="J285" s="53">
        <v>28.764538504761873</v>
      </c>
      <c r="K285" s="52"/>
      <c r="L285" s="53">
        <f t="shared" si="178"/>
        <v>28.764538504761873</v>
      </c>
      <c r="N285" s="47">
        <f t="shared" si="184"/>
        <v>46126</v>
      </c>
      <c r="O285" s="54">
        <v>5400.98</v>
      </c>
      <c r="P285" s="54">
        <v>531.39</v>
      </c>
      <c r="Q285" s="58"/>
      <c r="R285" s="55"/>
      <c r="S285" s="27"/>
      <c r="T285" s="240">
        <v>165.02784999999989</v>
      </c>
      <c r="U285" s="53">
        <v>22.036109835238136</v>
      </c>
      <c r="V285" s="52"/>
      <c r="W285" s="53">
        <f t="shared" si="185"/>
        <v>187.06395983523802</v>
      </c>
      <c r="Y285" s="47">
        <f t="shared" si="186"/>
        <v>46126</v>
      </c>
      <c r="Z285" s="56">
        <v>8884.9599999999991</v>
      </c>
      <c r="AA285" s="57">
        <v>2163.3000000000002</v>
      </c>
      <c r="AB285" s="63"/>
      <c r="AC285" s="59">
        <v>66.63</v>
      </c>
      <c r="AD285" s="27"/>
      <c r="AE285" s="240">
        <v>18.958759999999984</v>
      </c>
      <c r="AF285" s="52"/>
      <c r="AG285" s="52"/>
      <c r="AH285" s="53">
        <f t="shared" si="187"/>
        <v>85.588759999999979</v>
      </c>
      <c r="AJ285" s="47">
        <f t="shared" si="188"/>
        <v>46126</v>
      </c>
      <c r="AK285" s="56">
        <v>5354.8</v>
      </c>
      <c r="AL285" s="57">
        <v>270.74</v>
      </c>
      <c r="AM285" s="58"/>
      <c r="AN285" s="58"/>
      <c r="AO285" s="27"/>
      <c r="AP285" s="51"/>
      <c r="AQ285" s="52"/>
      <c r="AR285" s="52"/>
      <c r="AS285" s="53">
        <f t="shared" si="189"/>
        <v>0</v>
      </c>
      <c r="AU285" s="113">
        <f t="shared" si="190"/>
        <v>46126</v>
      </c>
      <c r="AV285" s="57">
        <v>2570.5300000000002</v>
      </c>
      <c r="AW285" s="57">
        <v>105.06</v>
      </c>
      <c r="AX285" s="58"/>
      <c r="AY285" s="59"/>
      <c r="AZ285" s="27"/>
      <c r="BA285" s="240">
        <v>138.25800799999996</v>
      </c>
      <c r="BB285" s="53">
        <v>15.684997586904728</v>
      </c>
      <c r="BC285" s="52"/>
      <c r="BD285" s="53">
        <f t="shared" si="191"/>
        <v>153.94300558690469</v>
      </c>
      <c r="BF285" s="47">
        <f t="shared" si="204"/>
        <v>46126</v>
      </c>
      <c r="BG285" s="56">
        <v>7316.79</v>
      </c>
      <c r="BH285" s="57">
        <v>645.45000000000005</v>
      </c>
      <c r="BI285" s="58"/>
      <c r="BJ285" s="59">
        <v>15.45</v>
      </c>
      <c r="BK285" s="27"/>
      <c r="BL285" s="51">
        <v>128.11531000000002</v>
      </c>
      <c r="BM285" s="52"/>
      <c r="BN285" s="52"/>
      <c r="BO285" s="53">
        <f t="shared" si="192"/>
        <v>143.56531000000001</v>
      </c>
      <c r="BQ285" s="47">
        <f t="shared" si="193"/>
        <v>46126</v>
      </c>
      <c r="BR285" s="57">
        <v>408.01</v>
      </c>
      <c r="BS285" s="57">
        <v>480.16</v>
      </c>
      <c r="BT285" s="58"/>
      <c r="BU285" s="61"/>
      <c r="BV285" s="27"/>
      <c r="BW285" s="51"/>
      <c r="BX285" s="52"/>
      <c r="BY285" s="52"/>
      <c r="BZ285" s="53">
        <f t="shared" si="194"/>
        <v>0</v>
      </c>
      <c r="CB285" s="47">
        <f t="shared" si="195"/>
        <v>46126</v>
      </c>
      <c r="CC285" s="56">
        <v>21748.44</v>
      </c>
      <c r="CD285" s="57">
        <v>2222.58</v>
      </c>
      <c r="CE285" s="58"/>
      <c r="CF285" s="117"/>
      <c r="CG285" s="27"/>
      <c r="CH285" s="51"/>
      <c r="CI285" s="52"/>
      <c r="CJ285" s="52"/>
      <c r="CK285" s="53">
        <f t="shared" si="196"/>
        <v>0</v>
      </c>
      <c r="CM285" s="47">
        <f t="shared" si="197"/>
        <v>46126</v>
      </c>
      <c r="CN285" s="56">
        <v>13786.58</v>
      </c>
      <c r="CO285" s="57">
        <v>2220.88</v>
      </c>
      <c r="CP285" s="58"/>
      <c r="CQ285" s="62"/>
      <c r="CR285" s="27"/>
      <c r="CS285" s="240">
        <v>165.94797999999997</v>
      </c>
      <c r="CT285" s="53">
        <v>168.76974411047632</v>
      </c>
      <c r="CU285" s="53"/>
      <c r="CV285" s="53">
        <f t="shared" si="179"/>
        <v>334.7177241104763</v>
      </c>
      <c r="CX285" s="47">
        <f t="shared" si="198"/>
        <v>46126</v>
      </c>
      <c r="CY285" s="56">
        <v>4877.3599999999997</v>
      </c>
      <c r="CZ285" s="57">
        <v>332.13</v>
      </c>
      <c r="DA285" s="58"/>
      <c r="DB285" s="59"/>
      <c r="DC285" s="27"/>
      <c r="DD285" s="240">
        <v>156.88455799999977</v>
      </c>
      <c r="DE285" s="53"/>
      <c r="DF285" s="53"/>
      <c r="DG285" s="53">
        <f t="shared" si="180"/>
        <v>156.88455799999977</v>
      </c>
      <c r="DI285" s="47">
        <f t="shared" si="199"/>
        <v>46126</v>
      </c>
      <c r="DJ285" s="56">
        <v>2761.56</v>
      </c>
      <c r="DK285" s="63"/>
      <c r="DL285" s="58"/>
      <c r="DM285" s="62"/>
      <c r="DN285" s="27"/>
      <c r="DO285" s="51"/>
      <c r="DP285" s="52"/>
      <c r="DQ285" s="52"/>
      <c r="DR285" s="53">
        <f t="shared" si="181"/>
        <v>0</v>
      </c>
      <c r="DT285" s="47">
        <f t="shared" si="200"/>
        <v>46126</v>
      </c>
      <c r="DU285" s="56">
        <v>2263.9</v>
      </c>
      <c r="DV285" s="57">
        <v>610.28</v>
      </c>
      <c r="DW285" s="58"/>
      <c r="DX285" s="62"/>
      <c r="DY285" s="27"/>
      <c r="DZ285" s="240">
        <v>65.246999999999957</v>
      </c>
      <c r="EA285" s="53">
        <v>6.1072059276190487</v>
      </c>
      <c r="EB285" s="53"/>
      <c r="EC285" s="53">
        <f t="shared" si="182"/>
        <v>71.354205927619006</v>
      </c>
      <c r="EE285" s="47">
        <f t="shared" si="201"/>
        <v>46126</v>
      </c>
      <c r="EF285" s="56">
        <v>10991.45</v>
      </c>
      <c r="EG285" s="57">
        <v>1715.29</v>
      </c>
      <c r="EH285" s="58"/>
      <c r="EI285" s="59">
        <v>98.85</v>
      </c>
      <c r="EJ285" s="27"/>
      <c r="EK285" s="51"/>
      <c r="EL285" s="52"/>
      <c r="EM285" s="52"/>
      <c r="EN285" s="53">
        <f t="shared" si="183"/>
        <v>98.85</v>
      </c>
      <c r="EP285" s="47">
        <f t="shared" si="202"/>
        <v>46126</v>
      </c>
      <c r="EQ285" s="64">
        <v>1293.05</v>
      </c>
      <c r="ER285" s="56">
        <v>767.62</v>
      </c>
      <c r="ES285" s="58"/>
      <c r="ET285" s="59"/>
      <c r="EV285" s="51"/>
      <c r="EW285" s="52"/>
      <c r="EX285" s="52"/>
      <c r="EY285" s="53">
        <f t="shared" si="203"/>
        <v>0</v>
      </c>
    </row>
    <row r="286" spans="2:155" x14ac:dyDescent="0.25">
      <c r="B286" s="47">
        <v>46127</v>
      </c>
      <c r="C286" s="48">
        <v>27728.25</v>
      </c>
      <c r="D286" s="49">
        <v>4495.53</v>
      </c>
      <c r="E286" s="50">
        <v>4211.32</v>
      </c>
      <c r="F286" s="49">
        <f>152.7+1257.82</f>
        <v>1410.52</v>
      </c>
      <c r="G286" s="50"/>
      <c r="H286" s="27"/>
      <c r="I286" s="51"/>
      <c r="J286" s="53"/>
      <c r="K286" s="52"/>
      <c r="L286" s="53">
        <f t="shared" si="178"/>
        <v>0</v>
      </c>
      <c r="N286" s="47">
        <f t="shared" si="184"/>
        <v>46127</v>
      </c>
      <c r="O286" s="54">
        <v>6264.69</v>
      </c>
      <c r="P286" s="54">
        <v>745.73</v>
      </c>
      <c r="Q286" s="58"/>
      <c r="R286" s="55"/>
      <c r="S286" s="27"/>
      <c r="T286" s="240">
        <v>10.142040000000009</v>
      </c>
      <c r="U286" s="53"/>
      <c r="V286" s="52"/>
      <c r="W286" s="53">
        <f t="shared" si="185"/>
        <v>10.142040000000009</v>
      </c>
      <c r="Y286" s="47">
        <f t="shared" si="186"/>
        <v>46127</v>
      </c>
      <c r="Z286" s="56">
        <v>9061.2800000000007</v>
      </c>
      <c r="AA286" s="57">
        <v>2214.59</v>
      </c>
      <c r="AB286" s="63"/>
      <c r="AC286" s="59">
        <v>61.67</v>
      </c>
      <c r="AD286" s="27"/>
      <c r="AE286" s="240">
        <v>47.25237999999996</v>
      </c>
      <c r="AF286" s="52"/>
      <c r="AG286" s="52"/>
      <c r="AH286" s="53">
        <f t="shared" si="187"/>
        <v>108.92237999999996</v>
      </c>
      <c r="AJ286" s="47">
        <f t="shared" si="188"/>
        <v>46127</v>
      </c>
      <c r="AK286" s="56">
        <v>5627.91</v>
      </c>
      <c r="AL286" s="57">
        <v>711.85</v>
      </c>
      <c r="AM286" s="58"/>
      <c r="AN286" s="58"/>
      <c r="AO286" s="27"/>
      <c r="AP286" s="51"/>
      <c r="AQ286" s="52"/>
      <c r="AR286" s="52"/>
      <c r="AS286" s="53">
        <f t="shared" si="189"/>
        <v>0</v>
      </c>
      <c r="AU286" s="113">
        <f t="shared" si="190"/>
        <v>46127</v>
      </c>
      <c r="AV286" s="57">
        <v>883.78</v>
      </c>
      <c r="AW286" s="57">
        <v>172.76</v>
      </c>
      <c r="AX286" s="58"/>
      <c r="AY286" s="59"/>
      <c r="AZ286" s="27"/>
      <c r="BA286" s="240">
        <v>256.3454780000003</v>
      </c>
      <c r="BB286" s="53"/>
      <c r="BC286" s="52"/>
      <c r="BD286" s="53">
        <f t="shared" si="191"/>
        <v>256.3454780000003</v>
      </c>
      <c r="BF286" s="47">
        <f t="shared" si="204"/>
        <v>46127</v>
      </c>
      <c r="BG286" s="56">
        <v>7967.36</v>
      </c>
      <c r="BH286" s="57">
        <v>1384.63</v>
      </c>
      <c r="BI286" s="58"/>
      <c r="BJ286" s="59"/>
      <c r="BK286" s="27"/>
      <c r="BL286" s="51">
        <v>182.50994999999975</v>
      </c>
      <c r="BM286" s="52">
        <v>18.994929044571421</v>
      </c>
      <c r="BN286" s="52"/>
      <c r="BO286" s="53">
        <f t="shared" si="192"/>
        <v>201.50487904457117</v>
      </c>
      <c r="BQ286" s="47">
        <f t="shared" si="193"/>
        <v>46127</v>
      </c>
      <c r="BR286" s="57">
        <v>431.21</v>
      </c>
      <c r="BS286" s="57">
        <v>402.74</v>
      </c>
      <c r="BT286" s="58"/>
      <c r="BU286" s="61"/>
      <c r="BV286" s="27"/>
      <c r="BW286" s="51"/>
      <c r="BX286" s="52"/>
      <c r="BY286" s="52"/>
      <c r="BZ286" s="53">
        <f t="shared" si="194"/>
        <v>0</v>
      </c>
      <c r="CB286" s="47">
        <f t="shared" si="195"/>
        <v>46127</v>
      </c>
      <c r="CC286" s="56">
        <v>15379.91</v>
      </c>
      <c r="CD286" s="57">
        <v>969.44</v>
      </c>
      <c r="CE286" s="58"/>
      <c r="CF286" s="117"/>
      <c r="CG286" s="27"/>
      <c r="CH286" s="51"/>
      <c r="CI286" s="52"/>
      <c r="CJ286" s="52"/>
      <c r="CK286" s="53">
        <f t="shared" si="196"/>
        <v>0</v>
      </c>
      <c r="CM286" s="47">
        <f t="shared" si="197"/>
        <v>46127</v>
      </c>
      <c r="CN286" s="56">
        <v>16292.83</v>
      </c>
      <c r="CO286" s="57">
        <v>1628.19</v>
      </c>
      <c r="CP286" s="58"/>
      <c r="CQ286" s="62"/>
      <c r="CR286" s="27"/>
      <c r="CS286" s="240">
        <v>40.586699999999979</v>
      </c>
      <c r="CT286" s="53">
        <v>272.78073408047629</v>
      </c>
      <c r="CU286" s="53"/>
      <c r="CV286" s="53">
        <f t="shared" si="179"/>
        <v>313.3674340804763</v>
      </c>
      <c r="CX286" s="47">
        <f t="shared" si="198"/>
        <v>46127</v>
      </c>
      <c r="CY286" s="56">
        <v>4130.51</v>
      </c>
      <c r="CZ286" s="57">
        <v>932.99</v>
      </c>
      <c r="DA286" s="58"/>
      <c r="DB286" s="59"/>
      <c r="DC286" s="27"/>
      <c r="DD286" s="240">
        <v>301.42021499999964</v>
      </c>
      <c r="DE286" s="53">
        <v>152.01152801685726</v>
      </c>
      <c r="DF286" s="53"/>
      <c r="DG286" s="53">
        <f t="shared" si="180"/>
        <v>453.4317430168569</v>
      </c>
      <c r="DI286" s="47">
        <f t="shared" si="199"/>
        <v>46127</v>
      </c>
      <c r="DJ286" s="56">
        <v>2490.7800000000002</v>
      </c>
      <c r="DK286" s="63"/>
      <c r="DL286" s="58"/>
      <c r="DM286" s="62"/>
      <c r="DN286" s="27"/>
      <c r="DO286" s="51"/>
      <c r="DP286" s="52"/>
      <c r="DQ286" s="52"/>
      <c r="DR286" s="53">
        <f t="shared" si="181"/>
        <v>0</v>
      </c>
      <c r="DT286" s="47">
        <f t="shared" si="200"/>
        <v>46127</v>
      </c>
      <c r="DU286" s="56">
        <v>4395.0200000000004</v>
      </c>
      <c r="DV286" s="57">
        <v>416.89</v>
      </c>
      <c r="DW286" s="58"/>
      <c r="DX286" s="62"/>
      <c r="DY286" s="27"/>
      <c r="DZ286" s="240">
        <v>93.240999999999872</v>
      </c>
      <c r="EA286" s="53"/>
      <c r="EB286" s="53"/>
      <c r="EC286" s="53">
        <f t="shared" si="182"/>
        <v>93.240999999999872</v>
      </c>
      <c r="EE286" s="47">
        <f t="shared" si="201"/>
        <v>46127</v>
      </c>
      <c r="EF286" s="56">
        <v>7843.6</v>
      </c>
      <c r="EG286" s="57">
        <v>1771.74</v>
      </c>
      <c r="EH286" s="58"/>
      <c r="EI286" s="59">
        <v>111.41</v>
      </c>
      <c r="EJ286" s="27"/>
      <c r="EK286" s="51"/>
      <c r="EL286" s="52"/>
      <c r="EM286" s="52"/>
      <c r="EN286" s="53">
        <f t="shared" si="183"/>
        <v>111.41</v>
      </c>
      <c r="EP286" s="47">
        <f t="shared" si="202"/>
        <v>46127</v>
      </c>
      <c r="EQ286" s="64">
        <v>1923.32</v>
      </c>
      <c r="ER286" s="56">
        <v>816.52</v>
      </c>
      <c r="ES286" s="58"/>
      <c r="ET286" s="59"/>
      <c r="EV286" s="51"/>
      <c r="EW286" s="52"/>
      <c r="EX286" s="52"/>
      <c r="EY286" s="53">
        <f t="shared" si="203"/>
        <v>0</v>
      </c>
    </row>
    <row r="287" spans="2:155" x14ac:dyDescent="0.25">
      <c r="B287" s="47">
        <v>46128</v>
      </c>
      <c r="C287" s="48">
        <v>30539.05</v>
      </c>
      <c r="D287" s="49">
        <v>4105.97</v>
      </c>
      <c r="E287" s="50">
        <v>3987.13</v>
      </c>
      <c r="F287" s="49">
        <f>1121.75+170.5</f>
        <v>1292.25</v>
      </c>
      <c r="G287" s="50"/>
      <c r="H287" s="27"/>
      <c r="I287" s="51"/>
      <c r="J287" s="53">
        <v>24.391318206666796</v>
      </c>
      <c r="K287" s="52"/>
      <c r="L287" s="53">
        <f t="shared" si="178"/>
        <v>24.391318206666796</v>
      </c>
      <c r="N287" s="47">
        <f t="shared" si="184"/>
        <v>46128</v>
      </c>
      <c r="O287" s="54">
        <v>4529.7</v>
      </c>
      <c r="P287" s="54">
        <v>604.91</v>
      </c>
      <c r="Q287" s="58"/>
      <c r="R287" s="55"/>
      <c r="S287" s="27"/>
      <c r="T287" s="240">
        <v>-42.887559999999951</v>
      </c>
      <c r="U287" s="53">
        <v>-4.5567851728571327</v>
      </c>
      <c r="V287" s="52"/>
      <c r="W287" s="53">
        <f t="shared" si="185"/>
        <v>-47.444345172857084</v>
      </c>
      <c r="Y287" s="47">
        <f t="shared" si="186"/>
        <v>46128</v>
      </c>
      <c r="Z287" s="56">
        <v>8143.62</v>
      </c>
      <c r="AA287" s="57">
        <v>2569.9</v>
      </c>
      <c r="AB287" s="63"/>
      <c r="AC287" s="59">
        <v>165.94</v>
      </c>
      <c r="AD287" s="27"/>
      <c r="AE287" s="240">
        <v>132.32921999999982</v>
      </c>
      <c r="AF287" s="52"/>
      <c r="AG287" s="52"/>
      <c r="AH287" s="53">
        <f t="shared" si="187"/>
        <v>298.26921999999979</v>
      </c>
      <c r="AJ287" s="47">
        <f t="shared" si="188"/>
        <v>46128</v>
      </c>
      <c r="AK287" s="56">
        <v>8100.82</v>
      </c>
      <c r="AL287" s="57">
        <v>594.22</v>
      </c>
      <c r="AM287" s="58"/>
      <c r="AN287" s="58"/>
      <c r="AO287" s="27"/>
      <c r="AP287" s="51"/>
      <c r="AQ287" s="52"/>
      <c r="AR287" s="52"/>
      <c r="AS287" s="53">
        <f t="shared" si="189"/>
        <v>0</v>
      </c>
      <c r="AU287" s="113">
        <f t="shared" si="190"/>
        <v>46128</v>
      </c>
      <c r="AV287" s="57">
        <v>1424.72</v>
      </c>
      <c r="AW287" s="57">
        <v>109.91</v>
      </c>
      <c r="AX287" s="58"/>
      <c r="AY287" s="59">
        <v>9.68</v>
      </c>
      <c r="AZ287" s="27"/>
      <c r="BA287" s="240">
        <v>124.72740100000058</v>
      </c>
      <c r="BB287" s="53"/>
      <c r="BC287" s="52"/>
      <c r="BD287" s="53">
        <f t="shared" si="191"/>
        <v>134.40740100000059</v>
      </c>
      <c r="BF287" s="47">
        <f t="shared" si="204"/>
        <v>46128</v>
      </c>
      <c r="BG287" s="56">
        <v>5560.39</v>
      </c>
      <c r="BH287" s="57">
        <v>710.93</v>
      </c>
      <c r="BI287" s="58"/>
      <c r="BJ287" s="59"/>
      <c r="BK287" s="27"/>
      <c r="BL287" s="51">
        <v>93.420849999999945</v>
      </c>
      <c r="BM287" s="52">
        <v>10.466004496380954</v>
      </c>
      <c r="BN287" s="52"/>
      <c r="BO287" s="53">
        <f t="shared" si="192"/>
        <v>103.88685449638089</v>
      </c>
      <c r="BQ287" s="47">
        <f t="shared" si="193"/>
        <v>46128</v>
      </c>
      <c r="BR287" s="57">
        <v>596</v>
      </c>
      <c r="BS287" s="57">
        <v>573.35</v>
      </c>
      <c r="BT287" s="58"/>
      <c r="BU287" s="61"/>
      <c r="BV287" s="27"/>
      <c r="BW287" s="51"/>
      <c r="BX287" s="52"/>
      <c r="BY287" s="52"/>
      <c r="BZ287" s="53">
        <f t="shared" si="194"/>
        <v>0</v>
      </c>
      <c r="CB287" s="47">
        <f t="shared" si="195"/>
        <v>46128</v>
      </c>
      <c r="CC287" s="56">
        <v>11136.25</v>
      </c>
      <c r="CD287" s="57">
        <v>999.27</v>
      </c>
      <c r="CE287" s="58"/>
      <c r="CF287" s="117"/>
      <c r="CG287" s="27"/>
      <c r="CH287" s="51"/>
      <c r="CI287" s="52"/>
      <c r="CJ287" s="52"/>
      <c r="CK287" s="53">
        <f t="shared" si="196"/>
        <v>0</v>
      </c>
      <c r="CM287" s="47">
        <f t="shared" si="197"/>
        <v>46128</v>
      </c>
      <c r="CN287" s="56">
        <v>15662.07</v>
      </c>
      <c r="CO287" s="57">
        <v>2297.5</v>
      </c>
      <c r="CP287" s="58"/>
      <c r="CQ287" s="62"/>
      <c r="CR287" s="27"/>
      <c r="CS287" s="240">
        <v>189.60017999999985</v>
      </c>
      <c r="CT287" s="53">
        <v>201.76831909666674</v>
      </c>
      <c r="CU287" s="53"/>
      <c r="CV287" s="53">
        <f t="shared" si="179"/>
        <v>391.3684990966666</v>
      </c>
      <c r="CX287" s="47">
        <f t="shared" si="198"/>
        <v>46128</v>
      </c>
      <c r="CY287" s="56">
        <v>7759.83</v>
      </c>
      <c r="CZ287" s="57">
        <v>936.78</v>
      </c>
      <c r="DA287" s="58"/>
      <c r="DB287" s="59"/>
      <c r="DC287" s="27"/>
      <c r="DD287" s="240">
        <v>143.52316499999989</v>
      </c>
      <c r="DE287" s="53">
        <v>142.66503944947618</v>
      </c>
      <c r="DF287" s="53"/>
      <c r="DG287" s="53">
        <f t="shared" si="180"/>
        <v>286.18820444947607</v>
      </c>
      <c r="DI287" s="47">
        <f t="shared" si="199"/>
        <v>46128</v>
      </c>
      <c r="DJ287" s="56">
        <v>2288.59</v>
      </c>
      <c r="DK287" s="63"/>
      <c r="DL287" s="58"/>
      <c r="DM287" s="62"/>
      <c r="DN287" s="27"/>
      <c r="DO287" s="51"/>
      <c r="DP287" s="52"/>
      <c r="DQ287" s="52"/>
      <c r="DR287" s="53">
        <f t="shared" si="181"/>
        <v>0</v>
      </c>
      <c r="DT287" s="47">
        <f t="shared" si="200"/>
        <v>46128</v>
      </c>
      <c r="DU287" s="56">
        <v>6019.32</v>
      </c>
      <c r="DV287" s="57">
        <v>443.54</v>
      </c>
      <c r="DW287" s="58"/>
      <c r="DX287" s="62"/>
      <c r="DY287" s="27"/>
      <c r="DZ287" s="240">
        <v>46.121039999999965</v>
      </c>
      <c r="EA287" s="53">
        <v>4.0925398242857227</v>
      </c>
      <c r="EB287" s="53"/>
      <c r="EC287" s="53">
        <f t="shared" si="182"/>
        <v>50.213579824285688</v>
      </c>
      <c r="EE287" s="47">
        <f t="shared" si="201"/>
        <v>46128</v>
      </c>
      <c r="EF287" s="56">
        <v>8824.99</v>
      </c>
      <c r="EG287" s="57">
        <v>1736.78</v>
      </c>
      <c r="EH287" s="58"/>
      <c r="EI287" s="59">
        <v>95.37</v>
      </c>
      <c r="EJ287" s="27"/>
      <c r="EK287" s="51"/>
      <c r="EL287" s="52"/>
      <c r="EM287" s="52"/>
      <c r="EN287" s="53">
        <f t="shared" si="183"/>
        <v>95.37</v>
      </c>
      <c r="EP287" s="47">
        <f t="shared" si="202"/>
        <v>46128</v>
      </c>
      <c r="EQ287" s="64">
        <v>1705.87</v>
      </c>
      <c r="ER287" s="56">
        <v>983</v>
      </c>
      <c r="ES287" s="58"/>
      <c r="ET287" s="59"/>
      <c r="EV287" s="51"/>
      <c r="EW287" s="52"/>
      <c r="EX287" s="52"/>
      <c r="EY287" s="53">
        <f t="shared" si="203"/>
        <v>0</v>
      </c>
    </row>
    <row r="288" spans="2:155" x14ac:dyDescent="0.25">
      <c r="B288" s="47">
        <v>46129</v>
      </c>
      <c r="C288" s="48">
        <v>28515.32</v>
      </c>
      <c r="D288" s="49">
        <v>5543.72</v>
      </c>
      <c r="E288" s="50">
        <v>4529.21</v>
      </c>
      <c r="F288" s="49">
        <f>1107.03+143.41</f>
        <v>1250.44</v>
      </c>
      <c r="G288" s="50"/>
      <c r="H288" s="27"/>
      <c r="I288" s="51"/>
      <c r="J288" s="53">
        <v>10.454246371428567</v>
      </c>
      <c r="K288" s="52"/>
      <c r="L288" s="53">
        <f t="shared" si="178"/>
        <v>10.454246371428567</v>
      </c>
      <c r="N288" s="47">
        <f t="shared" si="184"/>
        <v>46129</v>
      </c>
      <c r="O288" s="54">
        <v>4063.37</v>
      </c>
      <c r="P288" s="54">
        <v>325</v>
      </c>
      <c r="Q288" s="58"/>
      <c r="R288" s="55"/>
      <c r="S288" s="27"/>
      <c r="T288" s="240">
        <v>-63.628510000000119</v>
      </c>
      <c r="U288" s="53">
        <v>-10.006753151904718</v>
      </c>
      <c r="V288" s="52"/>
      <c r="W288" s="53">
        <f t="shared" si="185"/>
        <v>-73.635263151904837</v>
      </c>
      <c r="Y288" s="47">
        <f t="shared" si="186"/>
        <v>46129</v>
      </c>
      <c r="Z288" s="56">
        <v>9093.9599999999991</v>
      </c>
      <c r="AA288" s="57">
        <v>3142.05</v>
      </c>
      <c r="AB288" s="63"/>
      <c r="AC288" s="59">
        <v>53.19</v>
      </c>
      <c r="AD288" s="27"/>
      <c r="AE288" s="240">
        <v>25.199999999999989</v>
      </c>
      <c r="AF288" s="52"/>
      <c r="AG288" s="52"/>
      <c r="AH288" s="53">
        <f t="shared" si="187"/>
        <v>78.389999999999986</v>
      </c>
      <c r="AJ288" s="47">
        <f t="shared" si="188"/>
        <v>46129</v>
      </c>
      <c r="AK288" s="56">
        <v>6661.29</v>
      </c>
      <c r="AL288" s="57">
        <v>962</v>
      </c>
      <c r="AM288" s="58"/>
      <c r="AN288" s="58"/>
      <c r="AO288" s="27"/>
      <c r="AP288" s="51"/>
      <c r="AQ288" s="52"/>
      <c r="AR288" s="52"/>
      <c r="AS288" s="53">
        <f t="shared" si="189"/>
        <v>0</v>
      </c>
      <c r="AU288" s="113">
        <f t="shared" si="190"/>
        <v>46129</v>
      </c>
      <c r="AV288" s="57">
        <v>507.75</v>
      </c>
      <c r="AW288" s="57">
        <v>68.489999999999995</v>
      </c>
      <c r="AX288" s="58"/>
      <c r="AY288" s="59">
        <v>26.1</v>
      </c>
      <c r="AZ288" s="27"/>
      <c r="BA288" s="240">
        <v>75.641039000000248</v>
      </c>
      <c r="BB288" s="53"/>
      <c r="BC288" s="52"/>
      <c r="BD288" s="53">
        <f t="shared" si="191"/>
        <v>101.74103900000026</v>
      </c>
      <c r="BF288" s="47">
        <f t="shared" si="204"/>
        <v>46129</v>
      </c>
      <c r="BG288" s="56">
        <v>9436.35</v>
      </c>
      <c r="BH288" s="57">
        <v>1474.19</v>
      </c>
      <c r="BI288" s="58"/>
      <c r="BJ288" s="59"/>
      <c r="BK288" s="27"/>
      <c r="BL288" s="51">
        <v>135.39543999999989</v>
      </c>
      <c r="BM288" s="52">
        <v>11.927216078095285</v>
      </c>
      <c r="BN288" s="52"/>
      <c r="BO288" s="53">
        <f t="shared" si="192"/>
        <v>147.32265607809518</v>
      </c>
      <c r="BQ288" s="47">
        <f t="shared" si="193"/>
        <v>46129</v>
      </c>
      <c r="BR288" s="57">
        <v>363.01</v>
      </c>
      <c r="BS288" s="57">
        <v>715</v>
      </c>
      <c r="BT288" s="58"/>
      <c r="BU288" s="61"/>
      <c r="BV288" s="27"/>
      <c r="BW288" s="51"/>
      <c r="BX288" s="52"/>
      <c r="BY288" s="52"/>
      <c r="BZ288" s="53">
        <f t="shared" si="194"/>
        <v>0</v>
      </c>
      <c r="CB288" s="47">
        <f t="shared" si="195"/>
        <v>46129</v>
      </c>
      <c r="CC288" s="56">
        <v>9645.61</v>
      </c>
      <c r="CD288" s="57">
        <v>1187.01</v>
      </c>
      <c r="CE288" s="58"/>
      <c r="CF288" s="117"/>
      <c r="CG288" s="27"/>
      <c r="CH288" s="51"/>
      <c r="CI288" s="52"/>
      <c r="CJ288" s="52"/>
      <c r="CK288" s="53">
        <f t="shared" si="196"/>
        <v>0</v>
      </c>
      <c r="CM288" s="47">
        <f t="shared" si="197"/>
        <v>46129</v>
      </c>
      <c r="CN288" s="56">
        <v>16833.46</v>
      </c>
      <c r="CO288" s="57">
        <v>2207.36</v>
      </c>
      <c r="CP288" s="58"/>
      <c r="CQ288" s="62"/>
      <c r="CR288" s="27"/>
      <c r="CS288" s="240">
        <v>60.298699999999954</v>
      </c>
      <c r="CT288" s="53">
        <v>243.79028232285737</v>
      </c>
      <c r="CU288" s="53"/>
      <c r="CV288" s="53">
        <f t="shared" si="179"/>
        <v>304.08898232285731</v>
      </c>
      <c r="CX288" s="47">
        <f t="shared" si="198"/>
        <v>46129</v>
      </c>
      <c r="CY288" s="56">
        <v>3244.71</v>
      </c>
      <c r="CZ288" s="57">
        <v>789.89</v>
      </c>
      <c r="DA288" s="58"/>
      <c r="DB288" s="59"/>
      <c r="DC288" s="27"/>
      <c r="DD288" s="240">
        <v>153.99946500000004</v>
      </c>
      <c r="DE288" s="53">
        <v>146.82260911876207</v>
      </c>
      <c r="DF288" s="53">
        <v>3.6438411899999892</v>
      </c>
      <c r="DG288" s="53">
        <f t="shared" si="180"/>
        <v>304.46591530876208</v>
      </c>
      <c r="DI288" s="47">
        <f t="shared" si="199"/>
        <v>46129</v>
      </c>
      <c r="DJ288" s="56">
        <v>3380.73</v>
      </c>
      <c r="DK288" s="63"/>
      <c r="DL288" s="58"/>
      <c r="DM288" s="62"/>
      <c r="DN288" s="27"/>
      <c r="DO288" s="51"/>
      <c r="DP288" s="52"/>
      <c r="DQ288" s="52"/>
      <c r="DR288" s="53">
        <f t="shared" si="181"/>
        <v>0</v>
      </c>
      <c r="DT288" s="47">
        <f t="shared" si="200"/>
        <v>46129</v>
      </c>
      <c r="DU288" s="56">
        <v>8007.26</v>
      </c>
      <c r="DV288" s="57">
        <v>390.81</v>
      </c>
      <c r="DW288" s="58"/>
      <c r="DX288" s="62"/>
      <c r="DY288" s="27"/>
      <c r="DZ288" s="240">
        <v>74.061259999999933</v>
      </c>
      <c r="EA288" s="53"/>
      <c r="EB288" s="53"/>
      <c r="EC288" s="53">
        <f t="shared" si="182"/>
        <v>74.061259999999933</v>
      </c>
      <c r="EE288" s="47">
        <f t="shared" si="201"/>
        <v>46129</v>
      </c>
      <c r="EF288" s="56">
        <v>7691.7</v>
      </c>
      <c r="EG288" s="57">
        <v>1986.82</v>
      </c>
      <c r="EH288" s="58"/>
      <c r="EI288" s="59">
        <v>130.1</v>
      </c>
      <c r="EJ288" s="27"/>
      <c r="EK288" s="51"/>
      <c r="EL288" s="52"/>
      <c r="EM288" s="52"/>
      <c r="EN288" s="53">
        <f t="shared" si="183"/>
        <v>130.1</v>
      </c>
      <c r="EP288" s="47">
        <f t="shared" si="202"/>
        <v>46129</v>
      </c>
      <c r="EQ288" s="64">
        <v>1782.55</v>
      </c>
      <c r="ER288" s="56">
        <v>1139.31</v>
      </c>
      <c r="ES288" s="58"/>
      <c r="ET288" s="59"/>
      <c r="EV288" s="51"/>
      <c r="EW288" s="52"/>
      <c r="EX288" s="52"/>
      <c r="EY288" s="53">
        <f t="shared" si="203"/>
        <v>0</v>
      </c>
    </row>
    <row r="289" spans="2:157" x14ac:dyDescent="0.25">
      <c r="B289" s="47">
        <v>46130</v>
      </c>
      <c r="C289" s="48">
        <v>27665.89</v>
      </c>
      <c r="D289" s="49">
        <v>4205.07</v>
      </c>
      <c r="E289" s="50">
        <v>4371.0600000000004</v>
      </c>
      <c r="F289" s="49">
        <f>647.32+216.3</f>
        <v>863.62000000000012</v>
      </c>
      <c r="G289" s="50"/>
      <c r="H289" s="27"/>
      <c r="I289" s="51"/>
      <c r="J289" s="53"/>
      <c r="K289" s="52"/>
      <c r="L289" s="53">
        <f t="shared" si="178"/>
        <v>0</v>
      </c>
      <c r="N289" s="47">
        <f t="shared" si="184"/>
        <v>46130</v>
      </c>
      <c r="O289" s="54">
        <v>1110.52</v>
      </c>
      <c r="P289" s="54">
        <v>85.49</v>
      </c>
      <c r="Q289" s="58"/>
      <c r="R289" s="69"/>
      <c r="S289" s="27"/>
      <c r="T289" s="240">
        <v>-15.277330000000021</v>
      </c>
      <c r="U289" s="53"/>
      <c r="V289" s="52"/>
      <c r="W289" s="53">
        <f t="shared" si="185"/>
        <v>-15.277330000000021</v>
      </c>
      <c r="Y289" s="47">
        <f t="shared" si="186"/>
        <v>46130</v>
      </c>
      <c r="Z289" s="56">
        <v>8546.8799999999992</v>
      </c>
      <c r="AA289" s="57">
        <v>2943.41</v>
      </c>
      <c r="AB289" s="63"/>
      <c r="AC289" s="59">
        <v>146.28</v>
      </c>
      <c r="AD289" s="27"/>
      <c r="AE289" s="240">
        <v>8.4172099999999546</v>
      </c>
      <c r="AF289" s="52"/>
      <c r="AG289" s="52"/>
      <c r="AH289" s="53">
        <f t="shared" si="187"/>
        <v>154.69720999999996</v>
      </c>
      <c r="AJ289" s="47">
        <f t="shared" si="188"/>
        <v>46130</v>
      </c>
      <c r="AK289" s="56">
        <v>5262.31</v>
      </c>
      <c r="AL289" s="57">
        <v>488.87</v>
      </c>
      <c r="AM289" s="58"/>
      <c r="AN289" s="58"/>
      <c r="AO289" s="27"/>
      <c r="AP289" s="51"/>
      <c r="AQ289" s="52"/>
      <c r="AR289" s="52"/>
      <c r="AS289" s="53">
        <f t="shared" si="189"/>
        <v>0</v>
      </c>
      <c r="AU289" s="113">
        <f t="shared" si="190"/>
        <v>46130</v>
      </c>
      <c r="AV289" s="57">
        <v>1289.54</v>
      </c>
      <c r="AW289" s="57">
        <v>119.93</v>
      </c>
      <c r="AX289" s="58"/>
      <c r="AY289" s="59">
        <v>38.86</v>
      </c>
      <c r="AZ289" s="27"/>
      <c r="BA289" s="240">
        <v>3.648114000000021</v>
      </c>
      <c r="BB289" s="53"/>
      <c r="BC289" s="52"/>
      <c r="BD289" s="53">
        <f t="shared" si="191"/>
        <v>42.50811400000002</v>
      </c>
      <c r="BF289" s="47">
        <f t="shared" si="204"/>
        <v>46130</v>
      </c>
      <c r="BG289" s="56">
        <v>9112.44</v>
      </c>
      <c r="BH289" s="57">
        <v>1659.39</v>
      </c>
      <c r="BI289" s="58"/>
      <c r="BJ289" s="59"/>
      <c r="BK289" s="27"/>
      <c r="BL289" s="51">
        <v>149.32562999999979</v>
      </c>
      <c r="BM289" s="52">
        <v>10.772296307619058</v>
      </c>
      <c r="BN289" s="52"/>
      <c r="BO289" s="53">
        <f t="shared" si="192"/>
        <v>160.09792630761885</v>
      </c>
      <c r="BQ289" s="47">
        <f t="shared" si="193"/>
        <v>46130</v>
      </c>
      <c r="BR289" s="57">
        <v>476.15</v>
      </c>
      <c r="BS289" s="57">
        <v>636.76</v>
      </c>
      <c r="BT289" s="58"/>
      <c r="BU289" s="61"/>
      <c r="BV289" s="27"/>
      <c r="BW289" s="51"/>
      <c r="BX289" s="52"/>
      <c r="BY289" s="52"/>
      <c r="BZ289" s="53">
        <f t="shared" si="194"/>
        <v>0</v>
      </c>
      <c r="CB289" s="47">
        <f t="shared" si="195"/>
        <v>46130</v>
      </c>
      <c r="CC289" s="56">
        <v>15611.84</v>
      </c>
      <c r="CD289" s="57">
        <v>1446.92</v>
      </c>
      <c r="CE289" s="58"/>
      <c r="CF289" s="117"/>
      <c r="CG289" s="27"/>
      <c r="CH289" s="51"/>
      <c r="CI289" s="52"/>
      <c r="CJ289" s="52"/>
      <c r="CK289" s="53">
        <f t="shared" si="196"/>
        <v>0</v>
      </c>
      <c r="CM289" s="47">
        <f t="shared" si="197"/>
        <v>46130</v>
      </c>
      <c r="CN289" s="56">
        <v>12109.26</v>
      </c>
      <c r="CO289" s="57">
        <v>1893.86</v>
      </c>
      <c r="CP289" s="58"/>
      <c r="CQ289" s="62"/>
      <c r="CR289" s="27"/>
      <c r="CS289" s="240"/>
      <c r="CT289" s="53">
        <v>134.33067933333331</v>
      </c>
      <c r="CU289" s="53">
        <v>25.461804799999982</v>
      </c>
      <c r="CV289" s="53">
        <f t="shared" si="179"/>
        <v>159.79248413333329</v>
      </c>
      <c r="CX289" s="47">
        <f t="shared" si="198"/>
        <v>46130</v>
      </c>
      <c r="CY289" s="56">
        <v>1930.04</v>
      </c>
      <c r="CZ289" s="57">
        <v>1308.1099999999999</v>
      </c>
      <c r="DA289" s="58"/>
      <c r="DB289" s="59"/>
      <c r="DC289" s="27"/>
      <c r="DD289" s="240">
        <v>340.09727999999967</v>
      </c>
      <c r="DE289" s="53">
        <v>183.33273603847658</v>
      </c>
      <c r="DF289" s="53"/>
      <c r="DG289" s="53">
        <f t="shared" si="180"/>
        <v>523.4300160384762</v>
      </c>
      <c r="DI289" s="47">
        <f t="shared" si="199"/>
        <v>46130</v>
      </c>
      <c r="DJ289" s="56">
        <v>2597.09</v>
      </c>
      <c r="DK289" s="63"/>
      <c r="DL289" s="58"/>
      <c r="DM289" s="62"/>
      <c r="DN289" s="27"/>
      <c r="DO289" s="51"/>
      <c r="DP289" s="52"/>
      <c r="DQ289" s="52"/>
      <c r="DR289" s="53">
        <f t="shared" si="181"/>
        <v>0</v>
      </c>
      <c r="DT289" s="47">
        <f t="shared" si="200"/>
        <v>46130</v>
      </c>
      <c r="DU289" s="56">
        <v>4571.93</v>
      </c>
      <c r="DV289" s="57">
        <v>426.65</v>
      </c>
      <c r="DW289" s="58"/>
      <c r="DX289" s="62"/>
      <c r="DY289" s="27"/>
      <c r="DZ289" s="240">
        <v>99.249419999999944</v>
      </c>
      <c r="EA289" s="53">
        <v>11.35343819000002</v>
      </c>
      <c r="EB289" s="53"/>
      <c r="EC289" s="53">
        <f t="shared" si="182"/>
        <v>110.60285818999996</v>
      </c>
      <c r="EE289" s="47">
        <f t="shared" si="201"/>
        <v>46130</v>
      </c>
      <c r="EF289" s="56">
        <v>10024.56</v>
      </c>
      <c r="EG289" s="57">
        <v>2128.87</v>
      </c>
      <c r="EH289" s="58"/>
      <c r="EI289" s="59">
        <v>113.57</v>
      </c>
      <c r="EJ289" s="27"/>
      <c r="EK289" s="51"/>
      <c r="EL289" s="52"/>
      <c r="EM289" s="52"/>
      <c r="EN289" s="53">
        <f t="shared" si="183"/>
        <v>113.57</v>
      </c>
      <c r="EP289" s="47">
        <f t="shared" si="202"/>
        <v>46130</v>
      </c>
      <c r="EQ289" s="64">
        <v>1337.38</v>
      </c>
      <c r="ER289" s="56">
        <v>822.54</v>
      </c>
      <c r="ES289" s="58"/>
      <c r="ET289" s="59"/>
      <c r="EV289" s="51"/>
      <c r="EW289" s="52"/>
      <c r="EX289" s="52"/>
      <c r="EY289" s="53">
        <f t="shared" si="203"/>
        <v>0</v>
      </c>
    </row>
    <row r="290" spans="2:157" x14ac:dyDescent="0.25">
      <c r="B290" s="47">
        <v>46131</v>
      </c>
      <c r="C290" s="48">
        <v>24751.84</v>
      </c>
      <c r="D290" s="49">
        <v>3174</v>
      </c>
      <c r="E290" s="50">
        <v>2027.91</v>
      </c>
      <c r="F290" s="49">
        <f>649.75+178.79</f>
        <v>828.54</v>
      </c>
      <c r="G290" s="50"/>
      <c r="H290" s="27"/>
      <c r="I290" s="51"/>
      <c r="J290" s="53"/>
      <c r="K290" s="52"/>
      <c r="L290" s="53">
        <f t="shared" si="178"/>
        <v>0</v>
      </c>
      <c r="N290" s="47">
        <f t="shared" si="184"/>
        <v>46131</v>
      </c>
      <c r="O290" s="54">
        <v>210</v>
      </c>
      <c r="P290" s="54">
        <v>66.510000000000005</v>
      </c>
      <c r="Q290" s="58"/>
      <c r="R290" s="55"/>
      <c r="S290" s="27"/>
      <c r="T290" s="240">
        <v>-13.652160000000094</v>
      </c>
      <c r="U290" s="53"/>
      <c r="V290" s="52"/>
      <c r="W290" s="53">
        <f t="shared" si="185"/>
        <v>-13.652160000000094</v>
      </c>
      <c r="Y290" s="47">
        <f t="shared" si="186"/>
        <v>46131</v>
      </c>
      <c r="Z290" s="56">
        <v>5107.37</v>
      </c>
      <c r="AA290" s="57">
        <v>2381.1799999999998</v>
      </c>
      <c r="AB290" s="63"/>
      <c r="AC290" s="59">
        <v>150.22</v>
      </c>
      <c r="AD290" s="27"/>
      <c r="AE290" s="240">
        <v>18.325439999999986</v>
      </c>
      <c r="AF290" s="52"/>
      <c r="AG290" s="52"/>
      <c r="AH290" s="53">
        <f t="shared" si="187"/>
        <v>168.54543999999999</v>
      </c>
      <c r="AJ290" s="47">
        <f t="shared" si="188"/>
        <v>46131</v>
      </c>
      <c r="AK290" s="56">
        <v>3982.46</v>
      </c>
      <c r="AL290" s="57">
        <v>607.63</v>
      </c>
      <c r="AM290" s="58"/>
      <c r="AN290" s="58"/>
      <c r="AO290" s="27"/>
      <c r="AP290" s="51"/>
      <c r="AQ290" s="52"/>
      <c r="AR290" s="52"/>
      <c r="AS290" s="53">
        <f t="shared" si="189"/>
        <v>0</v>
      </c>
      <c r="AU290" s="113">
        <f t="shared" si="190"/>
        <v>46131</v>
      </c>
      <c r="AV290" s="57">
        <v>445</v>
      </c>
      <c r="AW290" s="57">
        <v>52</v>
      </c>
      <c r="AX290" s="58"/>
      <c r="AY290" s="59"/>
      <c r="AZ290" s="27"/>
      <c r="BA290" s="240"/>
      <c r="BB290" s="53"/>
      <c r="BC290" s="52"/>
      <c r="BD290" s="53">
        <f t="shared" si="191"/>
        <v>0</v>
      </c>
      <c r="BF290" s="47">
        <f t="shared" si="204"/>
        <v>46131</v>
      </c>
      <c r="BG290" s="56">
        <v>5130.13</v>
      </c>
      <c r="BH290" s="57">
        <v>922.82</v>
      </c>
      <c r="BI290" s="58"/>
      <c r="BJ290" s="59"/>
      <c r="BK290" s="27"/>
      <c r="BL290" s="51">
        <v>71.841709999999807</v>
      </c>
      <c r="BM290" s="52">
        <v>0.61189619047619104</v>
      </c>
      <c r="BN290" s="52"/>
      <c r="BO290" s="53">
        <f t="shared" si="192"/>
        <v>72.453606190475995</v>
      </c>
      <c r="BQ290" s="47">
        <f t="shared" si="193"/>
        <v>46131</v>
      </c>
      <c r="BR290" s="57">
        <v>320.51</v>
      </c>
      <c r="BS290" s="57">
        <v>792.58</v>
      </c>
      <c r="BT290" s="58"/>
      <c r="BU290" s="61"/>
      <c r="BV290" s="27"/>
      <c r="BW290" s="51"/>
      <c r="BX290" s="52"/>
      <c r="BY290" s="52"/>
      <c r="BZ290" s="53">
        <f t="shared" si="194"/>
        <v>0</v>
      </c>
      <c r="CB290" s="47">
        <f t="shared" si="195"/>
        <v>46131</v>
      </c>
      <c r="CC290" s="56">
        <v>16952.650000000001</v>
      </c>
      <c r="CD290" s="57">
        <v>1383.96</v>
      </c>
      <c r="CE290" s="58"/>
      <c r="CF290" s="117"/>
      <c r="CG290" s="27"/>
      <c r="CH290" s="51"/>
      <c r="CI290" s="52"/>
      <c r="CJ290" s="52"/>
      <c r="CK290" s="53">
        <f t="shared" si="196"/>
        <v>0</v>
      </c>
      <c r="CM290" s="47">
        <f t="shared" si="197"/>
        <v>46131</v>
      </c>
      <c r="CN290" s="56">
        <v>10889.76</v>
      </c>
      <c r="CO290" s="57">
        <v>758.7</v>
      </c>
      <c r="CP290" s="58"/>
      <c r="CQ290" s="62"/>
      <c r="CR290" s="27"/>
      <c r="CS290" s="240">
        <v>32.382349999999974</v>
      </c>
      <c r="CT290" s="53">
        <v>79.392108095238029</v>
      </c>
      <c r="CU290" s="53"/>
      <c r="CV290" s="53">
        <f t="shared" si="179"/>
        <v>111.774458095238</v>
      </c>
      <c r="CX290" s="47">
        <f t="shared" si="198"/>
        <v>46131</v>
      </c>
      <c r="CY290" s="56">
        <v>4328.04</v>
      </c>
      <c r="CZ290" s="57">
        <v>1299.01</v>
      </c>
      <c r="DA290" s="58"/>
      <c r="DB290" s="59"/>
      <c r="DC290" s="27"/>
      <c r="DD290" s="240">
        <v>149.39504499999984</v>
      </c>
      <c r="DE290" s="53"/>
      <c r="DF290" s="53"/>
      <c r="DG290" s="53">
        <f t="shared" si="180"/>
        <v>149.39504499999984</v>
      </c>
      <c r="DI290" s="47">
        <f t="shared" si="199"/>
        <v>46131</v>
      </c>
      <c r="DJ290" s="56">
        <v>1279.49</v>
      </c>
      <c r="DK290" s="63"/>
      <c r="DL290" s="58"/>
      <c r="DM290" s="62"/>
      <c r="DN290" s="27"/>
      <c r="DO290" s="51"/>
      <c r="DP290" s="52"/>
      <c r="DQ290" s="52"/>
      <c r="DR290" s="53">
        <f t="shared" si="181"/>
        <v>0</v>
      </c>
      <c r="DT290" s="47">
        <f t="shared" si="200"/>
        <v>46131</v>
      </c>
      <c r="DU290" s="56">
        <v>3021.5</v>
      </c>
      <c r="DV290" s="57">
        <v>191.42</v>
      </c>
      <c r="DW290" s="58"/>
      <c r="DX290" s="62"/>
      <c r="DY290" s="27"/>
      <c r="DZ290" s="240">
        <v>18.532199999999932</v>
      </c>
      <c r="EA290" s="53"/>
      <c r="EB290" s="53"/>
      <c r="EC290" s="53">
        <f t="shared" si="182"/>
        <v>18.532199999999932</v>
      </c>
      <c r="EE290" s="47">
        <f t="shared" si="201"/>
        <v>46131</v>
      </c>
      <c r="EF290" s="56">
        <v>4853.34</v>
      </c>
      <c r="EG290" s="57">
        <v>767.52</v>
      </c>
      <c r="EH290" s="58"/>
      <c r="EI290" s="59">
        <v>80.849999999999994</v>
      </c>
      <c r="EJ290" s="27"/>
      <c r="EK290" s="51"/>
      <c r="EL290" s="52"/>
      <c r="EM290" s="52"/>
      <c r="EN290" s="53">
        <f t="shared" si="183"/>
        <v>80.849999999999994</v>
      </c>
      <c r="EP290" s="47">
        <f t="shared" si="202"/>
        <v>46131</v>
      </c>
      <c r="EQ290" s="64">
        <v>0</v>
      </c>
      <c r="ER290" s="56">
        <v>719.64</v>
      </c>
      <c r="ES290" s="58"/>
      <c r="ET290" s="59"/>
      <c r="EV290" s="51"/>
      <c r="EW290" s="52"/>
      <c r="EX290" s="52"/>
      <c r="EY290" s="53">
        <f t="shared" si="203"/>
        <v>0</v>
      </c>
    </row>
    <row r="291" spans="2:157" x14ac:dyDescent="0.25">
      <c r="B291" s="47">
        <v>46132</v>
      </c>
      <c r="C291" s="48">
        <v>23604.880000000001</v>
      </c>
      <c r="D291" s="49">
        <v>4449.07</v>
      </c>
      <c r="E291" s="50">
        <v>3997.12</v>
      </c>
      <c r="F291" s="49">
        <f>1104.97+22.89+268.63</f>
        <v>1396.4900000000002</v>
      </c>
      <c r="G291" s="50"/>
      <c r="H291" s="27"/>
      <c r="I291" s="51"/>
      <c r="J291" s="53"/>
      <c r="K291" s="52">
        <v>17.598610199999996</v>
      </c>
      <c r="L291" s="53">
        <f t="shared" si="178"/>
        <v>17.598610199999996</v>
      </c>
      <c r="N291" s="47">
        <f t="shared" si="184"/>
        <v>46132</v>
      </c>
      <c r="O291" s="54">
        <v>1420.04</v>
      </c>
      <c r="P291" s="54">
        <v>72.819999999999993</v>
      </c>
      <c r="Q291" s="58"/>
      <c r="R291" s="55"/>
      <c r="S291" s="27"/>
      <c r="T291" s="240">
        <v>-68.267240000000058</v>
      </c>
      <c r="U291" s="53"/>
      <c r="V291" s="52"/>
      <c r="W291" s="53">
        <f t="shared" si="185"/>
        <v>-68.267240000000058</v>
      </c>
      <c r="Y291" s="47">
        <f t="shared" si="186"/>
        <v>46132</v>
      </c>
      <c r="Z291" s="56">
        <v>8507.4500000000007</v>
      </c>
      <c r="AA291" s="57">
        <v>2925.84</v>
      </c>
      <c r="AB291" s="63"/>
      <c r="AC291" s="59">
        <v>137.27000000000001</v>
      </c>
      <c r="AD291" s="27"/>
      <c r="AE291" s="240">
        <v>28.050959999999989</v>
      </c>
      <c r="AF291" s="52"/>
      <c r="AG291" s="52"/>
      <c r="AH291" s="53">
        <f t="shared" si="187"/>
        <v>165.32096000000001</v>
      </c>
      <c r="AJ291" s="47">
        <f t="shared" si="188"/>
        <v>46132</v>
      </c>
      <c r="AK291" s="56">
        <v>5093.25</v>
      </c>
      <c r="AL291" s="57">
        <v>220.91</v>
      </c>
      <c r="AM291" s="58"/>
      <c r="AN291" s="58"/>
      <c r="AO291" s="27"/>
      <c r="AP291" s="51"/>
      <c r="AQ291" s="52"/>
      <c r="AR291" s="52"/>
      <c r="AS291" s="53">
        <f t="shared" si="189"/>
        <v>0</v>
      </c>
      <c r="AU291" s="113">
        <f t="shared" si="190"/>
        <v>46132</v>
      </c>
      <c r="AV291" s="57">
        <v>367.38</v>
      </c>
      <c r="AW291" s="57">
        <v>189.56</v>
      </c>
      <c r="AX291" s="58"/>
      <c r="AY291" s="59"/>
      <c r="AZ291" s="27"/>
      <c r="BA291" s="240">
        <v>78.362052000000631</v>
      </c>
      <c r="BB291" s="53"/>
      <c r="BC291" s="52"/>
      <c r="BD291" s="53">
        <f t="shared" si="191"/>
        <v>78.362052000000631</v>
      </c>
      <c r="BF291" s="47">
        <f t="shared" si="204"/>
        <v>46132</v>
      </c>
      <c r="BG291" s="56">
        <v>6954.92</v>
      </c>
      <c r="BH291" s="57">
        <v>1473.88</v>
      </c>
      <c r="BI291" s="58"/>
      <c r="BJ291" s="59"/>
      <c r="BK291" s="27"/>
      <c r="BL291" s="51">
        <v>181.38595999999987</v>
      </c>
      <c r="BM291" s="52"/>
      <c r="BN291" s="52"/>
      <c r="BO291" s="53">
        <f t="shared" si="192"/>
        <v>181.38595999999987</v>
      </c>
      <c r="BQ291" s="47">
        <f t="shared" si="193"/>
        <v>46132</v>
      </c>
      <c r="BR291" s="57">
        <v>1233.5999999999999</v>
      </c>
      <c r="BS291" s="57">
        <v>950.73</v>
      </c>
      <c r="BT291" s="58"/>
      <c r="BU291" s="61"/>
      <c r="BV291" s="27"/>
      <c r="BW291" s="51"/>
      <c r="BX291" s="52"/>
      <c r="BY291" s="52"/>
      <c r="BZ291" s="53">
        <f t="shared" si="194"/>
        <v>0</v>
      </c>
      <c r="CB291" s="47">
        <f t="shared" si="195"/>
        <v>46132</v>
      </c>
      <c r="CC291" s="56">
        <v>21207.25</v>
      </c>
      <c r="CD291" s="57">
        <v>1620.27</v>
      </c>
      <c r="CE291" s="58"/>
      <c r="CF291" s="117"/>
      <c r="CG291" s="27"/>
      <c r="CH291" s="51"/>
      <c r="CI291" s="52"/>
      <c r="CJ291" s="52"/>
      <c r="CK291" s="53">
        <f t="shared" si="196"/>
        <v>0</v>
      </c>
      <c r="CM291" s="47">
        <f t="shared" si="197"/>
        <v>46132</v>
      </c>
      <c r="CN291" s="56">
        <v>16220</v>
      </c>
      <c r="CO291" s="57">
        <v>1675.36</v>
      </c>
      <c r="CP291" s="58"/>
      <c r="CQ291" s="62"/>
      <c r="CR291" s="27"/>
      <c r="CS291" s="240">
        <v>175.92189999999997</v>
      </c>
      <c r="CT291" s="53">
        <v>376.983050517143</v>
      </c>
      <c r="CU291" s="53"/>
      <c r="CV291" s="53">
        <f t="shared" si="179"/>
        <v>552.90495051714299</v>
      </c>
      <c r="CX291" s="47">
        <f t="shared" si="198"/>
        <v>46132</v>
      </c>
      <c r="CY291" s="56">
        <v>4343.9799999999996</v>
      </c>
      <c r="CZ291" s="57">
        <v>1636.85</v>
      </c>
      <c r="DA291" s="58"/>
      <c r="DB291" s="59"/>
      <c r="DC291" s="27"/>
      <c r="DD291" s="240">
        <v>174.53095999999991</v>
      </c>
      <c r="DE291" s="53">
        <v>31.567101733428672</v>
      </c>
      <c r="DF291" s="53"/>
      <c r="DG291" s="53">
        <f t="shared" si="180"/>
        <v>206.09806173342858</v>
      </c>
      <c r="DI291" s="47">
        <f t="shared" si="199"/>
        <v>46132</v>
      </c>
      <c r="DJ291" s="56">
        <v>2646.37</v>
      </c>
      <c r="DK291" s="63"/>
      <c r="DL291" s="58"/>
      <c r="DM291" s="62"/>
      <c r="DN291" s="27"/>
      <c r="DO291" s="51"/>
      <c r="DP291" s="52"/>
      <c r="DQ291" s="52"/>
      <c r="DR291" s="53">
        <f t="shared" si="181"/>
        <v>0</v>
      </c>
      <c r="DT291" s="47">
        <f t="shared" si="200"/>
        <v>46132</v>
      </c>
      <c r="DU291" s="56">
        <v>11038.02</v>
      </c>
      <c r="DV291" s="57">
        <v>772.46</v>
      </c>
      <c r="DW291" s="58"/>
      <c r="DX291" s="62"/>
      <c r="DY291" s="27"/>
      <c r="DZ291" s="240">
        <v>53.332679999999868</v>
      </c>
      <c r="EA291" s="53"/>
      <c r="EB291" s="53"/>
      <c r="EC291" s="53">
        <f t="shared" si="182"/>
        <v>53.332679999999868</v>
      </c>
      <c r="EE291" s="47">
        <f t="shared" si="201"/>
        <v>46132</v>
      </c>
      <c r="EF291" s="56">
        <v>7256.16</v>
      </c>
      <c r="EG291" s="57">
        <v>1902.46</v>
      </c>
      <c r="EH291" s="58"/>
      <c r="EI291" s="59">
        <v>121.14</v>
      </c>
      <c r="EJ291" s="27"/>
      <c r="EK291" s="51"/>
      <c r="EL291" s="52"/>
      <c r="EM291" s="52"/>
      <c r="EN291" s="53">
        <f t="shared" si="183"/>
        <v>121.14</v>
      </c>
      <c r="EP291" s="47">
        <f t="shared" si="202"/>
        <v>46132</v>
      </c>
      <c r="EQ291" s="64">
        <v>0</v>
      </c>
      <c r="ER291" s="56">
        <v>699.59</v>
      </c>
      <c r="ES291" s="58"/>
      <c r="ET291" s="59"/>
      <c r="EV291" s="51"/>
      <c r="EW291" s="52"/>
      <c r="EX291" s="52"/>
      <c r="EY291" s="53">
        <f t="shared" si="203"/>
        <v>0</v>
      </c>
    </row>
    <row r="292" spans="2:157" x14ac:dyDescent="0.25">
      <c r="B292" s="47">
        <v>46133</v>
      </c>
      <c r="C292" s="48">
        <v>29313.59</v>
      </c>
      <c r="D292" s="49">
        <v>4034.28</v>
      </c>
      <c r="E292" s="50">
        <v>5354.66</v>
      </c>
      <c r="F292" s="49">
        <f>1293.04+15.35+252.13</f>
        <v>1560.52</v>
      </c>
      <c r="G292" s="50"/>
      <c r="H292" s="27"/>
      <c r="I292" s="51"/>
      <c r="J292" s="53"/>
      <c r="K292" s="52"/>
      <c r="L292" s="53">
        <f t="shared" si="178"/>
        <v>0</v>
      </c>
      <c r="N292" s="47">
        <f t="shared" si="184"/>
        <v>46133</v>
      </c>
      <c r="O292" s="54">
        <v>5967.61</v>
      </c>
      <c r="P292" s="54">
        <v>355.6</v>
      </c>
      <c r="Q292" s="58"/>
      <c r="R292" s="55"/>
      <c r="S292" s="27"/>
      <c r="T292" s="240">
        <v>-42.373760000000225</v>
      </c>
      <c r="U292" s="53"/>
      <c r="V292" s="52"/>
      <c r="W292" s="53">
        <f t="shared" si="185"/>
        <v>-42.373760000000225</v>
      </c>
      <c r="Y292" s="47">
        <f t="shared" si="186"/>
        <v>46133</v>
      </c>
      <c r="Z292" s="56">
        <v>7065.25</v>
      </c>
      <c r="AA292" s="57">
        <v>2390.44</v>
      </c>
      <c r="AB292" s="63"/>
      <c r="AC292" s="59">
        <v>43.26</v>
      </c>
      <c r="AD292" s="27"/>
      <c r="AE292" s="240">
        <v>63.076189999999997</v>
      </c>
      <c r="AF292" s="52"/>
      <c r="AG292" s="52"/>
      <c r="AH292" s="53">
        <f t="shared" si="187"/>
        <v>106.33618999999999</v>
      </c>
      <c r="AJ292" s="47">
        <f t="shared" si="188"/>
        <v>46133</v>
      </c>
      <c r="AK292" s="56">
        <v>4691.8599999999997</v>
      </c>
      <c r="AL292" s="57">
        <v>699.53</v>
      </c>
      <c r="AM292" s="58"/>
      <c r="AN292" s="58"/>
      <c r="AO292" s="27"/>
      <c r="AP292" s="51"/>
      <c r="AQ292" s="52"/>
      <c r="AR292" s="52"/>
      <c r="AS292" s="53">
        <f t="shared" si="189"/>
        <v>0</v>
      </c>
      <c r="AU292" s="113">
        <f t="shared" si="190"/>
        <v>46133</v>
      </c>
      <c r="AV292" s="57">
        <v>638</v>
      </c>
      <c r="AW292" s="57">
        <v>32.51</v>
      </c>
      <c r="AX292" s="58"/>
      <c r="AY292" s="59"/>
      <c r="AZ292" s="27"/>
      <c r="BA292" s="240">
        <v>53.024312000000137</v>
      </c>
      <c r="BB292" s="53"/>
      <c r="BC292" s="52"/>
      <c r="BD292" s="53">
        <f t="shared" si="191"/>
        <v>53.024312000000137</v>
      </c>
      <c r="BF292" s="47">
        <f t="shared" si="204"/>
        <v>46133</v>
      </c>
      <c r="BG292" s="56">
        <v>7029.78</v>
      </c>
      <c r="BH292" s="57">
        <v>766.57</v>
      </c>
      <c r="BI292" s="58"/>
      <c r="BJ292" s="59"/>
      <c r="BK292" s="27"/>
      <c r="BL292" s="51">
        <v>237.46178999999944</v>
      </c>
      <c r="BM292" s="52">
        <v>44.682053952000061</v>
      </c>
      <c r="BN292" s="52"/>
      <c r="BO292" s="53">
        <f t="shared" si="192"/>
        <v>282.14384395199949</v>
      </c>
      <c r="BQ292" s="47">
        <f t="shared" si="193"/>
        <v>46133</v>
      </c>
      <c r="BR292" s="57">
        <v>681.93</v>
      </c>
      <c r="BS292" s="57">
        <v>1103.8900000000001</v>
      </c>
      <c r="BT292" s="58"/>
      <c r="BU292" s="61"/>
      <c r="BV292" s="27"/>
      <c r="BW292" s="51"/>
      <c r="BX292" s="52"/>
      <c r="BY292" s="52"/>
      <c r="BZ292" s="53">
        <f t="shared" si="194"/>
        <v>0</v>
      </c>
      <c r="CB292" s="47">
        <f t="shared" si="195"/>
        <v>46133</v>
      </c>
      <c r="CC292" s="56">
        <v>23913.75</v>
      </c>
      <c r="CD292" s="57">
        <v>2431.73</v>
      </c>
      <c r="CE292" s="58"/>
      <c r="CF292" s="117"/>
      <c r="CG292" s="27"/>
      <c r="CH292" s="51"/>
      <c r="CI292" s="52"/>
      <c r="CJ292" s="52"/>
      <c r="CK292" s="53">
        <f t="shared" si="196"/>
        <v>0</v>
      </c>
      <c r="CM292" s="47">
        <f t="shared" si="197"/>
        <v>46133</v>
      </c>
      <c r="CN292" s="56">
        <v>16358.32</v>
      </c>
      <c r="CO292" s="57">
        <v>1846.64</v>
      </c>
      <c r="CP292" s="58"/>
      <c r="CQ292" s="62"/>
      <c r="CR292" s="27"/>
      <c r="CS292" s="240">
        <v>121.01427999999987</v>
      </c>
      <c r="CT292" s="53">
        <v>371.87368613599989</v>
      </c>
      <c r="CU292" s="53"/>
      <c r="CV292" s="53">
        <f t="shared" si="179"/>
        <v>492.88796613599976</v>
      </c>
      <c r="CX292" s="47">
        <f t="shared" si="198"/>
        <v>46133</v>
      </c>
      <c r="CY292" s="56">
        <v>6186.58</v>
      </c>
      <c r="CZ292" s="57">
        <v>932.13</v>
      </c>
      <c r="DA292" s="58"/>
      <c r="DB292" s="59"/>
      <c r="DC292" s="27"/>
      <c r="DD292" s="240">
        <v>220.5770949999997</v>
      </c>
      <c r="DE292" s="53">
        <v>35.185684632380912</v>
      </c>
      <c r="DF292" s="53"/>
      <c r="DG292" s="53">
        <f t="shared" si="180"/>
        <v>255.76277963238061</v>
      </c>
      <c r="DI292" s="47">
        <f t="shared" si="199"/>
        <v>46133</v>
      </c>
      <c r="DJ292" s="56">
        <v>3108.95</v>
      </c>
      <c r="DK292" s="63"/>
      <c r="DL292" s="58"/>
      <c r="DM292" s="62"/>
      <c r="DN292" s="27"/>
      <c r="DO292" s="51"/>
      <c r="DP292" s="52"/>
      <c r="DQ292" s="52"/>
      <c r="DR292" s="53">
        <f t="shared" si="181"/>
        <v>0</v>
      </c>
      <c r="DT292" s="47">
        <f t="shared" si="200"/>
        <v>46133</v>
      </c>
      <c r="DU292" s="56">
        <v>8206.19</v>
      </c>
      <c r="DV292" s="57">
        <v>471.3</v>
      </c>
      <c r="DW292" s="58"/>
      <c r="DX292" s="62"/>
      <c r="DY292" s="27"/>
      <c r="DZ292" s="240">
        <v>22.556359999999955</v>
      </c>
      <c r="EA292" s="53">
        <v>49.593865072000042</v>
      </c>
      <c r="EB292" s="53"/>
      <c r="EC292" s="53">
        <f t="shared" si="182"/>
        <v>72.150225071999998</v>
      </c>
      <c r="EE292" s="47">
        <f t="shared" si="201"/>
        <v>46133</v>
      </c>
      <c r="EF292" s="56">
        <v>5696.54</v>
      </c>
      <c r="EG292" s="57">
        <v>1677.33</v>
      </c>
      <c r="EH292" s="58"/>
      <c r="EI292" s="59">
        <v>136.97999999999999</v>
      </c>
      <c r="EJ292" s="27"/>
      <c r="EK292" s="51"/>
      <c r="EL292" s="52"/>
      <c r="EM292" s="52"/>
      <c r="EN292" s="53">
        <f t="shared" si="183"/>
        <v>136.97999999999999</v>
      </c>
      <c r="EP292" s="47">
        <f t="shared" si="202"/>
        <v>46133</v>
      </c>
      <c r="EQ292" s="64">
        <v>0</v>
      </c>
      <c r="ER292" s="56">
        <v>635.88</v>
      </c>
      <c r="ES292" s="58"/>
      <c r="ET292" s="59"/>
      <c r="EV292" s="51"/>
      <c r="EW292" s="52"/>
      <c r="EX292" s="52"/>
      <c r="EY292" s="53">
        <f t="shared" si="203"/>
        <v>0</v>
      </c>
    </row>
    <row r="293" spans="2:157" x14ac:dyDescent="0.25">
      <c r="B293" s="47">
        <v>46134</v>
      </c>
      <c r="C293" s="48">
        <v>25608.49</v>
      </c>
      <c r="D293" s="49">
        <v>3658.44</v>
      </c>
      <c r="E293" s="50">
        <v>4111.7700000000004</v>
      </c>
      <c r="F293" s="49">
        <v>1362.8</v>
      </c>
      <c r="G293" s="50"/>
      <c r="H293" s="27"/>
      <c r="I293" s="51"/>
      <c r="J293" s="53"/>
      <c r="K293" s="52">
        <v>31.405200000000008</v>
      </c>
      <c r="L293" s="53">
        <f t="shared" si="178"/>
        <v>31.405200000000008</v>
      </c>
      <c r="N293" s="47">
        <f t="shared" si="184"/>
        <v>46134</v>
      </c>
      <c r="O293" s="54">
        <v>4752.9399999999996</v>
      </c>
      <c r="P293" s="54">
        <v>801.96</v>
      </c>
      <c r="Q293" s="55"/>
      <c r="R293" s="55"/>
      <c r="S293" s="27"/>
      <c r="T293" s="240">
        <v>211.64582999999971</v>
      </c>
      <c r="U293" s="53">
        <v>18.912880640000139</v>
      </c>
      <c r="V293" s="52"/>
      <c r="W293" s="53">
        <f t="shared" si="185"/>
        <v>230.55871063999984</v>
      </c>
      <c r="Y293" s="47">
        <f t="shared" si="186"/>
        <v>46134</v>
      </c>
      <c r="Z293" s="56">
        <v>5636.13</v>
      </c>
      <c r="AA293" s="57">
        <v>2412.6999999999998</v>
      </c>
      <c r="AB293" s="104"/>
      <c r="AC293" s="59">
        <v>88.94</v>
      </c>
      <c r="AD293" s="27"/>
      <c r="AE293" s="240">
        <v>93.294359999999955</v>
      </c>
      <c r="AF293" s="52"/>
      <c r="AG293" s="52"/>
      <c r="AH293" s="53">
        <f t="shared" si="187"/>
        <v>182.23435999999995</v>
      </c>
      <c r="AJ293" s="47">
        <f t="shared" si="188"/>
        <v>46134</v>
      </c>
      <c r="AK293" s="56">
        <v>6002.51</v>
      </c>
      <c r="AL293" s="57">
        <v>911.67</v>
      </c>
      <c r="AM293" s="70"/>
      <c r="AN293" s="58"/>
      <c r="AO293" s="27"/>
      <c r="AP293" s="51"/>
      <c r="AQ293" s="52"/>
      <c r="AR293" s="52"/>
      <c r="AS293" s="53">
        <f t="shared" si="189"/>
        <v>0</v>
      </c>
      <c r="AU293" s="113">
        <f t="shared" si="190"/>
        <v>46134</v>
      </c>
      <c r="AV293" s="57">
        <v>70</v>
      </c>
      <c r="AW293" s="57">
        <v>50.42</v>
      </c>
      <c r="AX293" s="70"/>
      <c r="AY293" s="59">
        <v>61.99</v>
      </c>
      <c r="AZ293" s="27"/>
      <c r="BA293" s="240">
        <v>119.108026</v>
      </c>
      <c r="BB293" s="53"/>
      <c r="BC293" s="52"/>
      <c r="BD293" s="53">
        <f t="shared" si="191"/>
        <v>181.098026</v>
      </c>
      <c r="BF293" s="47">
        <f t="shared" si="204"/>
        <v>46134</v>
      </c>
      <c r="BG293" s="56">
        <v>6294.58</v>
      </c>
      <c r="BH293" s="57">
        <v>802.9</v>
      </c>
      <c r="BI293" s="70"/>
      <c r="BJ293" s="59"/>
      <c r="BK293" s="27"/>
      <c r="BL293" s="51">
        <v>332.13470999999947</v>
      </c>
      <c r="BM293" s="52"/>
      <c r="BN293" s="52"/>
      <c r="BO293" s="53">
        <f t="shared" si="192"/>
        <v>332.13470999999947</v>
      </c>
      <c r="BQ293" s="47">
        <f t="shared" si="193"/>
        <v>46134</v>
      </c>
      <c r="BR293" s="57">
        <v>461.34</v>
      </c>
      <c r="BS293" s="57">
        <v>486.89</v>
      </c>
      <c r="BT293" s="70"/>
      <c r="BU293" s="61"/>
      <c r="BV293" s="27"/>
      <c r="BW293" s="51"/>
      <c r="BX293" s="52"/>
      <c r="BY293" s="52"/>
      <c r="BZ293" s="53">
        <f t="shared" si="194"/>
        <v>0</v>
      </c>
      <c r="CB293" s="47">
        <f t="shared" si="195"/>
        <v>46134</v>
      </c>
      <c r="CC293" s="56">
        <v>21180.16</v>
      </c>
      <c r="CD293" s="57">
        <v>1513.42</v>
      </c>
      <c r="CE293" s="70"/>
      <c r="CF293" s="117"/>
      <c r="CG293" s="27"/>
      <c r="CH293" s="51"/>
      <c r="CI293" s="52"/>
      <c r="CJ293" s="52"/>
      <c r="CK293" s="53">
        <f t="shared" si="196"/>
        <v>0</v>
      </c>
      <c r="CM293" s="47">
        <f t="shared" si="197"/>
        <v>46134</v>
      </c>
      <c r="CN293" s="56">
        <v>14941.9</v>
      </c>
      <c r="CO293" s="57">
        <v>1629.39</v>
      </c>
      <c r="CP293" s="70"/>
      <c r="CQ293" s="62"/>
      <c r="CR293" s="27"/>
      <c r="CS293" s="240">
        <v>128.05631999999989</v>
      </c>
      <c r="CT293" s="53">
        <v>770.08275972000035</v>
      </c>
      <c r="CU293" s="53"/>
      <c r="CV293" s="53">
        <f t="shared" si="179"/>
        <v>898.13907972000027</v>
      </c>
      <c r="CX293" s="47">
        <f t="shared" si="198"/>
        <v>46134</v>
      </c>
      <c r="CY293" s="56">
        <v>6455.11</v>
      </c>
      <c r="CZ293" s="57">
        <v>445.77</v>
      </c>
      <c r="DA293" s="70"/>
      <c r="DB293" s="59"/>
      <c r="DC293" s="27"/>
      <c r="DD293" s="240">
        <v>411.35183200000012</v>
      </c>
      <c r="DE293" s="53"/>
      <c r="DF293" s="53"/>
      <c r="DG293" s="53">
        <f t="shared" si="180"/>
        <v>411.35183200000012</v>
      </c>
      <c r="DI293" s="47">
        <f t="shared" si="199"/>
        <v>46134</v>
      </c>
      <c r="DJ293" s="56">
        <v>3228.06</v>
      </c>
      <c r="DK293" s="71"/>
      <c r="DL293" s="70"/>
      <c r="DM293" s="62"/>
      <c r="DN293" s="27"/>
      <c r="DO293" s="51"/>
      <c r="DP293" s="52"/>
      <c r="DQ293" s="52"/>
      <c r="DR293" s="53">
        <f t="shared" si="181"/>
        <v>0</v>
      </c>
      <c r="DT293" s="47">
        <f t="shared" si="200"/>
        <v>46134</v>
      </c>
      <c r="DU293" s="56">
        <v>10908.96</v>
      </c>
      <c r="DV293" s="57">
        <v>331.42</v>
      </c>
      <c r="DW293" s="70"/>
      <c r="DX293" s="62"/>
      <c r="DY293" s="27"/>
      <c r="DZ293" s="240">
        <v>92.388269999999892</v>
      </c>
      <c r="EA293" s="53">
        <v>10.791649799999988</v>
      </c>
      <c r="EB293" s="53"/>
      <c r="EC293" s="53">
        <f t="shared" si="182"/>
        <v>103.17991979999988</v>
      </c>
      <c r="EE293" s="47">
        <f t="shared" si="201"/>
        <v>46134</v>
      </c>
      <c r="EF293" s="56">
        <v>4676.58</v>
      </c>
      <c r="EG293" s="57">
        <v>1037.21</v>
      </c>
      <c r="EH293" s="70"/>
      <c r="EI293" s="59">
        <v>113.74</v>
      </c>
      <c r="EJ293" s="27"/>
      <c r="EK293" s="51"/>
      <c r="EL293" s="52"/>
      <c r="EM293" s="52"/>
      <c r="EN293" s="53">
        <f t="shared" si="183"/>
        <v>113.74</v>
      </c>
      <c r="EP293" s="47">
        <f t="shared" si="202"/>
        <v>46134</v>
      </c>
      <c r="EQ293" s="64">
        <v>0</v>
      </c>
      <c r="ER293" s="56">
        <v>601.04</v>
      </c>
      <c r="ES293" s="70"/>
      <c r="ET293" s="59"/>
      <c r="EV293" s="51"/>
      <c r="EW293" s="52"/>
      <c r="EX293" s="52"/>
      <c r="EY293" s="53">
        <f t="shared" si="203"/>
        <v>0</v>
      </c>
    </row>
    <row r="294" spans="2:157" x14ac:dyDescent="0.25">
      <c r="B294" s="47">
        <v>46135</v>
      </c>
      <c r="C294" s="48">
        <v>25075.45</v>
      </c>
      <c r="D294" s="49">
        <v>4415.1400000000003</v>
      </c>
      <c r="E294" s="50">
        <v>4549.2299999999996</v>
      </c>
      <c r="F294" s="49">
        <v>1281.08</v>
      </c>
      <c r="G294" s="50"/>
      <c r="H294" s="27"/>
      <c r="I294" s="51"/>
      <c r="J294" s="53">
        <v>3.7764118080000024</v>
      </c>
      <c r="K294" s="52"/>
      <c r="L294" s="53">
        <f t="shared" si="178"/>
        <v>3.7764118080000024</v>
      </c>
      <c r="N294" s="47">
        <f t="shared" si="184"/>
        <v>46135</v>
      </c>
      <c r="O294" s="54">
        <v>3205.99</v>
      </c>
      <c r="P294" s="54">
        <v>291.54000000000002</v>
      </c>
      <c r="Q294" s="70"/>
      <c r="R294" s="55"/>
      <c r="S294" s="27"/>
      <c r="T294" s="240">
        <v>144.3869999999998</v>
      </c>
      <c r="U294" s="53"/>
      <c r="V294" s="52"/>
      <c r="W294" s="53">
        <f t="shared" si="185"/>
        <v>144.3869999999998</v>
      </c>
      <c r="Y294" s="47">
        <f t="shared" si="186"/>
        <v>46135</v>
      </c>
      <c r="Z294" s="56">
        <v>6826.09</v>
      </c>
      <c r="AA294" s="57">
        <v>2482.5500000000002</v>
      </c>
      <c r="AB294" s="104"/>
      <c r="AC294" s="59">
        <v>52.37</v>
      </c>
      <c r="AD294" s="27"/>
      <c r="AE294" s="240"/>
      <c r="AF294" s="52"/>
      <c r="AG294" s="52"/>
      <c r="AH294" s="53">
        <f t="shared" si="187"/>
        <v>52.37</v>
      </c>
      <c r="AJ294" s="47">
        <f t="shared" si="188"/>
        <v>46135</v>
      </c>
      <c r="AK294" s="56">
        <v>4625.42</v>
      </c>
      <c r="AL294" s="57">
        <v>510.55</v>
      </c>
      <c r="AM294" s="70"/>
      <c r="AN294" s="58"/>
      <c r="AO294" s="27"/>
      <c r="AP294" s="51"/>
      <c r="AQ294" s="52"/>
      <c r="AR294" s="52"/>
      <c r="AS294" s="53">
        <f t="shared" si="189"/>
        <v>0</v>
      </c>
      <c r="AU294" s="113">
        <f t="shared" si="190"/>
        <v>46135</v>
      </c>
      <c r="AV294" s="57">
        <v>850</v>
      </c>
      <c r="AW294" s="57">
        <v>0</v>
      </c>
      <c r="AX294" s="70"/>
      <c r="AY294" s="59"/>
      <c r="AZ294" s="27"/>
      <c r="BA294" s="240">
        <v>135.45833400000006</v>
      </c>
      <c r="BB294" s="53"/>
      <c r="BC294" s="52"/>
      <c r="BD294" s="53">
        <f t="shared" si="191"/>
        <v>135.45833400000006</v>
      </c>
      <c r="BF294" s="47">
        <f t="shared" si="204"/>
        <v>46135</v>
      </c>
      <c r="BG294" s="56">
        <v>4418.49</v>
      </c>
      <c r="BH294" s="57">
        <v>784.95</v>
      </c>
      <c r="BI294" s="70"/>
      <c r="BJ294" s="59"/>
      <c r="BK294" s="27"/>
      <c r="BL294" s="51">
        <v>149.36807999999982</v>
      </c>
      <c r="BM294" s="52">
        <v>45.892047671999961</v>
      </c>
      <c r="BN294" s="52"/>
      <c r="BO294" s="53">
        <f t="shared" si="192"/>
        <v>195.26012767199978</v>
      </c>
      <c r="BQ294" s="47">
        <f t="shared" si="193"/>
        <v>46135</v>
      </c>
      <c r="BR294" s="57">
        <v>393.68</v>
      </c>
      <c r="BS294" s="57">
        <v>1334.76</v>
      </c>
      <c r="BT294" s="70"/>
      <c r="BU294" s="61"/>
      <c r="BV294" s="27"/>
      <c r="BW294" s="51"/>
      <c r="BX294" s="52"/>
      <c r="BY294" s="52"/>
      <c r="BZ294" s="53">
        <f t="shared" si="194"/>
        <v>0</v>
      </c>
      <c r="CB294" s="47">
        <f t="shared" si="195"/>
        <v>46135</v>
      </c>
      <c r="CC294" s="56">
        <v>24619.9</v>
      </c>
      <c r="CD294" s="57">
        <v>1763.09</v>
      </c>
      <c r="CE294" s="70"/>
      <c r="CF294" s="117"/>
      <c r="CG294" s="27"/>
      <c r="CH294" s="51"/>
      <c r="CI294" s="52"/>
      <c r="CJ294" s="52"/>
      <c r="CK294" s="53">
        <f t="shared" si="196"/>
        <v>0</v>
      </c>
      <c r="CM294" s="47">
        <f t="shared" si="197"/>
        <v>46135</v>
      </c>
      <c r="CN294" s="56">
        <v>13167.2</v>
      </c>
      <c r="CO294" s="57">
        <v>2069.85</v>
      </c>
      <c r="CP294" s="70"/>
      <c r="CQ294" s="62"/>
      <c r="CR294" s="27"/>
      <c r="CS294" s="240">
        <v>91.591869999999957</v>
      </c>
      <c r="CT294" s="53">
        <v>348.36022084799981</v>
      </c>
      <c r="CU294" s="53"/>
      <c r="CV294" s="53">
        <f t="shared" si="179"/>
        <v>439.95209084799978</v>
      </c>
      <c r="CX294" s="47">
        <f t="shared" si="198"/>
        <v>46135</v>
      </c>
      <c r="CY294" s="56">
        <v>3609.9</v>
      </c>
      <c r="CZ294" s="57">
        <v>860.12</v>
      </c>
      <c r="DA294" s="70"/>
      <c r="DB294" s="59"/>
      <c r="DC294" s="27"/>
      <c r="DD294" s="240">
        <v>346.99761599999982</v>
      </c>
      <c r="DE294" s="53">
        <v>97.577599999999848</v>
      </c>
      <c r="DF294" s="53">
        <v>79.167999999999893</v>
      </c>
      <c r="DG294" s="53">
        <f t="shared" si="180"/>
        <v>523.74321599999962</v>
      </c>
      <c r="DI294" s="47">
        <f t="shared" si="199"/>
        <v>46135</v>
      </c>
      <c r="DJ294" s="56">
        <v>1090.77</v>
      </c>
      <c r="DK294" s="71"/>
      <c r="DL294" s="70"/>
      <c r="DM294" s="62"/>
      <c r="DN294" s="27"/>
      <c r="DO294" s="51"/>
      <c r="DP294" s="52"/>
      <c r="DQ294" s="52"/>
      <c r="DR294" s="53">
        <f t="shared" si="181"/>
        <v>0</v>
      </c>
      <c r="DT294" s="47">
        <f t="shared" si="200"/>
        <v>46135</v>
      </c>
      <c r="DU294" s="56">
        <v>7007.23</v>
      </c>
      <c r="DV294" s="57">
        <v>475.42</v>
      </c>
      <c r="DW294" s="70"/>
      <c r="DX294" s="62"/>
      <c r="DY294" s="27"/>
      <c r="DZ294" s="240">
        <v>115.83828999999987</v>
      </c>
      <c r="EA294" s="53">
        <v>25.012474536000028</v>
      </c>
      <c r="EB294" s="53"/>
      <c r="EC294" s="53">
        <f t="shared" si="182"/>
        <v>140.8507645359999</v>
      </c>
      <c r="EE294" s="47">
        <f t="shared" si="201"/>
        <v>46135</v>
      </c>
      <c r="EF294" s="56">
        <v>7322.38</v>
      </c>
      <c r="EG294" s="57">
        <v>2540.25</v>
      </c>
      <c r="EH294" s="70"/>
      <c r="EI294" s="59">
        <v>143.84</v>
      </c>
      <c r="EJ294" s="27"/>
      <c r="EK294" s="51"/>
      <c r="EL294" s="52"/>
      <c r="EM294" s="52"/>
      <c r="EN294" s="53">
        <f t="shared" si="183"/>
        <v>143.84</v>
      </c>
      <c r="EP294" s="47">
        <f t="shared" si="202"/>
        <v>46135</v>
      </c>
      <c r="EQ294" s="64">
        <v>0</v>
      </c>
      <c r="ER294" s="56">
        <v>907.97</v>
      </c>
      <c r="ES294" s="70"/>
      <c r="ET294" s="59"/>
      <c r="EV294" s="51"/>
      <c r="EW294" s="52"/>
      <c r="EX294" s="52"/>
      <c r="EY294" s="53">
        <f t="shared" si="203"/>
        <v>0</v>
      </c>
    </row>
    <row r="295" spans="2:157" x14ac:dyDescent="0.25">
      <c r="B295" s="47">
        <v>46136</v>
      </c>
      <c r="C295" s="48">
        <v>28880.32</v>
      </c>
      <c r="D295" s="49">
        <v>3726.74</v>
      </c>
      <c r="E295" s="50">
        <v>3838.55</v>
      </c>
      <c r="F295" s="49">
        <v>1419.68</v>
      </c>
      <c r="G295" s="50"/>
      <c r="H295" s="27"/>
      <c r="I295" s="51"/>
      <c r="J295" s="53"/>
      <c r="K295" s="52"/>
      <c r="L295" s="53">
        <f t="shared" si="178"/>
        <v>0</v>
      </c>
      <c r="N295" s="47">
        <f t="shared" si="184"/>
        <v>46136</v>
      </c>
      <c r="O295" s="54">
        <f>1553.28</f>
        <v>1553.28</v>
      </c>
      <c r="P295" s="54">
        <f>54.52</f>
        <v>54.52</v>
      </c>
      <c r="Q295" s="70"/>
      <c r="R295" s="55"/>
      <c r="S295" s="27"/>
      <c r="T295" s="240">
        <v>132.59539999999976</v>
      </c>
      <c r="U295" s="53"/>
      <c r="V295" s="52"/>
      <c r="W295" s="53">
        <f t="shared" si="185"/>
        <v>132.59539999999976</v>
      </c>
      <c r="Y295" s="47">
        <f t="shared" si="186"/>
        <v>46136</v>
      </c>
      <c r="Z295" s="56">
        <v>7621.72</v>
      </c>
      <c r="AA295" s="57">
        <v>2827.26</v>
      </c>
      <c r="AB295" s="63"/>
      <c r="AC295" s="59">
        <v>159.16</v>
      </c>
      <c r="AD295" s="27"/>
      <c r="AE295" s="240">
        <v>148.21551999999983</v>
      </c>
      <c r="AF295" s="52"/>
      <c r="AG295" s="52"/>
      <c r="AH295" s="53">
        <f t="shared" si="187"/>
        <v>307.37551999999982</v>
      </c>
      <c r="AJ295" s="47">
        <f t="shared" si="188"/>
        <v>46136</v>
      </c>
      <c r="AK295" s="56">
        <v>4675.1499999999996</v>
      </c>
      <c r="AL295" s="57">
        <v>722.44</v>
      </c>
      <c r="AM295" s="70"/>
      <c r="AN295" s="58"/>
      <c r="AO295" s="27"/>
      <c r="AP295" s="51"/>
      <c r="AQ295" s="52"/>
      <c r="AR295" s="52"/>
      <c r="AS295" s="53">
        <f t="shared" si="189"/>
        <v>0</v>
      </c>
      <c r="AU295" s="113">
        <f t="shared" si="190"/>
        <v>46136</v>
      </c>
      <c r="AV295" s="57">
        <v>388</v>
      </c>
      <c r="AW295" s="57">
        <v>113.16</v>
      </c>
      <c r="AX295" s="70"/>
      <c r="AY295" s="59">
        <v>24</v>
      </c>
      <c r="AZ295" s="27"/>
      <c r="BA295" s="240">
        <v>86.441350000000028</v>
      </c>
      <c r="BB295" s="53"/>
      <c r="BC295" s="52"/>
      <c r="BD295" s="53">
        <f t="shared" si="191"/>
        <v>110.44135000000003</v>
      </c>
      <c r="BF295" s="47">
        <f t="shared" si="204"/>
        <v>46136</v>
      </c>
      <c r="BG295" s="56">
        <v>3498.24</v>
      </c>
      <c r="BH295" s="57">
        <v>535.46</v>
      </c>
      <c r="BI295" s="70"/>
      <c r="BJ295" s="59"/>
      <c r="BK295" s="27"/>
      <c r="BL295" s="51">
        <v>108.75697999999983</v>
      </c>
      <c r="BM295" s="52"/>
      <c r="BN295" s="52"/>
      <c r="BO295" s="53">
        <f t="shared" si="192"/>
        <v>108.75697999999983</v>
      </c>
      <c r="BQ295" s="47">
        <f t="shared" si="193"/>
        <v>46136</v>
      </c>
      <c r="BR295" s="57">
        <v>638.38</v>
      </c>
      <c r="BS295" s="57">
        <v>881.64</v>
      </c>
      <c r="BT295" s="70"/>
      <c r="BU295" s="61"/>
      <c r="BV295" s="27"/>
      <c r="BW295" s="51"/>
      <c r="BX295" s="52"/>
      <c r="BY295" s="52"/>
      <c r="BZ295" s="53">
        <f t="shared" si="194"/>
        <v>0</v>
      </c>
      <c r="CB295" s="47">
        <f t="shared" si="195"/>
        <v>46136</v>
      </c>
      <c r="CC295" s="56">
        <v>23509.09</v>
      </c>
      <c r="CD295" s="57">
        <v>2345.9499999999998</v>
      </c>
      <c r="CE295" s="70"/>
      <c r="CF295" s="118"/>
      <c r="CG295" s="27"/>
      <c r="CH295" s="51"/>
      <c r="CI295" s="52"/>
      <c r="CJ295" s="52"/>
      <c r="CK295" s="53">
        <f t="shared" si="196"/>
        <v>0</v>
      </c>
      <c r="CM295" s="47">
        <f t="shared" si="197"/>
        <v>46136</v>
      </c>
      <c r="CN295" s="56">
        <v>14916.45</v>
      </c>
      <c r="CO295" s="57">
        <v>1610.61</v>
      </c>
      <c r="CP295" s="70"/>
      <c r="CQ295" s="62"/>
      <c r="CR295" s="27"/>
      <c r="CS295" s="240">
        <v>166.79557999999992</v>
      </c>
      <c r="CT295" s="53">
        <v>238.93111418399997</v>
      </c>
      <c r="CU295" s="53">
        <v>27.777036700000025</v>
      </c>
      <c r="CV295" s="53">
        <f t="shared" si="179"/>
        <v>433.50373088399988</v>
      </c>
      <c r="CX295" s="47">
        <f t="shared" si="198"/>
        <v>46136</v>
      </c>
      <c r="CY295" s="56">
        <v>4056.99</v>
      </c>
      <c r="CZ295" s="57">
        <v>823.87</v>
      </c>
      <c r="DA295" s="70"/>
      <c r="DB295" s="59"/>
      <c r="DC295" s="27"/>
      <c r="DD295" s="240">
        <v>1100.3220459999991</v>
      </c>
      <c r="DE295" s="53"/>
      <c r="DF295" s="53"/>
      <c r="DG295" s="53">
        <f t="shared" si="180"/>
        <v>1100.3220459999991</v>
      </c>
      <c r="DI295" s="47">
        <f t="shared" si="199"/>
        <v>46136</v>
      </c>
      <c r="DJ295" s="56">
        <v>1516.3</v>
      </c>
      <c r="DK295" s="71"/>
      <c r="DL295" s="70"/>
      <c r="DM295" s="62"/>
      <c r="DN295" s="27"/>
      <c r="DO295" s="51"/>
      <c r="DP295" s="52"/>
      <c r="DQ295" s="52"/>
      <c r="DR295" s="53">
        <f t="shared" si="181"/>
        <v>0</v>
      </c>
      <c r="DT295" s="47">
        <f t="shared" si="200"/>
        <v>46136</v>
      </c>
      <c r="DU295" s="56">
        <v>3822.48</v>
      </c>
      <c r="DV295" s="57">
        <v>435.12</v>
      </c>
      <c r="DW295" s="70"/>
      <c r="DX295" s="62"/>
      <c r="DY295" s="27"/>
      <c r="DZ295" s="240">
        <v>207.50195999999954</v>
      </c>
      <c r="EA295" s="53">
        <v>10.499577287999969</v>
      </c>
      <c r="EB295" s="53"/>
      <c r="EC295" s="53">
        <f t="shared" si="182"/>
        <v>218.0015372879995</v>
      </c>
      <c r="EE295" s="47">
        <f t="shared" si="201"/>
        <v>46136</v>
      </c>
      <c r="EF295" s="56">
        <v>7359.91</v>
      </c>
      <c r="EG295" s="57">
        <v>1759.86</v>
      </c>
      <c r="EH295" s="70"/>
      <c r="EI295" s="59">
        <v>123.62</v>
      </c>
      <c r="EJ295" s="27"/>
      <c r="EK295" s="51"/>
      <c r="EL295" s="52"/>
      <c r="EM295" s="52"/>
      <c r="EN295" s="53">
        <f t="shared" si="183"/>
        <v>123.62</v>
      </c>
      <c r="EP295" s="47">
        <f t="shared" si="202"/>
        <v>46136</v>
      </c>
      <c r="EQ295" s="64">
        <v>0</v>
      </c>
      <c r="ER295" s="56">
        <v>710.34</v>
      </c>
      <c r="ES295" s="70"/>
      <c r="ET295" s="59"/>
      <c r="EV295" s="51"/>
      <c r="EW295" s="52"/>
      <c r="EX295" s="52"/>
      <c r="EY295" s="53">
        <f t="shared" si="203"/>
        <v>0</v>
      </c>
    </row>
    <row r="296" spans="2:157" x14ac:dyDescent="0.25">
      <c r="B296" s="47">
        <v>46137</v>
      </c>
      <c r="C296" s="48">
        <v>29226.51</v>
      </c>
      <c r="D296" s="49">
        <v>4395.04</v>
      </c>
      <c r="E296" s="50">
        <v>4075.05</v>
      </c>
      <c r="F296" s="49">
        <v>902.4</v>
      </c>
      <c r="G296" s="50"/>
      <c r="H296" s="27"/>
      <c r="I296" s="51"/>
      <c r="J296" s="53"/>
      <c r="K296" s="52"/>
      <c r="L296" s="53">
        <f t="shared" si="178"/>
        <v>0</v>
      </c>
      <c r="N296" s="47">
        <f t="shared" si="184"/>
        <v>46137</v>
      </c>
      <c r="O296" s="54">
        <v>0</v>
      </c>
      <c r="P296" s="54">
        <v>0</v>
      </c>
      <c r="Q296" s="70"/>
      <c r="R296" s="69"/>
      <c r="S296" s="27"/>
      <c r="T296" s="240">
        <v>113.84369999999991</v>
      </c>
      <c r="U296" s="53"/>
      <c r="V296" s="52"/>
      <c r="W296" s="53">
        <f t="shared" si="185"/>
        <v>113.84369999999991</v>
      </c>
      <c r="Y296" s="47">
        <f t="shared" si="186"/>
        <v>46137</v>
      </c>
      <c r="Z296" s="56">
        <v>6662.53</v>
      </c>
      <c r="AA296" s="57">
        <v>2755.17</v>
      </c>
      <c r="AB296" s="104"/>
      <c r="AC296" s="59">
        <v>123.39</v>
      </c>
      <c r="AD296" s="27"/>
      <c r="AE296" s="240">
        <v>53.146799999999928</v>
      </c>
      <c r="AF296" s="52"/>
      <c r="AG296" s="52"/>
      <c r="AH296" s="53">
        <f t="shared" si="187"/>
        <v>176.53679999999991</v>
      </c>
      <c r="AJ296" s="47">
        <f t="shared" si="188"/>
        <v>46137</v>
      </c>
      <c r="AK296" s="56">
        <v>3191.29</v>
      </c>
      <c r="AL296" s="57">
        <v>453.72</v>
      </c>
      <c r="AM296" s="70"/>
      <c r="AN296" s="58"/>
      <c r="AO296" s="27"/>
      <c r="AP296" s="51"/>
      <c r="AQ296" s="52"/>
      <c r="AR296" s="52"/>
      <c r="AS296" s="53">
        <f t="shared" si="189"/>
        <v>0</v>
      </c>
      <c r="AU296" s="113">
        <f t="shared" si="190"/>
        <v>46137</v>
      </c>
      <c r="AV296" s="57">
        <v>431</v>
      </c>
      <c r="AW296" s="57">
        <v>85</v>
      </c>
      <c r="AX296" s="70"/>
      <c r="AY296" s="59"/>
      <c r="AZ296" s="27"/>
      <c r="BA296" s="240">
        <v>78.598470000000034</v>
      </c>
      <c r="BB296" s="53"/>
      <c r="BC296" s="52"/>
      <c r="BD296" s="53">
        <f t="shared" si="191"/>
        <v>78.598470000000034</v>
      </c>
      <c r="BF296" s="47">
        <f t="shared" si="204"/>
        <v>46137</v>
      </c>
      <c r="BG296" s="56">
        <v>3526.58</v>
      </c>
      <c r="BH296" s="57">
        <v>442.16</v>
      </c>
      <c r="BI296" s="70"/>
      <c r="BJ296" s="59"/>
      <c r="BK296" s="27"/>
      <c r="BL296" s="51">
        <v>97.002239999999915</v>
      </c>
      <c r="BM296" s="52"/>
      <c r="BN296" s="52"/>
      <c r="BO296" s="53">
        <f t="shared" si="192"/>
        <v>97.002239999999915</v>
      </c>
      <c r="BQ296" s="47">
        <f t="shared" si="193"/>
        <v>46137</v>
      </c>
      <c r="BR296" s="57">
        <v>682.07</v>
      </c>
      <c r="BS296" s="57">
        <v>319.04000000000002</v>
      </c>
      <c r="BT296" s="70"/>
      <c r="BU296" s="61"/>
      <c r="BV296" s="27"/>
      <c r="BW296" s="51"/>
      <c r="BX296" s="52"/>
      <c r="BY296" s="52"/>
      <c r="BZ296" s="53">
        <f t="shared" si="194"/>
        <v>0</v>
      </c>
      <c r="CB296" s="47">
        <f t="shared" si="195"/>
        <v>46137</v>
      </c>
      <c r="CC296" s="56">
        <v>29738.67</v>
      </c>
      <c r="CD296" s="57">
        <v>2836.3</v>
      </c>
      <c r="CE296" s="70"/>
      <c r="CF296" s="117"/>
      <c r="CG296" s="27"/>
      <c r="CH296" s="51"/>
      <c r="CI296" s="52"/>
      <c r="CJ296" s="52"/>
      <c r="CK296" s="53">
        <f t="shared" si="196"/>
        <v>0</v>
      </c>
      <c r="CM296" s="47">
        <f t="shared" si="197"/>
        <v>46137</v>
      </c>
      <c r="CN296" s="56">
        <v>13060.95</v>
      </c>
      <c r="CO296" s="57">
        <v>1179.8599999999999</v>
      </c>
      <c r="CP296" s="70"/>
      <c r="CQ296" s="62"/>
      <c r="CR296" s="27"/>
      <c r="CS296" s="240">
        <v>42.403569999999988</v>
      </c>
      <c r="CT296" s="53">
        <v>286.62269477619054</v>
      </c>
      <c r="CU296" s="53"/>
      <c r="CV296" s="53">
        <f t="shared" si="179"/>
        <v>329.02626477619054</v>
      </c>
      <c r="CX296" s="47">
        <f t="shared" si="198"/>
        <v>46137</v>
      </c>
      <c r="CY296" s="56">
        <v>4404.42</v>
      </c>
      <c r="CZ296" s="57">
        <v>1803.88</v>
      </c>
      <c r="DA296" s="70"/>
      <c r="DB296" s="59"/>
      <c r="DC296" s="27"/>
      <c r="DD296" s="240">
        <v>518.2989839999999</v>
      </c>
      <c r="DE296" s="53">
        <v>77.35166282933335</v>
      </c>
      <c r="DF296" s="53">
        <v>29.692354239999986</v>
      </c>
      <c r="DG296" s="53">
        <f t="shared" si="180"/>
        <v>625.34300106933324</v>
      </c>
      <c r="DI296" s="47">
        <f t="shared" si="199"/>
        <v>46137</v>
      </c>
      <c r="DJ296" s="56">
        <v>2547.25</v>
      </c>
      <c r="DK296" s="71"/>
      <c r="DL296" s="70"/>
      <c r="DM296" s="62"/>
      <c r="DN296" s="27"/>
      <c r="DO296" s="51"/>
      <c r="DP296" s="52"/>
      <c r="DQ296" s="52"/>
      <c r="DR296" s="53">
        <f t="shared" si="181"/>
        <v>0</v>
      </c>
      <c r="DT296" s="47">
        <f t="shared" si="200"/>
        <v>46137</v>
      </c>
      <c r="DU296" s="56">
        <v>4209.42</v>
      </c>
      <c r="DV296" s="57">
        <v>423.8</v>
      </c>
      <c r="DW296" s="70"/>
      <c r="DX296" s="62"/>
      <c r="DY296" s="27"/>
      <c r="DZ296" s="240">
        <v>117.32611999999978</v>
      </c>
      <c r="EA296" s="53">
        <v>14.925565405523798</v>
      </c>
      <c r="EB296" s="53">
        <v>45.993389999999977</v>
      </c>
      <c r="EC296" s="53">
        <f t="shared" si="182"/>
        <v>178.24507540552355</v>
      </c>
      <c r="EE296" s="47">
        <f t="shared" si="201"/>
        <v>46137</v>
      </c>
      <c r="EF296" s="56">
        <v>5660.93</v>
      </c>
      <c r="EG296" s="57">
        <v>1778.79</v>
      </c>
      <c r="EH296" s="70"/>
      <c r="EI296" s="59">
        <v>96.84</v>
      </c>
      <c r="EJ296" s="27"/>
      <c r="EK296" s="51"/>
      <c r="EL296" s="52"/>
      <c r="EM296" s="52"/>
      <c r="EN296" s="53">
        <f t="shared" si="183"/>
        <v>96.84</v>
      </c>
      <c r="EP296" s="47">
        <f t="shared" si="202"/>
        <v>46137</v>
      </c>
      <c r="EQ296" s="64">
        <v>0</v>
      </c>
      <c r="ER296" s="56">
        <v>500.53</v>
      </c>
      <c r="ES296" s="70"/>
      <c r="ET296" s="59"/>
      <c r="EV296" s="51"/>
      <c r="EW296" s="52"/>
      <c r="EX296" s="52"/>
      <c r="EY296" s="53">
        <f t="shared" si="203"/>
        <v>0</v>
      </c>
    </row>
    <row r="297" spans="2:157" x14ac:dyDescent="0.25">
      <c r="B297" s="47">
        <v>46138</v>
      </c>
      <c r="C297" s="48">
        <v>17089.400000000001</v>
      </c>
      <c r="D297" s="49">
        <v>2892.13</v>
      </c>
      <c r="E297" s="50">
        <v>2491.5100000000002</v>
      </c>
      <c r="F297" s="49">
        <v>945.6</v>
      </c>
      <c r="G297" s="50"/>
      <c r="H297" s="27"/>
      <c r="I297" s="51"/>
      <c r="J297" s="53"/>
      <c r="K297" s="52"/>
      <c r="L297" s="53">
        <f t="shared" si="178"/>
        <v>0</v>
      </c>
      <c r="N297" s="47">
        <f t="shared" si="184"/>
        <v>46138</v>
      </c>
      <c r="O297" s="54">
        <v>0</v>
      </c>
      <c r="P297" s="54">
        <v>0</v>
      </c>
      <c r="Q297" s="70"/>
      <c r="R297" s="69"/>
      <c r="S297" s="27"/>
      <c r="T297" s="240">
        <v>37.221299999999957</v>
      </c>
      <c r="U297" s="53"/>
      <c r="V297" s="52"/>
      <c r="W297" s="53">
        <f t="shared" si="185"/>
        <v>37.221299999999957</v>
      </c>
      <c r="Y297" s="47">
        <f t="shared" si="186"/>
        <v>46138</v>
      </c>
      <c r="Z297" s="56">
        <v>6857.05</v>
      </c>
      <c r="AA297" s="57">
        <v>1715.65</v>
      </c>
      <c r="AB297" s="104"/>
      <c r="AC297" s="59">
        <v>112.63</v>
      </c>
      <c r="AD297" s="27"/>
      <c r="AE297" s="240">
        <v>23.001299999999958</v>
      </c>
      <c r="AF297" s="52"/>
      <c r="AG297" s="52"/>
      <c r="AH297" s="53">
        <f t="shared" si="187"/>
        <v>135.63129999999995</v>
      </c>
      <c r="AJ297" s="47">
        <f t="shared" si="188"/>
        <v>46138</v>
      </c>
      <c r="AK297" s="56">
        <v>4830.88</v>
      </c>
      <c r="AL297" s="57">
        <v>527.41</v>
      </c>
      <c r="AM297" s="70"/>
      <c r="AN297" s="58"/>
      <c r="AO297" s="27"/>
      <c r="AP297" s="51"/>
      <c r="AQ297" s="52"/>
      <c r="AR297" s="52"/>
      <c r="AS297" s="53">
        <f t="shared" si="189"/>
        <v>0</v>
      </c>
      <c r="AU297" s="113">
        <f t="shared" si="190"/>
        <v>46138</v>
      </c>
      <c r="AV297" s="57">
        <v>380.03</v>
      </c>
      <c r="AW297" s="57">
        <v>41.34</v>
      </c>
      <c r="AX297" s="70"/>
      <c r="AY297" s="59"/>
      <c r="AZ297" s="27"/>
      <c r="BA297" s="240">
        <v>43.124986000000007</v>
      </c>
      <c r="BB297" s="53"/>
      <c r="BC297" s="52"/>
      <c r="BD297" s="53">
        <f t="shared" si="191"/>
        <v>43.124986000000007</v>
      </c>
      <c r="BF297" s="47">
        <f t="shared" si="204"/>
        <v>46138</v>
      </c>
      <c r="BG297" s="56">
        <v>2417.66</v>
      </c>
      <c r="BH297" s="57">
        <v>506.35</v>
      </c>
      <c r="BI297" s="70"/>
      <c r="BJ297" s="59"/>
      <c r="BK297" s="27"/>
      <c r="BL297" s="51">
        <v>123.0822099999998</v>
      </c>
      <c r="BM297" s="52">
        <v>33.120458599428559</v>
      </c>
      <c r="BN297" s="52"/>
      <c r="BO297" s="53">
        <f t="shared" si="192"/>
        <v>156.20266859942836</v>
      </c>
      <c r="BQ297" s="47">
        <f t="shared" si="193"/>
        <v>46138</v>
      </c>
      <c r="BR297" s="57">
        <v>150.81</v>
      </c>
      <c r="BS297" s="57">
        <v>219.12</v>
      </c>
      <c r="BT297" s="70"/>
      <c r="BU297" s="61"/>
      <c r="BV297" s="27"/>
      <c r="BW297" s="51"/>
      <c r="BX297" s="52"/>
      <c r="BY297" s="52"/>
      <c r="BZ297" s="53">
        <f t="shared" si="194"/>
        <v>0</v>
      </c>
      <c r="CB297" s="47">
        <f t="shared" si="195"/>
        <v>46138</v>
      </c>
      <c r="CC297" s="56">
        <v>23868</v>
      </c>
      <c r="CD297" s="57">
        <v>2441.11</v>
      </c>
      <c r="CE297" s="70"/>
      <c r="CF297" s="117"/>
      <c r="CG297" s="27"/>
      <c r="CH297" s="51"/>
      <c r="CI297" s="52"/>
      <c r="CJ297" s="52"/>
      <c r="CK297" s="53">
        <f t="shared" si="196"/>
        <v>0</v>
      </c>
      <c r="CM297" s="47">
        <f t="shared" si="197"/>
        <v>46138</v>
      </c>
      <c r="CN297" s="56">
        <v>11228.33</v>
      </c>
      <c r="CO297" s="57">
        <v>1547.01</v>
      </c>
      <c r="CP297" s="70"/>
      <c r="CQ297" s="62"/>
      <c r="CR297" s="27"/>
      <c r="CS297" s="240"/>
      <c r="CT297" s="53">
        <v>59.894845969523843</v>
      </c>
      <c r="CU297" s="53"/>
      <c r="CV297" s="53">
        <f t="shared" si="179"/>
        <v>59.894845969523843</v>
      </c>
      <c r="CX297" s="47">
        <f t="shared" si="198"/>
        <v>46138</v>
      </c>
      <c r="CY297" s="56">
        <v>3399.93</v>
      </c>
      <c r="CZ297" s="57">
        <v>1383.74</v>
      </c>
      <c r="DA297" s="70"/>
      <c r="DB297" s="59"/>
      <c r="DC297" s="27"/>
      <c r="DD297" s="240">
        <v>378.21830899999986</v>
      </c>
      <c r="DE297" s="53"/>
      <c r="DF297" s="53"/>
      <c r="DG297" s="53">
        <f t="shared" si="180"/>
        <v>378.21830899999986</v>
      </c>
      <c r="DI297" s="47">
        <f t="shared" si="199"/>
        <v>46138</v>
      </c>
      <c r="DJ297" s="56">
        <v>2386.6</v>
      </c>
      <c r="DK297" s="71"/>
      <c r="DL297" s="70"/>
      <c r="DM297" s="62"/>
      <c r="DN297" s="27"/>
      <c r="DO297" s="51"/>
      <c r="DP297" s="52"/>
      <c r="DQ297" s="52"/>
      <c r="DR297" s="53">
        <f t="shared" si="181"/>
        <v>0</v>
      </c>
      <c r="DT297" s="47">
        <f t="shared" si="200"/>
        <v>46138</v>
      </c>
      <c r="DU297" s="56">
        <v>2319.56</v>
      </c>
      <c r="DV297" s="57">
        <v>654.59</v>
      </c>
      <c r="DW297" s="70"/>
      <c r="DX297" s="62"/>
      <c r="DY297" s="27"/>
      <c r="DZ297" s="240">
        <v>29.629529999999974</v>
      </c>
      <c r="EA297" s="53"/>
      <c r="EB297" s="53"/>
      <c r="EC297" s="53">
        <f t="shared" si="182"/>
        <v>29.629529999999974</v>
      </c>
      <c r="EE297" s="47">
        <f t="shared" si="201"/>
        <v>46138</v>
      </c>
      <c r="EF297" s="56">
        <v>7119.23</v>
      </c>
      <c r="EG297" s="57">
        <v>1398.95</v>
      </c>
      <c r="EH297" s="70"/>
      <c r="EI297" s="59">
        <v>103.8</v>
      </c>
      <c r="EJ297" s="27"/>
      <c r="EK297" s="51"/>
      <c r="EL297" s="52"/>
      <c r="EM297" s="52"/>
      <c r="EN297" s="53">
        <f t="shared" si="183"/>
        <v>103.8</v>
      </c>
      <c r="EP297" s="47">
        <f t="shared" si="202"/>
        <v>46138</v>
      </c>
      <c r="EQ297" s="64">
        <v>0</v>
      </c>
      <c r="ER297" s="56">
        <v>558.41999999999996</v>
      </c>
      <c r="ES297" s="70"/>
      <c r="ET297" s="59"/>
      <c r="EV297" s="51"/>
      <c r="EW297" s="52"/>
      <c r="EX297" s="52"/>
      <c r="EY297" s="53">
        <f t="shared" si="203"/>
        <v>0</v>
      </c>
    </row>
    <row r="298" spans="2:157" x14ac:dyDescent="0.25">
      <c r="B298" s="47">
        <v>46139</v>
      </c>
      <c r="C298" s="48">
        <v>26854.15</v>
      </c>
      <c r="D298" s="49">
        <v>3921.95</v>
      </c>
      <c r="E298" s="50">
        <v>3930.82</v>
      </c>
      <c r="F298" s="49">
        <v>1477.44</v>
      </c>
      <c r="G298" s="50"/>
      <c r="H298" s="27"/>
      <c r="I298" s="51"/>
      <c r="J298" s="53"/>
      <c r="K298" s="52"/>
      <c r="L298" s="53">
        <f t="shared" si="178"/>
        <v>0</v>
      </c>
      <c r="N298" s="47">
        <f t="shared" si="184"/>
        <v>46139</v>
      </c>
      <c r="O298" s="54">
        <v>0</v>
      </c>
      <c r="P298" s="54">
        <v>0</v>
      </c>
      <c r="Q298" s="70"/>
      <c r="R298" s="69"/>
      <c r="S298" s="27"/>
      <c r="T298" s="240">
        <v>168.47145999999992</v>
      </c>
      <c r="U298" s="53"/>
      <c r="V298" s="52"/>
      <c r="W298" s="53">
        <f t="shared" si="185"/>
        <v>168.47145999999992</v>
      </c>
      <c r="Y298" s="47">
        <f t="shared" si="186"/>
        <v>46139</v>
      </c>
      <c r="Z298" s="56">
        <v>11927.71</v>
      </c>
      <c r="AA298" s="72">
        <v>2682.56</v>
      </c>
      <c r="AB298" s="63"/>
      <c r="AC298" s="59">
        <v>169.82</v>
      </c>
      <c r="AD298" s="27"/>
      <c r="AE298" s="240">
        <v>112.78055999999987</v>
      </c>
      <c r="AF298" s="52"/>
      <c r="AG298" s="52"/>
      <c r="AH298" s="53">
        <f t="shared" si="187"/>
        <v>282.60055999999986</v>
      </c>
      <c r="AJ298" s="47">
        <f t="shared" si="188"/>
        <v>46139</v>
      </c>
      <c r="AK298" s="56">
        <v>4619.32</v>
      </c>
      <c r="AL298" s="57">
        <v>638.25</v>
      </c>
      <c r="AM298" s="70"/>
      <c r="AN298" s="58"/>
      <c r="AO298" s="27"/>
      <c r="AP298" s="51"/>
      <c r="AQ298" s="52"/>
      <c r="AR298" s="52"/>
      <c r="AS298" s="53">
        <f t="shared" si="189"/>
        <v>0</v>
      </c>
      <c r="AU298" s="113">
        <f t="shared" si="190"/>
        <v>46139</v>
      </c>
      <c r="AV298" s="57">
        <v>810</v>
      </c>
      <c r="AW298" s="57">
        <v>135.76</v>
      </c>
      <c r="AX298" s="70"/>
      <c r="AY298" s="59">
        <v>22.5</v>
      </c>
      <c r="AZ298" s="27"/>
      <c r="BA298" s="240">
        <v>157.72150399999992</v>
      </c>
      <c r="BB298" s="53">
        <v>11.1604025845715</v>
      </c>
      <c r="BC298" s="52"/>
      <c r="BD298" s="53">
        <f t="shared" si="191"/>
        <v>191.38190658457142</v>
      </c>
      <c r="BF298" s="47">
        <f t="shared" si="204"/>
        <v>46139</v>
      </c>
      <c r="BG298" s="56">
        <v>3463.85</v>
      </c>
      <c r="BH298" s="57">
        <v>175.55</v>
      </c>
      <c r="BI298" s="70"/>
      <c r="BJ298" s="59"/>
      <c r="BK298" s="27"/>
      <c r="BL298" s="51">
        <v>236.46096999999969</v>
      </c>
      <c r="BM298" s="52"/>
      <c r="BN298" s="52"/>
      <c r="BO298" s="53">
        <f t="shared" si="192"/>
        <v>236.46096999999969</v>
      </c>
      <c r="BQ298" s="47">
        <f t="shared" si="193"/>
        <v>46139</v>
      </c>
      <c r="BR298" s="57">
        <v>1187.27</v>
      </c>
      <c r="BS298" s="57">
        <v>628.28</v>
      </c>
      <c r="BT298" s="70"/>
      <c r="BU298" s="61"/>
      <c r="BV298" s="27"/>
      <c r="BW298" s="51"/>
      <c r="BX298" s="52"/>
      <c r="BY298" s="52"/>
      <c r="BZ298" s="53">
        <f t="shared" si="194"/>
        <v>0</v>
      </c>
      <c r="CB298" s="47">
        <f t="shared" si="195"/>
        <v>46139</v>
      </c>
      <c r="CC298" s="56">
        <v>21696.959999999999</v>
      </c>
      <c r="CD298" s="57">
        <v>1734.91</v>
      </c>
      <c r="CE298" s="70"/>
      <c r="CF298" s="117"/>
      <c r="CG298" s="27"/>
      <c r="CH298" s="51"/>
      <c r="CI298" s="52"/>
      <c r="CJ298" s="52"/>
      <c r="CK298" s="53">
        <f t="shared" si="196"/>
        <v>0</v>
      </c>
      <c r="CM298" s="47">
        <f t="shared" si="197"/>
        <v>46139</v>
      </c>
      <c r="CN298" s="56">
        <v>16637.11</v>
      </c>
      <c r="CO298" s="57">
        <v>1484.49</v>
      </c>
      <c r="CP298" s="70"/>
      <c r="CQ298" s="62"/>
      <c r="CR298" s="27"/>
      <c r="CS298" s="240">
        <v>90.142819999999972</v>
      </c>
      <c r="CT298" s="53">
        <v>890.92370132342921</v>
      </c>
      <c r="CU298" s="53"/>
      <c r="CV298" s="53">
        <f t="shared" si="179"/>
        <v>981.06652132342924</v>
      </c>
      <c r="CX298" s="47">
        <f t="shared" si="198"/>
        <v>46139</v>
      </c>
      <c r="CY298" s="56">
        <v>3185.4</v>
      </c>
      <c r="CZ298" s="57">
        <v>984.33</v>
      </c>
      <c r="DA298" s="70"/>
      <c r="DB298" s="59"/>
      <c r="DC298" s="27"/>
      <c r="DD298" s="240">
        <v>490.75410099999965</v>
      </c>
      <c r="DE298" s="53"/>
      <c r="DF298" s="53"/>
      <c r="DG298" s="53">
        <f t="shared" si="180"/>
        <v>490.75410099999965</v>
      </c>
      <c r="DI298" s="47">
        <f t="shared" si="199"/>
        <v>46139</v>
      </c>
      <c r="DJ298" s="56">
        <v>1370.33</v>
      </c>
      <c r="DK298" s="71"/>
      <c r="DL298" s="70"/>
      <c r="DM298" s="62"/>
      <c r="DN298" s="27"/>
      <c r="DO298" s="51"/>
      <c r="DP298" s="52"/>
      <c r="DQ298" s="52"/>
      <c r="DR298" s="53"/>
      <c r="DT298" s="47">
        <f t="shared" si="200"/>
        <v>46139</v>
      </c>
      <c r="DU298" s="56">
        <v>8536.69</v>
      </c>
      <c r="DV298" s="57">
        <v>234.51</v>
      </c>
      <c r="DW298" s="70"/>
      <c r="DX298" s="62"/>
      <c r="DY298" s="27"/>
      <c r="DZ298" s="240">
        <v>148.3592899999999</v>
      </c>
      <c r="EA298" s="53">
        <v>22.985249947619138</v>
      </c>
      <c r="EB298" s="53"/>
      <c r="EC298" s="53">
        <f t="shared" si="182"/>
        <v>171.34453994761904</v>
      </c>
      <c r="EE298" s="47">
        <f t="shared" si="201"/>
        <v>46139</v>
      </c>
      <c r="EF298" s="56">
        <v>6786.83</v>
      </c>
      <c r="EG298" s="57">
        <v>1568.95</v>
      </c>
      <c r="EH298" s="70"/>
      <c r="EI298" s="59">
        <v>118.1</v>
      </c>
      <c r="EJ298" s="27"/>
      <c r="EK298" s="51"/>
      <c r="EL298" s="52"/>
      <c r="EM298" s="52"/>
      <c r="EN298" s="53">
        <f t="shared" si="183"/>
        <v>118.1</v>
      </c>
      <c r="EP298" s="47">
        <f t="shared" si="202"/>
        <v>46139</v>
      </c>
      <c r="EQ298" s="64">
        <v>0</v>
      </c>
      <c r="ER298" s="56">
        <v>650.03</v>
      </c>
      <c r="ES298" s="70"/>
      <c r="ET298" s="59"/>
      <c r="EV298" s="51"/>
      <c r="EW298" s="52"/>
      <c r="EX298" s="52"/>
      <c r="EY298" s="53">
        <f t="shared" si="203"/>
        <v>0</v>
      </c>
    </row>
    <row r="299" spans="2:157" x14ac:dyDescent="0.25">
      <c r="B299" s="47">
        <v>46140</v>
      </c>
      <c r="C299" s="48">
        <v>22368.75</v>
      </c>
      <c r="D299" s="49">
        <v>3583.4</v>
      </c>
      <c r="E299" s="50">
        <v>3802.39</v>
      </c>
      <c r="F299" s="49">
        <v>1619.89</v>
      </c>
      <c r="G299" s="50"/>
      <c r="H299" s="27"/>
      <c r="I299" s="51"/>
      <c r="J299" s="53"/>
      <c r="K299" s="52"/>
      <c r="L299" s="53">
        <f t="shared" si="178"/>
        <v>0</v>
      </c>
      <c r="N299" s="47">
        <f t="shared" si="184"/>
        <v>46140</v>
      </c>
      <c r="O299" s="54">
        <v>0</v>
      </c>
      <c r="P299" s="54">
        <v>0</v>
      </c>
      <c r="Q299" s="70"/>
      <c r="R299" s="69"/>
      <c r="S299" s="27"/>
      <c r="T299" s="240">
        <v>97.583760000000197</v>
      </c>
      <c r="U299" s="53"/>
      <c r="V299" s="52"/>
      <c r="W299" s="53">
        <f t="shared" si="185"/>
        <v>97.583760000000197</v>
      </c>
      <c r="Y299" s="47">
        <f t="shared" si="186"/>
        <v>46140</v>
      </c>
      <c r="Z299" s="56">
        <v>7852.53</v>
      </c>
      <c r="AA299" s="57">
        <v>2178.5</v>
      </c>
      <c r="AB299" s="104"/>
      <c r="AC299" s="59">
        <v>3.51</v>
      </c>
      <c r="AD299" s="27"/>
      <c r="AE299" s="240">
        <v>584.22283999999922</v>
      </c>
      <c r="AF299" s="52"/>
      <c r="AG299" s="52"/>
      <c r="AH299" s="53">
        <f t="shared" si="187"/>
        <v>587.73283999999921</v>
      </c>
      <c r="AJ299" s="47">
        <f t="shared" si="188"/>
        <v>46140</v>
      </c>
      <c r="AK299" s="56">
        <v>4815.62</v>
      </c>
      <c r="AL299" s="57">
        <v>566</v>
      </c>
      <c r="AM299" s="70"/>
      <c r="AN299" s="58"/>
      <c r="AO299" s="27"/>
      <c r="AP299" s="51"/>
      <c r="AQ299" s="52"/>
      <c r="AR299" s="52"/>
      <c r="AS299" s="53">
        <f t="shared" si="189"/>
        <v>0</v>
      </c>
      <c r="AU299" s="113">
        <f t="shared" si="190"/>
        <v>46140</v>
      </c>
      <c r="AV299" s="57">
        <v>607.99</v>
      </c>
      <c r="AW299" s="57">
        <v>108.52</v>
      </c>
      <c r="AX299" s="70"/>
      <c r="AY299" s="59">
        <v>75.930000000000007</v>
      </c>
      <c r="AZ299" s="27"/>
      <c r="BA299" s="240">
        <v>74.204759000000095</v>
      </c>
      <c r="BB299" s="53"/>
      <c r="BC299" s="52"/>
      <c r="BD299" s="53">
        <f t="shared" si="191"/>
        <v>150.13475900000009</v>
      </c>
      <c r="BF299" s="47">
        <f t="shared" si="204"/>
        <v>46140</v>
      </c>
      <c r="BG299" s="56">
        <v>4421.76</v>
      </c>
      <c r="BH299" s="57">
        <v>216.57</v>
      </c>
      <c r="BI299" s="70"/>
      <c r="BJ299" s="59"/>
      <c r="BK299" s="27"/>
      <c r="BL299" s="51">
        <v>458.02043999999933</v>
      </c>
      <c r="BM299" s="52"/>
      <c r="BN299" s="52"/>
      <c r="BO299" s="53">
        <f t="shared" si="192"/>
        <v>458.02043999999933</v>
      </c>
      <c r="BQ299" s="47">
        <f t="shared" si="193"/>
        <v>46140</v>
      </c>
      <c r="BR299" s="57">
        <v>748.9</v>
      </c>
      <c r="BS299" s="57">
        <v>689.2</v>
      </c>
      <c r="BT299" s="70"/>
      <c r="BU299" s="61"/>
      <c r="BV299" s="27"/>
      <c r="BW299" s="51"/>
      <c r="BX299" s="52"/>
      <c r="BY299" s="52"/>
      <c r="BZ299" s="53">
        <f t="shared" si="194"/>
        <v>0</v>
      </c>
      <c r="CB299" s="47">
        <f t="shared" si="195"/>
        <v>46140</v>
      </c>
      <c r="CC299" s="56">
        <v>21624.9</v>
      </c>
      <c r="CD299" s="57">
        <v>2123.84</v>
      </c>
      <c r="CE299" s="70"/>
      <c r="CF299" s="117"/>
      <c r="CG299" s="27"/>
      <c r="CH299" s="51"/>
      <c r="CI299" s="52"/>
      <c r="CJ299" s="52"/>
      <c r="CK299" s="53">
        <f t="shared" si="196"/>
        <v>0</v>
      </c>
      <c r="CM299" s="47">
        <f t="shared" si="197"/>
        <v>46140</v>
      </c>
      <c r="CN299" s="56">
        <v>19749.84</v>
      </c>
      <c r="CO299" s="57">
        <v>1558.89</v>
      </c>
      <c r="CP299" s="70"/>
      <c r="CQ299" s="62"/>
      <c r="CR299" s="27"/>
      <c r="CS299" s="240">
        <v>118.31790999999998</v>
      </c>
      <c r="CT299" s="53">
        <v>381.42997522457131</v>
      </c>
      <c r="CU299" s="53"/>
      <c r="CV299" s="53">
        <f t="shared" si="179"/>
        <v>499.74788522457129</v>
      </c>
      <c r="CX299" s="47">
        <f t="shared" si="198"/>
        <v>46140</v>
      </c>
      <c r="CY299" s="56">
        <v>4557.84</v>
      </c>
      <c r="CZ299" s="57">
        <v>703.33</v>
      </c>
      <c r="DA299" s="70"/>
      <c r="DB299" s="59"/>
      <c r="DC299" s="27"/>
      <c r="DD299" s="240">
        <v>313.70564000000002</v>
      </c>
      <c r="DE299" s="53">
        <v>99.85453067110484</v>
      </c>
      <c r="DF299" s="53"/>
      <c r="DG299" s="53">
        <f t="shared" si="180"/>
        <v>413.56017067110486</v>
      </c>
      <c r="DI299" s="47">
        <f t="shared" si="199"/>
        <v>46140</v>
      </c>
      <c r="DJ299" s="56">
        <v>1138</v>
      </c>
      <c r="DK299" s="71"/>
      <c r="DL299" s="70"/>
      <c r="DM299" s="62"/>
      <c r="DN299" s="27"/>
      <c r="DO299" s="51"/>
      <c r="DP299" s="52"/>
      <c r="DQ299" s="52"/>
      <c r="DR299" s="53"/>
      <c r="DT299" s="47">
        <f t="shared" si="200"/>
        <v>46140</v>
      </c>
      <c r="DU299" s="56">
        <v>2497.09</v>
      </c>
      <c r="DV299" s="57">
        <v>393.56</v>
      </c>
      <c r="DW299" s="70"/>
      <c r="DX299" s="62"/>
      <c r="DY299" s="27"/>
      <c r="DZ299" s="240">
        <v>95.53793999999985</v>
      </c>
      <c r="EA299" s="53">
        <v>278.01964452857203</v>
      </c>
      <c r="EB299" s="53"/>
      <c r="EC299" s="53">
        <f t="shared" si="182"/>
        <v>373.55758452857185</v>
      </c>
      <c r="EE299" s="47">
        <f t="shared" si="201"/>
        <v>46140</v>
      </c>
      <c r="EF299" s="56">
        <v>7899.86</v>
      </c>
      <c r="EG299" s="57">
        <v>676.99</v>
      </c>
      <c r="EH299" s="70"/>
      <c r="EI299" s="59">
        <v>153.12</v>
      </c>
      <c r="EJ299" s="27"/>
      <c r="EK299" s="51"/>
      <c r="EL299" s="52"/>
      <c r="EM299" s="52"/>
      <c r="EN299" s="53">
        <f t="shared" si="183"/>
        <v>153.12</v>
      </c>
      <c r="EP299" s="47">
        <f t="shared" si="202"/>
        <v>46140</v>
      </c>
      <c r="EQ299" s="64">
        <v>100</v>
      </c>
      <c r="ER299" s="56">
        <v>846.87</v>
      </c>
      <c r="ES299" s="70"/>
      <c r="ET299" s="59"/>
      <c r="EV299" s="51"/>
      <c r="EW299" s="52"/>
      <c r="EX299" s="52"/>
      <c r="EY299" s="53">
        <f t="shared" si="203"/>
        <v>0</v>
      </c>
    </row>
    <row r="300" spans="2:157" x14ac:dyDescent="0.25">
      <c r="B300" s="47">
        <v>46141</v>
      </c>
      <c r="C300" s="73">
        <v>30338.07</v>
      </c>
      <c r="D300" s="74">
        <v>5352.86</v>
      </c>
      <c r="E300" s="50">
        <v>4024.17</v>
      </c>
      <c r="F300" s="74">
        <v>1434.35</v>
      </c>
      <c r="G300" s="50"/>
      <c r="H300" s="27"/>
      <c r="I300" s="51"/>
      <c r="J300" s="53"/>
      <c r="K300" s="52"/>
      <c r="L300" s="53">
        <f t="shared" si="178"/>
        <v>0</v>
      </c>
      <c r="N300" s="47">
        <f t="shared" si="184"/>
        <v>46141</v>
      </c>
      <c r="O300" s="54">
        <v>0</v>
      </c>
      <c r="P300" s="54">
        <v>0</v>
      </c>
      <c r="Q300" s="70"/>
      <c r="R300" s="69"/>
      <c r="S300" s="27"/>
      <c r="T300" s="240">
        <v>293.01600000000008</v>
      </c>
      <c r="U300" s="53"/>
      <c r="V300" s="52"/>
      <c r="W300" s="53">
        <f t="shared" si="185"/>
        <v>293.01600000000008</v>
      </c>
      <c r="Y300" s="47">
        <f t="shared" si="186"/>
        <v>46141</v>
      </c>
      <c r="Z300" s="56">
        <v>9552.7199999999993</v>
      </c>
      <c r="AA300" s="57">
        <v>2304.42</v>
      </c>
      <c r="AB300" s="104"/>
      <c r="AC300" s="59">
        <v>37.83</v>
      </c>
      <c r="AD300" s="27"/>
      <c r="AE300" s="240">
        <v>209.17828999999981</v>
      </c>
      <c r="AF300" s="52"/>
      <c r="AG300" s="52"/>
      <c r="AH300" s="53">
        <f t="shared" si="187"/>
        <v>247.00828999999982</v>
      </c>
      <c r="AJ300" s="47">
        <f t="shared" si="188"/>
        <v>46141</v>
      </c>
      <c r="AK300" s="56">
        <v>5610.01</v>
      </c>
      <c r="AL300" s="57">
        <v>884.11</v>
      </c>
      <c r="AM300" s="70"/>
      <c r="AN300" s="58"/>
      <c r="AO300" s="27"/>
      <c r="AP300" s="51"/>
      <c r="AQ300" s="52"/>
      <c r="AR300" s="52"/>
      <c r="AS300" s="53">
        <f t="shared" si="189"/>
        <v>0</v>
      </c>
      <c r="AU300" s="113">
        <f t="shared" si="190"/>
        <v>46141</v>
      </c>
      <c r="AV300" s="57">
        <v>365</v>
      </c>
      <c r="AW300" s="57">
        <v>91.44</v>
      </c>
      <c r="AX300" s="70"/>
      <c r="AY300" s="59">
        <v>24.9</v>
      </c>
      <c r="AZ300" s="27"/>
      <c r="BA300" s="240">
        <v>136.51739999999992</v>
      </c>
      <c r="BB300" s="53">
        <v>14.090957035714325</v>
      </c>
      <c r="BC300" s="52"/>
      <c r="BD300" s="53">
        <f t="shared" si="191"/>
        <v>175.50835703571425</v>
      </c>
      <c r="BF300" s="47">
        <f t="shared" si="204"/>
        <v>46141</v>
      </c>
      <c r="BG300" s="56">
        <v>3969.06</v>
      </c>
      <c r="BH300" s="57">
        <v>247.93</v>
      </c>
      <c r="BI300" s="70"/>
      <c r="BJ300" s="59"/>
      <c r="BK300" s="27"/>
      <c r="BL300" s="51">
        <v>160.54835999999983</v>
      </c>
      <c r="BM300" s="52"/>
      <c r="BN300" s="52"/>
      <c r="BO300" s="53">
        <f t="shared" si="192"/>
        <v>160.54835999999983</v>
      </c>
      <c r="BQ300" s="47">
        <f t="shared" si="193"/>
        <v>46141</v>
      </c>
      <c r="BR300" s="57">
        <v>591.98</v>
      </c>
      <c r="BS300" s="57">
        <v>885.03</v>
      </c>
      <c r="BT300" s="70"/>
      <c r="BU300" s="61"/>
      <c r="BV300" s="27"/>
      <c r="BW300" s="51"/>
      <c r="BX300" s="52"/>
      <c r="BY300" s="52"/>
      <c r="BZ300" s="53">
        <f t="shared" si="194"/>
        <v>0</v>
      </c>
      <c r="CB300" s="47">
        <f t="shared" si="195"/>
        <v>46141</v>
      </c>
      <c r="CC300" s="56">
        <v>28947.919999999998</v>
      </c>
      <c r="CD300" s="57">
        <v>2357.1999999999998</v>
      </c>
      <c r="CE300" s="70"/>
      <c r="CF300" s="117"/>
      <c r="CG300" s="27"/>
      <c r="CH300" s="51"/>
      <c r="CI300" s="52"/>
      <c r="CJ300" s="52"/>
      <c r="CK300" s="53">
        <f t="shared" si="196"/>
        <v>0</v>
      </c>
      <c r="CM300" s="47">
        <f t="shared" si="197"/>
        <v>46141</v>
      </c>
      <c r="CN300" s="56">
        <v>17406.310000000001</v>
      </c>
      <c r="CO300" s="57">
        <v>1835.35</v>
      </c>
      <c r="CP300" s="70"/>
      <c r="CQ300" s="62"/>
      <c r="CR300" s="27"/>
      <c r="CS300" s="240">
        <v>2.8099999999999987</v>
      </c>
      <c r="CT300" s="53">
        <v>1006.2366519085709</v>
      </c>
      <c r="CU300" s="53"/>
      <c r="CV300" s="53">
        <f t="shared" si="179"/>
        <v>1009.0466519085709</v>
      </c>
      <c r="CX300" s="47">
        <f t="shared" si="198"/>
        <v>46141</v>
      </c>
      <c r="CY300" s="56">
        <v>2562.7800000000002</v>
      </c>
      <c r="CZ300" s="57">
        <v>778.39</v>
      </c>
      <c r="DA300" s="70"/>
      <c r="DB300" s="59"/>
      <c r="DC300" s="27"/>
      <c r="DD300" s="240">
        <v>398.75660399999992</v>
      </c>
      <c r="DE300" s="53"/>
      <c r="DF300" s="53">
        <v>26.674699999999959</v>
      </c>
      <c r="DG300" s="53">
        <f t="shared" si="180"/>
        <v>425.4313039999999</v>
      </c>
      <c r="DI300" s="47">
        <f t="shared" si="199"/>
        <v>46141</v>
      </c>
      <c r="DJ300" s="56">
        <v>2903.36</v>
      </c>
      <c r="DK300" s="71"/>
      <c r="DL300" s="70"/>
      <c r="DM300" s="62"/>
      <c r="DN300" s="27"/>
      <c r="DO300" s="51"/>
      <c r="DP300" s="52"/>
      <c r="DQ300" s="52"/>
      <c r="DR300" s="53">
        <f t="shared" ref="DR300" si="205">SUM(DM300:DQ300)</f>
        <v>0</v>
      </c>
      <c r="DT300" s="47">
        <f t="shared" si="200"/>
        <v>46141</v>
      </c>
      <c r="DU300" s="56">
        <v>2912.2</v>
      </c>
      <c r="DV300" s="57">
        <v>221.8</v>
      </c>
      <c r="DW300" s="70"/>
      <c r="DX300" s="62"/>
      <c r="DY300" s="27"/>
      <c r="DZ300" s="240">
        <v>345.4083799999998</v>
      </c>
      <c r="EA300" s="53"/>
      <c r="EB300" s="53">
        <v>184.77199999999993</v>
      </c>
      <c r="EC300" s="53">
        <f t="shared" si="182"/>
        <v>530.18037999999979</v>
      </c>
      <c r="EE300" s="47">
        <f t="shared" si="201"/>
        <v>46141</v>
      </c>
      <c r="EF300" s="56">
        <v>6013.2</v>
      </c>
      <c r="EG300" s="57">
        <v>1509.38</v>
      </c>
      <c r="EH300" s="70"/>
      <c r="EI300" s="59">
        <v>106.48</v>
      </c>
      <c r="EJ300" s="27"/>
      <c r="EK300" s="51">
        <v>78.167240000000021</v>
      </c>
      <c r="EL300" s="52"/>
      <c r="EM300" s="52"/>
      <c r="EN300" s="53">
        <f t="shared" si="183"/>
        <v>184.64724000000001</v>
      </c>
      <c r="EP300" s="47">
        <f t="shared" si="202"/>
        <v>46141</v>
      </c>
      <c r="EQ300" s="64">
        <v>0</v>
      </c>
      <c r="ER300" s="56">
        <v>802.42</v>
      </c>
      <c r="ES300" s="70"/>
      <c r="ET300" s="59"/>
      <c r="EV300" s="51"/>
      <c r="EW300" s="52"/>
      <c r="EX300" s="52"/>
      <c r="EY300" s="53">
        <f t="shared" si="203"/>
        <v>0</v>
      </c>
    </row>
    <row r="301" spans="2:157" ht="15.75" thickBot="1" x14ac:dyDescent="0.3">
      <c r="B301" s="47">
        <v>46142</v>
      </c>
      <c r="C301" s="73">
        <v>37447.69</v>
      </c>
      <c r="D301" s="74">
        <v>5477.28</v>
      </c>
      <c r="E301" s="50">
        <v>5527.85</v>
      </c>
      <c r="F301" s="74">
        <v>1093.3599999999999</v>
      </c>
      <c r="G301" s="94"/>
      <c r="H301" s="27"/>
      <c r="I301" s="51"/>
      <c r="J301" s="53"/>
      <c r="K301" s="52">
        <v>16.8077945</v>
      </c>
      <c r="L301" s="53">
        <f t="shared" si="178"/>
        <v>16.8077945</v>
      </c>
      <c r="N301" s="47">
        <f t="shared" si="184"/>
        <v>46142</v>
      </c>
      <c r="O301" s="54">
        <v>0</v>
      </c>
      <c r="P301" s="54">
        <v>0</v>
      </c>
      <c r="Q301" s="70"/>
      <c r="R301" s="69"/>
      <c r="S301" s="27"/>
      <c r="T301" s="240">
        <v>211.00297000000003</v>
      </c>
      <c r="U301" s="53"/>
      <c r="V301" s="52"/>
      <c r="W301" s="53">
        <f t="shared" si="185"/>
        <v>211.00297000000003</v>
      </c>
      <c r="Y301" s="47">
        <f t="shared" si="186"/>
        <v>46142</v>
      </c>
      <c r="Z301" s="56">
        <v>10684.53</v>
      </c>
      <c r="AA301" s="57">
        <v>3018.38</v>
      </c>
      <c r="AB301" s="63"/>
      <c r="AC301" s="59">
        <v>187.25</v>
      </c>
      <c r="AD301" s="27"/>
      <c r="AE301" s="240">
        <v>71.527099999999905</v>
      </c>
      <c r="AF301" s="52"/>
      <c r="AG301" s="52"/>
      <c r="AH301" s="53">
        <f t="shared" si="187"/>
        <v>258.7770999999999</v>
      </c>
      <c r="AJ301" s="47">
        <f t="shared" si="188"/>
        <v>46142</v>
      </c>
      <c r="AK301" s="56">
        <v>4759.24</v>
      </c>
      <c r="AL301" s="57">
        <v>932.66</v>
      </c>
      <c r="AM301" s="70"/>
      <c r="AN301" s="58"/>
      <c r="AO301" s="27"/>
      <c r="AP301" s="51"/>
      <c r="AQ301" s="52"/>
      <c r="AR301" s="52"/>
      <c r="AS301" s="53">
        <f t="shared" si="189"/>
        <v>0</v>
      </c>
      <c r="AU301" s="113">
        <f t="shared" si="190"/>
        <v>46142</v>
      </c>
      <c r="AV301" s="57">
        <v>839.5</v>
      </c>
      <c r="AW301" s="57">
        <v>120.32</v>
      </c>
      <c r="AX301" s="70"/>
      <c r="AY301" s="59"/>
      <c r="AZ301" s="27"/>
      <c r="BA301" s="240">
        <v>453.85297600000007</v>
      </c>
      <c r="BB301" s="53"/>
      <c r="BC301" s="52"/>
      <c r="BD301" s="53">
        <f t="shared" si="191"/>
        <v>453.85297600000007</v>
      </c>
      <c r="BF301" s="47">
        <f t="shared" si="204"/>
        <v>46142</v>
      </c>
      <c r="BG301" s="56">
        <v>4773.95</v>
      </c>
      <c r="BH301" s="57">
        <v>922.42</v>
      </c>
      <c r="BI301" s="70"/>
      <c r="BJ301" s="59"/>
      <c r="BK301" s="27"/>
      <c r="BL301" s="51">
        <v>198.55970999999977</v>
      </c>
      <c r="BM301" s="52"/>
      <c r="BN301" s="52"/>
      <c r="BO301" s="53">
        <f t="shared" si="192"/>
        <v>198.55970999999977</v>
      </c>
      <c r="BQ301" s="47">
        <f t="shared" si="193"/>
        <v>46142</v>
      </c>
      <c r="BR301" s="57">
        <v>616.72</v>
      </c>
      <c r="BS301" s="57">
        <v>1075.93</v>
      </c>
      <c r="BT301" s="70"/>
      <c r="BU301" s="61"/>
      <c r="BV301" s="27"/>
      <c r="BW301" s="51"/>
      <c r="BX301" s="52"/>
      <c r="BY301" s="52"/>
      <c r="BZ301" s="53">
        <f t="shared" si="194"/>
        <v>0</v>
      </c>
      <c r="CB301" s="47">
        <f t="shared" si="195"/>
        <v>46142</v>
      </c>
      <c r="CC301" s="56">
        <v>33164.93</v>
      </c>
      <c r="CD301" s="57">
        <v>1567.42</v>
      </c>
      <c r="CE301" s="70"/>
      <c r="CF301" s="117"/>
      <c r="CG301" s="27"/>
      <c r="CH301" s="51"/>
      <c r="CI301" s="52"/>
      <c r="CJ301" s="52"/>
      <c r="CK301" s="53">
        <f t="shared" si="196"/>
        <v>0</v>
      </c>
      <c r="CM301" s="47">
        <f t="shared" si="197"/>
        <v>46142</v>
      </c>
      <c r="CN301" s="56">
        <v>20670.05</v>
      </c>
      <c r="CO301" s="57">
        <v>2125.87</v>
      </c>
      <c r="CP301" s="70"/>
      <c r="CQ301" s="62"/>
      <c r="CR301" s="27"/>
      <c r="CS301" s="240">
        <v>95.848080000000024</v>
      </c>
      <c r="CT301" s="53">
        <v>252.13629205085704</v>
      </c>
      <c r="CU301" s="53"/>
      <c r="CV301" s="53">
        <f t="shared" si="179"/>
        <v>347.98437205085708</v>
      </c>
      <c r="CX301" s="47">
        <f t="shared" si="198"/>
        <v>46142</v>
      </c>
      <c r="CY301" s="56">
        <v>3238.54</v>
      </c>
      <c r="CZ301" s="57">
        <v>844.33</v>
      </c>
      <c r="DA301" s="70"/>
      <c r="DB301" s="59"/>
      <c r="DC301" s="27"/>
      <c r="DD301" s="240">
        <v>529.00851199999988</v>
      </c>
      <c r="DE301" s="53">
        <v>138.08203516999993</v>
      </c>
      <c r="DF301" s="53"/>
      <c r="DG301" s="53">
        <f t="shared" si="180"/>
        <v>667.09054716999981</v>
      </c>
      <c r="DI301" s="47">
        <f t="shared" si="199"/>
        <v>46142</v>
      </c>
      <c r="DJ301" s="56">
        <v>2407.44</v>
      </c>
      <c r="DK301" s="71"/>
      <c r="DL301" s="70"/>
      <c r="DM301" s="62"/>
      <c r="DN301" s="27"/>
      <c r="DO301" s="51"/>
      <c r="DP301" s="52"/>
      <c r="DQ301" s="52"/>
      <c r="DR301" s="53"/>
      <c r="DT301" s="47">
        <f t="shared" si="200"/>
        <v>46142</v>
      </c>
      <c r="DU301" s="56">
        <v>3233.94</v>
      </c>
      <c r="DV301" s="57">
        <v>376.44</v>
      </c>
      <c r="DW301" s="70"/>
      <c r="DX301" s="62"/>
      <c r="DY301" s="27"/>
      <c r="DZ301" s="240">
        <v>88.922629999999913</v>
      </c>
      <c r="EA301" s="53"/>
      <c r="EB301" s="53"/>
      <c r="EC301" s="53">
        <f t="shared" si="182"/>
        <v>88.922629999999913</v>
      </c>
      <c r="EE301" s="47">
        <f t="shared" si="201"/>
        <v>46142</v>
      </c>
      <c r="EF301" s="56">
        <v>8503.94</v>
      </c>
      <c r="EG301" s="57">
        <v>1329.68</v>
      </c>
      <c r="EH301" s="70"/>
      <c r="EI301" s="59">
        <v>141.44999999999999</v>
      </c>
      <c r="EJ301" s="27"/>
      <c r="EK301" s="51">
        <v>27.28</v>
      </c>
      <c r="EL301" s="52"/>
      <c r="EM301" s="52"/>
      <c r="EN301" s="53">
        <f t="shared" si="183"/>
        <v>168.73</v>
      </c>
      <c r="EP301" s="47">
        <f t="shared" si="202"/>
        <v>46142</v>
      </c>
      <c r="EQ301" s="64">
        <v>0</v>
      </c>
      <c r="ER301" s="56">
        <v>606.78</v>
      </c>
      <c r="ES301" s="70"/>
      <c r="ET301" s="59"/>
      <c r="EV301" s="51"/>
      <c r="EW301" s="52"/>
      <c r="EX301" s="52"/>
      <c r="EY301" s="53">
        <f t="shared" si="203"/>
        <v>0</v>
      </c>
    </row>
    <row r="302" spans="2:157" s="274" customFormat="1" ht="16.5" thickBot="1" x14ac:dyDescent="0.3">
      <c r="B302" s="86"/>
      <c r="C302" s="105">
        <f>SUM(C272:C301)</f>
        <v>742042.53</v>
      </c>
      <c r="D302" s="105">
        <f>SUM(D272:D301)</f>
        <v>114451.79</v>
      </c>
      <c r="E302" s="105">
        <f>SUM(E272:E301)</f>
        <v>122711.21000000002</v>
      </c>
      <c r="F302" s="100">
        <f>SUM(F272:F301)</f>
        <v>35301.279999999999</v>
      </c>
      <c r="G302" s="86"/>
      <c r="H302" s="83"/>
      <c r="I302" s="84">
        <f>SUM(I272:I301)</f>
        <v>0</v>
      </c>
      <c r="J302" s="85">
        <f>SUM(J272:J301)</f>
        <v>77.318913628714384</v>
      </c>
      <c r="K302" s="85">
        <f>SUM(K272:K301)</f>
        <v>205.55520629999998</v>
      </c>
      <c r="L302" s="85">
        <f>SUM(L272:L301)</f>
        <v>282.87411992871438</v>
      </c>
      <c r="M302" s="86"/>
      <c r="N302" s="86"/>
      <c r="O302" s="105">
        <f>SUM(O272:O301)</f>
        <v>97824.650000000009</v>
      </c>
      <c r="P302" s="105">
        <f>SUM(P272:P301)</f>
        <v>8757.5400000000009</v>
      </c>
      <c r="Q302" s="100">
        <f>SUM(Q272:Q301)</f>
        <v>0</v>
      </c>
      <c r="R302" s="100">
        <f>SUM(R272:R301)</f>
        <v>0</v>
      </c>
      <c r="S302" s="83"/>
      <c r="T302" s="84">
        <f>SUM(T272:T301)</f>
        <v>2046.2742999999966</v>
      </c>
      <c r="U302" s="85">
        <f>SUM(U272:U301)</f>
        <v>86.729320313810689</v>
      </c>
      <c r="V302" s="85">
        <f>SUM(V272:V301)</f>
        <v>0</v>
      </c>
      <c r="W302" s="85">
        <f>SUM(W272:W301)</f>
        <v>2133.003620313807</v>
      </c>
      <c r="X302" s="86"/>
      <c r="Y302" s="86"/>
      <c r="Z302" s="105">
        <f>SUM(Z272:Z301)</f>
        <v>248922.18999999997</v>
      </c>
      <c r="AA302" s="105">
        <f>SUM(AA272:AA301)</f>
        <v>64917.93</v>
      </c>
      <c r="AB302" s="105">
        <f>SUM(AB272:AB301)</f>
        <v>0</v>
      </c>
      <c r="AC302" s="100">
        <f>SUM(AC272:AC301)</f>
        <v>3756.1000000000008</v>
      </c>
      <c r="AD302" s="83"/>
      <c r="AE302" s="84">
        <f>SUM(AE272:AE301)</f>
        <v>2301.3126999999968</v>
      </c>
      <c r="AF302" s="85">
        <f>SUM(AF272:AF301)</f>
        <v>0</v>
      </c>
      <c r="AG302" s="85">
        <f>SUM(AG272:AG301)</f>
        <v>0</v>
      </c>
      <c r="AH302" s="85">
        <f>SUM(AH272:AH301)</f>
        <v>6057.4126999999962</v>
      </c>
      <c r="AI302" s="86"/>
      <c r="AJ302" s="86"/>
      <c r="AK302" s="105">
        <f>SUM(AK272:AK301)</f>
        <v>159515.20000000001</v>
      </c>
      <c r="AL302" s="105">
        <f>SUM(AL272:AL301)</f>
        <v>15489.64</v>
      </c>
      <c r="AM302" s="100">
        <f>SUM(AM272:AM301)</f>
        <v>0</v>
      </c>
      <c r="AN302" s="100">
        <f>SUM(AN272:AN301)</f>
        <v>0</v>
      </c>
      <c r="AO302" s="83"/>
      <c r="AP302" s="84">
        <f>SUM(AP272:AP301)</f>
        <v>0</v>
      </c>
      <c r="AQ302" s="85">
        <f>SUM(AQ272:AQ301)</f>
        <v>0</v>
      </c>
      <c r="AR302" s="85">
        <f>SUM(AR272:AR301)</f>
        <v>0</v>
      </c>
      <c r="AS302" s="85">
        <f>SUM(AS272:AS301)</f>
        <v>0</v>
      </c>
      <c r="AT302" s="86"/>
      <c r="AU302" s="86"/>
      <c r="AV302" s="105">
        <f>SUM(AV272:AV301)</f>
        <v>46702.369999999995</v>
      </c>
      <c r="AW302" s="105">
        <f>SUM(AW272:AW301)</f>
        <v>3519.56</v>
      </c>
      <c r="AX302" s="100">
        <f>SUM(AX272:AX301)</f>
        <v>0</v>
      </c>
      <c r="AY302" s="100">
        <f>SUM(AY272:AY301)</f>
        <v>447.44</v>
      </c>
      <c r="AZ302" s="83"/>
      <c r="BA302" s="84">
        <f>SUM(BA272:BA301)</f>
        <v>3016.3218429999997</v>
      </c>
      <c r="BB302" s="85">
        <f>SUM(BB272:BB301)</f>
        <v>112.12289527985877</v>
      </c>
      <c r="BC302" s="85">
        <f>SUM(BC272:BC301)</f>
        <v>0</v>
      </c>
      <c r="BD302" s="85">
        <f>SUM(BD272:BD301)</f>
        <v>3575.8847382798581</v>
      </c>
      <c r="BE302" s="86"/>
      <c r="BF302" s="86"/>
      <c r="BG302" s="105">
        <f>SUM(BG272:BG301)</f>
        <v>204891.58</v>
      </c>
      <c r="BH302" s="105">
        <f>SUM(BH272:BH301)</f>
        <v>21899.439999999999</v>
      </c>
      <c r="BI302" s="100">
        <f>SUM(BI272:BI301)</f>
        <v>0</v>
      </c>
      <c r="BJ302" s="100">
        <f>SUM(BJ272:BJ301)</f>
        <v>62.239999999999995</v>
      </c>
      <c r="BK302" s="83"/>
      <c r="BL302" s="84">
        <f>SUM(BL272:BL301)</f>
        <v>4785.1106899999932</v>
      </c>
      <c r="BM302" s="85">
        <f>SUM(BM272:BM301)</f>
        <v>346.91657740190539</v>
      </c>
      <c r="BN302" s="85">
        <f>SUM(BN272:BN301)</f>
        <v>0</v>
      </c>
      <c r="BO302" s="85">
        <f>SUM(BO272:BO301)</f>
        <v>5194.2672674018986</v>
      </c>
      <c r="BP302" s="86"/>
      <c r="BQ302" s="86"/>
      <c r="BR302" s="105">
        <f>SUM(BR272:BR301)</f>
        <v>15884.839999999998</v>
      </c>
      <c r="BS302" s="105">
        <f>SUM(BS272:BS301)</f>
        <v>18245.550000000003</v>
      </c>
      <c r="BT302" s="100">
        <f>SUM(BT272:BT301)</f>
        <v>0</v>
      </c>
      <c r="BU302" s="100">
        <f>SUM(BU272:BU301)</f>
        <v>26.1</v>
      </c>
      <c r="BV302" s="83"/>
      <c r="BW302" s="84">
        <f>SUM(BW272:BW301)</f>
        <v>0</v>
      </c>
      <c r="BX302" s="85">
        <f>SUM(BX272:BX301)</f>
        <v>0</v>
      </c>
      <c r="BY302" s="85">
        <f>SUM(BY272:BY301)</f>
        <v>0</v>
      </c>
      <c r="BZ302" s="85">
        <f>SUM(BZ272:BZ301)</f>
        <v>26.1</v>
      </c>
      <c r="CA302" s="86"/>
      <c r="CB302" s="86"/>
      <c r="CC302" s="105">
        <f>SUM(CC272:CC301)</f>
        <v>639301.92000000004</v>
      </c>
      <c r="CD302" s="105">
        <f>SUM(CD272:CD301)</f>
        <v>63660.299999999988</v>
      </c>
      <c r="CE302" s="100">
        <f>SUM(CE272:CE301)</f>
        <v>0</v>
      </c>
      <c r="CF302" s="100">
        <f>SUM(CF272:CF301)</f>
        <v>0</v>
      </c>
      <c r="CG302" s="83"/>
      <c r="CH302" s="84">
        <f>SUM(CH272:CH301)</f>
        <v>0</v>
      </c>
      <c r="CI302" s="85">
        <f>SUM(CI272:CI301)</f>
        <v>0</v>
      </c>
      <c r="CJ302" s="85">
        <f>SUM(CJ272:CJ301)</f>
        <v>0</v>
      </c>
      <c r="CK302" s="85">
        <f>SUM(CK272:CK301)</f>
        <v>0</v>
      </c>
      <c r="CL302" s="86"/>
      <c r="CM302" s="86"/>
      <c r="CN302" s="105">
        <f>SUM(CN272:CN301)</f>
        <v>419174.03000000009</v>
      </c>
      <c r="CO302" s="105">
        <f>SUM(CO272:CO301)</f>
        <v>48295.12</v>
      </c>
      <c r="CP302" s="100">
        <f>SUM(CP272:CP301)</f>
        <v>0</v>
      </c>
      <c r="CQ302" s="100">
        <f>SUM(CQ272:CQ301)</f>
        <v>0</v>
      </c>
      <c r="CR302" s="83"/>
      <c r="CS302" s="84">
        <f>SUM(CS272:CS301)</f>
        <v>2315.5261459999992</v>
      </c>
      <c r="CT302" s="85">
        <f>SUM(CT272:CT301)</f>
        <v>8157.2611091826675</v>
      </c>
      <c r="CU302" s="85">
        <f>SUM(CU272:CU301)</f>
        <v>88.293321700000007</v>
      </c>
      <c r="CV302" s="85">
        <f>SUM(CV272:CV301)</f>
        <v>10561.080576882669</v>
      </c>
      <c r="CW302" s="86"/>
      <c r="CX302" s="86"/>
      <c r="CY302" s="105">
        <f>SUM(CY272:CY301)</f>
        <v>167081.57999999996</v>
      </c>
      <c r="CZ302" s="105">
        <f>SUM(CZ272:CZ301)</f>
        <v>35934.790000000008</v>
      </c>
      <c r="DA302" s="100">
        <f>SUM(DA272:DA301)</f>
        <v>0</v>
      </c>
      <c r="DB302" s="100">
        <f>SUM(DB272:DB301)</f>
        <v>0</v>
      </c>
      <c r="DC302" s="83"/>
      <c r="DD302" s="84">
        <f>SUM(DD272:DD301)</f>
        <v>7908.973887999995</v>
      </c>
      <c r="DE302" s="85">
        <f>SUM(DE272:DE301)</f>
        <v>1991.7972252843465</v>
      </c>
      <c r="DF302" s="85">
        <f>SUM(DF272:DF301)</f>
        <v>139.17889542999984</v>
      </c>
      <c r="DG302" s="85">
        <f>SUM(DG272:DG301)</f>
        <v>10039.950008714342</v>
      </c>
      <c r="DH302" s="86"/>
      <c r="DI302" s="86"/>
      <c r="DJ302" s="105">
        <f>SUM(DJ272:DJ301)</f>
        <v>66262.42</v>
      </c>
      <c r="DK302" s="105">
        <f>SUM(DK272:DK301)</f>
        <v>0</v>
      </c>
      <c r="DL302" s="100">
        <f>SUM(DL272:DL301)</f>
        <v>0</v>
      </c>
      <c r="DM302" s="100">
        <f>SUM(DM272:DM301)</f>
        <v>0</v>
      </c>
      <c r="DN302" s="83"/>
      <c r="DO302" s="84">
        <f>SUM(DO272:DO301)</f>
        <v>0</v>
      </c>
      <c r="DP302" s="85">
        <f>SUM(DP272:DP301)</f>
        <v>0</v>
      </c>
      <c r="DQ302" s="85">
        <f>SUM(DQ272:DQ301)</f>
        <v>0</v>
      </c>
      <c r="DR302" s="85">
        <f>SUM(DR272:DR301)</f>
        <v>0</v>
      </c>
      <c r="DS302" s="86"/>
      <c r="DT302" s="86"/>
      <c r="DU302" s="105">
        <f>SUM(DU272:DU301)</f>
        <v>182886.51</v>
      </c>
      <c r="DV302" s="100">
        <f>SUM(DV272:DV301)</f>
        <v>15724.489999999998</v>
      </c>
      <c r="DW302" s="100">
        <f>SUM(DW272:DW301)</f>
        <v>0</v>
      </c>
      <c r="DX302" s="100">
        <f>SUM(DX272:DX301)</f>
        <v>0</v>
      </c>
      <c r="DY302" s="83"/>
      <c r="DZ302" s="84">
        <f>SUM(DZ272:DZ301)</f>
        <v>2356.2373199999975</v>
      </c>
      <c r="EA302" s="85">
        <f>SUM(EA272:EA301)</f>
        <v>751.85146880724051</v>
      </c>
      <c r="EB302" s="85">
        <f>SUM(EB272:EB301)</f>
        <v>234.6292312999999</v>
      </c>
      <c r="EC302" s="85">
        <f>SUM(EC272:EC301)</f>
        <v>3342.7180201072379</v>
      </c>
      <c r="ED302" s="86"/>
      <c r="EE302" s="86"/>
      <c r="EF302" s="105">
        <f>SUM(EF272:EF301)</f>
        <v>223186.23</v>
      </c>
      <c r="EG302" s="105">
        <f>SUM(EG272:EG301)</f>
        <v>41841.919999999991</v>
      </c>
      <c r="EH302" s="100">
        <f>SUM(EH272:EH301)</f>
        <v>0</v>
      </c>
      <c r="EI302" s="100">
        <f>SUM(EI272:EI301)</f>
        <v>2827.0699999999997</v>
      </c>
      <c r="EJ302" s="83"/>
      <c r="EK302" s="84">
        <f>SUM(EK272:EK301)</f>
        <v>177.84557999999987</v>
      </c>
      <c r="EL302" s="85">
        <f>SUM(EL272:EL301)</f>
        <v>0</v>
      </c>
      <c r="EM302" s="85">
        <f>SUM(EM272:EM301)</f>
        <v>0</v>
      </c>
      <c r="EN302" s="85">
        <f>SUM(EN272:EN301)</f>
        <v>3004.9155799999994</v>
      </c>
      <c r="EO302" s="86"/>
      <c r="EP302" s="86"/>
      <c r="EQ302" s="105">
        <f>SUM(EQ272:EQ301)</f>
        <v>29490.459999999995</v>
      </c>
      <c r="ER302" s="105">
        <f>SUM(ER272:ER301)</f>
        <v>20534.899999999987</v>
      </c>
      <c r="ES302" s="100">
        <f>SUM(ES272:ES301)</f>
        <v>0</v>
      </c>
      <c r="ET302" s="100">
        <f>SUM(ET272:ET301)</f>
        <v>0</v>
      </c>
      <c r="EV302" s="84">
        <f>SUM(EV272:EV301)</f>
        <v>0</v>
      </c>
      <c r="EW302" s="85">
        <f>SUM(EW272:EW301)</f>
        <v>0</v>
      </c>
      <c r="EX302" s="85">
        <f>SUM(EX272:EX301)</f>
        <v>0</v>
      </c>
      <c r="EY302" s="85">
        <f>SUM(EY272:EY301)</f>
        <v>0</v>
      </c>
      <c r="FA302" s="442"/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K365"/>
  <sheetViews>
    <sheetView topLeftCell="AF1" zoomScaleNormal="100" workbookViewId="0">
      <selection activeCell="AJ301" sqref="AJ301:AJ302"/>
    </sheetView>
  </sheetViews>
  <sheetFormatPr baseColWidth="10" defaultRowHeight="15" x14ac:dyDescent="0.25"/>
  <cols>
    <col min="1" max="1" width="9.28515625" customWidth="1"/>
    <col min="3" max="3" width="12.5703125" bestFit="1" customWidth="1"/>
    <col min="7" max="7" width="1.42578125" customWidth="1"/>
    <col min="8" max="8" width="10.85546875" customWidth="1"/>
    <col min="9" max="9" width="11" customWidth="1"/>
    <col min="10" max="10" width="11.7109375" customWidth="1"/>
    <col min="11" max="11" width="13" customWidth="1"/>
    <col min="14" max="14" width="12.5703125" bestFit="1" customWidth="1"/>
    <col min="17" max="17" width="1.42578125" customWidth="1"/>
    <col min="18" max="18" width="10.85546875" customWidth="1"/>
    <col min="19" max="19" width="11" customWidth="1"/>
    <col min="20" max="20" width="11.7109375" customWidth="1"/>
    <col min="21" max="21" width="13" customWidth="1"/>
    <col min="28" max="28" width="1.42578125" customWidth="1"/>
    <col min="29" max="29" width="10.85546875" customWidth="1"/>
    <col min="30" max="30" width="11" customWidth="1"/>
    <col min="31" max="31" width="11.7109375" customWidth="1"/>
    <col min="32" max="32" width="13" customWidth="1"/>
    <col min="39" max="39" width="1.42578125" customWidth="1"/>
    <col min="40" max="40" width="10.85546875" customWidth="1"/>
    <col min="41" max="41" width="11" customWidth="1"/>
    <col min="42" max="42" width="11.7109375" customWidth="1"/>
    <col min="43" max="43" width="13" customWidth="1"/>
    <col min="46" max="46" width="12.5703125" bestFit="1" customWidth="1"/>
    <col min="49" max="49" width="1.42578125" customWidth="1"/>
    <col min="50" max="50" width="10.85546875" customWidth="1"/>
    <col min="51" max="51" width="11" customWidth="1"/>
    <col min="52" max="52" width="11.7109375" customWidth="1"/>
    <col min="53" max="53" width="13" customWidth="1"/>
    <col min="59" max="59" width="1.42578125" customWidth="1"/>
    <col min="60" max="60" width="10.85546875" customWidth="1"/>
    <col min="61" max="61" width="11" customWidth="1"/>
    <col min="62" max="62" width="11.7109375" customWidth="1"/>
    <col min="63" max="63" width="13" customWidth="1"/>
    <col min="66" max="66" width="12.5703125" bestFit="1" customWidth="1"/>
    <col min="67" max="67" width="13.85546875" customWidth="1"/>
    <col min="68" max="68" width="12.5703125" bestFit="1" customWidth="1"/>
    <col min="71" max="71" width="1.42578125" customWidth="1"/>
    <col min="72" max="72" width="10.85546875" customWidth="1"/>
    <col min="73" max="73" width="11" customWidth="1"/>
    <col min="74" max="74" width="11.7109375" customWidth="1"/>
    <col min="75" max="75" width="13" customWidth="1"/>
    <col min="78" max="78" width="11.42578125" style="32"/>
    <col min="79" max="79" width="11.42578125" style="251"/>
    <col min="80" max="80" width="10.28515625" customWidth="1"/>
    <col min="81" max="81" width="10.140625" customWidth="1"/>
    <col min="82" max="82" width="1.42578125" customWidth="1"/>
    <col min="83" max="83" width="10.85546875" customWidth="1"/>
    <col min="84" max="84" width="11" customWidth="1"/>
    <col min="85" max="85" width="11.7109375" customWidth="1"/>
    <col min="86" max="86" width="13" customWidth="1"/>
    <col min="89" max="89" width="12.5703125" bestFit="1" customWidth="1"/>
    <col min="93" max="93" width="1.42578125" customWidth="1"/>
    <col min="94" max="94" width="10.85546875" customWidth="1"/>
    <col min="95" max="95" width="14.140625" customWidth="1"/>
    <col min="96" max="96" width="11.7109375" customWidth="1"/>
    <col min="97" max="97" width="13" customWidth="1"/>
    <col min="100" max="100" width="12.5703125" bestFit="1" customWidth="1"/>
    <col min="102" max="102" width="12.28515625" customWidth="1"/>
    <col min="104" max="104" width="1.42578125" customWidth="1"/>
    <col min="105" max="106" width="12.42578125" customWidth="1"/>
    <col min="107" max="107" width="11" customWidth="1"/>
    <col min="108" max="108" width="11.7109375" customWidth="1"/>
    <col min="109" max="109" width="13" customWidth="1"/>
    <col min="113" max="113" width="13.7109375" customWidth="1"/>
    <col min="118" max="118" width="1.42578125" customWidth="1"/>
    <col min="119" max="119" width="10.85546875" customWidth="1"/>
    <col min="120" max="120" width="11" customWidth="1"/>
    <col min="121" max="121" width="11.7109375" customWidth="1"/>
    <col min="122" max="122" width="13" customWidth="1"/>
    <col min="129" max="129" width="1.42578125" customWidth="1"/>
    <col min="130" max="130" width="10.85546875" customWidth="1"/>
    <col min="131" max="131" width="11" customWidth="1"/>
    <col min="132" max="132" width="11.7109375" customWidth="1"/>
    <col min="133" max="133" width="13" customWidth="1"/>
    <col min="137" max="137" width="11.42578125" style="32"/>
    <col min="140" max="140" width="1.42578125" customWidth="1"/>
    <col min="143" max="143" width="11" customWidth="1"/>
    <col min="144" max="144" width="11.7109375" customWidth="1"/>
    <col min="145" max="145" width="13" customWidth="1"/>
    <col min="148" max="148" width="12.5703125" bestFit="1" customWidth="1"/>
    <col min="152" max="152" width="1.42578125" customWidth="1"/>
    <col min="153" max="153" width="10.85546875" customWidth="1"/>
    <col min="154" max="154" width="11" customWidth="1"/>
    <col min="155" max="155" width="11.7109375" customWidth="1"/>
    <col min="156" max="156" width="13" customWidth="1"/>
    <col min="163" max="163" width="1.42578125" customWidth="1"/>
    <col min="164" max="164" width="10.85546875" customWidth="1"/>
    <col min="165" max="165" width="11" customWidth="1"/>
    <col min="166" max="166" width="11.7109375" customWidth="1"/>
    <col min="167" max="167" width="13" customWidth="1"/>
  </cols>
  <sheetData>
    <row r="2" spans="2:167" ht="23.25" hidden="1" x14ac:dyDescent="0.35">
      <c r="B2" s="249" t="s">
        <v>56</v>
      </c>
      <c r="C2" s="249"/>
      <c r="D2" s="249"/>
      <c r="E2" s="249"/>
      <c r="F2" s="249"/>
      <c r="G2" s="130"/>
      <c r="H2" s="130"/>
      <c r="I2" s="130"/>
      <c r="J2" s="130"/>
      <c r="K2" s="130"/>
      <c r="M2" s="451" t="s">
        <v>57</v>
      </c>
      <c r="N2" s="451"/>
      <c r="O2" s="451"/>
      <c r="P2" s="451"/>
      <c r="Q2" s="130"/>
      <c r="R2" s="130"/>
      <c r="S2" s="130"/>
      <c r="T2" s="130"/>
      <c r="U2" s="130"/>
      <c r="W2" s="249" t="s">
        <v>58</v>
      </c>
      <c r="X2" s="249"/>
      <c r="Y2" s="249"/>
      <c r="Z2" s="249"/>
      <c r="AA2" s="249"/>
      <c r="AB2" s="130"/>
      <c r="AC2" s="130"/>
      <c r="AD2" s="130"/>
      <c r="AE2" s="130"/>
      <c r="AF2" s="130"/>
      <c r="AI2" s="451" t="s">
        <v>59</v>
      </c>
      <c r="AJ2" s="451"/>
      <c r="AK2" s="451"/>
      <c r="AL2" s="451"/>
      <c r="AM2" s="451"/>
      <c r="AN2" s="451"/>
      <c r="AO2" s="451"/>
      <c r="AP2" s="451"/>
      <c r="AQ2" s="451"/>
      <c r="AS2" s="451" t="s">
        <v>60</v>
      </c>
      <c r="AT2" s="451"/>
      <c r="AU2" s="451"/>
      <c r="AV2" s="451"/>
      <c r="AW2" s="451"/>
      <c r="AX2" s="451"/>
      <c r="AY2" s="451"/>
      <c r="AZ2" s="451"/>
      <c r="BA2" s="451"/>
      <c r="BC2" s="451" t="s">
        <v>61</v>
      </c>
      <c r="BD2" s="451"/>
      <c r="BE2" s="451"/>
      <c r="BF2" s="451"/>
      <c r="BG2" s="451"/>
      <c r="BH2" s="451"/>
      <c r="BI2" s="451"/>
      <c r="BJ2" s="451"/>
      <c r="BK2" s="451"/>
      <c r="BM2" s="249" t="s">
        <v>62</v>
      </c>
      <c r="BN2" s="249"/>
      <c r="BO2" s="249"/>
      <c r="BP2" s="249"/>
      <c r="BQ2" s="250"/>
      <c r="BR2" s="249"/>
      <c r="BS2" s="250"/>
      <c r="BT2" s="250"/>
      <c r="BU2" s="250"/>
      <c r="BV2" s="250"/>
      <c r="BW2" s="250"/>
      <c r="BY2" s="249" t="s">
        <v>63</v>
      </c>
      <c r="BZ2" s="249"/>
      <c r="CA2" s="249"/>
      <c r="CB2" s="249"/>
      <c r="CC2" s="249"/>
      <c r="CD2" s="250"/>
      <c r="CE2" s="250"/>
      <c r="CF2" s="250"/>
      <c r="CG2" s="250"/>
      <c r="CH2" s="250"/>
      <c r="CJ2" s="249" t="s">
        <v>64</v>
      </c>
      <c r="CK2" s="249"/>
      <c r="CL2" s="249"/>
      <c r="CM2" s="249"/>
      <c r="CN2" s="249"/>
      <c r="CO2" s="250"/>
      <c r="CP2" s="250"/>
      <c r="CQ2" s="250"/>
      <c r="CR2" s="250"/>
      <c r="CS2" s="250"/>
      <c r="CU2" s="249" t="s">
        <v>65</v>
      </c>
      <c r="CV2" s="249"/>
      <c r="CW2" s="249"/>
      <c r="CX2" s="249"/>
      <c r="CY2" s="249"/>
      <c r="CZ2" s="250"/>
      <c r="DA2" s="250"/>
      <c r="DB2" s="250"/>
      <c r="DC2" s="250"/>
      <c r="DD2" s="250"/>
      <c r="DE2" s="250"/>
      <c r="DH2" s="249" t="s">
        <v>66</v>
      </c>
      <c r="DI2" s="249"/>
      <c r="DJ2" s="249"/>
      <c r="DK2" s="249"/>
      <c r="DL2" s="249"/>
      <c r="DM2" s="249"/>
      <c r="DN2" s="250"/>
      <c r="DO2" s="250"/>
      <c r="DP2" s="250"/>
      <c r="DQ2" s="250"/>
      <c r="DR2" s="250"/>
      <c r="DT2" s="249" t="s">
        <v>67</v>
      </c>
      <c r="DU2" s="249"/>
      <c r="DV2" s="249"/>
      <c r="DW2" s="249"/>
      <c r="DX2" s="249"/>
      <c r="DY2" s="250"/>
      <c r="DZ2" s="250"/>
      <c r="EA2" s="250"/>
      <c r="EB2" s="250"/>
      <c r="EC2" s="250"/>
      <c r="EE2" s="249" t="s">
        <v>68</v>
      </c>
      <c r="EF2" s="249"/>
      <c r="EG2" s="249"/>
      <c r="EH2" s="249"/>
      <c r="EI2" s="249"/>
      <c r="EJ2" s="250"/>
      <c r="EK2" s="250"/>
      <c r="EL2" s="250"/>
      <c r="EM2" s="250"/>
      <c r="EN2" s="250"/>
      <c r="EO2" s="250"/>
      <c r="EQ2" s="249" t="s">
        <v>69</v>
      </c>
      <c r="ER2" s="249"/>
      <c r="ES2" s="249"/>
      <c r="ET2" s="249"/>
      <c r="EU2" s="249"/>
      <c r="EV2" s="250"/>
      <c r="EW2" s="250"/>
      <c r="EX2" s="250"/>
      <c r="EY2" s="250"/>
      <c r="EZ2" s="250"/>
      <c r="FB2" s="249" t="s">
        <v>70</v>
      </c>
      <c r="FC2" s="249"/>
      <c r="FD2" s="249"/>
      <c r="FE2" s="249"/>
      <c r="FF2" s="249"/>
      <c r="FG2" s="250"/>
      <c r="FH2" s="250"/>
      <c r="FI2" s="250"/>
      <c r="FJ2" s="250"/>
      <c r="FK2" s="250"/>
    </row>
    <row r="3" spans="2:167" hidden="1" x14ac:dyDescent="0.25"/>
    <row r="4" spans="2:167" hidden="1" x14ac:dyDescent="0.25">
      <c r="B4" s="119" t="s">
        <v>14</v>
      </c>
      <c r="C4" s="120" t="s">
        <v>15</v>
      </c>
      <c r="D4" s="120" t="s">
        <v>15</v>
      </c>
      <c r="E4" s="121" t="s">
        <v>16</v>
      </c>
      <c r="F4" s="121" t="s">
        <v>16</v>
      </c>
      <c r="G4" s="6"/>
      <c r="H4" s="7" t="s">
        <v>16</v>
      </c>
      <c r="I4" s="8" t="s">
        <v>16</v>
      </c>
      <c r="J4" s="9" t="s">
        <v>16</v>
      </c>
      <c r="K4" s="10" t="s">
        <v>17</v>
      </c>
      <c r="M4" s="119" t="s">
        <v>14</v>
      </c>
      <c r="N4" s="120" t="s">
        <v>15</v>
      </c>
      <c r="O4" s="120" t="s">
        <v>15</v>
      </c>
      <c r="P4" s="121" t="s">
        <v>16</v>
      </c>
      <c r="Q4" s="6"/>
      <c r="R4" s="7" t="s">
        <v>16</v>
      </c>
      <c r="S4" s="8" t="s">
        <v>16</v>
      </c>
      <c r="T4" s="9" t="s">
        <v>16</v>
      </c>
      <c r="U4" s="10" t="s">
        <v>17</v>
      </c>
      <c r="W4" s="119" t="s">
        <v>14</v>
      </c>
      <c r="X4" s="120" t="s">
        <v>15</v>
      </c>
      <c r="Y4" s="120" t="s">
        <v>15</v>
      </c>
      <c r="Z4" s="121" t="s">
        <v>16</v>
      </c>
      <c r="AA4" s="121" t="s">
        <v>16</v>
      </c>
      <c r="AB4" s="6"/>
      <c r="AC4" s="7" t="s">
        <v>16</v>
      </c>
      <c r="AD4" s="8" t="s">
        <v>16</v>
      </c>
      <c r="AE4" s="9" t="s">
        <v>16</v>
      </c>
      <c r="AF4" s="10" t="s">
        <v>17</v>
      </c>
      <c r="AI4" s="119" t="s">
        <v>14</v>
      </c>
      <c r="AJ4" s="120" t="s">
        <v>15</v>
      </c>
      <c r="AK4" s="120" t="s">
        <v>15</v>
      </c>
      <c r="AL4" s="121" t="s">
        <v>16</v>
      </c>
      <c r="AM4" s="6"/>
      <c r="AN4" s="7" t="s">
        <v>16</v>
      </c>
      <c r="AO4" s="8" t="s">
        <v>16</v>
      </c>
      <c r="AP4" s="9" t="s">
        <v>16</v>
      </c>
      <c r="AQ4" s="10" t="s">
        <v>17</v>
      </c>
      <c r="AS4" s="119" t="s">
        <v>14</v>
      </c>
      <c r="AT4" s="120" t="s">
        <v>15</v>
      </c>
      <c r="AU4" s="120" t="s">
        <v>15</v>
      </c>
      <c r="AV4" s="121" t="s">
        <v>16</v>
      </c>
      <c r="AW4" s="6"/>
      <c r="AX4" s="7" t="s">
        <v>16</v>
      </c>
      <c r="AY4" s="8" t="s">
        <v>16</v>
      </c>
      <c r="AZ4" s="9" t="s">
        <v>16</v>
      </c>
      <c r="BA4" s="10" t="s">
        <v>17</v>
      </c>
      <c r="BC4" s="119" t="s">
        <v>14</v>
      </c>
      <c r="BD4" s="120" t="s">
        <v>15</v>
      </c>
      <c r="BE4" s="120" t="s">
        <v>15</v>
      </c>
      <c r="BF4" s="121" t="s">
        <v>16</v>
      </c>
      <c r="BG4" s="6"/>
      <c r="BH4" s="7" t="s">
        <v>16</v>
      </c>
      <c r="BI4" s="8" t="s">
        <v>16</v>
      </c>
      <c r="BJ4" s="9" t="s">
        <v>16</v>
      </c>
      <c r="BK4" s="10" t="s">
        <v>17</v>
      </c>
      <c r="BM4" s="119" t="s">
        <v>14</v>
      </c>
      <c r="BN4" s="120" t="s">
        <v>15</v>
      </c>
      <c r="BO4" s="120" t="s">
        <v>15</v>
      </c>
      <c r="BP4" s="120" t="s">
        <v>15</v>
      </c>
      <c r="BQ4" s="121" t="s">
        <v>16</v>
      </c>
      <c r="BR4" s="121" t="s">
        <v>16</v>
      </c>
      <c r="BS4" s="6"/>
      <c r="BT4" s="7" t="s">
        <v>16</v>
      </c>
      <c r="BU4" s="8" t="s">
        <v>16</v>
      </c>
      <c r="BV4" s="9" t="s">
        <v>16</v>
      </c>
      <c r="BW4" s="10" t="s">
        <v>17</v>
      </c>
      <c r="BY4" s="119" t="s">
        <v>14</v>
      </c>
      <c r="BZ4" s="252" t="s">
        <v>15</v>
      </c>
      <c r="CA4" s="253" t="s">
        <v>15</v>
      </c>
      <c r="CB4" s="121" t="s">
        <v>16</v>
      </c>
      <c r="CC4" s="121" t="s">
        <v>16</v>
      </c>
      <c r="CD4" s="6"/>
      <c r="CE4" s="7" t="s">
        <v>16</v>
      </c>
      <c r="CF4" s="8" t="s">
        <v>16</v>
      </c>
      <c r="CG4" s="9" t="s">
        <v>16</v>
      </c>
      <c r="CH4" s="10" t="s">
        <v>17</v>
      </c>
      <c r="CJ4" s="119" t="s">
        <v>14</v>
      </c>
      <c r="CK4" s="120" t="s">
        <v>15</v>
      </c>
      <c r="CL4" s="120" t="s">
        <v>15</v>
      </c>
      <c r="CM4" s="121" t="s">
        <v>16</v>
      </c>
      <c r="CN4" s="121" t="s">
        <v>16</v>
      </c>
      <c r="CO4" s="6"/>
      <c r="CP4" s="7" t="s">
        <v>16</v>
      </c>
      <c r="CQ4" s="8" t="s">
        <v>16</v>
      </c>
      <c r="CR4" s="9" t="s">
        <v>16</v>
      </c>
      <c r="CS4" s="10" t="s">
        <v>17</v>
      </c>
      <c r="CU4" s="119" t="s">
        <v>14</v>
      </c>
      <c r="CV4" s="120" t="s">
        <v>15</v>
      </c>
      <c r="CW4" s="120" t="s">
        <v>15</v>
      </c>
      <c r="CX4" s="121" t="s">
        <v>16</v>
      </c>
      <c r="CY4" s="121" t="s">
        <v>16</v>
      </c>
      <c r="CZ4" s="6"/>
      <c r="DA4" s="7" t="s">
        <v>16</v>
      </c>
      <c r="DB4" s="7"/>
      <c r="DC4" s="8" t="s">
        <v>16</v>
      </c>
      <c r="DD4" s="9" t="s">
        <v>16</v>
      </c>
      <c r="DE4" s="10" t="s">
        <v>17</v>
      </c>
      <c r="DH4" s="119" t="s">
        <v>14</v>
      </c>
      <c r="DI4" s="120" t="s">
        <v>15</v>
      </c>
      <c r="DJ4" s="120" t="s">
        <v>15</v>
      </c>
      <c r="DK4" s="120" t="s">
        <v>15</v>
      </c>
      <c r="DL4" s="121" t="s">
        <v>16</v>
      </c>
      <c r="DM4" s="121" t="s">
        <v>16</v>
      </c>
      <c r="DN4" s="6"/>
      <c r="DO4" s="7" t="s">
        <v>16</v>
      </c>
      <c r="DP4" s="8" t="s">
        <v>16</v>
      </c>
      <c r="DQ4" s="9" t="s">
        <v>16</v>
      </c>
      <c r="DR4" s="10" t="s">
        <v>17</v>
      </c>
      <c r="DT4" s="119" t="s">
        <v>14</v>
      </c>
      <c r="DU4" s="120" t="s">
        <v>15</v>
      </c>
      <c r="DV4" s="120" t="s">
        <v>15</v>
      </c>
      <c r="DW4" s="121" t="s">
        <v>16</v>
      </c>
      <c r="DX4" s="121" t="s">
        <v>16</v>
      </c>
      <c r="DY4" s="6"/>
      <c r="DZ4" s="7" t="s">
        <v>16</v>
      </c>
      <c r="EA4" s="8" t="s">
        <v>16</v>
      </c>
      <c r="EB4" s="9" t="s">
        <v>16</v>
      </c>
      <c r="EC4" s="10" t="s">
        <v>17</v>
      </c>
      <c r="EE4" s="119" t="s">
        <v>14</v>
      </c>
      <c r="EF4" s="120" t="s">
        <v>15</v>
      </c>
      <c r="EG4" s="252" t="s">
        <v>15</v>
      </c>
      <c r="EH4" s="121" t="s">
        <v>16</v>
      </c>
      <c r="EI4" s="121" t="s">
        <v>16</v>
      </c>
      <c r="EJ4" s="6"/>
      <c r="EK4" s="7" t="s">
        <v>16</v>
      </c>
      <c r="EL4" s="7"/>
      <c r="EM4" s="8" t="s">
        <v>16</v>
      </c>
      <c r="EN4" s="9" t="s">
        <v>16</v>
      </c>
      <c r="EO4" s="10" t="s">
        <v>17</v>
      </c>
      <c r="EQ4" s="119" t="s">
        <v>14</v>
      </c>
      <c r="ER4" s="120" t="s">
        <v>15</v>
      </c>
      <c r="ES4" s="120" t="s">
        <v>15</v>
      </c>
      <c r="ET4" s="121" t="s">
        <v>16</v>
      </c>
      <c r="EU4" s="121" t="s">
        <v>16</v>
      </c>
      <c r="EV4" s="6"/>
      <c r="EW4" s="7" t="s">
        <v>16</v>
      </c>
      <c r="EX4" s="8" t="s">
        <v>16</v>
      </c>
      <c r="EY4" s="9" t="s">
        <v>16</v>
      </c>
      <c r="EZ4" s="10" t="s">
        <v>17</v>
      </c>
      <c r="FB4" s="119" t="s">
        <v>14</v>
      </c>
      <c r="FC4" s="120" t="s">
        <v>15</v>
      </c>
      <c r="FD4" s="120" t="s">
        <v>15</v>
      </c>
      <c r="FE4" s="121" t="s">
        <v>16</v>
      </c>
      <c r="FF4" s="121" t="s">
        <v>16</v>
      </c>
      <c r="FG4" s="6"/>
      <c r="FH4" s="7" t="s">
        <v>16</v>
      </c>
      <c r="FI4" s="8" t="s">
        <v>16</v>
      </c>
      <c r="FJ4" s="9" t="s">
        <v>16</v>
      </c>
      <c r="FK4" s="10" t="s">
        <v>17</v>
      </c>
    </row>
    <row r="5" spans="2:167" ht="15.75" hidden="1" thickBot="1" x14ac:dyDescent="0.3">
      <c r="B5" s="119"/>
      <c r="C5" s="120" t="s">
        <v>18</v>
      </c>
      <c r="D5" s="120" t="s">
        <v>19</v>
      </c>
      <c r="E5" s="121" t="s">
        <v>19</v>
      </c>
      <c r="F5" s="121" t="s">
        <v>25</v>
      </c>
      <c r="G5" s="6"/>
      <c r="H5" s="16" t="s">
        <v>21</v>
      </c>
      <c r="I5" s="17" t="s">
        <v>22</v>
      </c>
      <c r="J5" s="18" t="s">
        <v>23</v>
      </c>
      <c r="K5" s="19" t="s">
        <v>24</v>
      </c>
      <c r="M5" s="119"/>
      <c r="N5" s="120" t="s">
        <v>18</v>
      </c>
      <c r="O5" s="120" t="s">
        <v>19</v>
      </c>
      <c r="P5" s="121" t="s">
        <v>25</v>
      </c>
      <c r="Q5" s="6"/>
      <c r="R5" s="16" t="s">
        <v>21</v>
      </c>
      <c r="S5" s="17" t="s">
        <v>22</v>
      </c>
      <c r="T5" s="18" t="s">
        <v>23</v>
      </c>
      <c r="U5" s="19" t="s">
        <v>24</v>
      </c>
      <c r="W5" s="119"/>
      <c r="X5" s="120" t="s">
        <v>18</v>
      </c>
      <c r="Y5" s="120" t="s">
        <v>19</v>
      </c>
      <c r="Z5" s="121" t="s">
        <v>19</v>
      </c>
      <c r="AA5" s="121" t="s">
        <v>25</v>
      </c>
      <c r="AB5" s="6"/>
      <c r="AC5" s="16" t="s">
        <v>21</v>
      </c>
      <c r="AD5" s="17" t="s">
        <v>22</v>
      </c>
      <c r="AE5" s="18" t="s">
        <v>23</v>
      </c>
      <c r="AF5" s="19" t="s">
        <v>24</v>
      </c>
      <c r="AI5" s="119"/>
      <c r="AJ5" s="120" t="s">
        <v>18</v>
      </c>
      <c r="AK5" s="120" t="s">
        <v>19</v>
      </c>
      <c r="AL5" s="121" t="s">
        <v>25</v>
      </c>
      <c r="AM5" s="6"/>
      <c r="AN5" s="16" t="s">
        <v>21</v>
      </c>
      <c r="AO5" s="17" t="s">
        <v>22</v>
      </c>
      <c r="AP5" s="18" t="s">
        <v>23</v>
      </c>
      <c r="AQ5" s="19" t="s">
        <v>24</v>
      </c>
      <c r="AS5" s="119"/>
      <c r="AT5" s="120" t="s">
        <v>18</v>
      </c>
      <c r="AU5" s="120" t="s">
        <v>19</v>
      </c>
      <c r="AV5" s="121" t="s">
        <v>25</v>
      </c>
      <c r="AW5" s="6"/>
      <c r="AX5" s="16" t="s">
        <v>21</v>
      </c>
      <c r="AY5" s="17" t="s">
        <v>22</v>
      </c>
      <c r="AZ5" s="18" t="s">
        <v>23</v>
      </c>
      <c r="BA5" s="19" t="s">
        <v>24</v>
      </c>
      <c r="BC5" s="119"/>
      <c r="BD5" s="120" t="s">
        <v>18</v>
      </c>
      <c r="BE5" s="120" t="s">
        <v>19</v>
      </c>
      <c r="BF5" s="121" t="s">
        <v>25</v>
      </c>
      <c r="BG5" s="6"/>
      <c r="BH5" s="16" t="s">
        <v>21</v>
      </c>
      <c r="BI5" s="17" t="s">
        <v>22</v>
      </c>
      <c r="BJ5" s="18" t="s">
        <v>23</v>
      </c>
      <c r="BK5" s="19" t="s">
        <v>24</v>
      </c>
      <c r="BM5" s="119"/>
      <c r="BN5" s="120" t="s">
        <v>18</v>
      </c>
      <c r="BO5" s="120" t="s">
        <v>19</v>
      </c>
      <c r="BP5" s="120" t="s">
        <v>20</v>
      </c>
      <c r="BQ5" s="121" t="s">
        <v>19</v>
      </c>
      <c r="BR5" s="121" t="s">
        <v>25</v>
      </c>
      <c r="BS5" s="6"/>
      <c r="BT5" s="16" t="s">
        <v>21</v>
      </c>
      <c r="BU5" s="17" t="s">
        <v>22</v>
      </c>
      <c r="BV5" s="18" t="s">
        <v>23</v>
      </c>
      <c r="BW5" s="19" t="s">
        <v>24</v>
      </c>
      <c r="BY5" s="119"/>
      <c r="BZ5" s="252" t="s">
        <v>18</v>
      </c>
      <c r="CA5" s="253" t="s">
        <v>19</v>
      </c>
      <c r="CB5" s="121" t="s">
        <v>19</v>
      </c>
      <c r="CC5" s="121" t="s">
        <v>25</v>
      </c>
      <c r="CD5" s="6"/>
      <c r="CE5" s="16" t="s">
        <v>21</v>
      </c>
      <c r="CF5" s="17" t="s">
        <v>22</v>
      </c>
      <c r="CG5" s="18" t="s">
        <v>23</v>
      </c>
      <c r="CH5" s="19" t="s">
        <v>24</v>
      </c>
      <c r="CJ5" s="119"/>
      <c r="CK5" s="120" t="s">
        <v>18</v>
      </c>
      <c r="CL5" s="120" t="s">
        <v>19</v>
      </c>
      <c r="CM5" s="121" t="s">
        <v>19</v>
      </c>
      <c r="CN5" s="121" t="s">
        <v>25</v>
      </c>
      <c r="CO5" s="6"/>
      <c r="CP5" s="16" t="s">
        <v>21</v>
      </c>
      <c r="CQ5" s="17" t="s">
        <v>22</v>
      </c>
      <c r="CR5" s="18" t="s">
        <v>23</v>
      </c>
      <c r="CS5" s="19" t="s">
        <v>24</v>
      </c>
      <c r="CU5" s="119"/>
      <c r="CV5" s="120" t="s">
        <v>18</v>
      </c>
      <c r="CW5" s="120" t="s">
        <v>19</v>
      </c>
      <c r="CX5" s="121" t="s">
        <v>19</v>
      </c>
      <c r="CY5" s="121" t="s">
        <v>25</v>
      </c>
      <c r="CZ5" s="6"/>
      <c r="DA5" s="16" t="s">
        <v>21</v>
      </c>
      <c r="DB5" s="16"/>
      <c r="DC5" s="17" t="s">
        <v>22</v>
      </c>
      <c r="DD5" s="18" t="s">
        <v>23</v>
      </c>
      <c r="DE5" s="19" t="s">
        <v>24</v>
      </c>
      <c r="DH5" s="119"/>
      <c r="DI5" s="120" t="s">
        <v>18</v>
      </c>
      <c r="DJ5" s="120" t="s">
        <v>19</v>
      </c>
      <c r="DK5" s="120" t="s">
        <v>20</v>
      </c>
      <c r="DL5" s="121" t="s">
        <v>19</v>
      </c>
      <c r="DM5" s="121" t="s">
        <v>25</v>
      </c>
      <c r="DN5" s="6"/>
      <c r="DO5" s="16" t="s">
        <v>21</v>
      </c>
      <c r="DP5" s="17" t="s">
        <v>22</v>
      </c>
      <c r="DQ5" s="18" t="s">
        <v>23</v>
      </c>
      <c r="DR5" s="19" t="s">
        <v>24</v>
      </c>
      <c r="DT5" s="119"/>
      <c r="DU5" s="120" t="s">
        <v>18</v>
      </c>
      <c r="DV5" s="120" t="s">
        <v>19</v>
      </c>
      <c r="DW5" s="121" t="s">
        <v>19</v>
      </c>
      <c r="DX5" s="121" t="s">
        <v>25</v>
      </c>
      <c r="DY5" s="6"/>
      <c r="DZ5" s="16" t="s">
        <v>21</v>
      </c>
      <c r="EA5" s="17" t="s">
        <v>22</v>
      </c>
      <c r="EB5" s="18" t="s">
        <v>23</v>
      </c>
      <c r="EC5" s="19" t="s">
        <v>24</v>
      </c>
      <c r="EE5" s="119"/>
      <c r="EF5" s="120" t="s">
        <v>18</v>
      </c>
      <c r="EG5" s="252" t="s">
        <v>19</v>
      </c>
      <c r="EH5" s="121" t="s">
        <v>19</v>
      </c>
      <c r="EI5" s="121" t="s">
        <v>25</v>
      </c>
      <c r="EJ5" s="6"/>
      <c r="EK5" s="16" t="s">
        <v>21</v>
      </c>
      <c r="EL5" s="16"/>
      <c r="EM5" s="17" t="s">
        <v>22</v>
      </c>
      <c r="EN5" s="18" t="s">
        <v>23</v>
      </c>
      <c r="EO5" s="19" t="s">
        <v>24</v>
      </c>
      <c r="EQ5" s="119"/>
      <c r="ER5" s="120" t="s">
        <v>18</v>
      </c>
      <c r="ES5" s="120" t="s">
        <v>19</v>
      </c>
      <c r="ET5" s="121" t="s">
        <v>19</v>
      </c>
      <c r="EU5" s="121" t="s">
        <v>25</v>
      </c>
      <c r="EV5" s="6"/>
      <c r="EW5" s="16" t="s">
        <v>21</v>
      </c>
      <c r="EX5" s="17" t="s">
        <v>22</v>
      </c>
      <c r="EY5" s="18" t="s">
        <v>23</v>
      </c>
      <c r="EZ5" s="19" t="s">
        <v>24</v>
      </c>
      <c r="FB5" s="119"/>
      <c r="FC5" s="254" t="s">
        <v>18</v>
      </c>
      <c r="FD5" s="254" t="s">
        <v>19</v>
      </c>
      <c r="FE5" s="255" t="s">
        <v>19</v>
      </c>
      <c r="FF5" s="255" t="s">
        <v>25</v>
      </c>
      <c r="FG5" s="6"/>
      <c r="FH5" s="16" t="s">
        <v>21</v>
      </c>
      <c r="FI5" s="17" t="s">
        <v>22</v>
      </c>
      <c r="FJ5" s="18" t="s">
        <v>23</v>
      </c>
      <c r="FK5" s="19" t="s">
        <v>24</v>
      </c>
    </row>
    <row r="6" spans="2:167" hidden="1" x14ac:dyDescent="0.25">
      <c r="B6" s="122">
        <v>45839</v>
      </c>
      <c r="C6" s="123">
        <v>10222.86</v>
      </c>
      <c r="D6" s="126"/>
      <c r="E6" s="125"/>
      <c r="F6" s="126">
        <v>0</v>
      </c>
      <c r="G6" s="27"/>
      <c r="H6" s="28"/>
      <c r="I6" s="29"/>
      <c r="J6" s="29"/>
      <c r="K6" s="30">
        <f>SUM(F6:J6)</f>
        <v>0</v>
      </c>
      <c r="M6" s="122">
        <v>45839</v>
      </c>
      <c r="N6" s="123">
        <v>3388.88</v>
      </c>
      <c r="O6" s="125"/>
      <c r="P6" s="126">
        <v>39.28</v>
      </c>
      <c r="Q6" s="27"/>
      <c r="R6" s="28"/>
      <c r="S6" s="29"/>
      <c r="T6" s="29"/>
      <c r="U6" s="30">
        <f>SUM(P6:T6)</f>
        <v>39.28</v>
      </c>
      <c r="W6" s="122">
        <v>45839</v>
      </c>
      <c r="X6" s="123">
        <v>1659.91</v>
      </c>
      <c r="Y6" s="123">
        <v>180.28</v>
      </c>
      <c r="Z6" s="125"/>
      <c r="AA6" s="123">
        <v>0</v>
      </c>
      <c r="AB6" s="27"/>
      <c r="AC6" s="28"/>
      <c r="AD6" s="29"/>
      <c r="AE6" s="29"/>
      <c r="AF6" s="30">
        <f>SUM(AA6:AE6)</f>
        <v>0</v>
      </c>
      <c r="AI6" s="122">
        <v>45839</v>
      </c>
      <c r="AJ6" s="123">
        <v>1287.03</v>
      </c>
      <c r="AK6" s="125"/>
      <c r="AL6" s="126"/>
      <c r="AM6" s="27"/>
      <c r="AN6" s="28"/>
      <c r="AO6" s="29"/>
      <c r="AP6" s="29"/>
      <c r="AQ6" s="30">
        <f>SUM(AL6:AP6)</f>
        <v>0</v>
      </c>
      <c r="AS6" s="122">
        <v>45839</v>
      </c>
      <c r="AT6" s="123">
        <v>3582.77</v>
      </c>
      <c r="AU6" s="125"/>
      <c r="AV6" s="128"/>
      <c r="AW6" s="27"/>
      <c r="AX6" s="28"/>
      <c r="AY6" s="29"/>
      <c r="AZ6" s="29"/>
      <c r="BA6" s="30">
        <f>SUM(AV6:AZ6)</f>
        <v>0</v>
      </c>
      <c r="BC6" s="122">
        <v>45839</v>
      </c>
      <c r="BD6" s="123">
        <v>3627.25</v>
      </c>
      <c r="BE6" s="125"/>
      <c r="BF6" s="128">
        <v>17.920000000000002</v>
      </c>
      <c r="BG6" s="27"/>
      <c r="BH6" s="28"/>
      <c r="BI6" s="29"/>
      <c r="BJ6" s="29"/>
      <c r="BK6" s="30">
        <f>SUM(BF6:BJ6)</f>
        <v>17.920000000000002</v>
      </c>
      <c r="BM6" s="122">
        <v>45839</v>
      </c>
      <c r="BN6" s="123">
        <v>16105.45</v>
      </c>
      <c r="BO6" s="123">
        <v>3800.08</v>
      </c>
      <c r="BP6" s="123">
        <v>7335.25</v>
      </c>
      <c r="BQ6" s="125"/>
      <c r="BR6" s="125"/>
      <c r="BS6" s="27"/>
      <c r="BT6" s="28"/>
      <c r="BU6" s="29"/>
      <c r="BV6" s="29"/>
      <c r="BW6" s="30">
        <f t="shared" ref="BW6:BW36" si="0">SUM(BR6:BV6)</f>
        <v>0</v>
      </c>
      <c r="BY6" s="122">
        <v>45839</v>
      </c>
      <c r="BZ6" s="256">
        <v>1525.89</v>
      </c>
      <c r="CA6" s="257">
        <v>573.70000000000005</v>
      </c>
      <c r="CB6" s="125"/>
      <c r="CC6" s="126"/>
      <c r="CD6" s="27"/>
      <c r="CE6" s="28"/>
      <c r="CF6" s="29"/>
      <c r="CG6" s="29"/>
      <c r="CH6" s="30">
        <f>SUM(CC6:CG6)</f>
        <v>0</v>
      </c>
      <c r="CJ6" s="122">
        <v>45839</v>
      </c>
      <c r="CK6" s="123">
        <v>3817.24</v>
      </c>
      <c r="CL6" s="123">
        <v>647.82000000000005</v>
      </c>
      <c r="CM6" s="125"/>
      <c r="CN6" s="126">
        <v>7</v>
      </c>
      <c r="CO6" s="27"/>
      <c r="CP6" s="28"/>
      <c r="CQ6" s="29"/>
      <c r="CR6" s="29"/>
      <c r="CS6" s="30">
        <f>SUM(CN6:CR6)</f>
        <v>7</v>
      </c>
      <c r="CU6" s="122">
        <v>45839</v>
      </c>
      <c r="CV6" s="123">
        <v>4961.01</v>
      </c>
      <c r="CW6" s="124">
        <v>873.6</v>
      </c>
      <c r="CX6" s="125"/>
      <c r="CY6" s="126">
        <v>71.06</v>
      </c>
      <c r="CZ6" s="27"/>
      <c r="DA6" s="28"/>
      <c r="DB6" s="165"/>
      <c r="DC6" s="29"/>
      <c r="DD6" s="29"/>
      <c r="DE6" s="30">
        <f>SUM(CY6:DD6)</f>
        <v>71.06</v>
      </c>
      <c r="DH6" s="122">
        <v>45839</v>
      </c>
      <c r="DI6" s="123">
        <v>2096.41</v>
      </c>
      <c r="DJ6" s="127">
        <v>605.54</v>
      </c>
      <c r="DK6" s="127"/>
      <c r="DL6" s="127"/>
      <c r="DM6" s="126">
        <v>12.4</v>
      </c>
      <c r="DN6" s="27"/>
      <c r="DO6" s="28"/>
      <c r="DP6" s="29"/>
      <c r="DQ6" s="29"/>
      <c r="DR6" s="30">
        <f>SUM(DM6:DQ6)</f>
        <v>12.4</v>
      </c>
      <c r="DT6" s="122">
        <v>45839</v>
      </c>
      <c r="DU6" s="123">
        <v>1237.83</v>
      </c>
      <c r="DV6" s="127">
        <v>1804.41</v>
      </c>
      <c r="DW6" s="127"/>
      <c r="DX6" s="126">
        <v>18.149999999999999</v>
      </c>
      <c r="DY6" s="27"/>
      <c r="DZ6" s="28"/>
      <c r="EA6" s="29"/>
      <c r="EB6" s="29"/>
      <c r="EC6" s="30">
        <f>SUM(DX6:EB6)</f>
        <v>18.149999999999999</v>
      </c>
      <c r="EE6" s="122">
        <v>45839</v>
      </c>
      <c r="EF6" s="123">
        <v>570.55999999999995</v>
      </c>
      <c r="EG6" s="127">
        <v>810.02</v>
      </c>
      <c r="EH6" s="127"/>
      <c r="EI6" s="258">
        <v>0</v>
      </c>
      <c r="EJ6" s="27"/>
      <c r="EK6" s="28"/>
      <c r="EL6" s="165"/>
      <c r="EM6" s="29"/>
      <c r="EN6" s="29"/>
      <c r="EO6" s="30">
        <f>SUM(EI6:EN6)</f>
        <v>0</v>
      </c>
      <c r="EQ6" s="122">
        <v>45839</v>
      </c>
      <c r="ER6" s="123">
        <v>3671.89</v>
      </c>
      <c r="ES6" s="259">
        <v>322.2</v>
      </c>
      <c r="ET6" s="127"/>
      <c r="EU6" s="126">
        <v>0</v>
      </c>
      <c r="EV6" s="27"/>
      <c r="EW6" s="28"/>
      <c r="EX6" s="29"/>
      <c r="EY6" s="29"/>
      <c r="EZ6" s="30">
        <f>SUM(EU6:EY6)</f>
        <v>0</v>
      </c>
      <c r="FB6" s="122">
        <v>45839</v>
      </c>
      <c r="FC6" s="123">
        <v>265</v>
      </c>
      <c r="FD6" s="123">
        <v>562</v>
      </c>
      <c r="FE6" s="125"/>
      <c r="FF6" s="126"/>
      <c r="FG6" s="27"/>
      <c r="FH6" s="28"/>
      <c r="FI6" s="29"/>
      <c r="FJ6" s="29"/>
      <c r="FK6" s="30">
        <f>SUM(FF6:FJ6)</f>
        <v>0</v>
      </c>
    </row>
    <row r="7" spans="2:167" hidden="1" x14ac:dyDescent="0.25">
      <c r="B7" s="122">
        <v>45840</v>
      </c>
      <c r="C7" s="123">
        <v>7393.61</v>
      </c>
      <c r="D7" s="125"/>
      <c r="E7" s="125"/>
      <c r="F7" s="125">
        <v>22.5</v>
      </c>
      <c r="G7" s="27"/>
      <c r="H7" s="51"/>
      <c r="I7" s="52"/>
      <c r="J7" s="52"/>
      <c r="K7" s="53">
        <f t="shared" ref="K7:K36" si="1">SUM(F7:J7)</f>
        <v>22.5</v>
      </c>
      <c r="M7" s="122">
        <v>45840</v>
      </c>
      <c r="N7" s="123">
        <v>3301.49</v>
      </c>
      <c r="O7" s="125"/>
      <c r="P7" s="126">
        <v>15.14</v>
      </c>
      <c r="Q7" s="27"/>
      <c r="R7" s="51"/>
      <c r="S7" s="52"/>
      <c r="T7" s="52"/>
      <c r="U7" s="53">
        <f t="shared" ref="U7:U36" si="2">SUM(P7:T7)</f>
        <v>15.14</v>
      </c>
      <c r="W7" s="122">
        <v>45840</v>
      </c>
      <c r="X7" s="123">
        <v>2382.2199999999998</v>
      </c>
      <c r="Y7" s="123">
        <v>147.61000000000001</v>
      </c>
      <c r="Z7" s="125"/>
      <c r="AA7" s="123">
        <v>0</v>
      </c>
      <c r="AB7" s="27"/>
      <c r="AC7" s="51"/>
      <c r="AD7" s="52"/>
      <c r="AE7" s="52"/>
      <c r="AF7" s="53">
        <f t="shared" ref="AF7:AF8" si="3">SUM(AA7:AE7)</f>
        <v>0</v>
      </c>
      <c r="AI7" s="122">
        <v>45840</v>
      </c>
      <c r="AJ7" s="123">
        <v>944.17</v>
      </c>
      <c r="AK7" s="125"/>
      <c r="AL7" s="126"/>
      <c r="AM7" s="27"/>
      <c r="AN7" s="51"/>
      <c r="AO7" s="52"/>
      <c r="AP7" s="52"/>
      <c r="AQ7" s="53">
        <f t="shared" ref="AQ7:AQ8" si="4">SUM(AL7:AP7)</f>
        <v>0</v>
      </c>
      <c r="AS7" s="122">
        <v>45840</v>
      </c>
      <c r="AT7" s="123">
        <v>4115.47</v>
      </c>
      <c r="AU7" s="125"/>
      <c r="AV7" s="128"/>
      <c r="AW7" s="27"/>
      <c r="AX7" s="51"/>
      <c r="AY7" s="52"/>
      <c r="AZ7" s="52"/>
      <c r="BA7" s="53">
        <f t="shared" ref="BA7:BA8" si="5">SUM(AV7:AZ7)</f>
        <v>0</v>
      </c>
      <c r="BC7" s="122">
        <v>45840</v>
      </c>
      <c r="BD7" s="123">
        <v>4083.55</v>
      </c>
      <c r="BE7" s="125"/>
      <c r="BF7" s="128">
        <v>8.6300000000000008</v>
      </c>
      <c r="BG7" s="27"/>
      <c r="BH7" s="51"/>
      <c r="BI7" s="52"/>
      <c r="BJ7" s="52"/>
      <c r="BK7" s="53">
        <f t="shared" ref="BK7:BK8" si="6">SUM(BF7:BJ7)</f>
        <v>8.6300000000000008</v>
      </c>
      <c r="BM7" s="122">
        <v>45840</v>
      </c>
      <c r="BN7" s="123">
        <v>17615.060000000001</v>
      </c>
      <c r="BO7" s="123">
        <v>2801.73</v>
      </c>
      <c r="BP7" s="123">
        <v>7485.57</v>
      </c>
      <c r="BQ7" s="125"/>
      <c r="BR7" s="125"/>
      <c r="BS7" s="27"/>
      <c r="BT7" s="51"/>
      <c r="BU7" s="52"/>
      <c r="BV7" s="52"/>
      <c r="BW7" s="53">
        <f t="shared" si="0"/>
        <v>0</v>
      </c>
      <c r="BY7" s="122">
        <v>45840</v>
      </c>
      <c r="BZ7" s="256">
        <v>2029.86</v>
      </c>
      <c r="CA7" s="257">
        <v>712.09</v>
      </c>
      <c r="CB7" s="125"/>
      <c r="CC7" s="126"/>
      <c r="CD7" s="27"/>
      <c r="CE7" s="51"/>
      <c r="CF7" s="52"/>
      <c r="CG7" s="52"/>
      <c r="CH7" s="53">
        <f t="shared" ref="CH7:CH36" si="7">SUM(CC7:CG7)</f>
        <v>0</v>
      </c>
      <c r="CJ7" s="122">
        <v>45840</v>
      </c>
      <c r="CK7" s="123">
        <v>5858.9</v>
      </c>
      <c r="CL7" s="123">
        <v>476.99</v>
      </c>
      <c r="CM7" s="125"/>
      <c r="CN7" s="126">
        <v>13.53</v>
      </c>
      <c r="CO7" s="27"/>
      <c r="CP7" s="51"/>
      <c r="CQ7" s="52"/>
      <c r="CR7" s="52"/>
      <c r="CS7" s="53">
        <f t="shared" ref="CS7:CS36" si="8">SUM(CN7:CR7)</f>
        <v>13.53</v>
      </c>
      <c r="CU7" s="122">
        <v>45840</v>
      </c>
      <c r="CV7" s="123">
        <v>5466.56</v>
      </c>
      <c r="CW7" s="127">
        <v>704.48</v>
      </c>
      <c r="CX7" s="125"/>
      <c r="CY7" s="128">
        <v>95.19</v>
      </c>
      <c r="CZ7" s="27"/>
      <c r="DA7" s="51"/>
      <c r="DB7" s="173"/>
      <c r="DC7" s="52"/>
      <c r="DD7" s="52"/>
      <c r="DE7" s="53">
        <f t="shared" ref="DE7:DE36" si="9">SUM(CY7:DD7)</f>
        <v>95.19</v>
      </c>
      <c r="DH7" s="122">
        <v>45840</v>
      </c>
      <c r="DI7" s="123">
        <v>1847.35</v>
      </c>
      <c r="DJ7" s="127">
        <v>621.71</v>
      </c>
      <c r="DK7" s="127"/>
      <c r="DL7" s="127"/>
      <c r="DM7" s="126">
        <v>10.65</v>
      </c>
      <c r="DN7" s="27"/>
      <c r="DO7" s="51"/>
      <c r="DP7" s="52"/>
      <c r="DQ7" s="52"/>
      <c r="DR7" s="53">
        <f t="shared" ref="DR7:DR36" si="10">SUM(DM7:DQ7)</f>
        <v>10.65</v>
      </c>
      <c r="DT7" s="122">
        <v>45840</v>
      </c>
      <c r="DU7" s="123">
        <v>1138.31</v>
      </c>
      <c r="DV7" s="127">
        <v>1500.33</v>
      </c>
      <c r="DW7" s="127"/>
      <c r="DX7" s="126">
        <v>22.43</v>
      </c>
      <c r="DY7" s="27"/>
      <c r="DZ7" s="51"/>
      <c r="EA7" s="52"/>
      <c r="EB7" s="52"/>
      <c r="EC7" s="53">
        <f t="shared" ref="EC7:EC36" si="11">SUM(DX7:EB7)</f>
        <v>22.43</v>
      </c>
      <c r="EE7" s="122">
        <v>45840</v>
      </c>
      <c r="EF7" s="123">
        <v>927.72</v>
      </c>
      <c r="EG7" s="127">
        <v>1081.9100000000001</v>
      </c>
      <c r="EH7" s="127"/>
      <c r="EI7" s="258">
        <v>0</v>
      </c>
      <c r="EJ7" s="27"/>
      <c r="EK7" s="51"/>
      <c r="EL7" s="173"/>
      <c r="EM7" s="52"/>
      <c r="EN7" s="52"/>
      <c r="EO7" s="53">
        <f t="shared" ref="EO7:EO36" si="12">SUM(EI7:EN7)</f>
        <v>0</v>
      </c>
      <c r="EQ7" s="122">
        <v>45840</v>
      </c>
      <c r="ER7" s="123">
        <v>2923.03</v>
      </c>
      <c r="ES7" s="259">
        <v>162</v>
      </c>
      <c r="ET7" s="127"/>
      <c r="EU7" s="126">
        <v>0</v>
      </c>
      <c r="EV7" s="27"/>
      <c r="EW7" s="51"/>
      <c r="EX7" s="52"/>
      <c r="EY7" s="52"/>
      <c r="EZ7" s="53">
        <f t="shared" ref="EZ7:EZ36" si="13">SUM(EU7:EY7)</f>
        <v>0</v>
      </c>
      <c r="FB7" s="122">
        <v>45840</v>
      </c>
      <c r="FC7" s="123">
        <v>341.38</v>
      </c>
      <c r="FD7" s="123">
        <v>337</v>
      </c>
      <c r="FE7" s="125"/>
      <c r="FF7" s="126"/>
      <c r="FG7" s="27"/>
      <c r="FH7" s="51"/>
      <c r="FI7" s="52"/>
      <c r="FJ7" s="52"/>
      <c r="FK7" s="53">
        <f t="shared" ref="FK7:FK36" si="14">SUM(FF7:FJ7)</f>
        <v>0</v>
      </c>
    </row>
    <row r="8" spans="2:167" hidden="1" x14ac:dyDescent="0.25">
      <c r="B8" s="122">
        <v>45841</v>
      </c>
      <c r="C8" s="123">
        <v>8592.15</v>
      </c>
      <c r="D8" s="125"/>
      <c r="E8" s="125"/>
      <c r="F8" s="125">
        <v>30.74</v>
      </c>
      <c r="G8" s="27"/>
      <c r="H8" s="51"/>
      <c r="I8" s="52"/>
      <c r="J8" s="52"/>
      <c r="K8" s="53">
        <f t="shared" si="1"/>
        <v>30.74</v>
      </c>
      <c r="M8" s="122">
        <v>45841</v>
      </c>
      <c r="N8" s="123">
        <v>3023.84</v>
      </c>
      <c r="O8" s="125"/>
      <c r="P8" s="126">
        <v>9.01</v>
      </c>
      <c r="Q8" s="27"/>
      <c r="R8" s="51"/>
      <c r="S8" s="52"/>
      <c r="T8" s="52"/>
      <c r="U8" s="53">
        <f t="shared" si="2"/>
        <v>9.01</v>
      </c>
      <c r="W8" s="122">
        <v>45841</v>
      </c>
      <c r="X8" s="123">
        <v>2416.41</v>
      </c>
      <c r="Y8" s="123">
        <v>229.85</v>
      </c>
      <c r="Z8" s="125"/>
      <c r="AA8" s="123">
        <v>0</v>
      </c>
      <c r="AB8" s="27"/>
      <c r="AC8" s="51"/>
      <c r="AD8" s="52"/>
      <c r="AE8" s="52"/>
      <c r="AF8" s="53">
        <f t="shared" si="3"/>
        <v>0</v>
      </c>
      <c r="AI8" s="122">
        <v>45841</v>
      </c>
      <c r="AJ8" s="123">
        <v>1619.31</v>
      </c>
      <c r="AK8" s="125"/>
      <c r="AL8" s="126"/>
      <c r="AM8" s="27"/>
      <c r="AN8" s="51"/>
      <c r="AO8" s="52"/>
      <c r="AP8" s="52"/>
      <c r="AQ8" s="53">
        <f t="shared" si="4"/>
        <v>0</v>
      </c>
      <c r="AS8" s="122">
        <v>45841</v>
      </c>
      <c r="AT8" s="123">
        <v>3805.64</v>
      </c>
      <c r="AU8" s="125"/>
      <c r="AV8" s="128"/>
      <c r="AW8" s="27"/>
      <c r="AX8" s="51"/>
      <c r="AY8" s="52"/>
      <c r="AZ8" s="52"/>
      <c r="BA8" s="53">
        <f t="shared" si="5"/>
        <v>0</v>
      </c>
      <c r="BC8" s="122">
        <v>45841</v>
      </c>
      <c r="BD8" s="123">
        <v>3071.73</v>
      </c>
      <c r="BE8" s="125"/>
      <c r="BF8" s="128">
        <v>29.57</v>
      </c>
      <c r="BG8" s="27"/>
      <c r="BH8" s="51"/>
      <c r="BI8" s="52"/>
      <c r="BJ8" s="52"/>
      <c r="BK8" s="53">
        <f t="shared" si="6"/>
        <v>29.57</v>
      </c>
      <c r="BM8" s="122">
        <v>45841</v>
      </c>
      <c r="BN8" s="123">
        <v>14698.93</v>
      </c>
      <c r="BO8" s="123">
        <v>2657.26</v>
      </c>
      <c r="BP8" s="123">
        <v>8020.48</v>
      </c>
      <c r="BQ8" s="125"/>
      <c r="BR8" s="125"/>
      <c r="BS8" s="27"/>
      <c r="BT8" s="51"/>
      <c r="BU8" s="52"/>
      <c r="BV8" s="52"/>
      <c r="BW8" s="53">
        <f t="shared" si="0"/>
        <v>0</v>
      </c>
      <c r="BY8" s="122">
        <v>45841</v>
      </c>
      <c r="BZ8" s="256">
        <v>1065</v>
      </c>
      <c r="CA8" s="257">
        <v>533.79999999999995</v>
      </c>
      <c r="CB8" s="125"/>
      <c r="CC8" s="126"/>
      <c r="CD8" s="27"/>
      <c r="CE8" s="51"/>
      <c r="CF8" s="52"/>
      <c r="CG8" s="52"/>
      <c r="CH8" s="53">
        <f t="shared" si="7"/>
        <v>0</v>
      </c>
      <c r="CJ8" s="122">
        <v>45841</v>
      </c>
      <c r="CK8" s="123">
        <v>5052.54</v>
      </c>
      <c r="CL8" s="123">
        <v>520.6</v>
      </c>
      <c r="CM8" s="125"/>
      <c r="CN8" s="126">
        <v>33.36</v>
      </c>
      <c r="CO8" s="27"/>
      <c r="CP8" s="51"/>
      <c r="CQ8" s="52"/>
      <c r="CR8" s="52"/>
      <c r="CS8" s="53">
        <f t="shared" si="8"/>
        <v>33.36</v>
      </c>
      <c r="CU8" s="122">
        <v>45841</v>
      </c>
      <c r="CV8" s="123">
        <v>8117.82</v>
      </c>
      <c r="CW8" s="127">
        <v>926.24</v>
      </c>
      <c r="CX8" s="125"/>
      <c r="CY8" s="126">
        <v>142.81</v>
      </c>
      <c r="CZ8" s="27"/>
      <c r="DA8" s="51"/>
      <c r="DB8" s="173"/>
      <c r="DC8" s="52"/>
      <c r="DD8" s="52"/>
      <c r="DE8" s="53">
        <f t="shared" si="9"/>
        <v>142.81</v>
      </c>
      <c r="DH8" s="122">
        <v>45841</v>
      </c>
      <c r="DI8" s="123">
        <v>1138.42</v>
      </c>
      <c r="DJ8" s="126">
        <v>334.23</v>
      </c>
      <c r="DK8" s="126"/>
      <c r="DL8" s="127"/>
      <c r="DM8" s="126">
        <v>4</v>
      </c>
      <c r="DN8" s="27"/>
      <c r="DO8" s="51"/>
      <c r="DP8" s="52"/>
      <c r="DQ8" s="52"/>
      <c r="DR8" s="53">
        <f t="shared" si="10"/>
        <v>4</v>
      </c>
      <c r="DT8" s="122">
        <v>45841</v>
      </c>
      <c r="DU8" s="123">
        <v>1557.32</v>
      </c>
      <c r="DV8" s="127">
        <v>1399.29</v>
      </c>
      <c r="DW8" s="127"/>
      <c r="DX8" s="126">
        <v>23.19</v>
      </c>
      <c r="DY8" s="27"/>
      <c r="DZ8" s="51"/>
      <c r="EA8" s="52"/>
      <c r="EB8" s="52"/>
      <c r="EC8" s="53">
        <f t="shared" si="11"/>
        <v>23.19</v>
      </c>
      <c r="EE8" s="122">
        <v>45841</v>
      </c>
      <c r="EF8" s="123">
        <v>1159.8399999999999</v>
      </c>
      <c r="EG8" s="127">
        <v>905.02</v>
      </c>
      <c r="EH8" s="127"/>
      <c r="EI8" s="258">
        <v>0</v>
      </c>
      <c r="EJ8" s="27"/>
      <c r="EK8" s="51"/>
      <c r="EL8" s="173"/>
      <c r="EM8" s="52"/>
      <c r="EN8" s="52"/>
      <c r="EO8" s="53">
        <f t="shared" si="12"/>
        <v>0</v>
      </c>
      <c r="EQ8" s="122">
        <v>45841</v>
      </c>
      <c r="ER8" s="123">
        <v>5357.7</v>
      </c>
      <c r="ES8" s="259">
        <v>801.8</v>
      </c>
      <c r="ET8" s="127"/>
      <c r="EU8" s="126">
        <v>0</v>
      </c>
      <c r="EV8" s="27"/>
      <c r="EW8" s="51"/>
      <c r="EX8" s="52"/>
      <c r="EY8" s="52"/>
      <c r="EZ8" s="53">
        <f t="shared" si="13"/>
        <v>0</v>
      </c>
      <c r="FB8" s="122">
        <v>45841</v>
      </c>
      <c r="FC8" s="123">
        <v>453.81</v>
      </c>
      <c r="FD8" s="123">
        <v>205.55</v>
      </c>
      <c r="FE8" s="125"/>
      <c r="FF8" s="126"/>
      <c r="FG8" s="27"/>
      <c r="FH8" s="51"/>
      <c r="FI8" s="52"/>
      <c r="FJ8" s="52"/>
      <c r="FK8" s="53">
        <f t="shared" si="14"/>
        <v>0</v>
      </c>
    </row>
    <row r="9" spans="2:167" hidden="1" x14ac:dyDescent="0.25">
      <c r="B9" s="122">
        <v>45842</v>
      </c>
      <c r="C9" s="123">
        <v>16811.45</v>
      </c>
      <c r="D9" s="125"/>
      <c r="E9" s="125"/>
      <c r="F9" s="125">
        <v>193.89</v>
      </c>
      <c r="G9" s="27"/>
      <c r="H9" s="51"/>
      <c r="I9" s="52"/>
      <c r="J9" s="52"/>
      <c r="K9" s="53">
        <f t="shared" si="1"/>
        <v>193.89</v>
      </c>
      <c r="M9" s="122">
        <v>45842</v>
      </c>
      <c r="N9" s="123">
        <v>3537.58</v>
      </c>
      <c r="O9" s="125"/>
      <c r="P9" s="126">
        <v>0</v>
      </c>
      <c r="Q9" s="27"/>
      <c r="R9" s="51"/>
      <c r="S9" s="52"/>
      <c r="T9" s="52"/>
      <c r="U9" s="53">
        <f>SUM(P9:T9)</f>
        <v>0</v>
      </c>
      <c r="W9" s="122">
        <v>45842</v>
      </c>
      <c r="X9" s="123">
        <v>1281.3699999999999</v>
      </c>
      <c r="Y9" s="123">
        <v>206</v>
      </c>
      <c r="Z9" s="125"/>
      <c r="AA9" s="123">
        <v>0</v>
      </c>
      <c r="AB9" s="27"/>
      <c r="AC9" s="51"/>
      <c r="AD9" s="52"/>
      <c r="AE9" s="52"/>
      <c r="AF9" s="53">
        <f>SUM(AA9:AE9)</f>
        <v>0</v>
      </c>
      <c r="AI9" s="122">
        <v>45842</v>
      </c>
      <c r="AJ9" s="123">
        <v>2075.63</v>
      </c>
      <c r="AK9" s="125"/>
      <c r="AL9" s="126"/>
      <c r="AM9" s="27"/>
      <c r="AN9" s="51"/>
      <c r="AO9" s="52"/>
      <c r="AP9" s="52"/>
      <c r="AQ9" s="53">
        <f>SUM(AL9:AP9)</f>
        <v>0</v>
      </c>
      <c r="AS9" s="122">
        <v>45842</v>
      </c>
      <c r="AT9" s="123">
        <v>3235.32</v>
      </c>
      <c r="AU9" s="125"/>
      <c r="AV9" s="128"/>
      <c r="AW9" s="27"/>
      <c r="AX9" s="51"/>
      <c r="AY9" s="52"/>
      <c r="AZ9" s="52"/>
      <c r="BA9" s="53">
        <f>SUM(AV9:AZ9)</f>
        <v>0</v>
      </c>
      <c r="BC9" s="122">
        <v>45842</v>
      </c>
      <c r="BD9" s="123">
        <v>3674.43</v>
      </c>
      <c r="BE9" s="125"/>
      <c r="BF9" s="128">
        <v>14.52</v>
      </c>
      <c r="BG9" s="27"/>
      <c r="BH9" s="51"/>
      <c r="BI9" s="52"/>
      <c r="BJ9" s="52"/>
      <c r="BK9" s="53">
        <f>SUM(BF9:BJ9)</f>
        <v>14.52</v>
      </c>
      <c r="BM9" s="122">
        <v>45842</v>
      </c>
      <c r="BN9" s="123">
        <v>15340.56</v>
      </c>
      <c r="BO9" s="123">
        <v>3160.57</v>
      </c>
      <c r="BP9" s="123">
        <v>8218.56</v>
      </c>
      <c r="BQ9" s="125"/>
      <c r="BR9" s="125"/>
      <c r="BS9" s="27"/>
      <c r="BT9" s="51"/>
      <c r="BU9" s="52"/>
      <c r="BV9" s="52"/>
      <c r="BW9" s="53">
        <f t="shared" si="0"/>
        <v>0</v>
      </c>
      <c r="BY9" s="122">
        <v>45842</v>
      </c>
      <c r="BZ9" s="256">
        <v>726.77</v>
      </c>
      <c r="CA9" s="257">
        <v>362.66</v>
      </c>
      <c r="CB9" s="126"/>
      <c r="CC9" s="126"/>
      <c r="CD9" s="27"/>
      <c r="CE9" s="51"/>
      <c r="CF9" s="52"/>
      <c r="CG9" s="52"/>
      <c r="CH9" s="53">
        <f t="shared" si="7"/>
        <v>0</v>
      </c>
      <c r="CJ9" s="122">
        <v>45842</v>
      </c>
      <c r="CK9" s="123">
        <v>2860.83</v>
      </c>
      <c r="CL9" s="123">
        <v>435.97</v>
      </c>
      <c r="CM9" s="125"/>
      <c r="CN9" s="126">
        <v>14.91</v>
      </c>
      <c r="CO9" s="27"/>
      <c r="CP9" s="51"/>
      <c r="CQ9" s="52"/>
      <c r="CR9" s="52"/>
      <c r="CS9" s="53">
        <f t="shared" si="8"/>
        <v>14.91</v>
      </c>
      <c r="CU9" s="122">
        <v>45842</v>
      </c>
      <c r="CV9" s="123">
        <v>9875.4699999999993</v>
      </c>
      <c r="CW9" s="127">
        <v>648.04999999999995</v>
      </c>
      <c r="CX9" s="125"/>
      <c r="CY9" s="126">
        <v>166.14</v>
      </c>
      <c r="CZ9" s="27"/>
      <c r="DA9" s="51"/>
      <c r="DB9" s="173"/>
      <c r="DC9" s="52"/>
      <c r="DD9" s="52"/>
      <c r="DE9" s="53">
        <f t="shared" si="9"/>
        <v>166.14</v>
      </c>
      <c r="DH9" s="122">
        <v>45842</v>
      </c>
      <c r="DI9" s="123">
        <v>1416.55</v>
      </c>
      <c r="DJ9" s="127">
        <v>497.03</v>
      </c>
      <c r="DK9" s="127"/>
      <c r="DL9" s="127"/>
      <c r="DM9" s="126">
        <v>4</v>
      </c>
      <c r="DN9" s="27"/>
      <c r="DO9" s="51"/>
      <c r="DP9" s="52"/>
      <c r="DQ9" s="52"/>
      <c r="DR9" s="53">
        <f t="shared" si="10"/>
        <v>4</v>
      </c>
      <c r="DT9" s="122">
        <v>45842</v>
      </c>
      <c r="DU9" s="123">
        <v>1431.18</v>
      </c>
      <c r="DV9" s="127">
        <v>1546.25</v>
      </c>
      <c r="DW9" s="127"/>
      <c r="DX9" s="126">
        <v>59.4</v>
      </c>
      <c r="DY9" s="27"/>
      <c r="DZ9" s="51"/>
      <c r="EA9" s="52"/>
      <c r="EB9" s="52"/>
      <c r="EC9" s="53">
        <f t="shared" si="11"/>
        <v>59.4</v>
      </c>
      <c r="EE9" s="122">
        <v>45842</v>
      </c>
      <c r="EF9" s="123">
        <v>1140.24</v>
      </c>
      <c r="EG9" s="127">
        <v>829.51</v>
      </c>
      <c r="EH9" s="127"/>
      <c r="EI9" s="258">
        <v>0</v>
      </c>
      <c r="EJ9" s="27"/>
      <c r="EK9" s="51"/>
      <c r="EL9" s="173"/>
      <c r="EM9" s="52"/>
      <c r="EN9" s="52"/>
      <c r="EO9" s="53">
        <f t="shared" si="12"/>
        <v>0</v>
      </c>
      <c r="EQ9" s="122">
        <v>45842</v>
      </c>
      <c r="ER9" s="123">
        <v>4564.72</v>
      </c>
      <c r="ES9" s="259">
        <v>208.56</v>
      </c>
      <c r="ET9" s="127"/>
      <c r="EU9" s="126">
        <v>0</v>
      </c>
      <c r="EV9" s="27"/>
      <c r="EW9" s="51"/>
      <c r="EX9" s="52"/>
      <c r="EY9" s="52"/>
      <c r="EZ9" s="53">
        <f t="shared" si="13"/>
        <v>0</v>
      </c>
      <c r="FB9" s="122">
        <v>45842</v>
      </c>
      <c r="FC9" s="123">
        <v>585</v>
      </c>
      <c r="FD9" s="123">
        <v>236</v>
      </c>
      <c r="FE9" s="125"/>
      <c r="FF9" s="126"/>
      <c r="FG9" s="27"/>
      <c r="FH9" s="51"/>
      <c r="FI9" s="52"/>
      <c r="FJ9" s="52"/>
      <c r="FK9" s="53">
        <f t="shared" si="14"/>
        <v>0</v>
      </c>
    </row>
    <row r="10" spans="2:167" hidden="1" x14ac:dyDescent="0.25">
      <c r="B10" s="122">
        <v>45843</v>
      </c>
      <c r="C10" s="123">
        <v>10026.82</v>
      </c>
      <c r="D10" s="125"/>
      <c r="E10" s="125"/>
      <c r="F10" s="125">
        <v>0</v>
      </c>
      <c r="G10" s="27"/>
      <c r="H10" s="51"/>
      <c r="I10" s="52"/>
      <c r="J10" s="52"/>
      <c r="K10" s="53">
        <f t="shared" si="1"/>
        <v>0</v>
      </c>
      <c r="M10" s="122">
        <v>45843</v>
      </c>
      <c r="N10" s="123">
        <v>2780.11</v>
      </c>
      <c r="O10" s="125"/>
      <c r="P10" s="126">
        <v>14.79</v>
      </c>
      <c r="Q10" s="27"/>
      <c r="R10" s="51"/>
      <c r="S10" s="52"/>
      <c r="T10" s="52"/>
      <c r="U10" s="53">
        <f t="shared" si="2"/>
        <v>14.79</v>
      </c>
      <c r="W10" s="122">
        <v>45843</v>
      </c>
      <c r="X10" s="123">
        <v>1983.17</v>
      </c>
      <c r="Y10" s="123">
        <v>274</v>
      </c>
      <c r="Z10" s="125"/>
      <c r="AA10" s="123">
        <v>0</v>
      </c>
      <c r="AB10" s="27"/>
      <c r="AC10" s="51"/>
      <c r="AD10" s="52"/>
      <c r="AE10" s="52"/>
      <c r="AF10" s="53">
        <f t="shared" ref="AF10:AF36" si="15">SUM(AA10:AE10)</f>
        <v>0</v>
      </c>
      <c r="AI10" s="122">
        <v>45843</v>
      </c>
      <c r="AJ10" s="123">
        <v>1926.15</v>
      </c>
      <c r="AK10" s="125"/>
      <c r="AL10" s="126"/>
      <c r="AM10" s="27"/>
      <c r="AN10" s="51"/>
      <c r="AO10" s="52"/>
      <c r="AP10" s="52"/>
      <c r="AQ10" s="53">
        <f t="shared" ref="AQ10:AQ36" si="16">SUM(AL10:AP10)</f>
        <v>0</v>
      </c>
      <c r="AS10" s="122">
        <v>45843</v>
      </c>
      <c r="AT10" s="123">
        <v>4815.7700000000004</v>
      </c>
      <c r="AU10" s="125"/>
      <c r="AV10" s="128"/>
      <c r="AW10" s="27"/>
      <c r="AX10" s="51"/>
      <c r="AY10" s="52"/>
      <c r="AZ10" s="52"/>
      <c r="BA10" s="53">
        <f t="shared" ref="BA10:BA36" si="17">SUM(AV10:AZ10)</f>
        <v>0</v>
      </c>
      <c r="BC10" s="122">
        <v>45843</v>
      </c>
      <c r="BD10" s="123">
        <v>3893.89</v>
      </c>
      <c r="BE10" s="125"/>
      <c r="BF10" s="128">
        <v>11.2</v>
      </c>
      <c r="BG10" s="27"/>
      <c r="BH10" s="51"/>
      <c r="BI10" s="52"/>
      <c r="BJ10" s="52"/>
      <c r="BK10" s="53">
        <f t="shared" ref="BK10:BK36" si="18">SUM(BF10:BJ10)</f>
        <v>11.2</v>
      </c>
      <c r="BM10" s="122">
        <v>45843</v>
      </c>
      <c r="BN10" s="123">
        <v>14154.71</v>
      </c>
      <c r="BO10" s="123">
        <v>2940.42</v>
      </c>
      <c r="BP10" s="123">
        <v>7832.05</v>
      </c>
      <c r="BQ10" s="125"/>
      <c r="BR10" s="125"/>
      <c r="BS10" s="27"/>
      <c r="BT10" s="51"/>
      <c r="BU10" s="52"/>
      <c r="BV10" s="52"/>
      <c r="BW10" s="53">
        <f t="shared" si="0"/>
        <v>0</v>
      </c>
      <c r="BY10" s="122">
        <v>45843</v>
      </c>
      <c r="BZ10" s="256">
        <v>977.68</v>
      </c>
      <c r="CA10" s="257">
        <v>505</v>
      </c>
      <c r="CB10" s="125"/>
      <c r="CC10" s="126"/>
      <c r="CD10" s="27"/>
      <c r="CE10" s="51"/>
      <c r="CF10" s="52"/>
      <c r="CG10" s="52"/>
      <c r="CH10" s="53">
        <f t="shared" si="7"/>
        <v>0</v>
      </c>
      <c r="CJ10" s="122">
        <v>45843</v>
      </c>
      <c r="CK10" s="123">
        <v>2236.5</v>
      </c>
      <c r="CL10" s="123">
        <v>537.87</v>
      </c>
      <c r="CM10" s="125"/>
      <c r="CN10" s="126">
        <v>0</v>
      </c>
      <c r="CO10" s="27"/>
      <c r="CP10" s="51"/>
      <c r="CQ10" s="52"/>
      <c r="CR10" s="52"/>
      <c r="CS10" s="53">
        <f t="shared" si="8"/>
        <v>0</v>
      </c>
      <c r="CU10" s="122">
        <v>45843</v>
      </c>
      <c r="CV10" s="123">
        <v>3801.42</v>
      </c>
      <c r="CW10" s="127">
        <v>439.73</v>
      </c>
      <c r="CX10" s="125"/>
      <c r="CY10" s="126">
        <v>71.41</v>
      </c>
      <c r="CZ10" s="27"/>
      <c r="DA10" s="51"/>
      <c r="DB10" s="173"/>
      <c r="DC10" s="52"/>
      <c r="DD10" s="52"/>
      <c r="DE10" s="53">
        <f t="shared" si="9"/>
        <v>71.41</v>
      </c>
      <c r="DH10" s="122">
        <v>45843</v>
      </c>
      <c r="DI10" s="123">
        <v>1750.74</v>
      </c>
      <c r="DJ10" s="127">
        <v>379.73</v>
      </c>
      <c r="DK10" s="127"/>
      <c r="DL10" s="127"/>
      <c r="DM10" s="126">
        <v>4</v>
      </c>
      <c r="DN10" s="27"/>
      <c r="DO10" s="51"/>
      <c r="DP10" s="52"/>
      <c r="DQ10" s="52"/>
      <c r="DR10" s="53">
        <f t="shared" si="10"/>
        <v>4</v>
      </c>
      <c r="DT10" s="122">
        <v>45843</v>
      </c>
      <c r="DU10" s="123">
        <v>1990.47</v>
      </c>
      <c r="DV10" s="127">
        <v>1676.17</v>
      </c>
      <c r="DW10" s="127"/>
      <c r="DX10" s="126">
        <v>26.1</v>
      </c>
      <c r="DY10" s="27"/>
      <c r="DZ10" s="51"/>
      <c r="EA10" s="52"/>
      <c r="EB10" s="52"/>
      <c r="EC10" s="53">
        <f t="shared" si="11"/>
        <v>26.1</v>
      </c>
      <c r="EE10" s="122">
        <v>45843</v>
      </c>
      <c r="EF10" s="123">
        <v>1014.77</v>
      </c>
      <c r="EG10" s="127">
        <v>692.6</v>
      </c>
      <c r="EH10" s="127"/>
      <c r="EI10" s="258">
        <v>0</v>
      </c>
      <c r="EJ10" s="27"/>
      <c r="EK10" s="51"/>
      <c r="EL10" s="173"/>
      <c r="EM10" s="52"/>
      <c r="EN10" s="52"/>
      <c r="EO10" s="53">
        <f t="shared" si="12"/>
        <v>0</v>
      </c>
      <c r="EQ10" s="122">
        <v>45843</v>
      </c>
      <c r="ER10" s="123">
        <v>2829.79</v>
      </c>
      <c r="ES10" s="259">
        <v>352.12</v>
      </c>
      <c r="ET10" s="127"/>
      <c r="EU10" s="126">
        <v>0</v>
      </c>
      <c r="EV10" s="27"/>
      <c r="EW10" s="51"/>
      <c r="EX10" s="52"/>
      <c r="EY10" s="52"/>
      <c r="EZ10" s="53">
        <f t="shared" si="13"/>
        <v>0</v>
      </c>
      <c r="FB10" s="122">
        <v>45843</v>
      </c>
      <c r="FC10" s="123">
        <v>713.81</v>
      </c>
      <c r="FD10" s="123">
        <v>302.10000000000002</v>
      </c>
      <c r="FE10" s="125"/>
      <c r="FF10" s="126"/>
      <c r="FG10" s="27"/>
      <c r="FH10" s="51"/>
      <c r="FI10" s="52"/>
      <c r="FJ10" s="52"/>
      <c r="FK10" s="53">
        <f t="shared" si="14"/>
        <v>0</v>
      </c>
    </row>
    <row r="11" spans="2:167" hidden="1" x14ac:dyDescent="0.25">
      <c r="B11" s="122">
        <v>45844</v>
      </c>
      <c r="C11" s="123">
        <v>6180.4</v>
      </c>
      <c r="D11" s="125"/>
      <c r="E11" s="125"/>
      <c r="F11" s="125">
        <v>0</v>
      </c>
      <c r="G11" s="27"/>
      <c r="H11" s="51"/>
      <c r="I11" s="52"/>
      <c r="J11" s="52"/>
      <c r="K11" s="53">
        <f t="shared" si="1"/>
        <v>0</v>
      </c>
      <c r="M11" s="122">
        <v>45844</v>
      </c>
      <c r="N11" s="123">
        <v>3372.09</v>
      </c>
      <c r="O11" s="125"/>
      <c r="P11" s="126">
        <v>27.04</v>
      </c>
      <c r="Q11" s="27"/>
      <c r="R11" s="51"/>
      <c r="S11" s="52"/>
      <c r="T11" s="52"/>
      <c r="U11" s="53">
        <f t="shared" si="2"/>
        <v>27.04</v>
      </c>
      <c r="W11" s="122">
        <v>45844</v>
      </c>
      <c r="X11" s="123">
        <v>1180.58</v>
      </c>
      <c r="Y11" s="123">
        <v>102.04</v>
      </c>
      <c r="Z11" s="125"/>
      <c r="AA11" s="123">
        <v>0</v>
      </c>
      <c r="AB11" s="27"/>
      <c r="AC11" s="51"/>
      <c r="AD11" s="52"/>
      <c r="AE11" s="52"/>
      <c r="AF11" s="53">
        <f t="shared" si="15"/>
        <v>0</v>
      </c>
      <c r="AI11" s="122">
        <v>45844</v>
      </c>
      <c r="AJ11" s="123">
        <v>1804.17</v>
      </c>
      <c r="AK11" s="125"/>
      <c r="AL11" s="126"/>
      <c r="AM11" s="27"/>
      <c r="AN11" s="51"/>
      <c r="AO11" s="52"/>
      <c r="AP11" s="52"/>
      <c r="AQ11" s="53">
        <f t="shared" si="16"/>
        <v>0</v>
      </c>
      <c r="AS11" s="122">
        <v>45844</v>
      </c>
      <c r="AT11" s="123">
        <v>3201.89</v>
      </c>
      <c r="AU11" s="125"/>
      <c r="AV11" s="128"/>
      <c r="AW11" s="27"/>
      <c r="AX11" s="51"/>
      <c r="AY11" s="52"/>
      <c r="AZ11" s="52"/>
      <c r="BA11" s="53">
        <f t="shared" si="17"/>
        <v>0</v>
      </c>
      <c r="BC11" s="122">
        <v>45844</v>
      </c>
      <c r="BD11" s="123">
        <v>2413.3000000000002</v>
      </c>
      <c r="BE11" s="125"/>
      <c r="BF11" s="128">
        <v>0</v>
      </c>
      <c r="BG11" s="27"/>
      <c r="BH11" s="51"/>
      <c r="BI11" s="52"/>
      <c r="BJ11" s="52"/>
      <c r="BK11" s="53">
        <f t="shared" si="18"/>
        <v>0</v>
      </c>
      <c r="BM11" s="122">
        <v>45844</v>
      </c>
      <c r="BN11" s="123">
        <v>11087.22</v>
      </c>
      <c r="BO11" s="123">
        <v>0</v>
      </c>
      <c r="BP11" s="123">
        <v>4328.7</v>
      </c>
      <c r="BQ11" s="125"/>
      <c r="BR11" s="125"/>
      <c r="BS11" s="27"/>
      <c r="BT11" s="51"/>
      <c r="BU11" s="52"/>
      <c r="BV11" s="52"/>
      <c r="BW11" s="53">
        <f t="shared" si="0"/>
        <v>0</v>
      </c>
      <c r="BY11" s="122">
        <v>45844</v>
      </c>
      <c r="BZ11" s="256">
        <v>1190.3800000000001</v>
      </c>
      <c r="CA11" s="257">
        <v>514.76</v>
      </c>
      <c r="CB11" s="125"/>
      <c r="CC11" s="126"/>
      <c r="CD11" s="27"/>
      <c r="CE11" s="51"/>
      <c r="CF11" s="52"/>
      <c r="CG11" s="52"/>
      <c r="CH11" s="53">
        <f t="shared" si="7"/>
        <v>0</v>
      </c>
      <c r="CJ11" s="122">
        <v>45844</v>
      </c>
      <c r="CK11" s="123">
        <v>2529.56</v>
      </c>
      <c r="CL11" s="123">
        <v>629.03</v>
      </c>
      <c r="CM11" s="125"/>
      <c r="CN11" s="126">
        <v>16.77</v>
      </c>
      <c r="CO11" s="27"/>
      <c r="CP11" s="51"/>
      <c r="CQ11" s="52"/>
      <c r="CR11" s="52"/>
      <c r="CS11" s="53">
        <f t="shared" si="8"/>
        <v>16.77</v>
      </c>
      <c r="CU11" s="122">
        <v>45844</v>
      </c>
      <c r="CV11" s="123">
        <v>3417.25</v>
      </c>
      <c r="CW11" s="127">
        <v>767.91</v>
      </c>
      <c r="CX11" s="125"/>
      <c r="CY11" s="126">
        <v>184.04</v>
      </c>
      <c r="CZ11" s="27"/>
      <c r="DA11" s="51"/>
      <c r="DB11" s="173"/>
      <c r="DC11" s="52"/>
      <c r="DD11" s="52"/>
      <c r="DE11" s="53">
        <f t="shared" si="9"/>
        <v>184.04</v>
      </c>
      <c r="DH11" s="122">
        <v>45844</v>
      </c>
      <c r="DI11" s="123">
        <v>1077.83</v>
      </c>
      <c r="DJ11" s="259">
        <v>405.52</v>
      </c>
      <c r="DK11" s="259"/>
      <c r="DL11" s="127"/>
      <c r="DM11" s="126">
        <v>4</v>
      </c>
      <c r="DN11" s="27"/>
      <c r="DO11" s="51"/>
      <c r="DP11" s="52"/>
      <c r="DQ11" s="52"/>
      <c r="DR11" s="53">
        <f t="shared" si="10"/>
        <v>4</v>
      </c>
      <c r="DT11" s="122">
        <v>45844</v>
      </c>
      <c r="DU11" s="123">
        <v>1494.08</v>
      </c>
      <c r="DV11" s="259">
        <v>1124.04</v>
      </c>
      <c r="DW11" s="127"/>
      <c r="DX11" s="126">
        <v>10.199999999999999</v>
      </c>
      <c r="DY11" s="27"/>
      <c r="DZ11" s="51"/>
      <c r="EA11" s="52"/>
      <c r="EB11" s="52"/>
      <c r="EC11" s="53">
        <f t="shared" si="11"/>
        <v>10.199999999999999</v>
      </c>
      <c r="EE11" s="122">
        <v>45844</v>
      </c>
      <c r="EF11" s="123">
        <v>666.58</v>
      </c>
      <c r="EG11" s="127">
        <v>507.7</v>
      </c>
      <c r="EH11" s="127"/>
      <c r="EI11" s="258">
        <v>0</v>
      </c>
      <c r="EJ11" s="27"/>
      <c r="EK11" s="51"/>
      <c r="EL11" s="173"/>
      <c r="EM11" s="52"/>
      <c r="EN11" s="52"/>
      <c r="EO11" s="53">
        <f t="shared" si="12"/>
        <v>0</v>
      </c>
      <c r="EQ11" s="122">
        <v>45844</v>
      </c>
      <c r="ER11" s="123">
        <v>2628.3</v>
      </c>
      <c r="ES11" s="259">
        <v>399.49</v>
      </c>
      <c r="ET11" s="127"/>
      <c r="EU11" s="126">
        <v>0</v>
      </c>
      <c r="EV11" s="27"/>
      <c r="EW11" s="51"/>
      <c r="EX11" s="52"/>
      <c r="EY11" s="52"/>
      <c r="EZ11" s="53">
        <f t="shared" si="13"/>
        <v>0</v>
      </c>
      <c r="FB11" s="122">
        <v>45844</v>
      </c>
      <c r="FC11" s="123">
        <v>493.98</v>
      </c>
      <c r="FD11" s="123">
        <v>161.19999999999999</v>
      </c>
      <c r="FE11" s="125"/>
      <c r="FF11" s="126"/>
      <c r="FG11" s="27"/>
      <c r="FH11" s="51"/>
      <c r="FI11" s="52"/>
      <c r="FJ11" s="52"/>
      <c r="FK11" s="53">
        <f t="shared" si="14"/>
        <v>0</v>
      </c>
    </row>
    <row r="12" spans="2:167" hidden="1" x14ac:dyDescent="0.25">
      <c r="B12" s="122">
        <v>45845</v>
      </c>
      <c r="C12" s="123">
        <v>10160.67</v>
      </c>
      <c r="D12" s="125"/>
      <c r="E12" s="125"/>
      <c r="F12" s="125">
        <v>0</v>
      </c>
      <c r="G12" s="27"/>
      <c r="H12" s="51"/>
      <c r="I12" s="52"/>
      <c r="J12" s="52"/>
      <c r="K12" s="53">
        <f t="shared" si="1"/>
        <v>0</v>
      </c>
      <c r="M12" s="122">
        <v>45845</v>
      </c>
      <c r="N12" s="123">
        <v>2874.15</v>
      </c>
      <c r="O12" s="125"/>
      <c r="P12" s="126">
        <v>18.77</v>
      </c>
      <c r="Q12" s="27"/>
      <c r="R12" s="51"/>
      <c r="S12" s="52"/>
      <c r="T12" s="52"/>
      <c r="U12" s="53">
        <f t="shared" si="2"/>
        <v>18.77</v>
      </c>
      <c r="W12" s="122">
        <v>45845</v>
      </c>
      <c r="X12" s="123">
        <v>1426.22</v>
      </c>
      <c r="Y12" s="123">
        <v>205.35</v>
      </c>
      <c r="Z12" s="125"/>
      <c r="AA12" s="123">
        <v>0</v>
      </c>
      <c r="AB12" s="27"/>
      <c r="AC12" s="51"/>
      <c r="AD12" s="52"/>
      <c r="AE12" s="52"/>
      <c r="AF12" s="53">
        <f t="shared" si="15"/>
        <v>0</v>
      </c>
      <c r="AI12" s="122">
        <v>45845</v>
      </c>
      <c r="AJ12" s="123">
        <v>1291.8699999999999</v>
      </c>
      <c r="AK12" s="125"/>
      <c r="AL12" s="126"/>
      <c r="AM12" s="27"/>
      <c r="AN12" s="51"/>
      <c r="AO12" s="52"/>
      <c r="AP12" s="52"/>
      <c r="AQ12" s="53">
        <f t="shared" si="16"/>
        <v>0</v>
      </c>
      <c r="AS12" s="122">
        <v>45845</v>
      </c>
      <c r="AT12" s="123">
        <v>3823.59</v>
      </c>
      <c r="AU12" s="125"/>
      <c r="AV12" s="128"/>
      <c r="AW12" s="27"/>
      <c r="AX12" s="51"/>
      <c r="AY12" s="52"/>
      <c r="AZ12" s="52"/>
      <c r="BA12" s="53">
        <f t="shared" si="17"/>
        <v>0</v>
      </c>
      <c r="BC12" s="122">
        <v>45845</v>
      </c>
      <c r="BD12" s="123">
        <v>4276.29</v>
      </c>
      <c r="BE12" s="125"/>
      <c r="BF12" s="128">
        <v>16.010000000000002</v>
      </c>
      <c r="BG12" s="27"/>
      <c r="BH12" s="51"/>
      <c r="BI12" s="52"/>
      <c r="BJ12" s="52"/>
      <c r="BK12" s="53">
        <f t="shared" si="18"/>
        <v>16.010000000000002</v>
      </c>
      <c r="BM12" s="122">
        <v>45845</v>
      </c>
      <c r="BN12" s="123">
        <v>14361.73</v>
      </c>
      <c r="BO12" s="123">
        <v>1782.53</v>
      </c>
      <c r="BP12" s="123">
        <v>7141.59</v>
      </c>
      <c r="BQ12" s="125"/>
      <c r="BR12" s="125"/>
      <c r="BS12" s="27"/>
      <c r="BT12" s="51"/>
      <c r="BU12" s="52"/>
      <c r="BV12" s="52"/>
      <c r="BW12" s="53">
        <f t="shared" si="0"/>
        <v>0</v>
      </c>
      <c r="BY12" s="122">
        <v>45845</v>
      </c>
      <c r="BZ12" s="256">
        <v>1886.54</v>
      </c>
      <c r="CA12" s="257">
        <v>424.58</v>
      </c>
      <c r="CB12" s="125"/>
      <c r="CC12" s="126"/>
      <c r="CD12" s="27"/>
      <c r="CE12" s="51"/>
      <c r="CF12" s="52"/>
      <c r="CG12" s="52"/>
      <c r="CH12" s="53">
        <f t="shared" si="7"/>
        <v>0</v>
      </c>
      <c r="CJ12" s="122">
        <v>45845</v>
      </c>
      <c r="CK12" s="123">
        <v>4339.18</v>
      </c>
      <c r="CL12" s="123">
        <v>631.72</v>
      </c>
      <c r="CM12" s="125"/>
      <c r="CN12" s="126">
        <v>0</v>
      </c>
      <c r="CO12" s="27"/>
      <c r="CP12" s="51"/>
      <c r="CQ12" s="52"/>
      <c r="CR12" s="52"/>
      <c r="CS12" s="53">
        <f t="shared" si="8"/>
        <v>0</v>
      </c>
      <c r="CU12" s="122">
        <v>45845</v>
      </c>
      <c r="CV12" s="123">
        <v>4722.53</v>
      </c>
      <c r="CW12" s="127">
        <v>709.66</v>
      </c>
      <c r="CX12" s="125"/>
      <c r="CY12" s="126">
        <v>205.93</v>
      </c>
      <c r="CZ12" s="27"/>
      <c r="DA12" s="51"/>
      <c r="DB12" s="173"/>
      <c r="DC12" s="52"/>
      <c r="DD12" s="52"/>
      <c r="DE12" s="53">
        <f t="shared" si="9"/>
        <v>205.93</v>
      </c>
      <c r="DH12" s="122">
        <v>45845</v>
      </c>
      <c r="DI12" s="123">
        <v>2117.44</v>
      </c>
      <c r="DJ12" s="127">
        <v>436.66</v>
      </c>
      <c r="DK12" s="127"/>
      <c r="DL12" s="127"/>
      <c r="DM12" s="126">
        <v>12.4</v>
      </c>
      <c r="DN12" s="27"/>
      <c r="DO12" s="51"/>
      <c r="DP12" s="52"/>
      <c r="DQ12" s="52"/>
      <c r="DR12" s="53">
        <f t="shared" si="10"/>
        <v>12.4</v>
      </c>
      <c r="DT12" s="122">
        <v>45845</v>
      </c>
      <c r="DU12" s="123">
        <v>1346.6</v>
      </c>
      <c r="DV12" s="127">
        <v>1457.67</v>
      </c>
      <c r="DW12" s="127"/>
      <c r="DX12" s="126">
        <v>63.57</v>
      </c>
      <c r="DY12" s="27"/>
      <c r="DZ12" s="51"/>
      <c r="EA12" s="52"/>
      <c r="EB12" s="52"/>
      <c r="EC12" s="53">
        <f t="shared" si="11"/>
        <v>63.57</v>
      </c>
      <c r="EE12" s="122">
        <v>45845</v>
      </c>
      <c r="EF12" s="123">
        <v>1192.56</v>
      </c>
      <c r="EG12" s="127">
        <v>656.55</v>
      </c>
      <c r="EH12" s="127"/>
      <c r="EI12" s="258">
        <v>0</v>
      </c>
      <c r="EJ12" s="27"/>
      <c r="EK12" s="51"/>
      <c r="EL12" s="173"/>
      <c r="EM12" s="52"/>
      <c r="EN12" s="52"/>
      <c r="EO12" s="53">
        <f t="shared" si="12"/>
        <v>0</v>
      </c>
      <c r="EQ12" s="122">
        <v>45845</v>
      </c>
      <c r="ER12" s="123">
        <v>2612.06</v>
      </c>
      <c r="ES12" s="259">
        <v>308.58999999999997</v>
      </c>
      <c r="ET12" s="127"/>
      <c r="EU12" s="126">
        <v>212.8</v>
      </c>
      <c r="EV12" s="27"/>
      <c r="EW12" s="51"/>
      <c r="EX12" s="52"/>
      <c r="EY12" s="52"/>
      <c r="EZ12" s="53">
        <f t="shared" si="13"/>
        <v>212.8</v>
      </c>
      <c r="FB12" s="122">
        <v>45845</v>
      </c>
      <c r="FC12" s="123">
        <v>643.86</v>
      </c>
      <c r="FD12" s="123">
        <v>264</v>
      </c>
      <c r="FE12" s="125"/>
      <c r="FF12" s="126"/>
      <c r="FG12" s="27"/>
      <c r="FH12" s="51"/>
      <c r="FI12" s="52"/>
      <c r="FJ12" s="52"/>
      <c r="FK12" s="53">
        <f t="shared" si="14"/>
        <v>0</v>
      </c>
    </row>
    <row r="13" spans="2:167" hidden="1" x14ac:dyDescent="0.25">
      <c r="B13" s="122">
        <v>45846</v>
      </c>
      <c r="C13" s="123">
        <v>9064.6299999999992</v>
      </c>
      <c r="D13" s="125"/>
      <c r="E13" s="125"/>
      <c r="F13" s="125">
        <v>0</v>
      </c>
      <c r="G13" s="27"/>
      <c r="H13" s="51"/>
      <c r="I13" s="52"/>
      <c r="J13" s="52"/>
      <c r="K13" s="53">
        <f t="shared" si="1"/>
        <v>0</v>
      </c>
      <c r="M13" s="122">
        <v>45846</v>
      </c>
      <c r="N13" s="123">
        <v>3206.37</v>
      </c>
      <c r="O13" s="125"/>
      <c r="P13" s="126">
        <v>44.19</v>
      </c>
      <c r="Q13" s="27"/>
      <c r="R13" s="51"/>
      <c r="S13" s="52"/>
      <c r="T13" s="52"/>
      <c r="U13" s="53">
        <f t="shared" si="2"/>
        <v>44.19</v>
      </c>
      <c r="W13" s="122">
        <v>45846</v>
      </c>
      <c r="X13" s="123">
        <v>1867.01</v>
      </c>
      <c r="Y13" s="123">
        <v>140</v>
      </c>
      <c r="Z13" s="125"/>
      <c r="AA13" s="123">
        <v>0</v>
      </c>
      <c r="AB13" s="27"/>
      <c r="AC13" s="51"/>
      <c r="AD13" s="52"/>
      <c r="AE13" s="52"/>
      <c r="AF13" s="53">
        <f t="shared" si="15"/>
        <v>0</v>
      </c>
      <c r="AI13" s="122">
        <v>45846</v>
      </c>
      <c r="AJ13" s="123">
        <v>1307.78</v>
      </c>
      <c r="AK13" s="125"/>
      <c r="AL13" s="126"/>
      <c r="AM13" s="27"/>
      <c r="AN13" s="51"/>
      <c r="AO13" s="52"/>
      <c r="AP13" s="52"/>
      <c r="AQ13" s="53">
        <f t="shared" si="16"/>
        <v>0</v>
      </c>
      <c r="AS13" s="122">
        <v>45846</v>
      </c>
      <c r="AT13" s="123">
        <v>3692.33</v>
      </c>
      <c r="AU13" s="125"/>
      <c r="AV13" s="128"/>
      <c r="AW13" s="27"/>
      <c r="AX13" s="51"/>
      <c r="AY13" s="52"/>
      <c r="AZ13" s="52"/>
      <c r="BA13" s="53">
        <f t="shared" si="17"/>
        <v>0</v>
      </c>
      <c r="BC13" s="122">
        <v>45846</v>
      </c>
      <c r="BD13" s="123">
        <v>3146.3</v>
      </c>
      <c r="BE13" s="125"/>
      <c r="BF13" s="128">
        <v>8.5</v>
      </c>
      <c r="BG13" s="27"/>
      <c r="BH13" s="51"/>
      <c r="BI13" s="52"/>
      <c r="BJ13" s="52"/>
      <c r="BK13" s="53">
        <f t="shared" si="18"/>
        <v>8.5</v>
      </c>
      <c r="BM13" s="122">
        <v>45846</v>
      </c>
      <c r="BN13" s="123">
        <v>14125.24</v>
      </c>
      <c r="BO13" s="123">
        <v>2877.76</v>
      </c>
      <c r="BP13" s="123">
        <v>6140.02</v>
      </c>
      <c r="BQ13" s="125"/>
      <c r="BR13" s="125"/>
      <c r="BS13" s="27"/>
      <c r="BT13" s="51"/>
      <c r="BU13" s="52"/>
      <c r="BV13" s="52"/>
      <c r="BW13" s="53">
        <f t="shared" si="0"/>
        <v>0</v>
      </c>
      <c r="BY13" s="122">
        <v>45846</v>
      </c>
      <c r="BZ13" s="256">
        <v>1890.86</v>
      </c>
      <c r="CA13" s="257">
        <v>433.06</v>
      </c>
      <c r="CB13" s="125"/>
      <c r="CC13" s="126"/>
      <c r="CD13" s="27"/>
      <c r="CE13" s="51"/>
      <c r="CF13" s="52"/>
      <c r="CG13" s="52"/>
      <c r="CH13" s="53">
        <f t="shared" si="7"/>
        <v>0</v>
      </c>
      <c r="CJ13" s="122">
        <v>45846</v>
      </c>
      <c r="CK13" s="123">
        <v>2497.87</v>
      </c>
      <c r="CL13" s="123">
        <v>516.41999999999996</v>
      </c>
      <c r="CM13" s="125"/>
      <c r="CN13" s="126">
        <v>12.68</v>
      </c>
      <c r="CO13" s="27"/>
      <c r="CP13" s="51"/>
      <c r="CQ13" s="52"/>
      <c r="CR13" s="52"/>
      <c r="CS13" s="53">
        <f t="shared" si="8"/>
        <v>12.68</v>
      </c>
      <c r="CU13" s="122">
        <v>45846</v>
      </c>
      <c r="CV13" s="123">
        <v>5348.08</v>
      </c>
      <c r="CW13" s="127">
        <v>571.79999999999995</v>
      </c>
      <c r="CX13" s="125"/>
      <c r="CY13" s="126">
        <v>53.86</v>
      </c>
      <c r="CZ13" s="27"/>
      <c r="DA13" s="51"/>
      <c r="DB13" s="173"/>
      <c r="DC13" s="52"/>
      <c r="DD13" s="52"/>
      <c r="DE13" s="53">
        <f t="shared" si="9"/>
        <v>53.86</v>
      </c>
      <c r="DH13" s="122">
        <v>45846</v>
      </c>
      <c r="DI13" s="123">
        <v>972.61</v>
      </c>
      <c r="DJ13" s="127">
        <v>389.67</v>
      </c>
      <c r="DK13" s="127"/>
      <c r="DL13" s="127"/>
      <c r="DM13" s="126">
        <v>7.49</v>
      </c>
      <c r="DN13" s="27"/>
      <c r="DO13" s="51"/>
      <c r="DP13" s="52"/>
      <c r="DQ13" s="52"/>
      <c r="DR13" s="53">
        <f t="shared" si="10"/>
        <v>7.49</v>
      </c>
      <c r="DT13" s="122">
        <v>45846</v>
      </c>
      <c r="DU13" s="123">
        <v>1776.56</v>
      </c>
      <c r="DV13" s="127">
        <v>1466.69</v>
      </c>
      <c r="DW13" s="127"/>
      <c r="DX13" s="126">
        <v>19.239999999999998</v>
      </c>
      <c r="DY13" s="27"/>
      <c r="DZ13" s="51"/>
      <c r="EA13" s="52"/>
      <c r="EB13" s="52"/>
      <c r="EC13" s="53">
        <f t="shared" si="11"/>
        <v>19.239999999999998</v>
      </c>
      <c r="EE13" s="122">
        <v>45846</v>
      </c>
      <c r="EF13" s="123">
        <v>1108.24</v>
      </c>
      <c r="EG13" s="127">
        <v>295.42</v>
      </c>
      <c r="EH13" s="127"/>
      <c r="EI13" s="258">
        <v>0</v>
      </c>
      <c r="EJ13" s="27"/>
      <c r="EK13" s="51"/>
      <c r="EL13" s="173"/>
      <c r="EM13" s="52"/>
      <c r="EN13" s="52"/>
      <c r="EO13" s="53">
        <f t="shared" si="12"/>
        <v>0</v>
      </c>
      <c r="EQ13" s="122">
        <v>45846</v>
      </c>
      <c r="ER13" s="123">
        <v>4741.28</v>
      </c>
      <c r="ES13" s="259">
        <v>303.64</v>
      </c>
      <c r="ET13" s="127"/>
      <c r="EU13" s="126">
        <v>245.79</v>
      </c>
      <c r="EV13" s="27"/>
      <c r="EW13" s="51"/>
      <c r="EX13" s="52"/>
      <c r="EY13" s="52"/>
      <c r="EZ13" s="53">
        <f t="shared" si="13"/>
        <v>245.79</v>
      </c>
      <c r="FB13" s="122">
        <v>45846</v>
      </c>
      <c r="FC13" s="123">
        <v>999.95</v>
      </c>
      <c r="FD13" s="123">
        <v>122</v>
      </c>
      <c r="FE13" s="125"/>
      <c r="FF13" s="126"/>
      <c r="FG13" s="27"/>
      <c r="FH13" s="51"/>
      <c r="FI13" s="52"/>
      <c r="FJ13" s="52"/>
      <c r="FK13" s="53">
        <f t="shared" si="14"/>
        <v>0</v>
      </c>
    </row>
    <row r="14" spans="2:167" hidden="1" x14ac:dyDescent="0.25">
      <c r="B14" s="122">
        <v>45847</v>
      </c>
      <c r="C14" s="123">
        <v>10899.88</v>
      </c>
      <c r="D14" s="125"/>
      <c r="E14" s="125"/>
      <c r="F14" s="125">
        <v>82.76</v>
      </c>
      <c r="G14" s="27"/>
      <c r="H14" s="51"/>
      <c r="I14" s="52"/>
      <c r="J14" s="52"/>
      <c r="K14" s="53">
        <f t="shared" si="1"/>
        <v>82.76</v>
      </c>
      <c r="M14" s="122">
        <v>45847</v>
      </c>
      <c r="N14" s="126">
        <v>2922.51</v>
      </c>
      <c r="O14" s="125"/>
      <c r="P14" s="126">
        <v>5.66</v>
      </c>
      <c r="Q14" s="27"/>
      <c r="R14" s="51"/>
      <c r="S14" s="52"/>
      <c r="T14" s="52"/>
      <c r="U14" s="53">
        <f t="shared" si="2"/>
        <v>5.66</v>
      </c>
      <c r="W14" s="122">
        <v>45847</v>
      </c>
      <c r="X14" s="123">
        <v>2411.0300000000002</v>
      </c>
      <c r="Y14" s="123">
        <v>145</v>
      </c>
      <c r="Z14" s="125"/>
      <c r="AA14" s="123">
        <v>0</v>
      </c>
      <c r="AB14" s="27"/>
      <c r="AC14" s="51"/>
      <c r="AD14" s="52"/>
      <c r="AE14" s="52"/>
      <c r="AF14" s="53">
        <f t="shared" si="15"/>
        <v>0</v>
      </c>
      <c r="AI14" s="122">
        <v>45847</v>
      </c>
      <c r="AJ14" s="123">
        <v>1150.49</v>
      </c>
      <c r="AK14" s="125"/>
      <c r="AL14" s="126"/>
      <c r="AM14" s="27"/>
      <c r="AN14" s="51"/>
      <c r="AO14" s="52"/>
      <c r="AP14" s="52"/>
      <c r="AQ14" s="53">
        <f t="shared" si="16"/>
        <v>0</v>
      </c>
      <c r="AS14" s="122">
        <v>45847</v>
      </c>
      <c r="AT14" s="123">
        <v>6045.73</v>
      </c>
      <c r="AU14" s="125"/>
      <c r="AV14" s="128"/>
      <c r="AW14" s="27"/>
      <c r="AX14" s="51"/>
      <c r="AY14" s="52"/>
      <c r="AZ14" s="52"/>
      <c r="BA14" s="53">
        <f t="shared" si="17"/>
        <v>0</v>
      </c>
      <c r="BC14" s="122">
        <v>45847</v>
      </c>
      <c r="BD14" s="123">
        <v>4572.29</v>
      </c>
      <c r="BE14" s="125"/>
      <c r="BF14" s="128">
        <v>11.34</v>
      </c>
      <c r="BG14" s="27"/>
      <c r="BH14" s="51"/>
      <c r="BI14" s="52"/>
      <c r="BJ14" s="52"/>
      <c r="BK14" s="53">
        <f t="shared" si="18"/>
        <v>11.34</v>
      </c>
      <c r="BM14" s="122">
        <v>45847</v>
      </c>
      <c r="BN14" s="123">
        <v>13569.96</v>
      </c>
      <c r="BO14" s="123">
        <v>3591.77</v>
      </c>
      <c r="BP14" s="123">
        <v>8128.16</v>
      </c>
      <c r="BQ14" s="125"/>
      <c r="BR14" s="125"/>
      <c r="BS14" s="27"/>
      <c r="BT14" s="51"/>
      <c r="BU14" s="52"/>
      <c r="BV14" s="52"/>
      <c r="BW14" s="53">
        <f t="shared" si="0"/>
        <v>0</v>
      </c>
      <c r="BY14" s="122">
        <v>45847</v>
      </c>
      <c r="BZ14" s="256">
        <v>1773.68</v>
      </c>
      <c r="CA14" s="257">
        <v>686.07</v>
      </c>
      <c r="CB14" s="125"/>
      <c r="CC14" s="126"/>
      <c r="CD14" s="27"/>
      <c r="CE14" s="51"/>
      <c r="CF14" s="52"/>
      <c r="CG14" s="52"/>
      <c r="CH14" s="53">
        <f t="shared" si="7"/>
        <v>0</v>
      </c>
      <c r="CJ14" s="122">
        <v>45847</v>
      </c>
      <c r="CK14" s="123">
        <v>4649.59</v>
      </c>
      <c r="CL14" s="123">
        <v>491.09</v>
      </c>
      <c r="CM14" s="125"/>
      <c r="CN14" s="126">
        <v>26.04</v>
      </c>
      <c r="CO14" s="27"/>
      <c r="CP14" s="51"/>
      <c r="CQ14" s="52"/>
      <c r="CR14" s="52"/>
      <c r="CS14" s="53">
        <f t="shared" si="8"/>
        <v>26.04</v>
      </c>
      <c r="CU14" s="122">
        <v>45847</v>
      </c>
      <c r="CV14" s="123">
        <v>6411.86</v>
      </c>
      <c r="CW14" s="127">
        <v>1125.74</v>
      </c>
      <c r="CX14" s="125"/>
      <c r="CY14" s="128">
        <v>83.1</v>
      </c>
      <c r="CZ14" s="27"/>
      <c r="DA14" s="51"/>
      <c r="DB14" s="173"/>
      <c r="DC14" s="52"/>
      <c r="DD14" s="52"/>
      <c r="DE14" s="53">
        <f t="shared" si="9"/>
        <v>83.1</v>
      </c>
      <c r="DH14" s="122">
        <v>45847</v>
      </c>
      <c r="DI14" s="123">
        <v>2250.7600000000002</v>
      </c>
      <c r="DJ14" s="127">
        <v>344.91</v>
      </c>
      <c r="DK14" s="127"/>
      <c r="DL14" s="127"/>
      <c r="DM14" s="126">
        <v>4</v>
      </c>
      <c r="DN14" s="27"/>
      <c r="DO14" s="51"/>
      <c r="DP14" s="52"/>
      <c r="DQ14" s="52"/>
      <c r="DR14" s="53">
        <f t="shared" si="10"/>
        <v>4</v>
      </c>
      <c r="DT14" s="122">
        <v>45847</v>
      </c>
      <c r="DU14" s="123">
        <v>1563.6</v>
      </c>
      <c r="DV14" s="127">
        <v>1616.46</v>
      </c>
      <c r="DW14" s="127"/>
      <c r="DX14" s="126">
        <v>13.56</v>
      </c>
      <c r="DY14" s="27"/>
      <c r="DZ14" s="51"/>
      <c r="EA14" s="52"/>
      <c r="EB14" s="52"/>
      <c r="EC14" s="53">
        <f t="shared" si="11"/>
        <v>13.56</v>
      </c>
      <c r="EE14" s="122">
        <v>45847</v>
      </c>
      <c r="EF14" s="123">
        <v>1023.58</v>
      </c>
      <c r="EG14" s="127">
        <v>746.88</v>
      </c>
      <c r="EH14" s="127"/>
      <c r="EI14" s="258">
        <v>0</v>
      </c>
      <c r="EJ14" s="27"/>
      <c r="EK14" s="51"/>
      <c r="EL14" s="173"/>
      <c r="EM14" s="52"/>
      <c r="EN14" s="52"/>
      <c r="EO14" s="53">
        <f t="shared" si="12"/>
        <v>0</v>
      </c>
      <c r="EQ14" s="122">
        <v>45847</v>
      </c>
      <c r="ER14" s="123">
        <v>4758.26</v>
      </c>
      <c r="ES14" s="259">
        <v>1073.17</v>
      </c>
      <c r="ET14" s="127"/>
      <c r="EU14" s="126">
        <v>127.9</v>
      </c>
      <c r="EV14" s="27"/>
      <c r="EW14" s="51"/>
      <c r="EX14" s="52"/>
      <c r="EY14" s="52"/>
      <c r="EZ14" s="53">
        <f t="shared" si="13"/>
        <v>127.9</v>
      </c>
      <c r="FB14" s="122">
        <v>45847</v>
      </c>
      <c r="FC14" s="123">
        <v>720.21</v>
      </c>
      <c r="FD14" s="123">
        <v>140</v>
      </c>
      <c r="FE14" s="125"/>
      <c r="FF14" s="126"/>
      <c r="FG14" s="27"/>
      <c r="FH14" s="51"/>
      <c r="FI14" s="52"/>
      <c r="FJ14" s="52"/>
      <c r="FK14" s="53">
        <f t="shared" si="14"/>
        <v>0</v>
      </c>
    </row>
    <row r="15" spans="2:167" hidden="1" x14ac:dyDescent="0.25">
      <c r="B15" s="122">
        <v>45848</v>
      </c>
      <c r="C15" s="123">
        <v>8757.51</v>
      </c>
      <c r="D15" s="125"/>
      <c r="E15" s="125"/>
      <c r="F15" s="125">
        <v>35.4</v>
      </c>
      <c r="G15" s="27"/>
      <c r="H15" s="51"/>
      <c r="I15" s="52"/>
      <c r="J15" s="52"/>
      <c r="K15" s="53">
        <f t="shared" si="1"/>
        <v>35.4</v>
      </c>
      <c r="M15" s="122">
        <v>45848</v>
      </c>
      <c r="N15" s="123">
        <v>3263.57</v>
      </c>
      <c r="O15" s="125"/>
      <c r="P15" s="126">
        <v>39.15</v>
      </c>
      <c r="Q15" s="27"/>
      <c r="R15" s="51"/>
      <c r="S15" s="52"/>
      <c r="T15" s="52"/>
      <c r="U15" s="53">
        <f t="shared" si="2"/>
        <v>39.15</v>
      </c>
      <c r="W15" s="122">
        <v>45848</v>
      </c>
      <c r="X15" s="123">
        <v>1941.29</v>
      </c>
      <c r="Y15" s="123">
        <v>50</v>
      </c>
      <c r="Z15" s="125"/>
      <c r="AA15" s="123">
        <v>0</v>
      </c>
      <c r="AB15" s="27"/>
      <c r="AC15" s="51"/>
      <c r="AD15" s="52"/>
      <c r="AE15" s="52"/>
      <c r="AF15" s="53">
        <f t="shared" si="15"/>
        <v>0</v>
      </c>
      <c r="AI15" s="122">
        <v>45848</v>
      </c>
      <c r="AJ15" s="123">
        <v>1932.29</v>
      </c>
      <c r="AK15" s="125"/>
      <c r="AL15" s="126"/>
      <c r="AM15" s="27"/>
      <c r="AN15" s="51"/>
      <c r="AO15" s="52"/>
      <c r="AP15" s="52"/>
      <c r="AQ15" s="53">
        <f t="shared" si="16"/>
        <v>0</v>
      </c>
      <c r="AS15" s="122">
        <v>45848</v>
      </c>
      <c r="AT15" s="123">
        <v>4994.07</v>
      </c>
      <c r="AU15" s="125"/>
      <c r="AV15" s="128"/>
      <c r="AW15" s="27"/>
      <c r="AX15" s="51"/>
      <c r="AY15" s="52"/>
      <c r="AZ15" s="52"/>
      <c r="BA15" s="53">
        <f t="shared" si="17"/>
        <v>0</v>
      </c>
      <c r="BC15" s="122">
        <v>45848</v>
      </c>
      <c r="BD15" s="123">
        <v>5157.22</v>
      </c>
      <c r="BE15" s="125"/>
      <c r="BF15" s="128">
        <v>18.690000000000001</v>
      </c>
      <c r="BG15" s="27"/>
      <c r="BH15" s="51"/>
      <c r="BI15" s="52"/>
      <c r="BJ15" s="52"/>
      <c r="BK15" s="53">
        <f t="shared" si="18"/>
        <v>18.690000000000001</v>
      </c>
      <c r="BM15" s="122">
        <v>45848</v>
      </c>
      <c r="BN15" s="123">
        <v>14955.64</v>
      </c>
      <c r="BO15" s="123">
        <v>3119.6</v>
      </c>
      <c r="BP15" s="123">
        <v>8208.2199999999993</v>
      </c>
      <c r="BQ15" s="125"/>
      <c r="BR15" s="125"/>
      <c r="BS15" s="27"/>
      <c r="BT15" s="51"/>
      <c r="BU15" s="52"/>
      <c r="BV15" s="52"/>
      <c r="BW15" s="53">
        <f t="shared" si="0"/>
        <v>0</v>
      </c>
      <c r="BY15" s="122">
        <v>45848</v>
      </c>
      <c r="BZ15" s="256">
        <v>1917.99</v>
      </c>
      <c r="CA15" s="257">
        <v>451.28</v>
      </c>
      <c r="CB15" s="125"/>
      <c r="CC15" s="126"/>
      <c r="CD15" s="27"/>
      <c r="CE15" s="51"/>
      <c r="CF15" s="52"/>
      <c r="CG15" s="52"/>
      <c r="CH15" s="53">
        <f t="shared" si="7"/>
        <v>0</v>
      </c>
      <c r="CJ15" s="122">
        <v>45848</v>
      </c>
      <c r="CK15" s="123">
        <v>3613.19</v>
      </c>
      <c r="CL15" s="123">
        <v>288.60000000000002</v>
      </c>
      <c r="CM15" s="125"/>
      <c r="CN15" s="126">
        <v>10.82</v>
      </c>
      <c r="CO15" s="27"/>
      <c r="CP15" s="51"/>
      <c r="CQ15" s="52"/>
      <c r="CR15" s="52"/>
      <c r="CS15" s="53">
        <f t="shared" si="8"/>
        <v>10.82</v>
      </c>
      <c r="CU15" s="122">
        <v>45848</v>
      </c>
      <c r="CV15" s="123">
        <v>7818.78</v>
      </c>
      <c r="CW15" s="127">
        <v>575.01</v>
      </c>
      <c r="CX15" s="125"/>
      <c r="CY15" s="128">
        <v>146.94999999999999</v>
      </c>
      <c r="CZ15" s="27"/>
      <c r="DA15" s="51"/>
      <c r="DB15" s="173"/>
      <c r="DC15" s="52"/>
      <c r="DD15" s="52"/>
      <c r="DE15" s="53">
        <f t="shared" si="9"/>
        <v>146.94999999999999</v>
      </c>
      <c r="DH15" s="122">
        <v>45848</v>
      </c>
      <c r="DI15" s="123">
        <v>1805.22</v>
      </c>
      <c r="DJ15" s="127">
        <v>318.61</v>
      </c>
      <c r="DK15" s="127"/>
      <c r="DL15" s="127"/>
      <c r="DM15" s="126">
        <v>0</v>
      </c>
      <c r="DN15" s="27"/>
      <c r="DO15" s="51"/>
      <c r="DP15" s="52"/>
      <c r="DQ15" s="52"/>
      <c r="DR15" s="53">
        <f t="shared" si="10"/>
        <v>0</v>
      </c>
      <c r="DT15" s="122">
        <v>45848</v>
      </c>
      <c r="DU15" s="123">
        <v>744.73</v>
      </c>
      <c r="DV15" s="127">
        <v>1441.4</v>
      </c>
      <c r="DW15" s="127"/>
      <c r="DX15" s="126">
        <v>22.41</v>
      </c>
      <c r="DY15" s="27"/>
      <c r="DZ15" s="51"/>
      <c r="EA15" s="52"/>
      <c r="EB15" s="52"/>
      <c r="EC15" s="53">
        <f t="shared" si="11"/>
        <v>22.41</v>
      </c>
      <c r="EE15" s="122">
        <v>45848</v>
      </c>
      <c r="EF15" s="123">
        <v>1015.76</v>
      </c>
      <c r="EG15" s="127">
        <v>667.47</v>
      </c>
      <c r="EH15" s="127"/>
      <c r="EI15" s="258">
        <v>0</v>
      </c>
      <c r="EJ15" s="27"/>
      <c r="EK15" s="51"/>
      <c r="EL15" s="173"/>
      <c r="EM15" s="52"/>
      <c r="EN15" s="52"/>
      <c r="EO15" s="53">
        <f t="shared" si="12"/>
        <v>0</v>
      </c>
      <c r="EQ15" s="122">
        <v>45848</v>
      </c>
      <c r="ER15" s="123">
        <v>6181.06</v>
      </c>
      <c r="ES15" s="259">
        <v>1646.24</v>
      </c>
      <c r="ET15" s="127"/>
      <c r="EU15" s="126">
        <v>0</v>
      </c>
      <c r="EV15" s="27"/>
      <c r="EW15" s="51"/>
      <c r="EX15" s="52"/>
      <c r="EY15" s="52"/>
      <c r="EZ15" s="53">
        <f t="shared" si="13"/>
        <v>0</v>
      </c>
      <c r="FB15" s="122">
        <v>45848</v>
      </c>
      <c r="FC15" s="123">
        <v>717.02</v>
      </c>
      <c r="FD15" s="123">
        <v>70</v>
      </c>
      <c r="FE15" s="125"/>
      <c r="FF15" s="126"/>
      <c r="FG15" s="27"/>
      <c r="FH15" s="51"/>
      <c r="FI15" s="52"/>
      <c r="FJ15" s="52"/>
      <c r="FK15" s="53">
        <f t="shared" si="14"/>
        <v>0</v>
      </c>
    </row>
    <row r="16" spans="2:167" hidden="1" x14ac:dyDescent="0.25">
      <c r="B16" s="122">
        <v>45849</v>
      </c>
      <c r="C16" s="123">
        <v>11773.48</v>
      </c>
      <c r="D16" s="126"/>
      <c r="E16" s="125"/>
      <c r="F16" s="126">
        <v>136.4</v>
      </c>
      <c r="G16" s="27"/>
      <c r="H16" s="51"/>
      <c r="I16" s="52"/>
      <c r="J16" s="52"/>
      <c r="K16" s="53">
        <f t="shared" si="1"/>
        <v>136.4</v>
      </c>
      <c r="M16" s="122">
        <v>45849</v>
      </c>
      <c r="N16" s="123">
        <v>3519</v>
      </c>
      <c r="O16" s="125"/>
      <c r="P16" s="126">
        <v>79.400000000000006</v>
      </c>
      <c r="Q16" s="27"/>
      <c r="R16" s="51"/>
      <c r="S16" s="52"/>
      <c r="T16" s="52"/>
      <c r="U16" s="53">
        <f t="shared" si="2"/>
        <v>79.400000000000006</v>
      </c>
      <c r="W16" s="122">
        <v>45849</v>
      </c>
      <c r="X16" s="123">
        <v>3598.29</v>
      </c>
      <c r="Y16" s="123">
        <v>190</v>
      </c>
      <c r="Z16" s="125"/>
      <c r="AA16" s="123">
        <v>0</v>
      </c>
      <c r="AB16" s="27"/>
      <c r="AC16" s="51"/>
      <c r="AD16" s="52"/>
      <c r="AE16" s="52"/>
      <c r="AF16" s="53">
        <f t="shared" si="15"/>
        <v>0</v>
      </c>
      <c r="AI16" s="122">
        <v>45849</v>
      </c>
      <c r="AJ16" s="123">
        <v>1283.4100000000001</v>
      </c>
      <c r="AK16" s="125"/>
      <c r="AL16" s="126"/>
      <c r="AM16" s="27"/>
      <c r="AN16" s="51"/>
      <c r="AO16" s="52"/>
      <c r="AP16" s="52"/>
      <c r="AQ16" s="53">
        <f t="shared" si="16"/>
        <v>0</v>
      </c>
      <c r="AS16" s="122">
        <v>45849</v>
      </c>
      <c r="AT16" s="123">
        <v>5163.07</v>
      </c>
      <c r="AU16" s="125"/>
      <c r="AV16" s="128"/>
      <c r="AW16" s="27"/>
      <c r="AX16" s="51"/>
      <c r="AY16" s="52"/>
      <c r="AZ16" s="52"/>
      <c r="BA16" s="53">
        <f t="shared" si="17"/>
        <v>0</v>
      </c>
      <c r="BC16" s="122">
        <v>45849</v>
      </c>
      <c r="BD16" s="123">
        <v>3652.09</v>
      </c>
      <c r="BE16" s="125"/>
      <c r="BF16" s="128">
        <v>21.81</v>
      </c>
      <c r="BG16" s="27"/>
      <c r="BH16" s="51"/>
      <c r="BI16" s="52"/>
      <c r="BJ16" s="52"/>
      <c r="BK16" s="53">
        <f t="shared" si="18"/>
        <v>21.81</v>
      </c>
      <c r="BM16" s="122">
        <v>45849</v>
      </c>
      <c r="BN16" s="123">
        <v>14760.41</v>
      </c>
      <c r="BO16" s="123">
        <v>3914.4</v>
      </c>
      <c r="BP16" s="123">
        <v>8731.2900000000009</v>
      </c>
      <c r="BQ16" s="125"/>
      <c r="BR16" s="125"/>
      <c r="BS16" s="27"/>
      <c r="BT16" s="51"/>
      <c r="BU16" s="52"/>
      <c r="BV16" s="52"/>
      <c r="BW16" s="53">
        <f t="shared" si="0"/>
        <v>0</v>
      </c>
      <c r="BY16" s="122">
        <v>45849</v>
      </c>
      <c r="BZ16" s="256">
        <v>678.86</v>
      </c>
      <c r="CA16" s="257">
        <v>424.98</v>
      </c>
      <c r="CB16" s="125"/>
      <c r="CC16" s="126"/>
      <c r="CD16" s="27"/>
      <c r="CE16" s="51"/>
      <c r="CF16" s="52"/>
      <c r="CG16" s="52"/>
      <c r="CH16" s="53">
        <f t="shared" si="7"/>
        <v>0</v>
      </c>
      <c r="CJ16" s="122">
        <v>45849</v>
      </c>
      <c r="CK16" s="123">
        <v>2028.94</v>
      </c>
      <c r="CL16" s="123">
        <v>519.17999999999995</v>
      </c>
      <c r="CM16" s="125"/>
      <c r="CN16" s="126">
        <v>2.93</v>
      </c>
      <c r="CO16" s="27"/>
      <c r="CP16" s="51"/>
      <c r="CQ16" s="52"/>
      <c r="CR16" s="52"/>
      <c r="CS16" s="53">
        <f t="shared" si="8"/>
        <v>2.93</v>
      </c>
      <c r="CU16" s="122">
        <v>45849</v>
      </c>
      <c r="CV16" s="123">
        <v>4350.75</v>
      </c>
      <c r="CW16" s="127">
        <v>643.32000000000005</v>
      </c>
      <c r="CX16" s="125"/>
      <c r="CY16" s="128">
        <v>113.75</v>
      </c>
      <c r="CZ16" s="27"/>
      <c r="DA16" s="51"/>
      <c r="DB16" s="173"/>
      <c r="DC16" s="52"/>
      <c r="DD16" s="52"/>
      <c r="DE16" s="53">
        <f t="shared" si="9"/>
        <v>113.75</v>
      </c>
      <c r="DH16" s="122">
        <v>45849</v>
      </c>
      <c r="DI16" s="123">
        <v>1742.08</v>
      </c>
      <c r="DJ16" s="127">
        <v>675.63</v>
      </c>
      <c r="DK16" s="127"/>
      <c r="DL16" s="127"/>
      <c r="DM16" s="126">
        <v>4</v>
      </c>
      <c r="DN16" s="27"/>
      <c r="DO16" s="51"/>
      <c r="DP16" s="52"/>
      <c r="DQ16" s="52"/>
      <c r="DR16" s="53">
        <f t="shared" si="10"/>
        <v>4</v>
      </c>
      <c r="DT16" s="122">
        <v>45849</v>
      </c>
      <c r="DU16" s="123">
        <v>1871.76</v>
      </c>
      <c r="DV16" s="127">
        <v>1723.44</v>
      </c>
      <c r="DW16" s="127"/>
      <c r="DX16" s="126">
        <v>15.87</v>
      </c>
      <c r="DY16" s="27"/>
      <c r="DZ16" s="51"/>
      <c r="EA16" s="52"/>
      <c r="EB16" s="52"/>
      <c r="EC16" s="53">
        <f t="shared" si="11"/>
        <v>15.87</v>
      </c>
      <c r="EE16" s="122">
        <v>45849</v>
      </c>
      <c r="EF16" s="123">
        <v>822.58</v>
      </c>
      <c r="EG16" s="127">
        <v>614.94000000000005</v>
      </c>
      <c r="EH16" s="127"/>
      <c r="EI16" s="258">
        <v>3.9</v>
      </c>
      <c r="EJ16" s="27"/>
      <c r="EK16" s="51"/>
      <c r="EL16" s="173"/>
      <c r="EM16" s="52"/>
      <c r="EN16" s="52"/>
      <c r="EO16" s="53">
        <f t="shared" si="12"/>
        <v>3.9</v>
      </c>
      <c r="EQ16" s="122">
        <v>45849</v>
      </c>
      <c r="ER16" s="123">
        <v>4065.72</v>
      </c>
      <c r="ES16" s="259">
        <v>0</v>
      </c>
      <c r="ET16" s="127"/>
      <c r="EU16" s="126">
        <v>0</v>
      </c>
      <c r="EV16" s="27"/>
      <c r="EW16" s="51"/>
      <c r="EX16" s="52"/>
      <c r="EY16" s="52"/>
      <c r="EZ16" s="53">
        <f t="shared" si="13"/>
        <v>0</v>
      </c>
      <c r="FB16" s="122">
        <v>45849</v>
      </c>
      <c r="FC16" s="123">
        <v>731.08</v>
      </c>
      <c r="FD16" s="123">
        <v>243.5</v>
      </c>
      <c r="FE16" s="125"/>
      <c r="FF16" s="126"/>
      <c r="FG16" s="27"/>
      <c r="FH16" s="51"/>
      <c r="FI16" s="52"/>
      <c r="FJ16" s="52"/>
      <c r="FK16" s="53">
        <f t="shared" si="14"/>
        <v>0</v>
      </c>
    </row>
    <row r="17" spans="2:167" hidden="1" x14ac:dyDescent="0.25">
      <c r="B17" s="122">
        <v>45850</v>
      </c>
      <c r="C17" s="123">
        <v>13608.31</v>
      </c>
      <c r="D17" s="125"/>
      <c r="E17" s="125"/>
      <c r="F17" s="125">
        <v>0</v>
      </c>
      <c r="G17" s="27"/>
      <c r="H17" s="51"/>
      <c r="I17" s="52"/>
      <c r="J17" s="52"/>
      <c r="K17" s="53">
        <f t="shared" si="1"/>
        <v>0</v>
      </c>
      <c r="M17" s="122">
        <v>45850</v>
      </c>
      <c r="N17" s="123">
        <v>3036.09</v>
      </c>
      <c r="O17" s="125"/>
      <c r="P17" s="126">
        <v>3.16</v>
      </c>
      <c r="Q17" s="27"/>
      <c r="R17" s="51"/>
      <c r="S17" s="52"/>
      <c r="T17" s="52"/>
      <c r="U17" s="53">
        <f t="shared" si="2"/>
        <v>3.16</v>
      </c>
      <c r="W17" s="122">
        <v>45850</v>
      </c>
      <c r="X17" s="123">
        <v>1391.61</v>
      </c>
      <c r="Y17" s="123">
        <v>184.83</v>
      </c>
      <c r="Z17" s="125"/>
      <c r="AA17" s="123">
        <v>0</v>
      </c>
      <c r="AB17" s="27"/>
      <c r="AC17" s="51"/>
      <c r="AD17" s="52"/>
      <c r="AE17" s="52"/>
      <c r="AF17" s="53">
        <f t="shared" si="15"/>
        <v>0</v>
      </c>
      <c r="AI17" s="122">
        <v>45850</v>
      </c>
      <c r="AJ17" s="123">
        <v>2072.11</v>
      </c>
      <c r="AK17" s="125"/>
      <c r="AL17" s="126"/>
      <c r="AM17" s="27"/>
      <c r="AN17" s="51"/>
      <c r="AO17" s="52"/>
      <c r="AP17" s="52"/>
      <c r="AQ17" s="53">
        <f t="shared" si="16"/>
        <v>0</v>
      </c>
      <c r="AS17" s="122">
        <v>45850</v>
      </c>
      <c r="AT17" s="123">
        <v>4059.69</v>
      </c>
      <c r="AU17" s="125"/>
      <c r="AV17" s="128"/>
      <c r="AW17" s="27"/>
      <c r="AX17" s="51"/>
      <c r="AY17" s="52"/>
      <c r="AZ17" s="52"/>
      <c r="BA17" s="53">
        <f t="shared" si="17"/>
        <v>0</v>
      </c>
      <c r="BC17" s="122">
        <v>45850</v>
      </c>
      <c r="BD17" s="123">
        <v>5063.0600000000004</v>
      </c>
      <c r="BE17" s="125"/>
      <c r="BF17" s="128">
        <v>0</v>
      </c>
      <c r="BG17" s="27"/>
      <c r="BH17" s="51"/>
      <c r="BI17" s="52"/>
      <c r="BJ17" s="52"/>
      <c r="BK17" s="53">
        <f t="shared" si="18"/>
        <v>0</v>
      </c>
      <c r="BM17" s="122">
        <v>45850</v>
      </c>
      <c r="BN17" s="123">
        <v>15747.68</v>
      </c>
      <c r="BO17" s="123">
        <v>3096.54</v>
      </c>
      <c r="BP17" s="123">
        <v>8277.5400000000009</v>
      </c>
      <c r="BQ17" s="125"/>
      <c r="BR17" s="125"/>
      <c r="BS17" s="27"/>
      <c r="BT17" s="51"/>
      <c r="BU17" s="52"/>
      <c r="BV17" s="52"/>
      <c r="BW17" s="53">
        <f t="shared" si="0"/>
        <v>0</v>
      </c>
      <c r="BY17" s="122">
        <v>45850</v>
      </c>
      <c r="BZ17" s="256">
        <v>510.63</v>
      </c>
      <c r="CA17" s="257">
        <v>719.17</v>
      </c>
      <c r="CB17" s="125"/>
      <c r="CC17" s="126"/>
      <c r="CD17" s="27"/>
      <c r="CE17" s="51"/>
      <c r="CF17" s="52"/>
      <c r="CG17" s="52"/>
      <c r="CH17" s="53">
        <f t="shared" si="7"/>
        <v>0</v>
      </c>
      <c r="CJ17" s="122">
        <v>45850</v>
      </c>
      <c r="CK17" s="123">
        <v>3805.93</v>
      </c>
      <c r="CL17" s="123">
        <v>356.59</v>
      </c>
      <c r="CM17" s="125"/>
      <c r="CN17" s="126">
        <v>0</v>
      </c>
      <c r="CO17" s="27"/>
      <c r="CP17" s="51"/>
      <c r="CQ17" s="52"/>
      <c r="CR17" s="52"/>
      <c r="CS17" s="53">
        <f t="shared" si="8"/>
        <v>0</v>
      </c>
      <c r="CU17" s="122">
        <v>45850</v>
      </c>
      <c r="CV17" s="123">
        <v>3202.22</v>
      </c>
      <c r="CW17" s="127">
        <v>683.1</v>
      </c>
      <c r="CX17" s="125"/>
      <c r="CY17" s="128">
        <v>3.08</v>
      </c>
      <c r="CZ17" s="27"/>
      <c r="DA17" s="51"/>
      <c r="DB17" s="173"/>
      <c r="DC17" s="52"/>
      <c r="DD17" s="52"/>
      <c r="DE17" s="53">
        <f t="shared" si="9"/>
        <v>3.08</v>
      </c>
      <c r="DH17" s="122">
        <v>45850</v>
      </c>
      <c r="DI17" s="123">
        <v>3458.4</v>
      </c>
      <c r="DJ17" s="127">
        <v>435.05</v>
      </c>
      <c r="DK17" s="127"/>
      <c r="DL17" s="127"/>
      <c r="DM17" s="126">
        <v>8</v>
      </c>
      <c r="DN17" s="27"/>
      <c r="DO17" s="51"/>
      <c r="DP17" s="52"/>
      <c r="DQ17" s="52"/>
      <c r="DR17" s="53">
        <f t="shared" si="10"/>
        <v>8</v>
      </c>
      <c r="DT17" s="122">
        <v>45850</v>
      </c>
      <c r="DU17" s="123">
        <v>1431.32</v>
      </c>
      <c r="DV17" s="127">
        <v>1844.37</v>
      </c>
      <c r="DW17" s="127"/>
      <c r="DX17" s="126">
        <v>6.45</v>
      </c>
      <c r="DY17" s="27"/>
      <c r="DZ17" s="51"/>
      <c r="EA17" s="52"/>
      <c r="EB17" s="52"/>
      <c r="EC17" s="53">
        <f t="shared" si="11"/>
        <v>6.45</v>
      </c>
      <c r="EE17" s="122">
        <v>45850</v>
      </c>
      <c r="EF17" s="123">
        <v>762.63</v>
      </c>
      <c r="EG17" s="127">
        <v>562.45000000000005</v>
      </c>
      <c r="EH17" s="127"/>
      <c r="EI17" s="258">
        <v>0</v>
      </c>
      <c r="EJ17" s="27"/>
      <c r="EK17" s="51"/>
      <c r="EL17" s="173"/>
      <c r="EM17" s="52"/>
      <c r="EN17" s="52"/>
      <c r="EO17" s="53">
        <f t="shared" si="12"/>
        <v>0</v>
      </c>
      <c r="EQ17" s="122">
        <v>45850</v>
      </c>
      <c r="ER17" s="123">
        <v>6480.77</v>
      </c>
      <c r="ES17" s="259">
        <v>89.32</v>
      </c>
      <c r="ET17" s="127"/>
      <c r="EU17" s="126">
        <v>0</v>
      </c>
      <c r="EV17" s="27"/>
      <c r="EW17" s="51"/>
      <c r="EX17" s="52"/>
      <c r="EY17" s="52"/>
      <c r="EZ17" s="53">
        <f t="shared" si="13"/>
        <v>0</v>
      </c>
      <c r="FB17" s="122">
        <v>45850</v>
      </c>
      <c r="FC17" s="123">
        <v>700.65</v>
      </c>
      <c r="FD17" s="123">
        <v>93.7</v>
      </c>
      <c r="FE17" s="125"/>
      <c r="FF17" s="126"/>
      <c r="FG17" s="27"/>
      <c r="FH17" s="51"/>
      <c r="FI17" s="52"/>
      <c r="FJ17" s="52"/>
      <c r="FK17" s="53">
        <f t="shared" si="14"/>
        <v>0</v>
      </c>
    </row>
    <row r="18" spans="2:167" hidden="1" x14ac:dyDescent="0.25">
      <c r="B18" s="122">
        <v>45851</v>
      </c>
      <c r="C18" s="123">
        <v>11572.48</v>
      </c>
      <c r="D18" s="125"/>
      <c r="E18" s="125"/>
      <c r="F18" s="125">
        <v>177.39</v>
      </c>
      <c r="G18" s="27"/>
      <c r="H18" s="51"/>
      <c r="I18" s="52"/>
      <c r="J18" s="52"/>
      <c r="K18" s="53">
        <f t="shared" si="1"/>
        <v>177.39</v>
      </c>
      <c r="M18" s="122">
        <v>45851</v>
      </c>
      <c r="N18" s="123">
        <v>2337.4699999999998</v>
      </c>
      <c r="O18" s="125"/>
      <c r="P18" s="126">
        <v>0</v>
      </c>
      <c r="Q18" s="27"/>
      <c r="R18" s="51"/>
      <c r="S18" s="52"/>
      <c r="T18" s="52"/>
      <c r="U18" s="53">
        <f t="shared" si="2"/>
        <v>0</v>
      </c>
      <c r="W18" s="122">
        <v>45851</v>
      </c>
      <c r="X18" s="123">
        <v>602.77</v>
      </c>
      <c r="Y18" s="123">
        <v>150.04</v>
      </c>
      <c r="Z18" s="125"/>
      <c r="AA18" s="123">
        <v>0</v>
      </c>
      <c r="AB18" s="27"/>
      <c r="AC18" s="51"/>
      <c r="AD18" s="52"/>
      <c r="AE18" s="52"/>
      <c r="AF18" s="53">
        <f t="shared" si="15"/>
        <v>0</v>
      </c>
      <c r="AI18" s="122">
        <v>45851</v>
      </c>
      <c r="AJ18" s="123">
        <v>1383.04</v>
      </c>
      <c r="AK18" s="125"/>
      <c r="AL18" s="126"/>
      <c r="AM18" s="27"/>
      <c r="AN18" s="51"/>
      <c r="AO18" s="52"/>
      <c r="AP18" s="52"/>
      <c r="AQ18" s="53">
        <f t="shared" si="16"/>
        <v>0</v>
      </c>
      <c r="AS18" s="122">
        <v>45851</v>
      </c>
      <c r="AT18" s="123">
        <v>2629.77</v>
      </c>
      <c r="AU18" s="125"/>
      <c r="AV18" s="128"/>
      <c r="AW18" s="27"/>
      <c r="AX18" s="51"/>
      <c r="AY18" s="52"/>
      <c r="AZ18" s="52"/>
      <c r="BA18" s="53">
        <f t="shared" si="17"/>
        <v>0</v>
      </c>
      <c r="BC18" s="122">
        <v>45851</v>
      </c>
      <c r="BD18" s="123">
        <v>2334.84</v>
      </c>
      <c r="BE18" s="125"/>
      <c r="BF18" s="128">
        <v>0</v>
      </c>
      <c r="BG18" s="27"/>
      <c r="BH18" s="51"/>
      <c r="BI18" s="52"/>
      <c r="BJ18" s="52"/>
      <c r="BK18" s="53">
        <f t="shared" si="18"/>
        <v>0</v>
      </c>
      <c r="BM18" s="122">
        <v>45851</v>
      </c>
      <c r="BN18" s="123">
        <v>10963.9</v>
      </c>
      <c r="BO18" s="123">
        <v>3422.33</v>
      </c>
      <c r="BP18" s="123">
        <v>4224.51</v>
      </c>
      <c r="BQ18" s="125"/>
      <c r="BR18" s="125"/>
      <c r="BS18" s="27"/>
      <c r="BT18" s="51"/>
      <c r="BU18" s="52"/>
      <c r="BV18" s="52"/>
      <c r="BW18" s="53">
        <f t="shared" si="0"/>
        <v>0</v>
      </c>
      <c r="BY18" s="122">
        <v>45851</v>
      </c>
      <c r="BZ18" s="256">
        <v>1051.79</v>
      </c>
      <c r="CA18" s="257">
        <v>759.64</v>
      </c>
      <c r="CB18" s="125"/>
      <c r="CC18" s="126"/>
      <c r="CD18" s="27"/>
      <c r="CE18" s="51"/>
      <c r="CF18" s="52"/>
      <c r="CG18" s="52"/>
      <c r="CH18" s="53">
        <f t="shared" si="7"/>
        <v>0</v>
      </c>
      <c r="CJ18" s="122">
        <v>45851</v>
      </c>
      <c r="CK18" s="123">
        <v>3664.2</v>
      </c>
      <c r="CL18" s="123">
        <v>325.60000000000002</v>
      </c>
      <c r="CM18" s="125"/>
      <c r="CN18" s="126">
        <v>8.19</v>
      </c>
      <c r="CO18" s="27"/>
      <c r="CP18" s="51"/>
      <c r="CQ18" s="52"/>
      <c r="CR18" s="52"/>
      <c r="CS18" s="53">
        <f t="shared" si="8"/>
        <v>8.19</v>
      </c>
      <c r="CU18" s="122">
        <v>45851</v>
      </c>
      <c r="CV18" s="123">
        <v>1397.87</v>
      </c>
      <c r="CW18" s="127">
        <v>536.33000000000004</v>
      </c>
      <c r="CX18" s="125"/>
      <c r="CY18" s="128">
        <v>10.72</v>
      </c>
      <c r="CZ18" s="27"/>
      <c r="DA18" s="51"/>
      <c r="DB18" s="173"/>
      <c r="DC18" s="52"/>
      <c r="DD18" s="52"/>
      <c r="DE18" s="53">
        <f t="shared" si="9"/>
        <v>10.72</v>
      </c>
      <c r="DH18" s="122">
        <v>45851</v>
      </c>
      <c r="DI18" s="123">
        <v>1677.54</v>
      </c>
      <c r="DJ18" s="127">
        <v>186.5</v>
      </c>
      <c r="DK18" s="127"/>
      <c r="DL18" s="127"/>
      <c r="DM18" s="126">
        <v>8.4</v>
      </c>
      <c r="DN18" s="27"/>
      <c r="DO18" s="51"/>
      <c r="DP18" s="52"/>
      <c r="DQ18" s="52"/>
      <c r="DR18" s="53">
        <f t="shared" si="10"/>
        <v>8.4</v>
      </c>
      <c r="DT18" s="122">
        <v>45851</v>
      </c>
      <c r="DU18" s="123">
        <v>1034.71</v>
      </c>
      <c r="DV18" s="127">
        <v>1671.65</v>
      </c>
      <c r="DW18" s="127"/>
      <c r="DX18" s="126">
        <v>7.5</v>
      </c>
      <c r="DY18" s="27"/>
      <c r="DZ18" s="51"/>
      <c r="EA18" s="52"/>
      <c r="EB18" s="52"/>
      <c r="EC18" s="53">
        <f t="shared" si="11"/>
        <v>7.5</v>
      </c>
      <c r="EE18" s="122">
        <v>45851</v>
      </c>
      <c r="EF18" s="123">
        <v>641.22</v>
      </c>
      <c r="EG18" s="127">
        <v>451.48</v>
      </c>
      <c r="EH18" s="127"/>
      <c r="EI18" s="258">
        <v>0</v>
      </c>
      <c r="EJ18" s="27"/>
      <c r="EK18" s="51"/>
      <c r="EL18" s="173"/>
      <c r="EM18" s="52"/>
      <c r="EN18" s="52"/>
      <c r="EO18" s="53">
        <f t="shared" si="12"/>
        <v>0</v>
      </c>
      <c r="EQ18" s="122">
        <v>45851</v>
      </c>
      <c r="ER18" s="123">
        <v>2661.95</v>
      </c>
      <c r="ES18" s="259">
        <v>350.3</v>
      </c>
      <c r="ET18" s="127"/>
      <c r="EU18" s="126">
        <v>0</v>
      </c>
      <c r="EV18" s="27"/>
      <c r="EW18" s="51"/>
      <c r="EX18" s="52"/>
      <c r="EY18" s="52"/>
      <c r="EZ18" s="53">
        <f t="shared" si="13"/>
        <v>0</v>
      </c>
      <c r="FB18" s="122">
        <v>45851</v>
      </c>
      <c r="FC18" s="123">
        <v>716.05</v>
      </c>
      <c r="FD18" s="123">
        <v>213.3</v>
      </c>
      <c r="FE18" s="125"/>
      <c r="FF18" s="126"/>
      <c r="FG18" s="27"/>
      <c r="FH18" s="51"/>
      <c r="FI18" s="52"/>
      <c r="FJ18" s="52"/>
      <c r="FK18" s="53">
        <f t="shared" si="14"/>
        <v>0</v>
      </c>
    </row>
    <row r="19" spans="2:167" hidden="1" x14ac:dyDescent="0.25">
      <c r="B19" s="122">
        <v>45852</v>
      </c>
      <c r="C19" s="123">
        <v>8542.7900000000009</v>
      </c>
      <c r="D19" s="125"/>
      <c r="E19" s="125"/>
      <c r="F19" s="125">
        <v>0</v>
      </c>
      <c r="G19" s="27"/>
      <c r="H19" s="51"/>
      <c r="I19" s="52"/>
      <c r="J19" s="52"/>
      <c r="K19" s="53">
        <f t="shared" si="1"/>
        <v>0</v>
      </c>
      <c r="M19" s="122">
        <v>45852</v>
      </c>
      <c r="N19" s="123">
        <v>3403.5</v>
      </c>
      <c r="O19" s="125"/>
      <c r="P19" s="126">
        <v>41.03</v>
      </c>
      <c r="Q19" s="27"/>
      <c r="R19" s="51"/>
      <c r="S19" s="52"/>
      <c r="T19" s="52"/>
      <c r="U19" s="53">
        <f t="shared" si="2"/>
        <v>41.03</v>
      </c>
      <c r="W19" s="122">
        <v>45852</v>
      </c>
      <c r="X19" s="123">
        <v>3152.34</v>
      </c>
      <c r="Y19" s="123">
        <v>441.77</v>
      </c>
      <c r="Z19" s="125"/>
      <c r="AA19" s="123">
        <v>0</v>
      </c>
      <c r="AB19" s="27"/>
      <c r="AC19" s="51"/>
      <c r="AD19" s="52"/>
      <c r="AE19" s="52"/>
      <c r="AF19" s="53">
        <f t="shared" si="15"/>
        <v>0</v>
      </c>
      <c r="AI19" s="122">
        <v>45852</v>
      </c>
      <c r="AJ19" s="123">
        <v>962.94</v>
      </c>
      <c r="AK19" s="125"/>
      <c r="AL19" s="126"/>
      <c r="AM19" s="27"/>
      <c r="AN19" s="51"/>
      <c r="AO19" s="52"/>
      <c r="AP19" s="52"/>
      <c r="AQ19" s="53">
        <f t="shared" si="16"/>
        <v>0</v>
      </c>
      <c r="AS19" s="122">
        <v>45852</v>
      </c>
      <c r="AT19" s="123">
        <v>4356.6899999999996</v>
      </c>
      <c r="AU19" s="125"/>
      <c r="AV19" s="128"/>
      <c r="AW19" s="27"/>
      <c r="AX19" s="51"/>
      <c r="AY19" s="52"/>
      <c r="AZ19" s="52"/>
      <c r="BA19" s="53">
        <f t="shared" si="17"/>
        <v>0</v>
      </c>
      <c r="BC19" s="122">
        <v>45852</v>
      </c>
      <c r="BD19" s="123">
        <v>3076.32</v>
      </c>
      <c r="BE19" s="125"/>
      <c r="BF19" s="128">
        <v>16</v>
      </c>
      <c r="BG19" s="27"/>
      <c r="BH19" s="51"/>
      <c r="BI19" s="52"/>
      <c r="BJ19" s="52"/>
      <c r="BK19" s="53">
        <f t="shared" si="18"/>
        <v>16</v>
      </c>
      <c r="BM19" s="122">
        <v>45852</v>
      </c>
      <c r="BN19" s="123">
        <v>13673.76</v>
      </c>
      <c r="BO19" s="123">
        <v>3275.31</v>
      </c>
      <c r="BP19" s="123">
        <v>7059.94</v>
      </c>
      <c r="BQ19" s="125"/>
      <c r="BR19" s="125"/>
      <c r="BS19" s="27"/>
      <c r="BT19" s="51"/>
      <c r="BU19" s="52"/>
      <c r="BV19" s="52"/>
      <c r="BW19" s="53">
        <f t="shared" si="0"/>
        <v>0</v>
      </c>
      <c r="BY19" s="122">
        <v>45852</v>
      </c>
      <c r="BZ19" s="256">
        <v>1258.79</v>
      </c>
      <c r="CA19" s="257">
        <v>549.19000000000005</v>
      </c>
      <c r="CB19" s="125"/>
      <c r="CC19" s="126"/>
      <c r="CD19" s="27"/>
      <c r="CE19" s="51"/>
      <c r="CF19" s="52"/>
      <c r="CG19" s="52"/>
      <c r="CH19" s="53">
        <f t="shared" si="7"/>
        <v>0</v>
      </c>
      <c r="CJ19" s="122">
        <v>45852</v>
      </c>
      <c r="CK19" s="123">
        <v>4821.59</v>
      </c>
      <c r="CL19" s="123">
        <v>607.54999999999995</v>
      </c>
      <c r="CM19" s="125"/>
      <c r="CN19" s="126">
        <v>0</v>
      </c>
      <c r="CO19" s="27"/>
      <c r="CP19" s="51"/>
      <c r="CQ19" s="52"/>
      <c r="CR19" s="52"/>
      <c r="CS19" s="53">
        <f t="shared" si="8"/>
        <v>0</v>
      </c>
      <c r="CU19" s="122">
        <v>45852</v>
      </c>
      <c r="CV19" s="123">
        <v>8605.85</v>
      </c>
      <c r="CW19" s="127">
        <v>748.19</v>
      </c>
      <c r="CX19" s="125"/>
      <c r="CY19" s="128">
        <v>254.94</v>
      </c>
      <c r="CZ19" s="27"/>
      <c r="DA19" s="51"/>
      <c r="DB19" s="173"/>
      <c r="DC19" s="52"/>
      <c r="DD19" s="52"/>
      <c r="DE19" s="53">
        <f t="shared" si="9"/>
        <v>254.94</v>
      </c>
      <c r="DH19" s="122">
        <v>45852</v>
      </c>
      <c r="DI19" s="123">
        <v>1764.55</v>
      </c>
      <c r="DJ19" s="127">
        <v>332.65</v>
      </c>
      <c r="DK19" s="127"/>
      <c r="DL19" s="127"/>
      <c r="DM19" s="126">
        <v>61.68</v>
      </c>
      <c r="DN19" s="27"/>
      <c r="DO19" s="51"/>
      <c r="DP19" s="52"/>
      <c r="DQ19" s="52"/>
      <c r="DR19" s="53">
        <f t="shared" si="10"/>
        <v>61.68</v>
      </c>
      <c r="DT19" s="122">
        <v>45852</v>
      </c>
      <c r="DU19" s="123">
        <v>1469.25</v>
      </c>
      <c r="DV19" s="127">
        <v>1335.07</v>
      </c>
      <c r="DW19" s="127"/>
      <c r="DX19" s="126">
        <v>45.01</v>
      </c>
      <c r="DY19" s="27"/>
      <c r="DZ19" s="51"/>
      <c r="EA19" s="52"/>
      <c r="EB19" s="52"/>
      <c r="EC19" s="53">
        <f t="shared" si="11"/>
        <v>45.01</v>
      </c>
      <c r="EE19" s="122">
        <v>45852</v>
      </c>
      <c r="EF19" s="123">
        <v>993.87</v>
      </c>
      <c r="EG19" s="127">
        <v>975.04</v>
      </c>
      <c r="EH19" s="127"/>
      <c r="EI19" s="258">
        <v>31.09</v>
      </c>
      <c r="EJ19" s="27"/>
      <c r="EK19" s="51"/>
      <c r="EL19" s="173"/>
      <c r="EM19" s="52"/>
      <c r="EN19" s="52"/>
      <c r="EO19" s="53">
        <f t="shared" si="12"/>
        <v>31.09</v>
      </c>
      <c r="EQ19" s="122">
        <v>45852</v>
      </c>
      <c r="ER19" s="123">
        <v>2973.48</v>
      </c>
      <c r="ES19" s="259">
        <v>292.57</v>
      </c>
      <c r="ET19" s="127"/>
      <c r="EU19" s="126">
        <v>184.21</v>
      </c>
      <c r="EV19" s="27"/>
      <c r="EW19" s="51"/>
      <c r="EX19" s="52"/>
      <c r="EY19" s="52"/>
      <c r="EZ19" s="53">
        <f t="shared" si="13"/>
        <v>184.21</v>
      </c>
      <c r="FB19" s="122">
        <v>45852</v>
      </c>
      <c r="FC19" s="123">
        <v>490.1</v>
      </c>
      <c r="FD19" s="123">
        <v>259.97000000000003</v>
      </c>
      <c r="FE19" s="125"/>
      <c r="FF19" s="126"/>
      <c r="FG19" s="27"/>
      <c r="FH19" s="51"/>
      <c r="FI19" s="52"/>
      <c r="FJ19" s="52"/>
      <c r="FK19" s="53">
        <f t="shared" si="14"/>
        <v>0</v>
      </c>
    </row>
    <row r="20" spans="2:167" hidden="1" x14ac:dyDescent="0.25">
      <c r="B20" s="122">
        <v>45853</v>
      </c>
      <c r="C20" s="123">
        <v>8984</v>
      </c>
      <c r="D20" s="126"/>
      <c r="E20" s="125"/>
      <c r="F20" s="126">
        <v>35.4</v>
      </c>
      <c r="G20" s="27"/>
      <c r="H20" s="51"/>
      <c r="I20" s="52"/>
      <c r="J20" s="52"/>
      <c r="K20" s="53">
        <f t="shared" si="1"/>
        <v>35.4</v>
      </c>
      <c r="M20" s="122">
        <v>45853</v>
      </c>
      <c r="N20" s="123">
        <v>3344.06</v>
      </c>
      <c r="O20" s="125"/>
      <c r="P20" s="126">
        <v>8.35</v>
      </c>
      <c r="Q20" s="27"/>
      <c r="R20" s="51"/>
      <c r="S20" s="52"/>
      <c r="T20" s="52"/>
      <c r="U20" s="53">
        <f t="shared" si="2"/>
        <v>8.35</v>
      </c>
      <c r="W20" s="122">
        <v>45853</v>
      </c>
      <c r="X20" s="123">
        <v>2231.27</v>
      </c>
      <c r="Y20" s="123">
        <v>158</v>
      </c>
      <c r="Z20" s="125"/>
      <c r="AA20" s="123">
        <v>0</v>
      </c>
      <c r="AB20" s="27"/>
      <c r="AC20" s="51"/>
      <c r="AD20" s="52"/>
      <c r="AE20" s="52"/>
      <c r="AF20" s="53">
        <f t="shared" si="15"/>
        <v>0</v>
      </c>
      <c r="AI20" s="122">
        <v>45853</v>
      </c>
      <c r="AJ20" s="123">
        <v>932.79</v>
      </c>
      <c r="AK20" s="125"/>
      <c r="AL20" s="126"/>
      <c r="AM20" s="27"/>
      <c r="AN20" s="51"/>
      <c r="AO20" s="52"/>
      <c r="AP20" s="52"/>
      <c r="AQ20" s="53">
        <f t="shared" si="16"/>
        <v>0</v>
      </c>
      <c r="AS20" s="122">
        <v>45853</v>
      </c>
      <c r="AT20" s="123">
        <v>3720.54</v>
      </c>
      <c r="AU20" s="125"/>
      <c r="AV20" s="128"/>
      <c r="AW20" s="27"/>
      <c r="AX20" s="51"/>
      <c r="AY20" s="52"/>
      <c r="AZ20" s="52"/>
      <c r="BA20" s="53">
        <f t="shared" si="17"/>
        <v>0</v>
      </c>
      <c r="BC20" s="122">
        <v>45853</v>
      </c>
      <c r="BD20" s="123">
        <v>4288.59</v>
      </c>
      <c r="BE20" s="125"/>
      <c r="BF20" s="128">
        <v>2.82</v>
      </c>
      <c r="BG20" s="27"/>
      <c r="BH20" s="51"/>
      <c r="BI20" s="52"/>
      <c r="BJ20" s="52"/>
      <c r="BK20" s="53">
        <f t="shared" si="18"/>
        <v>2.82</v>
      </c>
      <c r="BM20" s="122">
        <v>45853</v>
      </c>
      <c r="BN20" s="123">
        <v>13047.4</v>
      </c>
      <c r="BO20" s="123">
        <v>2524.5</v>
      </c>
      <c r="BP20" s="123">
        <v>3919.86</v>
      </c>
      <c r="BQ20" s="125"/>
      <c r="BR20" s="125"/>
      <c r="BS20" s="27"/>
      <c r="BT20" s="51"/>
      <c r="BU20" s="52"/>
      <c r="BV20" s="52"/>
      <c r="BW20" s="53">
        <f t="shared" si="0"/>
        <v>0</v>
      </c>
      <c r="BY20" s="122">
        <v>45853</v>
      </c>
      <c r="BZ20" s="256">
        <v>1816.55</v>
      </c>
      <c r="CA20" s="257">
        <v>416.36</v>
      </c>
      <c r="CB20" s="125"/>
      <c r="CC20" s="126"/>
      <c r="CD20" s="27"/>
      <c r="CE20" s="51"/>
      <c r="CF20" s="52"/>
      <c r="CG20" s="52"/>
      <c r="CH20" s="53">
        <f t="shared" si="7"/>
        <v>0</v>
      </c>
      <c r="CJ20" s="122">
        <v>45853</v>
      </c>
      <c r="CK20" s="123">
        <v>3011.35</v>
      </c>
      <c r="CL20" s="123">
        <v>484.49</v>
      </c>
      <c r="CM20" s="125"/>
      <c r="CN20" s="126">
        <v>14.6</v>
      </c>
      <c r="CO20" s="27"/>
      <c r="CP20" s="51"/>
      <c r="CQ20" s="52"/>
      <c r="CR20" s="52"/>
      <c r="CS20" s="53">
        <f t="shared" si="8"/>
        <v>14.6</v>
      </c>
      <c r="CU20" s="122">
        <v>45853</v>
      </c>
      <c r="CV20" s="123">
        <v>8642.5400000000009</v>
      </c>
      <c r="CW20" s="127">
        <v>736.33</v>
      </c>
      <c r="CX20" s="125"/>
      <c r="CY20" s="128">
        <v>175.69</v>
      </c>
      <c r="CZ20" s="27"/>
      <c r="DA20" s="51"/>
      <c r="DB20" s="173"/>
      <c r="DC20" s="52"/>
      <c r="DD20" s="52"/>
      <c r="DE20" s="53">
        <f t="shared" si="9"/>
        <v>175.69</v>
      </c>
      <c r="DH20" s="122">
        <v>45853</v>
      </c>
      <c r="DI20" s="123">
        <v>1878.09</v>
      </c>
      <c r="DJ20" s="127">
        <v>378.52</v>
      </c>
      <c r="DK20" s="127"/>
      <c r="DL20" s="127"/>
      <c r="DM20" s="126">
        <v>4</v>
      </c>
      <c r="DN20" s="27"/>
      <c r="DO20" s="51"/>
      <c r="DP20" s="52"/>
      <c r="DQ20" s="52"/>
      <c r="DR20" s="53">
        <f t="shared" si="10"/>
        <v>4</v>
      </c>
      <c r="DT20" s="122">
        <v>45853</v>
      </c>
      <c r="DU20" s="123">
        <v>1057.94</v>
      </c>
      <c r="DV20" s="127">
        <v>1264.31</v>
      </c>
      <c r="DW20" s="127"/>
      <c r="DX20" s="126">
        <v>38.74</v>
      </c>
      <c r="DY20" s="27"/>
      <c r="DZ20" s="51"/>
      <c r="EA20" s="52"/>
      <c r="EB20" s="52"/>
      <c r="EC20" s="53">
        <f t="shared" si="11"/>
        <v>38.74</v>
      </c>
      <c r="EE20" s="122">
        <v>45853</v>
      </c>
      <c r="EF20" s="123">
        <v>957.91</v>
      </c>
      <c r="EG20" s="127">
        <v>661.32</v>
      </c>
      <c r="EH20" s="127"/>
      <c r="EI20" s="258">
        <v>0</v>
      </c>
      <c r="EJ20" s="27"/>
      <c r="EK20" s="51"/>
      <c r="EL20" s="173"/>
      <c r="EM20" s="52"/>
      <c r="EN20" s="52"/>
      <c r="EO20" s="53">
        <f t="shared" si="12"/>
        <v>0</v>
      </c>
      <c r="EQ20" s="122">
        <v>45853</v>
      </c>
      <c r="ER20" s="123">
        <v>2982.71</v>
      </c>
      <c r="ES20" s="259">
        <v>185.33</v>
      </c>
      <c r="ET20" s="127"/>
      <c r="EU20" s="126">
        <v>82.25</v>
      </c>
      <c r="EV20" s="27"/>
      <c r="EW20" s="51"/>
      <c r="EX20" s="52"/>
      <c r="EY20" s="52"/>
      <c r="EZ20" s="53">
        <f t="shared" si="13"/>
        <v>82.25</v>
      </c>
      <c r="FB20" s="122">
        <v>45853</v>
      </c>
      <c r="FC20" s="123">
        <v>525.74</v>
      </c>
      <c r="FD20" s="123">
        <v>403.9</v>
      </c>
      <c r="FE20" s="125"/>
      <c r="FF20" s="126"/>
      <c r="FG20" s="27"/>
      <c r="FH20" s="51"/>
      <c r="FI20" s="52"/>
      <c r="FJ20" s="52"/>
      <c r="FK20" s="53">
        <f t="shared" si="14"/>
        <v>0</v>
      </c>
    </row>
    <row r="21" spans="2:167" hidden="1" x14ac:dyDescent="0.25">
      <c r="B21" s="122">
        <v>45854</v>
      </c>
      <c r="C21" s="123">
        <v>9448.11</v>
      </c>
      <c r="D21" s="125"/>
      <c r="E21" s="125"/>
      <c r="F21" s="125">
        <v>35.4</v>
      </c>
      <c r="G21" s="27"/>
      <c r="H21" s="51"/>
      <c r="I21" s="52"/>
      <c r="J21" s="52"/>
      <c r="K21" s="53">
        <f t="shared" si="1"/>
        <v>35.4</v>
      </c>
      <c r="M21" s="122">
        <v>45854</v>
      </c>
      <c r="N21" s="123">
        <v>3089.55</v>
      </c>
      <c r="O21" s="125"/>
      <c r="P21" s="126">
        <v>59.94</v>
      </c>
      <c r="Q21" s="27"/>
      <c r="R21" s="51"/>
      <c r="S21" s="52"/>
      <c r="T21" s="52"/>
      <c r="U21" s="53">
        <f t="shared" si="2"/>
        <v>59.94</v>
      </c>
      <c r="W21" s="122">
        <v>45854</v>
      </c>
      <c r="X21" s="123">
        <v>2249.98</v>
      </c>
      <c r="Y21" s="123">
        <v>227.62</v>
      </c>
      <c r="Z21" s="125"/>
      <c r="AA21" s="123">
        <v>0</v>
      </c>
      <c r="AB21" s="27"/>
      <c r="AC21" s="51"/>
      <c r="AD21" s="52"/>
      <c r="AE21" s="52"/>
      <c r="AF21" s="53">
        <f t="shared" si="15"/>
        <v>0</v>
      </c>
      <c r="AI21" s="122">
        <v>45854</v>
      </c>
      <c r="AJ21" s="123">
        <v>90</v>
      </c>
      <c r="AK21" s="125"/>
      <c r="AL21" s="126"/>
      <c r="AM21" s="27"/>
      <c r="AN21" s="51"/>
      <c r="AO21" s="52"/>
      <c r="AP21" s="52"/>
      <c r="AQ21" s="53">
        <f t="shared" si="16"/>
        <v>0</v>
      </c>
      <c r="AS21" s="122">
        <v>45854</v>
      </c>
      <c r="AT21" s="123">
        <v>2288.0700000000002</v>
      </c>
      <c r="AU21" s="125"/>
      <c r="AV21" s="128"/>
      <c r="AW21" s="27"/>
      <c r="AX21" s="51"/>
      <c r="AY21" s="52"/>
      <c r="AZ21" s="52"/>
      <c r="BA21" s="53">
        <f t="shared" si="17"/>
        <v>0</v>
      </c>
      <c r="BC21" s="122">
        <v>45854</v>
      </c>
      <c r="BD21" s="123">
        <v>3618.3</v>
      </c>
      <c r="BE21" s="125"/>
      <c r="BF21" s="128">
        <v>16.96</v>
      </c>
      <c r="BG21" s="27"/>
      <c r="BH21" s="51"/>
      <c r="BI21" s="52"/>
      <c r="BJ21" s="52"/>
      <c r="BK21" s="53">
        <f t="shared" si="18"/>
        <v>16.96</v>
      </c>
      <c r="BM21" s="122">
        <v>45854</v>
      </c>
      <c r="BN21" s="123">
        <v>14227.68</v>
      </c>
      <c r="BO21" s="123">
        <v>2340.5100000000002</v>
      </c>
      <c r="BP21" s="123">
        <v>1866.04</v>
      </c>
      <c r="BQ21" s="125"/>
      <c r="BR21" s="125"/>
      <c r="BS21" s="27"/>
      <c r="BT21" s="51"/>
      <c r="BU21" s="52"/>
      <c r="BV21" s="52"/>
      <c r="BW21" s="53">
        <f t="shared" si="0"/>
        <v>0</v>
      </c>
      <c r="BY21" s="122">
        <v>45854</v>
      </c>
      <c r="BZ21" s="256">
        <v>1383.15</v>
      </c>
      <c r="CA21" s="257">
        <v>310.05</v>
      </c>
      <c r="CB21" s="125"/>
      <c r="CC21" s="126"/>
      <c r="CD21" s="27"/>
      <c r="CE21" s="51"/>
      <c r="CF21" s="52"/>
      <c r="CG21" s="52"/>
      <c r="CH21" s="53">
        <f t="shared" si="7"/>
        <v>0</v>
      </c>
      <c r="CJ21" s="122">
        <v>45854</v>
      </c>
      <c r="CK21" s="123">
        <v>5406.27</v>
      </c>
      <c r="CL21" s="123">
        <v>633.95000000000005</v>
      </c>
      <c r="CM21" s="125"/>
      <c r="CN21" s="126">
        <v>0</v>
      </c>
      <c r="CO21" s="27"/>
      <c r="CP21" s="51"/>
      <c r="CQ21" s="52"/>
      <c r="CR21" s="52"/>
      <c r="CS21" s="53">
        <f t="shared" si="8"/>
        <v>0</v>
      </c>
      <c r="CU21" s="122">
        <v>45854</v>
      </c>
      <c r="CV21" s="123">
        <v>6537.43</v>
      </c>
      <c r="CW21" s="127">
        <v>976.97</v>
      </c>
      <c r="CX21" s="125"/>
      <c r="CY21" s="128">
        <v>69.010000000000005</v>
      </c>
      <c r="CZ21" s="27"/>
      <c r="DA21" s="51"/>
      <c r="DB21" s="173"/>
      <c r="DC21" s="52"/>
      <c r="DD21" s="52"/>
      <c r="DE21" s="53">
        <f t="shared" si="9"/>
        <v>69.010000000000005</v>
      </c>
      <c r="DH21" s="122">
        <v>45854</v>
      </c>
      <c r="DI21" s="123">
        <v>2297.1799999999998</v>
      </c>
      <c r="DJ21" s="259">
        <v>570.32000000000005</v>
      </c>
      <c r="DK21" s="259"/>
      <c r="DL21" s="127"/>
      <c r="DM21" s="126">
        <v>4</v>
      </c>
      <c r="DN21" s="27"/>
      <c r="DO21" s="51"/>
      <c r="DP21" s="52"/>
      <c r="DQ21" s="52"/>
      <c r="DR21" s="53">
        <f t="shared" si="10"/>
        <v>4</v>
      </c>
      <c r="DT21" s="122">
        <v>45854</v>
      </c>
      <c r="DU21" s="123">
        <v>1278.8499999999999</v>
      </c>
      <c r="DV21" s="259">
        <v>1113.49</v>
      </c>
      <c r="DW21" s="127"/>
      <c r="DX21" s="126">
        <v>13.2</v>
      </c>
      <c r="DY21" s="27"/>
      <c r="DZ21" s="51"/>
      <c r="EA21" s="52"/>
      <c r="EB21" s="52"/>
      <c r="EC21" s="53">
        <f t="shared" si="11"/>
        <v>13.2</v>
      </c>
      <c r="EE21" s="122">
        <v>45854</v>
      </c>
      <c r="EF21" s="123">
        <v>694.27</v>
      </c>
      <c r="EG21" s="127">
        <v>993.89</v>
      </c>
      <c r="EH21" s="127"/>
      <c r="EI21" s="258">
        <v>0</v>
      </c>
      <c r="EJ21" s="27"/>
      <c r="EK21" s="51"/>
      <c r="EL21" s="173"/>
      <c r="EM21" s="52"/>
      <c r="EN21" s="52"/>
      <c r="EO21" s="53">
        <f t="shared" si="12"/>
        <v>0</v>
      </c>
      <c r="EQ21" s="122">
        <v>45854</v>
      </c>
      <c r="ER21" s="123">
        <v>6235.66</v>
      </c>
      <c r="ES21" s="259">
        <v>423.82</v>
      </c>
      <c r="ET21" s="127"/>
      <c r="EU21" s="126">
        <v>94.75</v>
      </c>
      <c r="EV21" s="27"/>
      <c r="EW21" s="51"/>
      <c r="EX21" s="52"/>
      <c r="EY21" s="52"/>
      <c r="EZ21" s="53">
        <f t="shared" si="13"/>
        <v>94.75</v>
      </c>
      <c r="FB21" s="122">
        <v>45854</v>
      </c>
      <c r="FC21" s="123">
        <v>592.79</v>
      </c>
      <c r="FD21" s="123">
        <v>151.33000000000001</v>
      </c>
      <c r="FE21" s="125"/>
      <c r="FF21" s="126"/>
      <c r="FG21" s="27"/>
      <c r="FH21" s="51"/>
      <c r="FI21" s="52"/>
      <c r="FJ21" s="52"/>
      <c r="FK21" s="53">
        <f t="shared" si="14"/>
        <v>0</v>
      </c>
    </row>
    <row r="22" spans="2:167" hidden="1" x14ac:dyDescent="0.25">
      <c r="B22" s="122">
        <v>45855</v>
      </c>
      <c r="C22" s="123">
        <v>9057.35</v>
      </c>
      <c r="D22" s="125"/>
      <c r="E22" s="125"/>
      <c r="F22" s="125">
        <v>35.4</v>
      </c>
      <c r="G22" s="27"/>
      <c r="H22" s="51"/>
      <c r="I22" s="52"/>
      <c r="J22" s="52"/>
      <c r="K22" s="53">
        <f t="shared" si="1"/>
        <v>35.4</v>
      </c>
      <c r="M22" s="122">
        <v>45855</v>
      </c>
      <c r="N22" s="123">
        <v>4264.74</v>
      </c>
      <c r="O22" s="125"/>
      <c r="P22" s="126">
        <v>6.62</v>
      </c>
      <c r="Q22" s="27"/>
      <c r="R22" s="51"/>
      <c r="S22" s="52"/>
      <c r="T22" s="52"/>
      <c r="U22" s="53">
        <f t="shared" si="2"/>
        <v>6.62</v>
      </c>
      <c r="W22" s="122">
        <v>45855</v>
      </c>
      <c r="X22" s="123">
        <v>4314.32</v>
      </c>
      <c r="Y22" s="123">
        <v>216.45</v>
      </c>
      <c r="Z22" s="125"/>
      <c r="AA22" s="123">
        <v>0</v>
      </c>
      <c r="AB22" s="27"/>
      <c r="AC22" s="51"/>
      <c r="AD22" s="52"/>
      <c r="AE22" s="52"/>
      <c r="AF22" s="53">
        <f t="shared" si="15"/>
        <v>0</v>
      </c>
      <c r="AI22" s="122">
        <v>45855</v>
      </c>
      <c r="AJ22" s="123">
        <v>851.38</v>
      </c>
      <c r="AK22" s="125"/>
      <c r="AL22" s="126"/>
      <c r="AM22" s="27"/>
      <c r="AN22" s="51"/>
      <c r="AO22" s="52"/>
      <c r="AP22" s="52"/>
      <c r="AQ22" s="53">
        <f t="shared" si="16"/>
        <v>0</v>
      </c>
      <c r="AS22" s="122">
        <v>45855</v>
      </c>
      <c r="AT22" s="123">
        <v>2956.88</v>
      </c>
      <c r="AU22" s="125"/>
      <c r="AV22" s="128"/>
      <c r="AW22" s="27"/>
      <c r="AX22" s="51"/>
      <c r="AY22" s="52"/>
      <c r="AZ22" s="52"/>
      <c r="BA22" s="53">
        <f t="shared" si="17"/>
        <v>0</v>
      </c>
      <c r="BC22" s="122">
        <v>45855</v>
      </c>
      <c r="BD22" s="123">
        <v>2645.66</v>
      </c>
      <c r="BE22" s="125"/>
      <c r="BF22" s="128">
        <v>7.74</v>
      </c>
      <c r="BG22" s="27"/>
      <c r="BH22" s="51"/>
      <c r="BI22" s="52"/>
      <c r="BJ22" s="52"/>
      <c r="BK22" s="53">
        <f t="shared" si="18"/>
        <v>7.74</v>
      </c>
      <c r="BM22" s="122">
        <v>45855</v>
      </c>
      <c r="BN22" s="123">
        <v>15105.62</v>
      </c>
      <c r="BO22" s="123">
        <v>3310.6</v>
      </c>
      <c r="BP22" s="123">
        <v>7426.28</v>
      </c>
      <c r="BQ22" s="125"/>
      <c r="BR22" s="125"/>
      <c r="BS22" s="27"/>
      <c r="BT22" s="51"/>
      <c r="BU22" s="52"/>
      <c r="BV22" s="52"/>
      <c r="BW22" s="53">
        <f t="shared" si="0"/>
        <v>0</v>
      </c>
      <c r="BY22" s="122">
        <v>45855</v>
      </c>
      <c r="BZ22" s="256">
        <v>1016.92</v>
      </c>
      <c r="CA22" s="257">
        <v>555.15</v>
      </c>
      <c r="CB22" s="125"/>
      <c r="CC22" s="126"/>
      <c r="CD22" s="27"/>
      <c r="CE22" s="51"/>
      <c r="CF22" s="52"/>
      <c r="CG22" s="52"/>
      <c r="CH22" s="53">
        <f t="shared" si="7"/>
        <v>0</v>
      </c>
      <c r="CJ22" s="122">
        <v>45855</v>
      </c>
      <c r="CK22" s="123">
        <v>4336.3999999999996</v>
      </c>
      <c r="CL22" s="123">
        <v>518.52</v>
      </c>
      <c r="CM22" s="125"/>
      <c r="CN22" s="126">
        <v>3.98</v>
      </c>
      <c r="CO22" s="27"/>
      <c r="CP22" s="51"/>
      <c r="CQ22" s="52"/>
      <c r="CR22" s="52"/>
      <c r="CS22" s="53">
        <f t="shared" si="8"/>
        <v>3.98</v>
      </c>
      <c r="CU22" s="122">
        <v>45855</v>
      </c>
      <c r="CV22" s="123">
        <v>7373.55</v>
      </c>
      <c r="CW22" s="127">
        <v>757.02</v>
      </c>
      <c r="CX22" s="125"/>
      <c r="CY22" s="128">
        <v>296.10000000000002</v>
      </c>
      <c r="CZ22" s="27"/>
      <c r="DA22" s="51"/>
      <c r="DB22" s="173"/>
      <c r="DC22" s="52"/>
      <c r="DD22" s="52"/>
      <c r="DE22" s="53">
        <f t="shared" si="9"/>
        <v>296.10000000000002</v>
      </c>
      <c r="DH22" s="122">
        <v>45855</v>
      </c>
      <c r="DI22" s="123">
        <v>1737.24</v>
      </c>
      <c r="DJ22" s="127">
        <v>113.71</v>
      </c>
      <c r="DK22" s="127"/>
      <c r="DL22" s="127"/>
      <c r="DM22" s="126">
        <v>4</v>
      </c>
      <c r="DN22" s="27"/>
      <c r="DO22" s="51"/>
      <c r="DP22" s="52"/>
      <c r="DQ22" s="52"/>
      <c r="DR22" s="53">
        <f t="shared" si="10"/>
        <v>4</v>
      </c>
      <c r="DT22" s="122">
        <v>45855</v>
      </c>
      <c r="DU22" s="123">
        <v>1008.76</v>
      </c>
      <c r="DV22" s="127">
        <v>1677.43</v>
      </c>
      <c r="DW22" s="127"/>
      <c r="DX22" s="126">
        <v>25.11</v>
      </c>
      <c r="DY22" s="27"/>
      <c r="DZ22" s="51"/>
      <c r="EA22" s="52"/>
      <c r="EB22" s="52"/>
      <c r="EC22" s="53">
        <f t="shared" si="11"/>
        <v>25.11</v>
      </c>
      <c r="EE22" s="122">
        <v>45855</v>
      </c>
      <c r="EF22" s="123">
        <v>1108.69</v>
      </c>
      <c r="EG22" s="127">
        <v>597.59</v>
      </c>
      <c r="EH22" s="127"/>
      <c r="EI22" s="258">
        <v>0</v>
      </c>
      <c r="EJ22" s="27"/>
      <c r="EK22" s="51"/>
      <c r="EL22" s="173"/>
      <c r="EM22" s="52"/>
      <c r="EN22" s="52"/>
      <c r="EO22" s="53">
        <f t="shared" si="12"/>
        <v>0</v>
      </c>
      <c r="EQ22" s="122">
        <v>45855</v>
      </c>
      <c r="ER22" s="123">
        <v>3107.54</v>
      </c>
      <c r="ES22" s="259">
        <v>447.59</v>
      </c>
      <c r="ET22" s="127"/>
      <c r="EU22" s="126">
        <v>109.2</v>
      </c>
      <c r="EV22" s="27"/>
      <c r="EW22" s="51"/>
      <c r="EX22" s="52"/>
      <c r="EY22" s="52"/>
      <c r="EZ22" s="53">
        <f t="shared" si="13"/>
        <v>109.2</v>
      </c>
      <c r="FB22" s="122">
        <v>45855</v>
      </c>
      <c r="FC22" s="123">
        <v>714.76</v>
      </c>
      <c r="FD22" s="123">
        <v>100</v>
      </c>
      <c r="FE22" s="125"/>
      <c r="FF22" s="126"/>
      <c r="FG22" s="27"/>
      <c r="FH22" s="51"/>
      <c r="FI22" s="52"/>
      <c r="FJ22" s="52"/>
      <c r="FK22" s="53">
        <f t="shared" si="14"/>
        <v>0</v>
      </c>
    </row>
    <row r="23" spans="2:167" hidden="1" x14ac:dyDescent="0.25">
      <c r="B23" s="122">
        <v>45856</v>
      </c>
      <c r="C23" s="123">
        <v>10043.36</v>
      </c>
      <c r="D23" s="125"/>
      <c r="E23" s="125"/>
      <c r="F23" s="125">
        <v>35.4</v>
      </c>
      <c r="G23" s="27"/>
      <c r="H23" s="51"/>
      <c r="I23" s="52"/>
      <c r="J23" s="52"/>
      <c r="K23" s="53">
        <f t="shared" si="1"/>
        <v>35.4</v>
      </c>
      <c r="M23" s="122">
        <v>45856</v>
      </c>
      <c r="N23" s="123">
        <v>5055.1400000000003</v>
      </c>
      <c r="O23" s="125"/>
      <c r="P23" s="126">
        <v>48.71</v>
      </c>
      <c r="Q23" s="27"/>
      <c r="R23" s="51"/>
      <c r="S23" s="52"/>
      <c r="T23" s="52"/>
      <c r="U23" s="53">
        <f t="shared" si="2"/>
        <v>48.71</v>
      </c>
      <c r="W23" s="122">
        <v>45856</v>
      </c>
      <c r="X23" s="123">
        <v>3242.4</v>
      </c>
      <c r="Y23" s="123">
        <v>85.02</v>
      </c>
      <c r="Z23" s="125"/>
      <c r="AA23" s="123">
        <v>5.13</v>
      </c>
      <c r="AB23" s="27"/>
      <c r="AC23" s="51"/>
      <c r="AD23" s="52"/>
      <c r="AE23" s="52"/>
      <c r="AF23" s="53">
        <f t="shared" si="15"/>
        <v>5.13</v>
      </c>
      <c r="AI23" s="122">
        <v>45856</v>
      </c>
      <c r="AJ23" s="123">
        <v>1283.77</v>
      </c>
      <c r="AK23" s="125"/>
      <c r="AL23" s="126"/>
      <c r="AM23" s="27"/>
      <c r="AN23" s="51"/>
      <c r="AO23" s="52"/>
      <c r="AP23" s="52"/>
      <c r="AQ23" s="53">
        <f t="shared" si="16"/>
        <v>0</v>
      </c>
      <c r="AS23" s="122">
        <v>45856</v>
      </c>
      <c r="AT23" s="123">
        <v>3698.2</v>
      </c>
      <c r="AU23" s="125"/>
      <c r="AV23" s="128"/>
      <c r="AW23" s="27"/>
      <c r="AX23" s="51"/>
      <c r="AY23" s="52"/>
      <c r="AZ23" s="52"/>
      <c r="BA23" s="53">
        <f t="shared" si="17"/>
        <v>0</v>
      </c>
      <c r="BC23" s="122">
        <v>45856</v>
      </c>
      <c r="BD23" s="123">
        <v>2868.2</v>
      </c>
      <c r="BE23" s="125"/>
      <c r="BF23" s="128">
        <v>23.29</v>
      </c>
      <c r="BG23" s="27"/>
      <c r="BH23" s="51"/>
      <c r="BI23" s="52"/>
      <c r="BJ23" s="52"/>
      <c r="BK23" s="53">
        <f t="shared" si="18"/>
        <v>23.29</v>
      </c>
      <c r="BM23" s="122">
        <v>45856</v>
      </c>
      <c r="BN23" s="123">
        <v>15278.32</v>
      </c>
      <c r="BO23" s="123">
        <v>2914.45</v>
      </c>
      <c r="BP23" s="123">
        <v>9276.7900000000009</v>
      </c>
      <c r="BQ23" s="125"/>
      <c r="BR23" s="125"/>
      <c r="BS23" s="27"/>
      <c r="BT23" s="51"/>
      <c r="BU23" s="52"/>
      <c r="BV23" s="52"/>
      <c r="BW23" s="53">
        <f t="shared" si="0"/>
        <v>0</v>
      </c>
      <c r="BY23" s="122">
        <v>45856</v>
      </c>
      <c r="BZ23" s="256">
        <v>896.42</v>
      </c>
      <c r="CA23" s="257">
        <v>428.79</v>
      </c>
      <c r="CB23" s="125"/>
      <c r="CC23" s="126"/>
      <c r="CD23" s="27"/>
      <c r="CE23" s="51"/>
      <c r="CF23" s="52"/>
      <c r="CG23" s="52"/>
      <c r="CH23" s="53">
        <f t="shared" si="7"/>
        <v>0</v>
      </c>
      <c r="CJ23" s="122">
        <v>45856</v>
      </c>
      <c r="CK23" s="123">
        <v>6721.68</v>
      </c>
      <c r="CL23" s="123">
        <v>395.48</v>
      </c>
      <c r="CM23" s="125"/>
      <c r="CN23" s="126">
        <v>30.93</v>
      </c>
      <c r="CO23" s="27"/>
      <c r="CP23" s="51"/>
      <c r="CQ23" s="52"/>
      <c r="CR23" s="52"/>
      <c r="CS23" s="53">
        <f t="shared" si="8"/>
        <v>30.93</v>
      </c>
      <c r="CU23" s="122">
        <v>45856</v>
      </c>
      <c r="CV23" s="123">
        <v>5926.12</v>
      </c>
      <c r="CW23" s="127">
        <v>1058.95</v>
      </c>
      <c r="CX23" s="125"/>
      <c r="CY23" s="128">
        <v>159.72</v>
      </c>
      <c r="CZ23" s="27"/>
      <c r="DA23" s="51"/>
      <c r="DB23" s="173"/>
      <c r="DC23" s="52"/>
      <c r="DD23" s="52"/>
      <c r="DE23" s="53">
        <f t="shared" si="9"/>
        <v>159.72</v>
      </c>
      <c r="DH23" s="122">
        <v>45856</v>
      </c>
      <c r="DI23" s="123">
        <v>1545.31</v>
      </c>
      <c r="DJ23" s="127">
        <v>478.71</v>
      </c>
      <c r="DK23" s="127"/>
      <c r="DL23" s="127"/>
      <c r="DM23" s="126">
        <v>36.4</v>
      </c>
      <c r="DN23" s="27"/>
      <c r="DO23" s="51"/>
      <c r="DP23" s="52"/>
      <c r="DQ23" s="52"/>
      <c r="DR23" s="53">
        <f t="shared" si="10"/>
        <v>36.4</v>
      </c>
      <c r="DT23" s="122">
        <v>45856</v>
      </c>
      <c r="DU23" s="123">
        <v>1329.59</v>
      </c>
      <c r="DV23" s="127">
        <v>1789.47</v>
      </c>
      <c r="DW23" s="127"/>
      <c r="DX23" s="126">
        <v>26.51</v>
      </c>
      <c r="DY23" s="27"/>
      <c r="DZ23" s="51"/>
      <c r="EA23" s="52"/>
      <c r="EB23" s="52"/>
      <c r="EC23" s="53">
        <f t="shared" si="11"/>
        <v>26.51</v>
      </c>
      <c r="EE23" s="122">
        <v>45856</v>
      </c>
      <c r="EF23" s="123">
        <v>1533.73</v>
      </c>
      <c r="EG23" s="127">
        <v>819.83</v>
      </c>
      <c r="EH23" s="127"/>
      <c r="EI23" s="258">
        <v>0</v>
      </c>
      <c r="EJ23" s="27"/>
      <c r="EK23" s="51"/>
      <c r="EL23" s="173"/>
      <c r="EM23" s="52"/>
      <c r="EN23" s="52"/>
      <c r="EO23" s="53">
        <f t="shared" si="12"/>
        <v>0</v>
      </c>
      <c r="EQ23" s="122">
        <v>45856</v>
      </c>
      <c r="ER23" s="123">
        <v>2996.64</v>
      </c>
      <c r="ES23" s="259">
        <v>530.95000000000005</v>
      </c>
      <c r="ET23" s="127"/>
      <c r="EU23" s="126">
        <v>21</v>
      </c>
      <c r="EV23" s="27"/>
      <c r="EW23" s="51"/>
      <c r="EX23" s="52"/>
      <c r="EY23" s="52"/>
      <c r="EZ23" s="53">
        <f t="shared" si="13"/>
        <v>21</v>
      </c>
      <c r="FB23" s="122">
        <v>45856</v>
      </c>
      <c r="FC23" s="123">
        <v>652.96</v>
      </c>
      <c r="FD23" s="123">
        <v>108</v>
      </c>
      <c r="FE23" s="125"/>
      <c r="FF23" s="126"/>
      <c r="FG23" s="27"/>
      <c r="FH23" s="51"/>
      <c r="FI23" s="52"/>
      <c r="FJ23" s="52"/>
      <c r="FK23" s="53">
        <f t="shared" si="14"/>
        <v>0</v>
      </c>
    </row>
    <row r="24" spans="2:167" hidden="1" x14ac:dyDescent="0.25">
      <c r="B24" s="122">
        <v>45857</v>
      </c>
      <c r="C24" s="123">
        <v>11806.13</v>
      </c>
      <c r="D24" s="125"/>
      <c r="E24" s="125"/>
      <c r="F24" s="125">
        <v>40.549999999999997</v>
      </c>
      <c r="G24" s="27"/>
      <c r="H24" s="51"/>
      <c r="I24" s="52"/>
      <c r="J24" s="52"/>
      <c r="K24" s="53">
        <f t="shared" si="1"/>
        <v>40.549999999999997</v>
      </c>
      <c r="M24" s="122">
        <v>45857</v>
      </c>
      <c r="N24" s="123">
        <v>3362.6</v>
      </c>
      <c r="O24" s="125"/>
      <c r="P24" s="126">
        <v>18.190000000000001</v>
      </c>
      <c r="Q24" s="27"/>
      <c r="R24" s="51"/>
      <c r="S24" s="52"/>
      <c r="T24" s="52"/>
      <c r="U24" s="53">
        <f t="shared" si="2"/>
        <v>18.190000000000001</v>
      </c>
      <c r="W24" s="122">
        <v>45857</v>
      </c>
      <c r="X24" s="123">
        <v>1329.92</v>
      </c>
      <c r="Y24" s="123">
        <v>539.54999999999995</v>
      </c>
      <c r="Z24" s="125"/>
      <c r="AA24" s="123">
        <v>0</v>
      </c>
      <c r="AB24" s="27"/>
      <c r="AC24" s="51"/>
      <c r="AD24" s="52"/>
      <c r="AE24" s="52"/>
      <c r="AF24" s="53">
        <f t="shared" si="15"/>
        <v>0</v>
      </c>
      <c r="AI24" s="122">
        <v>45857</v>
      </c>
      <c r="AJ24" s="123">
        <v>861.12</v>
      </c>
      <c r="AK24" s="125"/>
      <c r="AL24" s="126"/>
      <c r="AM24" s="27"/>
      <c r="AN24" s="51"/>
      <c r="AO24" s="52"/>
      <c r="AP24" s="52"/>
      <c r="AQ24" s="53">
        <f t="shared" si="16"/>
        <v>0</v>
      </c>
      <c r="AS24" s="122">
        <v>45857</v>
      </c>
      <c r="AT24" s="123">
        <v>5396.58</v>
      </c>
      <c r="AU24" s="125"/>
      <c r="AV24" s="128"/>
      <c r="AW24" s="27"/>
      <c r="AX24" s="51"/>
      <c r="AY24" s="52"/>
      <c r="AZ24" s="52"/>
      <c r="BA24" s="53">
        <f t="shared" si="17"/>
        <v>0</v>
      </c>
      <c r="BC24" s="122">
        <v>45857</v>
      </c>
      <c r="BD24" s="123">
        <v>3844.38</v>
      </c>
      <c r="BE24" s="125"/>
      <c r="BF24" s="128">
        <v>3.13</v>
      </c>
      <c r="BG24" s="27"/>
      <c r="BH24" s="51"/>
      <c r="BI24" s="52"/>
      <c r="BJ24" s="52"/>
      <c r="BK24" s="53">
        <f t="shared" si="18"/>
        <v>3.13</v>
      </c>
      <c r="BM24" s="122">
        <v>45857</v>
      </c>
      <c r="BN24" s="123">
        <v>13467.27</v>
      </c>
      <c r="BO24" s="123">
        <v>2720.88</v>
      </c>
      <c r="BP24" s="123">
        <v>7537.73</v>
      </c>
      <c r="BQ24" s="125"/>
      <c r="BR24" s="125"/>
      <c r="BS24" s="27"/>
      <c r="BT24" s="51"/>
      <c r="BU24" s="52"/>
      <c r="BV24" s="52"/>
      <c r="BW24" s="53">
        <f t="shared" si="0"/>
        <v>0</v>
      </c>
      <c r="BY24" s="122">
        <v>45857</v>
      </c>
      <c r="BZ24" s="256">
        <v>828.56</v>
      </c>
      <c r="CA24" s="260">
        <v>406.24</v>
      </c>
      <c r="CB24" s="125"/>
      <c r="CC24" s="126"/>
      <c r="CD24" s="27"/>
      <c r="CE24" s="51"/>
      <c r="CF24" s="52"/>
      <c r="CG24" s="52"/>
      <c r="CH24" s="53">
        <f t="shared" si="7"/>
        <v>0</v>
      </c>
      <c r="CJ24" s="122">
        <v>45857</v>
      </c>
      <c r="CK24" s="123">
        <v>4473.0200000000004</v>
      </c>
      <c r="CL24" s="123">
        <v>435</v>
      </c>
      <c r="CM24" s="125"/>
      <c r="CN24" s="126">
        <v>1.51</v>
      </c>
      <c r="CO24" s="27"/>
      <c r="CP24" s="51"/>
      <c r="CQ24" s="52"/>
      <c r="CR24" s="52"/>
      <c r="CS24" s="53">
        <f t="shared" si="8"/>
        <v>1.51</v>
      </c>
      <c r="CU24" s="122">
        <v>45857</v>
      </c>
      <c r="CV24" s="123">
        <v>8810.85</v>
      </c>
      <c r="CW24" s="127">
        <v>373.19</v>
      </c>
      <c r="CX24" s="125"/>
      <c r="CY24" s="128">
        <v>87.35</v>
      </c>
      <c r="CZ24" s="27"/>
      <c r="DA24" s="51"/>
      <c r="DB24" s="173"/>
      <c r="DC24" s="52"/>
      <c r="DD24" s="52"/>
      <c r="DE24" s="53">
        <f t="shared" si="9"/>
        <v>87.35</v>
      </c>
      <c r="DH24" s="122">
        <v>45857</v>
      </c>
      <c r="DI24" s="123">
        <v>1981.69</v>
      </c>
      <c r="DJ24" s="127">
        <v>323.05</v>
      </c>
      <c r="DK24" s="127"/>
      <c r="DL24" s="127"/>
      <c r="DM24" s="126">
        <v>4</v>
      </c>
      <c r="DN24" s="27"/>
      <c r="DO24" s="51"/>
      <c r="DP24" s="52"/>
      <c r="DQ24" s="52"/>
      <c r="DR24" s="53">
        <f t="shared" si="10"/>
        <v>4</v>
      </c>
      <c r="DT24" s="122">
        <v>45857</v>
      </c>
      <c r="DU24" s="123">
        <v>1422.49</v>
      </c>
      <c r="DV24" s="127">
        <v>1618.87</v>
      </c>
      <c r="DW24" s="127"/>
      <c r="DX24" s="126">
        <v>0</v>
      </c>
      <c r="DY24" s="27"/>
      <c r="DZ24" s="51"/>
      <c r="EA24" s="52"/>
      <c r="EB24" s="52"/>
      <c r="EC24" s="53">
        <f t="shared" si="11"/>
        <v>0</v>
      </c>
      <c r="EE24" s="122">
        <v>45857</v>
      </c>
      <c r="EF24" s="123">
        <v>845.3</v>
      </c>
      <c r="EG24" s="127">
        <v>531.61</v>
      </c>
      <c r="EH24" s="127"/>
      <c r="EI24" s="258">
        <v>0</v>
      </c>
      <c r="EJ24" s="27"/>
      <c r="EK24" s="51"/>
      <c r="EL24" s="173"/>
      <c r="EM24" s="52"/>
      <c r="EN24" s="52"/>
      <c r="EO24" s="53">
        <f t="shared" si="12"/>
        <v>0</v>
      </c>
      <c r="EQ24" s="122">
        <v>45857</v>
      </c>
      <c r="ER24" s="123">
        <v>6222.8</v>
      </c>
      <c r="ES24" s="259">
        <v>145.46</v>
      </c>
      <c r="ET24" s="127"/>
      <c r="EU24" s="126">
        <v>25.7</v>
      </c>
      <c r="EV24" s="27"/>
      <c r="EW24" s="51"/>
      <c r="EX24" s="52"/>
      <c r="EY24" s="52"/>
      <c r="EZ24" s="53">
        <f t="shared" si="13"/>
        <v>25.7</v>
      </c>
      <c r="FB24" s="122">
        <v>45857</v>
      </c>
      <c r="FC24" s="123">
        <v>646</v>
      </c>
      <c r="FD24" s="123">
        <v>125</v>
      </c>
      <c r="FE24" s="125"/>
      <c r="FF24" s="126"/>
      <c r="FG24" s="27"/>
      <c r="FH24" s="51"/>
      <c r="FI24" s="52"/>
      <c r="FJ24" s="52"/>
      <c r="FK24" s="53">
        <f t="shared" si="14"/>
        <v>0</v>
      </c>
    </row>
    <row r="25" spans="2:167" hidden="1" x14ac:dyDescent="0.25">
      <c r="B25" s="122">
        <v>45858</v>
      </c>
      <c r="C25" s="123">
        <v>10419.02</v>
      </c>
      <c r="D25" s="126"/>
      <c r="E25" s="125"/>
      <c r="F25" s="126">
        <v>84.89</v>
      </c>
      <c r="G25" s="27"/>
      <c r="H25" s="51"/>
      <c r="I25" s="52"/>
      <c r="J25" s="52"/>
      <c r="K25" s="53">
        <f t="shared" si="1"/>
        <v>84.89</v>
      </c>
      <c r="M25" s="122">
        <v>45858</v>
      </c>
      <c r="N25" s="123">
        <v>2357.66</v>
      </c>
      <c r="O25" s="125"/>
      <c r="P25" s="126">
        <v>22.61</v>
      </c>
      <c r="Q25" s="27"/>
      <c r="R25" s="51"/>
      <c r="S25" s="52"/>
      <c r="T25" s="52"/>
      <c r="U25" s="53">
        <f t="shared" si="2"/>
        <v>22.61</v>
      </c>
      <c r="W25" s="122">
        <v>45858</v>
      </c>
      <c r="X25" s="123">
        <v>1502.19</v>
      </c>
      <c r="Y25" s="123">
        <v>176.15</v>
      </c>
      <c r="Z25" s="125"/>
      <c r="AA25" s="123">
        <v>0</v>
      </c>
      <c r="AB25" s="27"/>
      <c r="AC25" s="51"/>
      <c r="AD25" s="52"/>
      <c r="AE25" s="52"/>
      <c r="AF25" s="53">
        <f t="shared" si="15"/>
        <v>0</v>
      </c>
      <c r="AI25" s="122">
        <v>45858</v>
      </c>
      <c r="AJ25" s="123">
        <v>1583.13</v>
      </c>
      <c r="AK25" s="125"/>
      <c r="AL25" s="126"/>
      <c r="AM25" s="27"/>
      <c r="AN25" s="51"/>
      <c r="AO25" s="52"/>
      <c r="AP25" s="52"/>
      <c r="AQ25" s="53">
        <f t="shared" si="16"/>
        <v>0</v>
      </c>
      <c r="AS25" s="122">
        <v>45858</v>
      </c>
      <c r="AT25" s="123">
        <v>2759.64</v>
      </c>
      <c r="AU25" s="125"/>
      <c r="AV25" s="128"/>
      <c r="AW25" s="27"/>
      <c r="AX25" s="51"/>
      <c r="AY25" s="52"/>
      <c r="AZ25" s="52"/>
      <c r="BA25" s="53">
        <f t="shared" si="17"/>
        <v>0</v>
      </c>
      <c r="BC25" s="122">
        <v>45858</v>
      </c>
      <c r="BD25" s="123">
        <v>1653.42</v>
      </c>
      <c r="BE25" s="125"/>
      <c r="BF25" s="128">
        <v>0</v>
      </c>
      <c r="BG25" s="27"/>
      <c r="BH25" s="51"/>
      <c r="BI25" s="52"/>
      <c r="BJ25" s="52"/>
      <c r="BK25" s="53">
        <f t="shared" si="18"/>
        <v>0</v>
      </c>
      <c r="BM25" s="122">
        <v>45858</v>
      </c>
      <c r="BN25" s="123">
        <v>11059.65</v>
      </c>
      <c r="BO25" s="123">
        <v>2334.61</v>
      </c>
      <c r="BP25" s="123">
        <v>4771.49</v>
      </c>
      <c r="BQ25" s="125"/>
      <c r="BR25" s="125"/>
      <c r="BS25" s="27"/>
      <c r="BT25" s="51"/>
      <c r="BU25" s="52"/>
      <c r="BV25" s="52"/>
      <c r="BW25" s="53">
        <f t="shared" si="0"/>
        <v>0</v>
      </c>
      <c r="BY25" s="122">
        <v>45858</v>
      </c>
      <c r="BZ25" s="256">
        <v>676.44</v>
      </c>
      <c r="CA25" s="260">
        <v>600.57000000000005</v>
      </c>
      <c r="CB25" s="125"/>
      <c r="CC25" s="126"/>
      <c r="CD25" s="27"/>
      <c r="CE25" s="51"/>
      <c r="CF25" s="52"/>
      <c r="CG25" s="52"/>
      <c r="CH25" s="53">
        <f t="shared" si="7"/>
        <v>0</v>
      </c>
      <c r="CJ25" s="122">
        <v>45858</v>
      </c>
      <c r="CK25" s="123">
        <v>3302.18</v>
      </c>
      <c r="CL25" s="123">
        <v>488.66</v>
      </c>
      <c r="CM25" s="125"/>
      <c r="CN25" s="126">
        <v>0</v>
      </c>
      <c r="CO25" s="27"/>
      <c r="CP25" s="51"/>
      <c r="CQ25" s="52"/>
      <c r="CR25" s="52"/>
      <c r="CS25" s="53">
        <f t="shared" si="8"/>
        <v>0</v>
      </c>
      <c r="CU25" s="122">
        <v>45858</v>
      </c>
      <c r="CV25" s="123">
        <v>11470.35</v>
      </c>
      <c r="CW25" s="127">
        <v>455.03</v>
      </c>
      <c r="CX25" s="125"/>
      <c r="CY25" s="128">
        <v>158.29</v>
      </c>
      <c r="CZ25" s="27"/>
      <c r="DA25" s="51"/>
      <c r="DB25" s="173"/>
      <c r="DC25" s="52"/>
      <c r="DD25" s="52"/>
      <c r="DE25" s="53">
        <f t="shared" si="9"/>
        <v>158.29</v>
      </c>
      <c r="DH25" s="122">
        <v>45858</v>
      </c>
      <c r="DI25" s="123">
        <v>1238.67</v>
      </c>
      <c r="DJ25" s="127">
        <v>645.54</v>
      </c>
      <c r="DK25" s="127"/>
      <c r="DL25" s="127"/>
      <c r="DM25" s="126">
        <v>0</v>
      </c>
      <c r="DN25" s="27"/>
      <c r="DO25" s="51"/>
      <c r="DP25" s="52"/>
      <c r="DQ25" s="52"/>
      <c r="DR25" s="53">
        <f t="shared" si="10"/>
        <v>0</v>
      </c>
      <c r="DT25" s="122">
        <v>45858</v>
      </c>
      <c r="DU25" s="123">
        <v>1103</v>
      </c>
      <c r="DV25" s="127">
        <v>1456.89</v>
      </c>
      <c r="DW25" s="127"/>
      <c r="DX25" s="126">
        <v>13.28</v>
      </c>
      <c r="DY25" s="27"/>
      <c r="DZ25" s="51"/>
      <c r="EA25" s="52"/>
      <c r="EB25" s="52"/>
      <c r="EC25" s="53">
        <f t="shared" si="11"/>
        <v>13.28</v>
      </c>
      <c r="EE25" s="122">
        <v>45858</v>
      </c>
      <c r="EF25" s="123">
        <v>706.81</v>
      </c>
      <c r="EG25" s="127">
        <v>541.66999999999996</v>
      </c>
      <c r="EH25" s="127"/>
      <c r="EI25" s="258">
        <v>0</v>
      </c>
      <c r="EJ25" s="27"/>
      <c r="EK25" s="51"/>
      <c r="EL25" s="173"/>
      <c r="EM25" s="52"/>
      <c r="EN25" s="52"/>
      <c r="EO25" s="53">
        <f t="shared" si="12"/>
        <v>0</v>
      </c>
      <c r="EQ25" s="122">
        <v>45858</v>
      </c>
      <c r="ER25" s="123">
        <v>2873.43</v>
      </c>
      <c r="ES25" s="259">
        <v>247.85</v>
      </c>
      <c r="ET25" s="127"/>
      <c r="EU25" s="126">
        <v>0</v>
      </c>
      <c r="EV25" s="27"/>
      <c r="EW25" s="51"/>
      <c r="EX25" s="52"/>
      <c r="EY25" s="52"/>
      <c r="EZ25" s="53">
        <f t="shared" si="13"/>
        <v>0</v>
      </c>
      <c r="FB25" s="122">
        <v>45858</v>
      </c>
      <c r="FC25" s="123">
        <v>614.1</v>
      </c>
      <c r="FD25" s="123">
        <v>289</v>
      </c>
      <c r="FE25" s="125"/>
      <c r="FF25" s="126"/>
      <c r="FG25" s="27"/>
      <c r="FH25" s="51"/>
      <c r="FI25" s="52"/>
      <c r="FJ25" s="52"/>
      <c r="FK25" s="53">
        <f t="shared" si="14"/>
        <v>0</v>
      </c>
    </row>
    <row r="26" spans="2:167" hidden="1" x14ac:dyDescent="0.25">
      <c r="B26" s="122">
        <v>45859</v>
      </c>
      <c r="C26" s="123">
        <v>7641.34</v>
      </c>
      <c r="D26" s="126"/>
      <c r="E26" s="125"/>
      <c r="F26" s="126">
        <v>0</v>
      </c>
      <c r="G26" s="27"/>
      <c r="H26" s="51"/>
      <c r="I26" s="52"/>
      <c r="J26" s="52"/>
      <c r="K26" s="53">
        <f t="shared" si="1"/>
        <v>0</v>
      </c>
      <c r="M26" s="122">
        <v>45859</v>
      </c>
      <c r="N26" s="123">
        <v>4140.8999999999996</v>
      </c>
      <c r="O26" s="125"/>
      <c r="P26" s="126">
        <v>31.42</v>
      </c>
      <c r="Q26" s="27"/>
      <c r="R26" s="51"/>
      <c r="S26" s="52"/>
      <c r="T26" s="52"/>
      <c r="U26" s="53">
        <f t="shared" si="2"/>
        <v>31.42</v>
      </c>
      <c r="W26" s="122">
        <v>45859</v>
      </c>
      <c r="X26" s="123">
        <v>2287</v>
      </c>
      <c r="Y26" s="123">
        <v>141</v>
      </c>
      <c r="Z26" s="125"/>
      <c r="AA26" s="123">
        <v>0</v>
      </c>
      <c r="AB26" s="27"/>
      <c r="AC26" s="51"/>
      <c r="AD26" s="52"/>
      <c r="AE26" s="52"/>
      <c r="AF26" s="53">
        <f t="shared" si="15"/>
        <v>0</v>
      </c>
      <c r="AI26" s="122">
        <v>45859</v>
      </c>
      <c r="AJ26" s="123">
        <v>1702.07</v>
      </c>
      <c r="AK26" s="125"/>
      <c r="AL26" s="126"/>
      <c r="AM26" s="27"/>
      <c r="AN26" s="51"/>
      <c r="AO26" s="52"/>
      <c r="AP26" s="52"/>
      <c r="AQ26" s="53">
        <f t="shared" si="16"/>
        <v>0</v>
      </c>
      <c r="AS26" s="122">
        <v>45859</v>
      </c>
      <c r="AT26" s="123">
        <v>2080.4899999999998</v>
      </c>
      <c r="AU26" s="125"/>
      <c r="AV26" s="128"/>
      <c r="AW26" s="27"/>
      <c r="AX26" s="51"/>
      <c r="AY26" s="52"/>
      <c r="AZ26" s="52"/>
      <c r="BA26" s="53">
        <f t="shared" si="17"/>
        <v>0</v>
      </c>
      <c r="BC26" s="122">
        <v>45859</v>
      </c>
      <c r="BD26" s="123">
        <v>2680</v>
      </c>
      <c r="BE26" s="125"/>
      <c r="BF26" s="128">
        <v>5.13</v>
      </c>
      <c r="BG26" s="27"/>
      <c r="BH26" s="51"/>
      <c r="BI26" s="52"/>
      <c r="BJ26" s="52"/>
      <c r="BK26" s="53">
        <f t="shared" si="18"/>
        <v>5.13</v>
      </c>
      <c r="BM26" s="122">
        <v>45859</v>
      </c>
      <c r="BN26" s="123">
        <v>11128.18</v>
      </c>
      <c r="BO26" s="123">
        <v>2796.28</v>
      </c>
      <c r="BP26" s="123">
        <v>7486.41</v>
      </c>
      <c r="BQ26" s="125"/>
      <c r="BR26" s="125"/>
      <c r="BS26" s="27"/>
      <c r="BT26" s="51"/>
      <c r="BU26" s="52"/>
      <c r="BV26" s="52"/>
      <c r="BW26" s="53">
        <f t="shared" si="0"/>
        <v>0</v>
      </c>
      <c r="BY26" s="122">
        <v>45859</v>
      </c>
      <c r="BZ26" s="256">
        <v>801.18</v>
      </c>
      <c r="CA26" s="257">
        <v>210.07</v>
      </c>
      <c r="CB26" s="125"/>
      <c r="CC26" s="126"/>
      <c r="CD26" s="27"/>
      <c r="CE26" s="51"/>
      <c r="CF26" s="52"/>
      <c r="CG26" s="52"/>
      <c r="CH26" s="53">
        <f t="shared" si="7"/>
        <v>0</v>
      </c>
      <c r="CJ26" s="122">
        <v>45859</v>
      </c>
      <c r="CK26" s="123">
        <v>4192.9799999999996</v>
      </c>
      <c r="CL26" s="123">
        <v>524.37</v>
      </c>
      <c r="CM26" s="125"/>
      <c r="CN26" s="126">
        <v>14.21</v>
      </c>
      <c r="CO26" s="27"/>
      <c r="CP26" s="51"/>
      <c r="CQ26" s="52"/>
      <c r="CR26" s="52"/>
      <c r="CS26" s="53">
        <f t="shared" si="8"/>
        <v>14.21</v>
      </c>
      <c r="CU26" s="122">
        <v>45859</v>
      </c>
      <c r="CV26" s="123">
        <v>14389.43</v>
      </c>
      <c r="CW26" s="127">
        <v>570.33000000000004</v>
      </c>
      <c r="CX26" s="125"/>
      <c r="CY26" s="128">
        <v>158.03</v>
      </c>
      <c r="CZ26" s="27"/>
      <c r="DA26" s="51"/>
      <c r="DB26" s="173"/>
      <c r="DC26" s="52"/>
      <c r="DD26" s="52"/>
      <c r="DE26" s="53">
        <f t="shared" si="9"/>
        <v>158.03</v>
      </c>
      <c r="DH26" s="122">
        <v>45859</v>
      </c>
      <c r="DI26" s="123">
        <v>2029.13</v>
      </c>
      <c r="DJ26" s="127">
        <v>953.41</v>
      </c>
      <c r="DK26" s="127"/>
      <c r="DL26" s="127"/>
      <c r="DM26" s="126">
        <v>4</v>
      </c>
      <c r="DN26" s="27"/>
      <c r="DO26" s="51"/>
      <c r="DP26" s="52"/>
      <c r="DQ26" s="52"/>
      <c r="DR26" s="53">
        <f t="shared" si="10"/>
        <v>4</v>
      </c>
      <c r="DT26" s="122">
        <v>45859</v>
      </c>
      <c r="DU26" s="123">
        <v>1251.0999999999999</v>
      </c>
      <c r="DV26" s="127">
        <v>1548.23</v>
      </c>
      <c r="DW26" s="127"/>
      <c r="DX26" s="126">
        <v>50.19</v>
      </c>
      <c r="DY26" s="27"/>
      <c r="DZ26" s="51"/>
      <c r="EA26" s="52"/>
      <c r="EB26" s="52"/>
      <c r="EC26" s="53">
        <f t="shared" si="11"/>
        <v>50.19</v>
      </c>
      <c r="EE26" s="122">
        <v>45859</v>
      </c>
      <c r="EF26" s="123">
        <v>1162.46</v>
      </c>
      <c r="EG26" s="127">
        <v>500.78</v>
      </c>
      <c r="EH26" s="127"/>
      <c r="EI26" s="258">
        <v>0</v>
      </c>
      <c r="EJ26" s="27"/>
      <c r="EK26" s="51"/>
      <c r="EL26" s="173"/>
      <c r="EM26" s="52"/>
      <c r="EN26" s="52"/>
      <c r="EO26" s="53">
        <f t="shared" si="12"/>
        <v>0</v>
      </c>
      <c r="EQ26" s="122">
        <v>45859</v>
      </c>
      <c r="ER26" s="123">
        <v>5167.2</v>
      </c>
      <c r="ES26" s="259">
        <v>332.26</v>
      </c>
      <c r="ET26" s="127"/>
      <c r="EU26" s="126">
        <v>100.18</v>
      </c>
      <c r="EV26" s="27"/>
      <c r="EW26" s="51"/>
      <c r="EX26" s="52"/>
      <c r="EY26" s="52"/>
      <c r="EZ26" s="53">
        <f t="shared" si="13"/>
        <v>100.18</v>
      </c>
      <c r="FB26" s="122">
        <v>45859</v>
      </c>
      <c r="FC26" s="123">
        <v>1089.8499999999999</v>
      </c>
      <c r="FD26" s="126">
        <v>100.05</v>
      </c>
      <c r="FE26" s="125"/>
      <c r="FF26" s="126"/>
      <c r="FG26" s="27"/>
      <c r="FH26" s="51"/>
      <c r="FI26" s="52"/>
      <c r="FJ26" s="52"/>
      <c r="FK26" s="53">
        <f t="shared" si="14"/>
        <v>0</v>
      </c>
    </row>
    <row r="27" spans="2:167" hidden="1" x14ac:dyDescent="0.25">
      <c r="B27" s="122">
        <v>45860</v>
      </c>
      <c r="C27" s="123">
        <v>11087.35</v>
      </c>
      <c r="D27" s="125"/>
      <c r="E27" s="125"/>
      <c r="F27" s="125">
        <v>119.25</v>
      </c>
      <c r="G27" s="27"/>
      <c r="H27" s="51"/>
      <c r="I27" s="52"/>
      <c r="J27" s="52"/>
      <c r="K27" s="53">
        <f t="shared" si="1"/>
        <v>119.25</v>
      </c>
      <c r="M27" s="122">
        <v>45860</v>
      </c>
      <c r="N27" s="123">
        <v>2597.7399999999998</v>
      </c>
      <c r="O27" s="125"/>
      <c r="P27" s="126">
        <v>10.39</v>
      </c>
      <c r="Q27" s="27"/>
      <c r="R27" s="51"/>
      <c r="S27" s="52"/>
      <c r="T27" s="52"/>
      <c r="U27" s="53">
        <f t="shared" si="2"/>
        <v>10.39</v>
      </c>
      <c r="W27" s="122">
        <v>45860</v>
      </c>
      <c r="X27" s="123">
        <v>2764.98</v>
      </c>
      <c r="Y27" s="123">
        <v>196.27</v>
      </c>
      <c r="Z27" s="125"/>
      <c r="AA27" s="123">
        <v>0</v>
      </c>
      <c r="AB27" s="27"/>
      <c r="AC27" s="51"/>
      <c r="AD27" s="52"/>
      <c r="AE27" s="52"/>
      <c r="AF27" s="53">
        <f t="shared" si="15"/>
        <v>0</v>
      </c>
      <c r="AI27" s="122">
        <v>45860</v>
      </c>
      <c r="AJ27" s="123">
        <v>1336.92</v>
      </c>
      <c r="AK27" s="125"/>
      <c r="AL27" s="126"/>
      <c r="AM27" s="27"/>
      <c r="AN27" s="51"/>
      <c r="AO27" s="52"/>
      <c r="AP27" s="52"/>
      <c r="AQ27" s="53">
        <f t="shared" si="16"/>
        <v>0</v>
      </c>
      <c r="AS27" s="122">
        <v>45860</v>
      </c>
      <c r="AT27" s="123">
        <v>3933.96</v>
      </c>
      <c r="AU27" s="125"/>
      <c r="AV27" s="128"/>
      <c r="AW27" s="27"/>
      <c r="AX27" s="51"/>
      <c r="AY27" s="52"/>
      <c r="AZ27" s="52"/>
      <c r="BA27" s="53">
        <f t="shared" si="17"/>
        <v>0</v>
      </c>
      <c r="BC27" s="122">
        <v>45860</v>
      </c>
      <c r="BD27" s="123">
        <v>2985.13</v>
      </c>
      <c r="BE27" s="125"/>
      <c r="BF27" s="128">
        <v>12.62</v>
      </c>
      <c r="BG27" s="27"/>
      <c r="BH27" s="51"/>
      <c r="BI27" s="52"/>
      <c r="BJ27" s="52"/>
      <c r="BK27" s="53">
        <f t="shared" si="18"/>
        <v>12.62</v>
      </c>
      <c r="BM27" s="122">
        <v>45860</v>
      </c>
      <c r="BN27" s="123">
        <v>12148.49</v>
      </c>
      <c r="BO27" s="123">
        <v>2007.36</v>
      </c>
      <c r="BP27" s="123">
        <v>7529.99</v>
      </c>
      <c r="BQ27" s="125"/>
      <c r="BR27" s="125"/>
      <c r="BS27" s="27"/>
      <c r="BT27" s="51"/>
      <c r="BU27" s="52"/>
      <c r="BV27" s="52"/>
      <c r="BW27" s="53">
        <f t="shared" si="0"/>
        <v>0</v>
      </c>
      <c r="BY27" s="122">
        <v>45860</v>
      </c>
      <c r="BZ27" s="256">
        <v>1338.58</v>
      </c>
      <c r="CA27" s="257">
        <v>446.49</v>
      </c>
      <c r="CB27" s="125"/>
      <c r="CC27" s="126"/>
      <c r="CD27" s="27"/>
      <c r="CE27" s="51"/>
      <c r="CF27" s="52"/>
      <c r="CG27" s="52"/>
      <c r="CH27" s="53">
        <f t="shared" si="7"/>
        <v>0</v>
      </c>
      <c r="CJ27" s="122">
        <v>45860</v>
      </c>
      <c r="CK27" s="123">
        <v>3289.14</v>
      </c>
      <c r="CL27" s="123">
        <v>356.22</v>
      </c>
      <c r="CM27" s="125"/>
      <c r="CN27" s="126">
        <v>0</v>
      </c>
      <c r="CO27" s="27"/>
      <c r="CP27" s="51"/>
      <c r="CQ27" s="52"/>
      <c r="CR27" s="52"/>
      <c r="CS27" s="53">
        <f t="shared" si="8"/>
        <v>0</v>
      </c>
      <c r="CU27" s="122">
        <v>45860</v>
      </c>
      <c r="CV27" s="123">
        <v>6121.37</v>
      </c>
      <c r="CW27" s="127">
        <v>555.64</v>
      </c>
      <c r="CX27" s="125"/>
      <c r="CY27" s="126">
        <v>94.4</v>
      </c>
      <c r="CZ27" s="27"/>
      <c r="DA27" s="51"/>
      <c r="DB27" s="173"/>
      <c r="DC27" s="52"/>
      <c r="DD27" s="52"/>
      <c r="DE27" s="53">
        <f t="shared" si="9"/>
        <v>94.4</v>
      </c>
      <c r="DH27" s="122">
        <v>45860</v>
      </c>
      <c r="DI27" s="123">
        <v>2810.2</v>
      </c>
      <c r="DJ27" s="127">
        <v>586.95000000000005</v>
      </c>
      <c r="DK27" s="127"/>
      <c r="DL27" s="127"/>
      <c r="DM27" s="126">
        <v>4</v>
      </c>
      <c r="DN27" s="27"/>
      <c r="DO27" s="51"/>
      <c r="DP27" s="52"/>
      <c r="DQ27" s="52"/>
      <c r="DR27" s="53">
        <f t="shared" si="10"/>
        <v>4</v>
      </c>
      <c r="DT27" s="122">
        <v>45860</v>
      </c>
      <c r="DU27" s="123">
        <v>1232.3399999999999</v>
      </c>
      <c r="DV27" s="127">
        <v>1410.93</v>
      </c>
      <c r="DW27" s="127"/>
      <c r="DX27" s="126">
        <v>34.590000000000003</v>
      </c>
      <c r="DY27" s="27"/>
      <c r="DZ27" s="51"/>
      <c r="EA27" s="52"/>
      <c r="EB27" s="52"/>
      <c r="EC27" s="53">
        <f t="shared" si="11"/>
        <v>34.590000000000003</v>
      </c>
      <c r="EE27" s="122">
        <v>45860</v>
      </c>
      <c r="EF27" s="123">
        <v>1042.8</v>
      </c>
      <c r="EG27" s="127">
        <v>695.59</v>
      </c>
      <c r="EH27" s="127"/>
      <c r="EI27" s="258">
        <v>0</v>
      </c>
      <c r="EJ27" s="27"/>
      <c r="EK27" s="51"/>
      <c r="EL27" s="173"/>
      <c r="EM27" s="52"/>
      <c r="EN27" s="52"/>
      <c r="EO27" s="53">
        <f t="shared" si="12"/>
        <v>0</v>
      </c>
      <c r="EQ27" s="122">
        <v>45860</v>
      </c>
      <c r="ER27" s="123">
        <v>4022.52</v>
      </c>
      <c r="ES27" s="259">
        <v>259.54000000000002</v>
      </c>
      <c r="ET27" s="127"/>
      <c r="EU27" s="126">
        <v>118.93</v>
      </c>
      <c r="EV27" s="27"/>
      <c r="EW27" s="51"/>
      <c r="EX27" s="52"/>
      <c r="EY27" s="52"/>
      <c r="EZ27" s="53">
        <f t="shared" si="13"/>
        <v>118.93</v>
      </c>
      <c r="FB27" s="122">
        <v>45860</v>
      </c>
      <c r="FC27" s="123">
        <v>732.31</v>
      </c>
      <c r="FD27" s="123">
        <v>48.7</v>
      </c>
      <c r="FE27" s="125"/>
      <c r="FF27" s="126"/>
      <c r="FG27" s="27"/>
      <c r="FH27" s="51"/>
      <c r="FI27" s="52"/>
      <c r="FJ27" s="52"/>
      <c r="FK27" s="53">
        <f t="shared" si="14"/>
        <v>0</v>
      </c>
    </row>
    <row r="28" spans="2:167" hidden="1" x14ac:dyDescent="0.25">
      <c r="B28" s="122">
        <v>45861</v>
      </c>
      <c r="C28" s="123">
        <v>14376.85</v>
      </c>
      <c r="D28" s="125"/>
      <c r="E28" s="125"/>
      <c r="F28" s="125">
        <v>157.32</v>
      </c>
      <c r="G28" s="27"/>
      <c r="H28" s="51"/>
      <c r="I28" s="52"/>
      <c r="J28" s="52"/>
      <c r="K28" s="53">
        <f t="shared" si="1"/>
        <v>157.32</v>
      </c>
      <c r="M28" s="122">
        <v>45861</v>
      </c>
      <c r="N28" s="123">
        <v>3600.35</v>
      </c>
      <c r="O28" s="125"/>
      <c r="P28" s="126">
        <v>31.68</v>
      </c>
      <c r="Q28" s="27"/>
      <c r="R28" s="51"/>
      <c r="S28" s="52"/>
      <c r="T28" s="52"/>
      <c r="U28" s="53">
        <f t="shared" si="2"/>
        <v>31.68</v>
      </c>
      <c r="W28" s="122">
        <v>45861</v>
      </c>
      <c r="X28" s="123">
        <v>508.14</v>
      </c>
      <c r="Y28" s="123">
        <v>177.79</v>
      </c>
      <c r="Z28" s="125"/>
      <c r="AA28" s="123">
        <v>0</v>
      </c>
      <c r="AB28" s="27"/>
      <c r="AC28" s="51"/>
      <c r="AD28" s="52"/>
      <c r="AE28" s="52"/>
      <c r="AF28" s="53">
        <f t="shared" si="15"/>
        <v>0</v>
      </c>
      <c r="AI28" s="122">
        <v>45861</v>
      </c>
      <c r="AJ28" s="123">
        <v>1315.07</v>
      </c>
      <c r="AK28" s="125"/>
      <c r="AL28" s="126"/>
      <c r="AM28" s="27"/>
      <c r="AN28" s="51"/>
      <c r="AO28" s="52"/>
      <c r="AP28" s="52"/>
      <c r="AQ28" s="53">
        <f t="shared" si="16"/>
        <v>0</v>
      </c>
      <c r="AS28" s="122">
        <v>45861</v>
      </c>
      <c r="AT28" s="123">
        <v>3382.54</v>
      </c>
      <c r="AU28" s="125"/>
      <c r="AV28" s="128"/>
      <c r="AW28" s="27"/>
      <c r="AX28" s="51"/>
      <c r="AY28" s="52"/>
      <c r="AZ28" s="52"/>
      <c r="BA28" s="53">
        <f t="shared" si="17"/>
        <v>0</v>
      </c>
      <c r="BC28" s="122">
        <v>45861</v>
      </c>
      <c r="BD28" s="123">
        <v>3474.81</v>
      </c>
      <c r="BE28" s="125"/>
      <c r="BF28" s="128">
        <v>19.88</v>
      </c>
      <c r="BG28" s="27"/>
      <c r="BH28" s="51"/>
      <c r="BI28" s="52"/>
      <c r="BJ28" s="52"/>
      <c r="BK28" s="53">
        <f t="shared" si="18"/>
        <v>19.88</v>
      </c>
      <c r="BM28" s="122">
        <v>45861</v>
      </c>
      <c r="BN28" s="123">
        <v>9971.23</v>
      </c>
      <c r="BO28" s="123">
        <v>1921.64</v>
      </c>
      <c r="BP28" s="123">
        <v>5159.84</v>
      </c>
      <c r="BQ28" s="125"/>
      <c r="BR28" s="125"/>
      <c r="BS28" s="27"/>
      <c r="BT28" s="51"/>
      <c r="BU28" s="52"/>
      <c r="BV28" s="52"/>
      <c r="BW28" s="53">
        <f t="shared" si="0"/>
        <v>0</v>
      </c>
      <c r="BY28" s="122">
        <v>45861</v>
      </c>
      <c r="BZ28" s="256">
        <v>1085.98</v>
      </c>
      <c r="CA28" s="260">
        <v>1079.4000000000001</v>
      </c>
      <c r="CB28" s="125"/>
      <c r="CC28" s="126"/>
      <c r="CD28" s="27"/>
      <c r="CE28" s="51"/>
      <c r="CF28" s="52"/>
      <c r="CG28" s="52"/>
      <c r="CH28" s="53">
        <f t="shared" si="7"/>
        <v>0</v>
      </c>
      <c r="CJ28" s="122">
        <v>45861</v>
      </c>
      <c r="CK28" s="123">
        <v>4318.8599999999997</v>
      </c>
      <c r="CL28" s="123">
        <v>442.39</v>
      </c>
      <c r="CM28" s="125"/>
      <c r="CN28" s="126">
        <v>0</v>
      </c>
      <c r="CO28" s="27"/>
      <c r="CP28" s="51"/>
      <c r="CQ28" s="52"/>
      <c r="CR28" s="52"/>
      <c r="CS28" s="53">
        <f t="shared" si="8"/>
        <v>0</v>
      </c>
      <c r="CU28" s="122">
        <v>45861</v>
      </c>
      <c r="CV28" s="123">
        <v>2041.17</v>
      </c>
      <c r="CW28" s="127">
        <v>403.89</v>
      </c>
      <c r="CX28" s="125"/>
      <c r="CY28" s="126">
        <v>157.41999999999999</v>
      </c>
      <c r="CZ28" s="27"/>
      <c r="DA28" s="51"/>
      <c r="DB28" s="173"/>
      <c r="DC28" s="52"/>
      <c r="DD28" s="52"/>
      <c r="DE28" s="53">
        <f t="shared" si="9"/>
        <v>157.41999999999999</v>
      </c>
      <c r="DH28" s="122">
        <v>45861</v>
      </c>
      <c r="DI28" s="123">
        <v>1978.04</v>
      </c>
      <c r="DJ28" s="127">
        <v>635.24</v>
      </c>
      <c r="DK28" s="127"/>
      <c r="DL28" s="127"/>
      <c r="DM28" s="126">
        <v>0</v>
      </c>
      <c r="DN28" s="27"/>
      <c r="DO28" s="51"/>
      <c r="DP28" s="52"/>
      <c r="DQ28" s="52"/>
      <c r="DR28" s="53">
        <f t="shared" si="10"/>
        <v>0</v>
      </c>
      <c r="DT28" s="122">
        <v>45861</v>
      </c>
      <c r="DU28" s="123">
        <v>1199.82</v>
      </c>
      <c r="DV28" s="127">
        <v>953.19</v>
      </c>
      <c r="DW28" s="127"/>
      <c r="DX28" s="126">
        <v>12</v>
      </c>
      <c r="DY28" s="27"/>
      <c r="DZ28" s="51"/>
      <c r="EA28" s="52"/>
      <c r="EB28" s="52"/>
      <c r="EC28" s="53">
        <f t="shared" si="11"/>
        <v>12</v>
      </c>
      <c r="EE28" s="122">
        <v>45861</v>
      </c>
      <c r="EF28" s="123">
        <v>829.8</v>
      </c>
      <c r="EG28" s="127">
        <v>643.4</v>
      </c>
      <c r="EH28" s="127"/>
      <c r="EI28" s="258">
        <v>0</v>
      </c>
      <c r="EJ28" s="27"/>
      <c r="EK28" s="51"/>
      <c r="EL28" s="173"/>
      <c r="EM28" s="52"/>
      <c r="EN28" s="52"/>
      <c r="EO28" s="53">
        <f t="shared" si="12"/>
        <v>0</v>
      </c>
      <c r="EQ28" s="122">
        <v>45861</v>
      </c>
      <c r="ER28" s="123">
        <v>2523.39</v>
      </c>
      <c r="ES28" s="259">
        <v>215.98</v>
      </c>
      <c r="ET28" s="127"/>
      <c r="EU28" s="126">
        <v>0</v>
      </c>
      <c r="EV28" s="27"/>
      <c r="EW28" s="51"/>
      <c r="EX28" s="52"/>
      <c r="EY28" s="52"/>
      <c r="EZ28" s="53">
        <f t="shared" si="13"/>
        <v>0</v>
      </c>
      <c r="FB28" s="122">
        <v>45861</v>
      </c>
      <c r="FC28" s="123">
        <v>367.2</v>
      </c>
      <c r="FD28" s="123">
        <v>177.42</v>
      </c>
      <c r="FE28" s="125"/>
      <c r="FF28" s="126"/>
      <c r="FG28" s="27"/>
      <c r="FH28" s="51"/>
      <c r="FI28" s="52"/>
      <c r="FJ28" s="52"/>
      <c r="FK28" s="53">
        <f t="shared" si="14"/>
        <v>0</v>
      </c>
    </row>
    <row r="29" spans="2:167" hidden="1" x14ac:dyDescent="0.25">
      <c r="B29" s="122">
        <v>45862</v>
      </c>
      <c r="C29" s="123">
        <v>11112.49</v>
      </c>
      <c r="D29" s="125"/>
      <c r="E29" s="125"/>
      <c r="F29" s="125">
        <v>0</v>
      </c>
      <c r="G29" s="27"/>
      <c r="H29" s="51"/>
      <c r="I29" s="52"/>
      <c r="J29" s="52"/>
      <c r="K29" s="53">
        <f t="shared" si="1"/>
        <v>0</v>
      </c>
      <c r="M29" s="122">
        <v>45862</v>
      </c>
      <c r="N29" s="123">
        <v>3187.85</v>
      </c>
      <c r="O29" s="125"/>
      <c r="P29" s="126">
        <v>22.13</v>
      </c>
      <c r="Q29" s="27"/>
      <c r="R29" s="51"/>
      <c r="S29" s="52"/>
      <c r="T29" s="52"/>
      <c r="U29" s="53">
        <f t="shared" si="2"/>
        <v>22.13</v>
      </c>
      <c r="W29" s="122">
        <v>45862</v>
      </c>
      <c r="X29" s="123">
        <v>845.64</v>
      </c>
      <c r="Y29" s="123">
        <v>335.86</v>
      </c>
      <c r="Z29" s="125"/>
      <c r="AA29" s="123">
        <v>0</v>
      </c>
      <c r="AB29" s="27"/>
      <c r="AC29" s="51"/>
      <c r="AD29" s="52"/>
      <c r="AE29" s="52"/>
      <c r="AF29" s="53">
        <f t="shared" si="15"/>
        <v>0</v>
      </c>
      <c r="AI29" s="122">
        <v>45862</v>
      </c>
      <c r="AJ29" s="123">
        <v>1368.41</v>
      </c>
      <c r="AK29" s="125"/>
      <c r="AL29" s="126"/>
      <c r="AM29" s="27"/>
      <c r="AN29" s="51"/>
      <c r="AO29" s="52"/>
      <c r="AP29" s="52"/>
      <c r="AQ29" s="53">
        <f t="shared" si="16"/>
        <v>0</v>
      </c>
      <c r="AS29" s="122">
        <v>45862</v>
      </c>
      <c r="AT29" s="123">
        <v>2848.11</v>
      </c>
      <c r="AU29" s="125"/>
      <c r="AV29" s="128"/>
      <c r="AW29" s="27"/>
      <c r="AX29" s="51"/>
      <c r="AY29" s="52"/>
      <c r="AZ29" s="52"/>
      <c r="BA29" s="53">
        <f t="shared" si="17"/>
        <v>0</v>
      </c>
      <c r="BC29" s="122">
        <v>45862</v>
      </c>
      <c r="BD29" s="123">
        <v>4257.84</v>
      </c>
      <c r="BE29" s="125"/>
      <c r="BF29" s="128">
        <v>13.24</v>
      </c>
      <c r="BG29" s="27"/>
      <c r="BH29" s="51"/>
      <c r="BI29" s="52"/>
      <c r="BJ29" s="52"/>
      <c r="BK29" s="53">
        <f t="shared" si="18"/>
        <v>13.24</v>
      </c>
      <c r="BM29" s="122">
        <v>45862</v>
      </c>
      <c r="BN29" s="123">
        <v>11914.4</v>
      </c>
      <c r="BO29" s="123">
        <v>3059.11</v>
      </c>
      <c r="BP29" s="123">
        <v>7311.97</v>
      </c>
      <c r="BQ29" s="125"/>
      <c r="BR29" s="125"/>
      <c r="BS29" s="27"/>
      <c r="BT29" s="51"/>
      <c r="BU29" s="52"/>
      <c r="BV29" s="52"/>
      <c r="BW29" s="53">
        <f t="shared" si="0"/>
        <v>0</v>
      </c>
      <c r="BY29" s="122">
        <v>45862</v>
      </c>
      <c r="BZ29" s="256">
        <v>983.6</v>
      </c>
      <c r="CA29" s="257">
        <v>477.38</v>
      </c>
      <c r="CB29" s="125"/>
      <c r="CC29" s="126"/>
      <c r="CD29" s="27"/>
      <c r="CE29" s="51"/>
      <c r="CF29" s="52"/>
      <c r="CG29" s="52"/>
      <c r="CH29" s="53">
        <f t="shared" si="7"/>
        <v>0</v>
      </c>
      <c r="CJ29" s="122">
        <v>45862</v>
      </c>
      <c r="CK29" s="123">
        <v>4960.25</v>
      </c>
      <c r="CL29" s="123">
        <v>611.73</v>
      </c>
      <c r="CM29" s="125"/>
      <c r="CN29" s="126">
        <v>11.76</v>
      </c>
      <c r="CO29" s="27"/>
      <c r="CP29" s="51"/>
      <c r="CQ29" s="52"/>
      <c r="CR29" s="52"/>
      <c r="CS29" s="53">
        <f t="shared" si="8"/>
        <v>11.76</v>
      </c>
      <c r="CU29" s="122">
        <v>45862</v>
      </c>
      <c r="CV29" s="123">
        <v>7781.06</v>
      </c>
      <c r="CW29" s="127">
        <v>778.58</v>
      </c>
      <c r="CX29" s="125"/>
      <c r="CY29" s="126">
        <v>185.3</v>
      </c>
      <c r="CZ29" s="27"/>
      <c r="DA29" s="51"/>
      <c r="DB29" s="173"/>
      <c r="DC29" s="52"/>
      <c r="DD29" s="52"/>
      <c r="DE29" s="53">
        <f t="shared" si="9"/>
        <v>185.3</v>
      </c>
      <c r="DH29" s="122">
        <v>45862</v>
      </c>
      <c r="DI29" s="123">
        <v>1392.64</v>
      </c>
      <c r="DJ29" s="127">
        <v>421.03</v>
      </c>
      <c r="DK29" s="127"/>
      <c r="DL29" s="127"/>
      <c r="DM29" s="126">
        <v>4</v>
      </c>
      <c r="DN29" s="27"/>
      <c r="DO29" s="51"/>
      <c r="DP29" s="52"/>
      <c r="DQ29" s="52"/>
      <c r="DR29" s="53">
        <f t="shared" si="10"/>
        <v>4</v>
      </c>
      <c r="DT29" s="122">
        <v>45862</v>
      </c>
      <c r="DU29" s="123">
        <v>1208.31</v>
      </c>
      <c r="DV29" s="127">
        <v>1306.48</v>
      </c>
      <c r="DW29" s="127"/>
      <c r="DX29" s="126">
        <v>29.98</v>
      </c>
      <c r="DY29" s="27"/>
      <c r="DZ29" s="51"/>
      <c r="EA29" s="52"/>
      <c r="EB29" s="52"/>
      <c r="EC29" s="53">
        <f t="shared" si="11"/>
        <v>29.98</v>
      </c>
      <c r="EE29" s="122">
        <v>45862</v>
      </c>
      <c r="EF29" s="123">
        <v>1187.96</v>
      </c>
      <c r="EG29" s="127">
        <v>620.99</v>
      </c>
      <c r="EH29" s="127"/>
      <c r="EI29" s="258">
        <v>0</v>
      </c>
      <c r="EJ29" s="27"/>
      <c r="EK29" s="51"/>
      <c r="EL29" s="173"/>
      <c r="EM29" s="52"/>
      <c r="EN29" s="52"/>
      <c r="EO29" s="53">
        <f t="shared" si="12"/>
        <v>0</v>
      </c>
      <c r="EQ29" s="122">
        <v>45862</v>
      </c>
      <c r="ER29" s="123">
        <v>3828.59</v>
      </c>
      <c r="ES29" s="259">
        <v>374.52</v>
      </c>
      <c r="ET29" s="127"/>
      <c r="EU29" s="126">
        <v>0</v>
      </c>
      <c r="EV29" s="27"/>
      <c r="EW29" s="51"/>
      <c r="EX29" s="52"/>
      <c r="EY29" s="52"/>
      <c r="EZ29" s="53">
        <f t="shared" si="13"/>
        <v>0</v>
      </c>
      <c r="FB29" s="122">
        <v>45862</v>
      </c>
      <c r="FC29" s="123">
        <v>799.7</v>
      </c>
      <c r="FD29" s="123">
        <v>291</v>
      </c>
      <c r="FE29" s="125"/>
      <c r="FF29" s="126"/>
      <c r="FG29" s="27"/>
      <c r="FH29" s="51"/>
      <c r="FI29" s="52"/>
      <c r="FJ29" s="52"/>
      <c r="FK29" s="53">
        <f t="shared" si="14"/>
        <v>0</v>
      </c>
    </row>
    <row r="30" spans="2:167" hidden="1" x14ac:dyDescent="0.25">
      <c r="B30" s="122">
        <v>45863</v>
      </c>
      <c r="C30" s="123">
        <v>8403.07</v>
      </c>
      <c r="D30" s="125"/>
      <c r="E30" s="125"/>
      <c r="F30" s="125">
        <v>0</v>
      </c>
      <c r="G30" s="27"/>
      <c r="H30" s="51"/>
      <c r="I30" s="52"/>
      <c r="J30" s="52"/>
      <c r="K30" s="53">
        <f t="shared" si="1"/>
        <v>0</v>
      </c>
      <c r="M30" s="122">
        <v>45863</v>
      </c>
      <c r="N30" s="123">
        <v>2855.27</v>
      </c>
      <c r="O30" s="125"/>
      <c r="P30" s="126">
        <v>8.8000000000000007</v>
      </c>
      <c r="Q30" s="27"/>
      <c r="R30" s="51"/>
      <c r="S30" s="52"/>
      <c r="T30" s="52"/>
      <c r="U30" s="53">
        <f t="shared" si="2"/>
        <v>8.8000000000000007</v>
      </c>
      <c r="W30" s="122">
        <v>45863</v>
      </c>
      <c r="X30" s="123">
        <v>2216.7399999999998</v>
      </c>
      <c r="Y30" s="123">
        <v>146.74</v>
      </c>
      <c r="Z30" s="125"/>
      <c r="AA30" s="123">
        <v>0</v>
      </c>
      <c r="AB30" s="27"/>
      <c r="AC30" s="51"/>
      <c r="AD30" s="52"/>
      <c r="AE30" s="52"/>
      <c r="AF30" s="53">
        <f t="shared" si="15"/>
        <v>0</v>
      </c>
      <c r="AI30" s="122">
        <v>45863</v>
      </c>
      <c r="AJ30" s="123">
        <v>1096.47</v>
      </c>
      <c r="AK30" s="125"/>
      <c r="AL30" s="126"/>
      <c r="AM30" s="27"/>
      <c r="AN30" s="51"/>
      <c r="AO30" s="52"/>
      <c r="AP30" s="52"/>
      <c r="AQ30" s="53">
        <f t="shared" si="16"/>
        <v>0</v>
      </c>
      <c r="AS30" s="122">
        <v>45863</v>
      </c>
      <c r="AT30" s="123">
        <v>3155.83</v>
      </c>
      <c r="AU30" s="125"/>
      <c r="AV30" s="128"/>
      <c r="AW30" s="27"/>
      <c r="AX30" s="51"/>
      <c r="AY30" s="52"/>
      <c r="AZ30" s="52"/>
      <c r="BA30" s="53">
        <f t="shared" si="17"/>
        <v>0</v>
      </c>
      <c r="BC30" s="122">
        <v>45863</v>
      </c>
      <c r="BD30" s="123">
        <v>3878.48</v>
      </c>
      <c r="BE30" s="125"/>
      <c r="BF30" s="128">
        <v>16.23</v>
      </c>
      <c r="BG30" s="27"/>
      <c r="BH30" s="51"/>
      <c r="BI30" s="52"/>
      <c r="BJ30" s="52"/>
      <c r="BK30" s="53">
        <f t="shared" si="18"/>
        <v>16.23</v>
      </c>
      <c r="BM30" s="122">
        <v>45863</v>
      </c>
      <c r="BN30" s="123">
        <v>17132.41</v>
      </c>
      <c r="BO30" s="123">
        <v>2920.81</v>
      </c>
      <c r="BP30" s="123">
        <v>8409.7800000000007</v>
      </c>
      <c r="BQ30" s="125"/>
      <c r="BR30" s="125"/>
      <c r="BS30" s="27"/>
      <c r="BT30" s="51"/>
      <c r="BU30" s="52"/>
      <c r="BV30" s="52"/>
      <c r="BW30" s="53">
        <f t="shared" si="0"/>
        <v>0</v>
      </c>
      <c r="BY30" s="122">
        <v>45863</v>
      </c>
      <c r="BZ30" s="256">
        <v>803.01</v>
      </c>
      <c r="CA30" s="257">
        <v>608.13</v>
      </c>
      <c r="CB30" s="125"/>
      <c r="CC30" s="126"/>
      <c r="CD30" s="27"/>
      <c r="CE30" s="51"/>
      <c r="CF30" s="52"/>
      <c r="CG30" s="52"/>
      <c r="CH30" s="53">
        <f t="shared" si="7"/>
        <v>0</v>
      </c>
      <c r="CJ30" s="122">
        <v>45863</v>
      </c>
      <c r="CK30" s="123">
        <v>4203.3999999999996</v>
      </c>
      <c r="CL30" s="123">
        <v>501.4</v>
      </c>
      <c r="CM30" s="125"/>
      <c r="CN30" s="126">
        <v>15.62</v>
      </c>
      <c r="CO30" s="27"/>
      <c r="CP30" s="51"/>
      <c r="CQ30" s="52"/>
      <c r="CR30" s="52"/>
      <c r="CS30" s="53">
        <f t="shared" si="8"/>
        <v>15.62</v>
      </c>
      <c r="CU30" s="122">
        <v>45863</v>
      </c>
      <c r="CV30" s="123">
        <v>11216.37</v>
      </c>
      <c r="CW30" s="127">
        <v>1059.53</v>
      </c>
      <c r="CX30" s="125"/>
      <c r="CY30" s="126">
        <v>230.35</v>
      </c>
      <c r="CZ30" s="27"/>
      <c r="DA30" s="51"/>
      <c r="DB30" s="173"/>
      <c r="DC30" s="52"/>
      <c r="DD30" s="52"/>
      <c r="DE30" s="53">
        <f t="shared" si="9"/>
        <v>230.35</v>
      </c>
      <c r="DH30" s="122">
        <v>45863</v>
      </c>
      <c r="DI30" s="123">
        <v>1700.35</v>
      </c>
      <c r="DJ30" s="127">
        <v>601.76</v>
      </c>
      <c r="DK30" s="127"/>
      <c r="DL30" s="127"/>
      <c r="DM30" s="126">
        <v>12.4</v>
      </c>
      <c r="DN30" s="27"/>
      <c r="DO30" s="51"/>
      <c r="DP30" s="52"/>
      <c r="DQ30" s="52"/>
      <c r="DR30" s="53">
        <f t="shared" si="10"/>
        <v>12.4</v>
      </c>
      <c r="DT30" s="122">
        <v>45863</v>
      </c>
      <c r="DU30" s="123">
        <v>83.974999999999994</v>
      </c>
      <c r="DV30" s="127">
        <v>1432.6</v>
      </c>
      <c r="DW30" s="127"/>
      <c r="DX30" s="126">
        <v>11.7</v>
      </c>
      <c r="DY30" s="27"/>
      <c r="DZ30" s="51"/>
      <c r="EA30" s="52"/>
      <c r="EB30" s="52"/>
      <c r="EC30" s="53">
        <f t="shared" si="11"/>
        <v>11.7</v>
      </c>
      <c r="EE30" s="122">
        <v>45863</v>
      </c>
      <c r="EF30" s="123">
        <v>1607.66</v>
      </c>
      <c r="EG30" s="127">
        <v>1007.6</v>
      </c>
      <c r="EH30" s="127"/>
      <c r="EI30" s="258">
        <v>0</v>
      </c>
      <c r="EJ30" s="27"/>
      <c r="EK30" s="51"/>
      <c r="EL30" s="173"/>
      <c r="EM30" s="52"/>
      <c r="EN30" s="52"/>
      <c r="EO30" s="53">
        <f t="shared" si="12"/>
        <v>0</v>
      </c>
      <c r="EQ30" s="122">
        <v>45863</v>
      </c>
      <c r="ER30" s="123">
        <v>6374.01</v>
      </c>
      <c r="ES30" s="259">
        <v>206.59</v>
      </c>
      <c r="ET30" s="127"/>
      <c r="EU30" s="126">
        <v>112.77</v>
      </c>
      <c r="EV30" s="27"/>
      <c r="EW30" s="51"/>
      <c r="EX30" s="52"/>
      <c r="EY30" s="52"/>
      <c r="EZ30" s="53">
        <f t="shared" si="13"/>
        <v>112.77</v>
      </c>
      <c r="FB30" s="122">
        <v>45863</v>
      </c>
      <c r="FC30" s="123">
        <v>598.66999999999996</v>
      </c>
      <c r="FD30" s="123">
        <v>122</v>
      </c>
      <c r="FE30" s="125"/>
      <c r="FF30" s="126"/>
      <c r="FG30" s="27"/>
      <c r="FH30" s="51"/>
      <c r="FI30" s="52"/>
      <c r="FJ30" s="52"/>
      <c r="FK30" s="53">
        <f t="shared" si="14"/>
        <v>0</v>
      </c>
    </row>
    <row r="31" spans="2:167" hidden="1" x14ac:dyDescent="0.25">
      <c r="B31" s="122">
        <v>45864</v>
      </c>
      <c r="C31" s="123">
        <v>16483.86</v>
      </c>
      <c r="D31" s="126"/>
      <c r="E31" s="125"/>
      <c r="F31" s="126">
        <v>102.72</v>
      </c>
      <c r="G31" s="27"/>
      <c r="H31" s="51"/>
      <c r="I31" s="52"/>
      <c r="J31" s="52"/>
      <c r="K31" s="53">
        <f t="shared" si="1"/>
        <v>102.72</v>
      </c>
      <c r="M31" s="122">
        <v>45864</v>
      </c>
      <c r="N31" s="123">
        <v>3412.24</v>
      </c>
      <c r="O31" s="125"/>
      <c r="P31" s="126">
        <v>13.06</v>
      </c>
      <c r="Q31" s="27"/>
      <c r="R31" s="51"/>
      <c r="S31" s="52"/>
      <c r="T31" s="52"/>
      <c r="U31" s="53">
        <f t="shared" si="2"/>
        <v>13.06</v>
      </c>
      <c r="W31" s="122">
        <v>45864</v>
      </c>
      <c r="X31" s="123">
        <v>1467.65</v>
      </c>
      <c r="Y31" s="123">
        <v>239.43</v>
      </c>
      <c r="Z31" s="125"/>
      <c r="AA31" s="123">
        <v>0</v>
      </c>
      <c r="AB31" s="27"/>
      <c r="AC31" s="51"/>
      <c r="AD31" s="52"/>
      <c r="AE31" s="52"/>
      <c r="AF31" s="53">
        <f t="shared" si="15"/>
        <v>0</v>
      </c>
      <c r="AI31" s="122">
        <v>45864</v>
      </c>
      <c r="AJ31" s="123">
        <v>1435.15</v>
      </c>
      <c r="AK31" s="125"/>
      <c r="AL31" s="126"/>
      <c r="AM31" s="27"/>
      <c r="AN31" s="51"/>
      <c r="AO31" s="52"/>
      <c r="AP31" s="52"/>
      <c r="AQ31" s="53">
        <f t="shared" si="16"/>
        <v>0</v>
      </c>
      <c r="AS31" s="122">
        <v>45864</v>
      </c>
      <c r="AT31" s="123">
        <v>4366.79</v>
      </c>
      <c r="AU31" s="125"/>
      <c r="AV31" s="128"/>
      <c r="AW31" s="27"/>
      <c r="AX31" s="51"/>
      <c r="AY31" s="52"/>
      <c r="AZ31" s="52"/>
      <c r="BA31" s="53">
        <f t="shared" si="17"/>
        <v>0</v>
      </c>
      <c r="BC31" s="122">
        <v>45864</v>
      </c>
      <c r="BD31" s="123">
        <v>4063.95</v>
      </c>
      <c r="BE31" s="125"/>
      <c r="BF31" s="128">
        <v>3.43</v>
      </c>
      <c r="BG31" s="27"/>
      <c r="BH31" s="51"/>
      <c r="BI31" s="52"/>
      <c r="BJ31" s="52"/>
      <c r="BK31" s="53">
        <f t="shared" si="18"/>
        <v>3.43</v>
      </c>
      <c r="BM31" s="122">
        <v>45864</v>
      </c>
      <c r="BN31" s="123">
        <v>15066.69</v>
      </c>
      <c r="BO31" s="123">
        <v>2335.89</v>
      </c>
      <c r="BP31" s="123">
        <v>7603.1</v>
      </c>
      <c r="BQ31" s="125"/>
      <c r="BR31" s="125"/>
      <c r="BS31" s="27"/>
      <c r="BT31" s="51"/>
      <c r="BU31" s="52"/>
      <c r="BV31" s="52"/>
      <c r="BW31" s="53">
        <f t="shared" si="0"/>
        <v>0</v>
      </c>
      <c r="BY31" s="122">
        <v>45864</v>
      </c>
      <c r="BZ31" s="256">
        <v>2067.04</v>
      </c>
      <c r="CA31" s="257">
        <v>632.37</v>
      </c>
      <c r="CB31" s="125"/>
      <c r="CC31" s="126"/>
      <c r="CD31" s="27"/>
      <c r="CE31" s="51"/>
      <c r="CF31" s="52"/>
      <c r="CG31" s="52"/>
      <c r="CH31" s="53">
        <f t="shared" si="7"/>
        <v>0</v>
      </c>
      <c r="CJ31" s="122">
        <v>45864</v>
      </c>
      <c r="CK31" s="123">
        <v>4466.8100000000004</v>
      </c>
      <c r="CL31" s="123">
        <v>518.11</v>
      </c>
      <c r="CM31" s="125"/>
      <c r="CN31" s="126">
        <v>12.23</v>
      </c>
      <c r="CO31" s="27"/>
      <c r="CP31" s="51"/>
      <c r="CQ31" s="52"/>
      <c r="CR31" s="52"/>
      <c r="CS31" s="53">
        <f t="shared" si="8"/>
        <v>12.23</v>
      </c>
      <c r="CU31" s="122">
        <v>45864</v>
      </c>
      <c r="CV31" s="123">
        <v>7666.94</v>
      </c>
      <c r="CW31" s="127">
        <v>850.8</v>
      </c>
      <c r="CX31" s="125"/>
      <c r="CY31" s="126">
        <v>180.75</v>
      </c>
      <c r="CZ31" s="27"/>
      <c r="DA31" s="51"/>
      <c r="DB31" s="173"/>
      <c r="DC31" s="52"/>
      <c r="DD31" s="52"/>
      <c r="DE31" s="53">
        <f t="shared" si="9"/>
        <v>180.75</v>
      </c>
      <c r="DH31" s="122">
        <v>45864</v>
      </c>
      <c r="DI31" s="123">
        <v>2110.3000000000002</v>
      </c>
      <c r="DJ31" s="259">
        <v>531.96</v>
      </c>
      <c r="DK31" s="259"/>
      <c r="DL31" s="127"/>
      <c r="DM31" s="126">
        <v>29.53</v>
      </c>
      <c r="DN31" s="27"/>
      <c r="DO31" s="51"/>
      <c r="DP31" s="52"/>
      <c r="DQ31" s="52"/>
      <c r="DR31" s="53">
        <f t="shared" si="10"/>
        <v>29.53</v>
      </c>
      <c r="DT31" s="122">
        <v>45864</v>
      </c>
      <c r="DU31" s="123">
        <v>1565.94</v>
      </c>
      <c r="DV31" s="259">
        <v>1400.53</v>
      </c>
      <c r="DW31" s="127"/>
      <c r="DX31" s="126">
        <v>10.199999999999999</v>
      </c>
      <c r="DY31" s="27"/>
      <c r="DZ31" s="51"/>
      <c r="EA31" s="52"/>
      <c r="EB31" s="52"/>
      <c r="EC31" s="53">
        <f t="shared" si="11"/>
        <v>10.199999999999999</v>
      </c>
      <c r="EE31" s="122">
        <v>45864</v>
      </c>
      <c r="EF31" s="123">
        <v>754.41</v>
      </c>
      <c r="EG31" s="127">
        <v>491.65</v>
      </c>
      <c r="EH31" s="127"/>
      <c r="EI31" s="258">
        <v>0</v>
      </c>
      <c r="EJ31" s="27"/>
      <c r="EK31" s="51"/>
      <c r="EL31" s="173"/>
      <c r="EM31" s="52"/>
      <c r="EN31" s="52"/>
      <c r="EO31" s="53">
        <f t="shared" si="12"/>
        <v>0</v>
      </c>
      <c r="EQ31" s="122">
        <v>45864</v>
      </c>
      <c r="ER31" s="123">
        <v>2590.6799999999998</v>
      </c>
      <c r="ES31" s="259">
        <v>259.48</v>
      </c>
      <c r="ET31" s="127"/>
      <c r="EU31" s="126">
        <v>0</v>
      </c>
      <c r="EV31" s="27"/>
      <c r="EW31" s="51"/>
      <c r="EX31" s="52"/>
      <c r="EY31" s="52"/>
      <c r="EZ31" s="53">
        <f t="shared" si="13"/>
        <v>0</v>
      </c>
      <c r="FB31" s="122">
        <v>45864</v>
      </c>
      <c r="FC31" s="123">
        <v>870.58</v>
      </c>
      <c r="FD31" s="123">
        <v>12654</v>
      </c>
      <c r="FE31" s="125"/>
      <c r="FF31" s="126"/>
      <c r="FG31" s="27"/>
      <c r="FH31" s="51"/>
      <c r="FI31" s="52"/>
      <c r="FJ31" s="52"/>
      <c r="FK31" s="53">
        <f t="shared" si="14"/>
        <v>0</v>
      </c>
    </row>
    <row r="32" spans="2:167" hidden="1" x14ac:dyDescent="0.25">
      <c r="B32" s="122">
        <v>45865</v>
      </c>
      <c r="C32" s="123">
        <v>10641.49</v>
      </c>
      <c r="D32" s="125"/>
      <c r="E32" s="125"/>
      <c r="F32" s="125">
        <v>12.4</v>
      </c>
      <c r="G32" s="27"/>
      <c r="H32" s="51"/>
      <c r="I32" s="52"/>
      <c r="J32" s="52"/>
      <c r="K32" s="53">
        <f t="shared" si="1"/>
        <v>12.4</v>
      </c>
      <c r="M32" s="122">
        <v>45865</v>
      </c>
      <c r="N32" s="123">
        <v>4299.2700000000004</v>
      </c>
      <c r="O32" s="125"/>
      <c r="P32" s="126">
        <v>10.73</v>
      </c>
      <c r="Q32" s="27"/>
      <c r="R32" s="51"/>
      <c r="S32" s="52"/>
      <c r="T32" s="52"/>
      <c r="U32" s="53">
        <f t="shared" si="2"/>
        <v>10.73</v>
      </c>
      <c r="W32" s="122">
        <v>45865</v>
      </c>
      <c r="X32" s="123">
        <v>818.96</v>
      </c>
      <c r="Y32" s="123">
        <v>227.22</v>
      </c>
      <c r="Z32" s="125"/>
      <c r="AA32" s="123">
        <v>0</v>
      </c>
      <c r="AB32" s="27"/>
      <c r="AC32" s="51"/>
      <c r="AD32" s="52"/>
      <c r="AE32" s="52"/>
      <c r="AF32" s="53">
        <f t="shared" si="15"/>
        <v>0</v>
      </c>
      <c r="AI32" s="122">
        <v>45865</v>
      </c>
      <c r="AJ32" s="123">
        <v>2415.94</v>
      </c>
      <c r="AK32" s="125"/>
      <c r="AL32" s="126"/>
      <c r="AM32" s="27"/>
      <c r="AN32" s="51"/>
      <c r="AO32" s="52"/>
      <c r="AP32" s="52"/>
      <c r="AQ32" s="53">
        <f t="shared" si="16"/>
        <v>0</v>
      </c>
      <c r="AS32" s="122">
        <v>45865</v>
      </c>
      <c r="AT32" s="123">
        <v>4095.37</v>
      </c>
      <c r="AU32" s="125"/>
      <c r="AV32" s="128"/>
      <c r="AW32" s="27"/>
      <c r="AX32" s="51"/>
      <c r="AY32" s="52"/>
      <c r="AZ32" s="52"/>
      <c r="BA32" s="53">
        <f t="shared" si="17"/>
        <v>0</v>
      </c>
      <c r="BC32" s="122">
        <v>45865</v>
      </c>
      <c r="BD32" s="123">
        <v>3041.99</v>
      </c>
      <c r="BE32" s="125"/>
      <c r="BF32" s="128">
        <v>0</v>
      </c>
      <c r="BG32" s="27"/>
      <c r="BH32" s="51"/>
      <c r="BI32" s="52"/>
      <c r="BJ32" s="52"/>
      <c r="BK32" s="53">
        <f t="shared" si="18"/>
        <v>0</v>
      </c>
      <c r="BM32" s="122">
        <v>45865</v>
      </c>
      <c r="BN32" s="123">
        <v>8577.7000000000007</v>
      </c>
      <c r="BO32" s="123">
        <v>2041.99</v>
      </c>
      <c r="BP32" s="123">
        <v>3963.71</v>
      </c>
      <c r="BQ32" s="125"/>
      <c r="BR32" s="125"/>
      <c r="BS32" s="27"/>
      <c r="BT32" s="51"/>
      <c r="BU32" s="52"/>
      <c r="BV32" s="52"/>
      <c r="BW32" s="53">
        <f t="shared" si="0"/>
        <v>0</v>
      </c>
      <c r="BY32" s="122">
        <v>45865</v>
      </c>
      <c r="BZ32" s="256">
        <v>601.39</v>
      </c>
      <c r="CA32" s="260">
        <v>930.9</v>
      </c>
      <c r="CB32" s="125"/>
      <c r="CC32" s="126"/>
      <c r="CD32" s="27"/>
      <c r="CE32" s="51"/>
      <c r="CF32" s="52"/>
      <c r="CG32" s="52"/>
      <c r="CH32" s="53">
        <f t="shared" si="7"/>
        <v>0</v>
      </c>
      <c r="CJ32" s="122">
        <v>45865</v>
      </c>
      <c r="CK32" s="123">
        <v>2607.63</v>
      </c>
      <c r="CL32" s="123">
        <v>186.78</v>
      </c>
      <c r="CM32" s="125"/>
      <c r="CN32" s="126">
        <v>0</v>
      </c>
      <c r="CO32" s="27"/>
      <c r="CP32" s="51"/>
      <c r="CQ32" s="52"/>
      <c r="CR32" s="52"/>
      <c r="CS32" s="53">
        <f t="shared" si="8"/>
        <v>0</v>
      </c>
      <c r="CU32" s="122">
        <v>45865</v>
      </c>
      <c r="CV32" s="123">
        <v>3869.44</v>
      </c>
      <c r="CW32" s="127">
        <v>628.45000000000005</v>
      </c>
      <c r="CX32" s="125"/>
      <c r="CY32" s="126">
        <v>93.79</v>
      </c>
      <c r="CZ32" s="27"/>
      <c r="DA32" s="51"/>
      <c r="DB32" s="173"/>
      <c r="DC32" s="52"/>
      <c r="DD32" s="52"/>
      <c r="DE32" s="53">
        <f t="shared" si="9"/>
        <v>93.79</v>
      </c>
      <c r="DH32" s="122">
        <v>45865</v>
      </c>
      <c r="DI32" s="123">
        <v>1135.96</v>
      </c>
      <c r="DJ32" s="127">
        <v>353.63</v>
      </c>
      <c r="DK32" s="127"/>
      <c r="DL32" s="127"/>
      <c r="DM32" s="126">
        <v>0</v>
      </c>
      <c r="DN32" s="27"/>
      <c r="DO32" s="51"/>
      <c r="DP32" s="52"/>
      <c r="DQ32" s="52"/>
      <c r="DR32" s="53">
        <f t="shared" si="10"/>
        <v>0</v>
      </c>
      <c r="DT32" s="122">
        <v>45865</v>
      </c>
      <c r="DU32" s="123">
        <v>967.08</v>
      </c>
      <c r="DV32" s="127">
        <v>1155.92</v>
      </c>
      <c r="DW32" s="127"/>
      <c r="DX32" s="126">
        <v>10.199999999999999</v>
      </c>
      <c r="DY32" s="27"/>
      <c r="DZ32" s="51"/>
      <c r="EA32" s="52"/>
      <c r="EB32" s="52"/>
      <c r="EC32" s="53">
        <f t="shared" si="11"/>
        <v>10.199999999999999</v>
      </c>
      <c r="EE32" s="122">
        <v>45865</v>
      </c>
      <c r="EF32" s="123">
        <v>512.97</v>
      </c>
      <c r="EG32" s="127">
        <v>451.17</v>
      </c>
      <c r="EH32" s="127"/>
      <c r="EI32" s="258">
        <v>0</v>
      </c>
      <c r="EJ32" s="27"/>
      <c r="EK32" s="51"/>
      <c r="EL32" s="173"/>
      <c r="EM32" s="52"/>
      <c r="EN32" s="52"/>
      <c r="EO32" s="53">
        <f t="shared" si="12"/>
        <v>0</v>
      </c>
      <c r="EQ32" s="122">
        <v>45865</v>
      </c>
      <c r="ER32" s="123">
        <v>3300.14</v>
      </c>
      <c r="ES32" s="259">
        <v>382.78</v>
      </c>
      <c r="ET32" s="127"/>
      <c r="EU32" s="126">
        <v>0</v>
      </c>
      <c r="EV32" s="27"/>
      <c r="EW32" s="51"/>
      <c r="EX32" s="52"/>
      <c r="EY32" s="52"/>
      <c r="EZ32" s="53">
        <f t="shared" si="13"/>
        <v>0</v>
      </c>
      <c r="FB32" s="122">
        <v>45865</v>
      </c>
      <c r="FC32" s="123">
        <v>623.79999999999995</v>
      </c>
      <c r="FD32" s="123">
        <v>75</v>
      </c>
      <c r="FE32" s="125"/>
      <c r="FF32" s="126"/>
      <c r="FG32" s="27"/>
      <c r="FH32" s="51"/>
      <c r="FI32" s="52"/>
      <c r="FJ32" s="52"/>
      <c r="FK32" s="53">
        <f t="shared" si="14"/>
        <v>0</v>
      </c>
    </row>
    <row r="33" spans="2:167" ht="16.5" hidden="1" customHeight="1" x14ac:dyDescent="0.25">
      <c r="B33" s="122">
        <v>45866</v>
      </c>
      <c r="C33" s="123">
        <v>8233.86</v>
      </c>
      <c r="D33" s="126"/>
      <c r="E33" s="125"/>
      <c r="F33" s="126">
        <v>0</v>
      </c>
      <c r="G33" s="27"/>
      <c r="H33" s="51"/>
      <c r="I33" s="52"/>
      <c r="J33" s="52"/>
      <c r="K33" s="53">
        <f t="shared" si="1"/>
        <v>0</v>
      </c>
      <c r="M33" s="122">
        <v>45866</v>
      </c>
      <c r="N33" s="123">
        <v>4339.8599999999997</v>
      </c>
      <c r="O33" s="125"/>
      <c r="P33" s="126">
        <v>0</v>
      </c>
      <c r="Q33" s="27"/>
      <c r="R33" s="51"/>
      <c r="S33" s="52"/>
      <c r="T33" s="52"/>
      <c r="U33" s="53">
        <f t="shared" si="2"/>
        <v>0</v>
      </c>
      <c r="W33" s="122">
        <v>45866</v>
      </c>
      <c r="X33" s="123">
        <v>1342.64</v>
      </c>
      <c r="Y33" s="123">
        <v>261.43</v>
      </c>
      <c r="Z33" s="125"/>
      <c r="AA33" s="123">
        <v>0</v>
      </c>
      <c r="AB33" s="27"/>
      <c r="AC33" s="51"/>
      <c r="AD33" s="52"/>
      <c r="AE33" s="52"/>
      <c r="AF33" s="53">
        <f t="shared" si="15"/>
        <v>0</v>
      </c>
      <c r="AI33" s="122">
        <v>45866</v>
      </c>
      <c r="AJ33" s="123">
        <v>1639.12</v>
      </c>
      <c r="AK33" s="125"/>
      <c r="AL33" s="126"/>
      <c r="AM33" s="27"/>
      <c r="AN33" s="51"/>
      <c r="AO33" s="52"/>
      <c r="AP33" s="52"/>
      <c r="AQ33" s="53">
        <f t="shared" si="16"/>
        <v>0</v>
      </c>
      <c r="AS33" s="122">
        <v>45866</v>
      </c>
      <c r="AT33" s="123">
        <v>2773.32</v>
      </c>
      <c r="AU33" s="125"/>
      <c r="AV33" s="128"/>
      <c r="AW33" s="27"/>
      <c r="AX33" s="51"/>
      <c r="AY33" s="52"/>
      <c r="AZ33" s="52"/>
      <c r="BA33" s="53">
        <f t="shared" si="17"/>
        <v>0</v>
      </c>
      <c r="BC33" s="122">
        <v>45866</v>
      </c>
      <c r="BD33" s="123">
        <v>1732.44</v>
      </c>
      <c r="BE33" s="125"/>
      <c r="BF33" s="128">
        <v>0</v>
      </c>
      <c r="BG33" s="27"/>
      <c r="BH33" s="51"/>
      <c r="BI33" s="52"/>
      <c r="BJ33" s="52"/>
      <c r="BK33" s="53">
        <f t="shared" si="18"/>
        <v>0</v>
      </c>
      <c r="BM33" s="122">
        <v>45866</v>
      </c>
      <c r="BN33" s="123">
        <v>7237.39</v>
      </c>
      <c r="BO33" s="123">
        <v>1076.1199999999999</v>
      </c>
      <c r="BP33" s="123">
        <v>3427.65</v>
      </c>
      <c r="BQ33" s="125"/>
      <c r="BR33" s="125"/>
      <c r="BS33" s="27"/>
      <c r="BT33" s="51"/>
      <c r="BU33" s="52"/>
      <c r="BV33" s="52"/>
      <c r="BW33" s="53">
        <f t="shared" si="0"/>
        <v>0</v>
      </c>
      <c r="BY33" s="122">
        <v>45866</v>
      </c>
      <c r="BZ33" s="256">
        <v>1455.06</v>
      </c>
      <c r="CA33" s="257">
        <v>582.39</v>
      </c>
      <c r="CB33" s="125"/>
      <c r="CC33" s="126"/>
      <c r="CD33" s="27"/>
      <c r="CE33" s="51"/>
      <c r="CF33" s="52"/>
      <c r="CG33" s="52"/>
      <c r="CH33" s="53">
        <f t="shared" si="7"/>
        <v>0</v>
      </c>
      <c r="CJ33" s="122">
        <v>45866</v>
      </c>
      <c r="CK33" s="123">
        <v>3335.51</v>
      </c>
      <c r="CL33" s="123">
        <v>435.05</v>
      </c>
      <c r="CM33" s="125"/>
      <c r="CN33" s="126">
        <v>0</v>
      </c>
      <c r="CO33" s="27"/>
      <c r="CP33" s="51"/>
      <c r="CQ33" s="52"/>
      <c r="CR33" s="52"/>
      <c r="CS33" s="53">
        <f t="shared" si="8"/>
        <v>0</v>
      </c>
      <c r="CU33" s="122">
        <v>45866</v>
      </c>
      <c r="CV33" s="123">
        <v>2093.4499999999998</v>
      </c>
      <c r="CW33" s="127">
        <v>910.81</v>
      </c>
      <c r="CX33" s="125"/>
      <c r="CY33" s="126">
        <v>0</v>
      </c>
      <c r="CZ33" s="27"/>
      <c r="DA33" s="51"/>
      <c r="DB33" s="173"/>
      <c r="DC33" s="52"/>
      <c r="DD33" s="52"/>
      <c r="DE33" s="53">
        <f t="shared" si="9"/>
        <v>0</v>
      </c>
      <c r="DH33" s="122">
        <v>45866</v>
      </c>
      <c r="DI33" s="123">
        <v>1312.13</v>
      </c>
      <c r="DJ33" s="127">
        <v>178.52</v>
      </c>
      <c r="DK33" s="127"/>
      <c r="DL33" s="127"/>
      <c r="DM33" s="126">
        <v>4</v>
      </c>
      <c r="DN33" s="27"/>
      <c r="DO33" s="51"/>
      <c r="DP33" s="52"/>
      <c r="DQ33" s="52"/>
      <c r="DR33" s="53">
        <f t="shared" si="10"/>
        <v>4</v>
      </c>
      <c r="DT33" s="122">
        <v>45866</v>
      </c>
      <c r="DU33" s="123">
        <v>675.74</v>
      </c>
      <c r="DV33" s="127">
        <v>1014.94</v>
      </c>
      <c r="DW33" s="127"/>
      <c r="DX33" s="126">
        <v>18.38</v>
      </c>
      <c r="DY33" s="27"/>
      <c r="DZ33" s="51"/>
      <c r="EA33" s="52"/>
      <c r="EB33" s="52"/>
      <c r="EC33" s="53">
        <f t="shared" si="11"/>
        <v>18.38</v>
      </c>
      <c r="EE33" s="122">
        <v>45866</v>
      </c>
      <c r="EF33" s="123">
        <v>939.02</v>
      </c>
      <c r="EG33" s="127">
        <v>431.98</v>
      </c>
      <c r="EH33" s="127"/>
      <c r="EI33" s="258">
        <v>0</v>
      </c>
      <c r="EJ33" s="27"/>
      <c r="EK33" s="51"/>
      <c r="EL33" s="173"/>
      <c r="EM33" s="52"/>
      <c r="EN33" s="52"/>
      <c r="EO33" s="53">
        <f t="shared" si="12"/>
        <v>0</v>
      </c>
      <c r="EQ33" s="122">
        <v>45866</v>
      </c>
      <c r="ER33" s="123">
        <v>2705.03</v>
      </c>
      <c r="ES33" s="259">
        <v>171.77</v>
      </c>
      <c r="ET33" s="127"/>
      <c r="EU33" s="126">
        <v>0</v>
      </c>
      <c r="EV33" s="27"/>
      <c r="EW33" s="51"/>
      <c r="EX33" s="52"/>
      <c r="EY33" s="52"/>
      <c r="EZ33" s="53">
        <f t="shared" si="13"/>
        <v>0</v>
      </c>
      <c r="FB33" s="122">
        <v>45866</v>
      </c>
      <c r="FC33" s="123">
        <v>509.4</v>
      </c>
      <c r="FD33" s="123">
        <v>253.02</v>
      </c>
      <c r="FE33" s="125"/>
      <c r="FF33" s="126"/>
      <c r="FG33" s="27"/>
      <c r="FH33" s="51"/>
      <c r="FI33" s="52"/>
      <c r="FJ33" s="52"/>
      <c r="FK33" s="53">
        <f t="shared" si="14"/>
        <v>0</v>
      </c>
    </row>
    <row r="34" spans="2:167" hidden="1" x14ac:dyDescent="0.25">
      <c r="B34" s="122">
        <v>45867</v>
      </c>
      <c r="C34" s="123">
        <v>8161.59</v>
      </c>
      <c r="D34" s="125"/>
      <c r="E34" s="125"/>
      <c r="F34" s="125">
        <v>13.39</v>
      </c>
      <c r="G34" s="27"/>
      <c r="H34" s="51"/>
      <c r="I34" s="52"/>
      <c r="J34" s="52"/>
      <c r="K34" s="53">
        <f t="shared" si="1"/>
        <v>13.39</v>
      </c>
      <c r="M34" s="122">
        <v>45867</v>
      </c>
      <c r="N34" s="123">
        <v>3996.14</v>
      </c>
      <c r="O34" s="127"/>
      <c r="P34" s="261">
        <v>16.260000000000002</v>
      </c>
      <c r="Q34" s="27"/>
      <c r="R34" s="51"/>
      <c r="S34" s="52"/>
      <c r="T34" s="52"/>
      <c r="U34" s="53">
        <f t="shared" si="2"/>
        <v>16.260000000000002</v>
      </c>
      <c r="W34" s="122">
        <v>45867</v>
      </c>
      <c r="X34" s="123">
        <v>1726.25</v>
      </c>
      <c r="Y34" s="123">
        <v>480.53</v>
      </c>
      <c r="Z34" s="125"/>
      <c r="AA34" s="123">
        <v>0</v>
      </c>
      <c r="AB34" s="27"/>
      <c r="AC34" s="51"/>
      <c r="AD34" s="52"/>
      <c r="AE34" s="52"/>
      <c r="AF34" s="53">
        <f t="shared" si="15"/>
        <v>0</v>
      </c>
      <c r="AI34" s="122">
        <v>45867</v>
      </c>
      <c r="AJ34" s="123">
        <v>944.41</v>
      </c>
      <c r="AK34" s="127"/>
      <c r="AL34" s="262"/>
      <c r="AM34" s="27"/>
      <c r="AN34" s="51"/>
      <c r="AO34" s="52"/>
      <c r="AP34" s="52"/>
      <c r="AQ34" s="53">
        <f t="shared" si="16"/>
        <v>0</v>
      </c>
      <c r="AS34" s="122">
        <v>45867</v>
      </c>
      <c r="AT34" s="123">
        <v>4026.81</v>
      </c>
      <c r="AU34" s="127"/>
      <c r="AV34" s="261"/>
      <c r="AW34" s="27"/>
      <c r="AX34" s="51"/>
      <c r="AY34" s="52"/>
      <c r="AZ34" s="52"/>
      <c r="BA34" s="53">
        <f t="shared" si="17"/>
        <v>0</v>
      </c>
      <c r="BC34" s="122">
        <v>45867</v>
      </c>
      <c r="BD34" s="123">
        <v>2046.27</v>
      </c>
      <c r="BE34" s="125"/>
      <c r="BF34" s="128">
        <v>0</v>
      </c>
      <c r="BG34" s="27"/>
      <c r="BH34" s="51"/>
      <c r="BI34" s="52"/>
      <c r="BJ34" s="52"/>
      <c r="BK34" s="53">
        <f t="shared" si="18"/>
        <v>0</v>
      </c>
      <c r="BM34" s="122">
        <v>45867</v>
      </c>
      <c r="BN34" s="123">
        <v>7677.09</v>
      </c>
      <c r="BO34" s="123">
        <v>1371.91</v>
      </c>
      <c r="BP34" s="123">
        <v>3453.33</v>
      </c>
      <c r="BQ34" s="125"/>
      <c r="BR34" s="125"/>
      <c r="BS34" s="27"/>
      <c r="BT34" s="51"/>
      <c r="BU34" s="52"/>
      <c r="BV34" s="52"/>
      <c r="BW34" s="53">
        <f t="shared" si="0"/>
        <v>0</v>
      </c>
      <c r="BY34" s="122">
        <v>45867</v>
      </c>
      <c r="BZ34" s="256">
        <v>1603.88</v>
      </c>
      <c r="CA34" s="257">
        <v>663.35</v>
      </c>
      <c r="CB34" s="125"/>
      <c r="CC34" s="126"/>
      <c r="CD34" s="27"/>
      <c r="CE34" s="51"/>
      <c r="CF34" s="52"/>
      <c r="CG34" s="52"/>
      <c r="CH34" s="53">
        <f t="shared" si="7"/>
        <v>0</v>
      </c>
      <c r="CJ34" s="122">
        <v>45867</v>
      </c>
      <c r="CK34" s="123">
        <v>3905.17</v>
      </c>
      <c r="CL34" s="123">
        <v>359.97</v>
      </c>
      <c r="CM34" s="125"/>
      <c r="CN34" s="126">
        <v>0</v>
      </c>
      <c r="CO34" s="27"/>
      <c r="CP34" s="51"/>
      <c r="CQ34" s="52"/>
      <c r="CR34" s="52"/>
      <c r="CS34" s="53">
        <f t="shared" si="8"/>
        <v>0</v>
      </c>
      <c r="CU34" s="122">
        <v>45867</v>
      </c>
      <c r="CV34" s="123">
        <v>4350.1899999999996</v>
      </c>
      <c r="CW34" s="127">
        <v>694.72</v>
      </c>
      <c r="CX34" s="125"/>
      <c r="CY34" s="126">
        <v>45.27</v>
      </c>
      <c r="CZ34" s="27"/>
      <c r="DA34" s="51"/>
      <c r="DB34" s="173"/>
      <c r="DC34" s="52"/>
      <c r="DD34" s="52"/>
      <c r="DE34" s="53">
        <f t="shared" si="9"/>
        <v>45.27</v>
      </c>
      <c r="DH34" s="122">
        <v>45867</v>
      </c>
      <c r="DI34" s="123">
        <v>971.53</v>
      </c>
      <c r="DJ34" s="127">
        <v>498.62</v>
      </c>
      <c r="DK34" s="127"/>
      <c r="DL34" s="127"/>
      <c r="DM34" s="126">
        <v>4</v>
      </c>
      <c r="DN34" s="27"/>
      <c r="DO34" s="51"/>
      <c r="DP34" s="52"/>
      <c r="DQ34" s="52"/>
      <c r="DR34" s="53">
        <f t="shared" si="10"/>
        <v>4</v>
      </c>
      <c r="DT34" s="122">
        <v>45867</v>
      </c>
      <c r="DU34" s="123">
        <v>1372.01</v>
      </c>
      <c r="DV34" s="127">
        <v>1090.24</v>
      </c>
      <c r="DW34" s="127"/>
      <c r="DX34" s="126">
        <v>11</v>
      </c>
      <c r="DY34" s="27"/>
      <c r="DZ34" s="51"/>
      <c r="EA34" s="52"/>
      <c r="EB34" s="52"/>
      <c r="EC34" s="53">
        <f t="shared" si="11"/>
        <v>11</v>
      </c>
      <c r="EE34" s="122">
        <v>45867</v>
      </c>
      <c r="EF34" s="123">
        <v>453.54</v>
      </c>
      <c r="EG34" s="127">
        <v>500.56</v>
      </c>
      <c r="EH34" s="127"/>
      <c r="EI34" s="258">
        <v>0</v>
      </c>
      <c r="EJ34" s="27"/>
      <c r="EK34" s="51"/>
      <c r="EL34" s="173"/>
      <c r="EM34" s="52"/>
      <c r="EN34" s="52"/>
      <c r="EO34" s="53">
        <f t="shared" si="12"/>
        <v>0</v>
      </c>
      <c r="EQ34" s="122">
        <v>45867</v>
      </c>
      <c r="ER34" s="123">
        <v>3050.19</v>
      </c>
      <c r="ES34" s="259">
        <v>304.20999999999998</v>
      </c>
      <c r="ET34" s="127"/>
      <c r="EU34" s="126">
        <v>114.11</v>
      </c>
      <c r="EV34" s="27"/>
      <c r="EW34" s="51"/>
      <c r="EX34" s="52"/>
      <c r="EY34" s="52"/>
      <c r="EZ34" s="53">
        <f t="shared" si="13"/>
        <v>114.11</v>
      </c>
      <c r="FB34" s="122">
        <v>45867</v>
      </c>
      <c r="FC34" s="123">
        <v>606.29999999999995</v>
      </c>
      <c r="FD34" s="123">
        <v>277.57</v>
      </c>
      <c r="FE34" s="125"/>
      <c r="FF34" s="126"/>
      <c r="FG34" s="27"/>
      <c r="FH34" s="51"/>
      <c r="FI34" s="52"/>
      <c r="FJ34" s="52"/>
      <c r="FK34" s="53">
        <f t="shared" si="14"/>
        <v>0</v>
      </c>
    </row>
    <row r="35" spans="2:167" hidden="1" x14ac:dyDescent="0.25">
      <c r="B35" s="122">
        <v>45868</v>
      </c>
      <c r="C35" s="123">
        <v>9537.7199999999993</v>
      </c>
      <c r="D35" s="125"/>
      <c r="E35" s="125"/>
      <c r="F35" s="125">
        <v>96.17</v>
      </c>
      <c r="G35" s="27"/>
      <c r="H35" s="51"/>
      <c r="I35" s="52"/>
      <c r="J35" s="52"/>
      <c r="K35" s="53">
        <f t="shared" si="1"/>
        <v>96.17</v>
      </c>
      <c r="M35" s="122">
        <v>45868</v>
      </c>
      <c r="N35" s="123">
        <v>3409.92</v>
      </c>
      <c r="O35" s="127"/>
      <c r="P35" s="261">
        <v>0</v>
      </c>
      <c r="Q35" s="27"/>
      <c r="R35" s="51"/>
      <c r="S35" s="52"/>
      <c r="T35" s="52"/>
      <c r="U35" s="53">
        <f t="shared" si="2"/>
        <v>0</v>
      </c>
      <c r="W35" s="122">
        <v>45868</v>
      </c>
      <c r="X35" s="123">
        <v>1567.07</v>
      </c>
      <c r="Y35" s="123">
        <v>308.08999999999997</v>
      </c>
      <c r="Z35" s="125"/>
      <c r="AA35" s="123">
        <v>0</v>
      </c>
      <c r="AB35" s="27"/>
      <c r="AC35" s="51"/>
      <c r="AD35" s="52"/>
      <c r="AE35" s="52"/>
      <c r="AF35" s="53">
        <f t="shared" si="15"/>
        <v>0</v>
      </c>
      <c r="AI35" s="122">
        <v>45868</v>
      </c>
      <c r="AJ35" s="123">
        <v>1439.84</v>
      </c>
      <c r="AK35" s="127"/>
      <c r="AL35" s="262"/>
      <c r="AM35" s="27"/>
      <c r="AN35" s="51"/>
      <c r="AO35" s="52"/>
      <c r="AP35" s="52"/>
      <c r="AQ35" s="53">
        <f t="shared" si="16"/>
        <v>0</v>
      </c>
      <c r="AS35" s="122">
        <v>45868</v>
      </c>
      <c r="AT35" s="123">
        <v>3147.45</v>
      </c>
      <c r="AU35" s="127"/>
      <c r="AV35" s="261"/>
      <c r="AW35" s="27"/>
      <c r="AX35" s="51"/>
      <c r="AY35" s="52"/>
      <c r="AZ35" s="52"/>
      <c r="BA35" s="53">
        <f t="shared" si="17"/>
        <v>0</v>
      </c>
      <c r="BC35" s="122">
        <v>45868</v>
      </c>
      <c r="BD35" s="123">
        <v>2278.48</v>
      </c>
      <c r="BE35" s="125"/>
      <c r="BF35" s="128">
        <v>14.05</v>
      </c>
      <c r="BG35" s="27"/>
      <c r="BH35" s="51"/>
      <c r="BI35" s="52"/>
      <c r="BJ35" s="52"/>
      <c r="BK35" s="53">
        <f t="shared" si="18"/>
        <v>14.05</v>
      </c>
      <c r="BM35" s="122">
        <v>45868</v>
      </c>
      <c r="BN35" s="123">
        <v>9902.2800000000007</v>
      </c>
      <c r="BO35" s="123">
        <v>1614.03</v>
      </c>
      <c r="BP35" s="123">
        <v>6855.41</v>
      </c>
      <c r="BQ35" s="125"/>
      <c r="BR35" s="125"/>
      <c r="BS35" s="27"/>
      <c r="BT35" s="51"/>
      <c r="BU35" s="52"/>
      <c r="BV35" s="52"/>
      <c r="BW35" s="53">
        <f t="shared" si="0"/>
        <v>0</v>
      </c>
      <c r="BY35" s="122">
        <v>45868</v>
      </c>
      <c r="BZ35" s="256">
        <v>1670.21</v>
      </c>
      <c r="CA35" s="257">
        <v>638.96</v>
      </c>
      <c r="CB35" s="125"/>
      <c r="CC35" s="126"/>
      <c r="CD35" s="27"/>
      <c r="CE35" s="51"/>
      <c r="CF35" s="52"/>
      <c r="CG35" s="52"/>
      <c r="CH35" s="53">
        <f t="shared" si="7"/>
        <v>0</v>
      </c>
      <c r="CJ35" s="122">
        <v>45868</v>
      </c>
      <c r="CK35" s="123">
        <v>4531.28</v>
      </c>
      <c r="CL35" s="123">
        <v>748.75</v>
      </c>
      <c r="CM35" s="125"/>
      <c r="CN35" s="126">
        <v>0</v>
      </c>
      <c r="CO35" s="27"/>
      <c r="CP35" s="51"/>
      <c r="CQ35" s="52"/>
      <c r="CR35" s="52"/>
      <c r="CS35" s="53">
        <f t="shared" si="8"/>
        <v>0</v>
      </c>
      <c r="CU35" s="122">
        <v>45868</v>
      </c>
      <c r="CV35" s="123">
        <v>7448.94</v>
      </c>
      <c r="CW35" s="127">
        <v>513.08000000000004</v>
      </c>
      <c r="CX35" s="125"/>
      <c r="CY35" s="126">
        <v>100.46</v>
      </c>
      <c r="CZ35" s="27"/>
      <c r="DA35" s="51"/>
      <c r="DB35" s="173"/>
      <c r="DC35" s="52"/>
      <c r="DD35" s="52"/>
      <c r="DE35" s="53">
        <f t="shared" si="9"/>
        <v>100.46</v>
      </c>
      <c r="DH35" s="122">
        <v>45868</v>
      </c>
      <c r="DI35" s="123">
        <v>1567.36</v>
      </c>
      <c r="DJ35" s="127">
        <v>584.27</v>
      </c>
      <c r="DK35" s="127"/>
      <c r="DL35" s="127"/>
      <c r="DM35" s="126">
        <v>0</v>
      </c>
      <c r="DN35" s="27"/>
      <c r="DO35" s="51"/>
      <c r="DP35" s="52"/>
      <c r="DQ35" s="52"/>
      <c r="DR35" s="53">
        <f t="shared" si="10"/>
        <v>0</v>
      </c>
      <c r="DT35" s="122">
        <v>45868</v>
      </c>
      <c r="DU35" s="123">
        <v>901.91</v>
      </c>
      <c r="DV35" s="127">
        <v>951.61</v>
      </c>
      <c r="DW35" s="127"/>
      <c r="DX35" s="126">
        <v>25.16</v>
      </c>
      <c r="DY35" s="27"/>
      <c r="DZ35" s="51"/>
      <c r="EA35" s="52"/>
      <c r="EB35" s="52"/>
      <c r="EC35" s="53">
        <f t="shared" si="11"/>
        <v>25.16</v>
      </c>
      <c r="EE35" s="122">
        <v>45868</v>
      </c>
      <c r="EF35" s="123">
        <v>1028.99</v>
      </c>
      <c r="EG35" s="127">
        <v>862.67</v>
      </c>
      <c r="EH35" s="127"/>
      <c r="EI35" s="258">
        <v>0</v>
      </c>
      <c r="EJ35" s="27"/>
      <c r="EK35" s="51"/>
      <c r="EL35" s="173"/>
      <c r="EM35" s="52"/>
      <c r="EN35" s="52"/>
      <c r="EO35" s="53">
        <f t="shared" si="12"/>
        <v>0</v>
      </c>
      <c r="EQ35" s="122">
        <v>45868</v>
      </c>
      <c r="ER35" s="123">
        <v>2513.58</v>
      </c>
      <c r="ES35" s="259">
        <v>152</v>
      </c>
      <c r="ET35" s="127"/>
      <c r="EU35" s="126">
        <v>93.55</v>
      </c>
      <c r="EV35" s="27"/>
      <c r="EW35" s="51"/>
      <c r="EX35" s="52"/>
      <c r="EY35" s="52"/>
      <c r="EZ35" s="53">
        <f t="shared" si="13"/>
        <v>93.55</v>
      </c>
      <c r="FB35" s="122">
        <v>45868</v>
      </c>
      <c r="FC35" s="123">
        <v>617.97</v>
      </c>
      <c r="FD35" s="123">
        <v>103.97</v>
      </c>
      <c r="FE35" s="125"/>
      <c r="FF35" s="126"/>
      <c r="FG35" s="27"/>
      <c r="FH35" s="51"/>
      <c r="FI35" s="52"/>
      <c r="FJ35" s="52"/>
      <c r="FK35" s="53">
        <f t="shared" si="14"/>
        <v>0</v>
      </c>
    </row>
    <row r="36" spans="2:167" hidden="1" x14ac:dyDescent="0.25">
      <c r="B36" s="122">
        <v>45869</v>
      </c>
      <c r="C36" s="123">
        <v>7874.6</v>
      </c>
      <c r="D36" s="125"/>
      <c r="E36" s="125"/>
      <c r="F36" s="125">
        <v>41.3</v>
      </c>
      <c r="G36" s="27"/>
      <c r="H36" s="79"/>
      <c r="I36" s="80"/>
      <c r="J36" s="80"/>
      <c r="K36" s="81">
        <f t="shared" si="1"/>
        <v>41.3</v>
      </c>
      <c r="M36" s="122">
        <v>45869</v>
      </c>
      <c r="N36" s="123">
        <v>4152.12</v>
      </c>
      <c r="O36" s="127"/>
      <c r="P36" s="261">
        <v>33.35</v>
      </c>
      <c r="Q36" s="27"/>
      <c r="R36" s="79"/>
      <c r="S36" s="80"/>
      <c r="T36" s="80"/>
      <c r="U36" s="81">
        <f t="shared" si="2"/>
        <v>33.35</v>
      </c>
      <c r="W36" s="122">
        <v>45869</v>
      </c>
      <c r="X36" s="123">
        <v>958.49</v>
      </c>
      <c r="Y36" s="123">
        <v>0</v>
      </c>
      <c r="Z36" s="125"/>
      <c r="AA36" s="123">
        <v>0</v>
      </c>
      <c r="AB36" s="27"/>
      <c r="AC36" s="79"/>
      <c r="AD36" s="80"/>
      <c r="AE36" s="80"/>
      <c r="AF36" s="81">
        <f t="shared" si="15"/>
        <v>0</v>
      </c>
      <c r="AI36" s="122">
        <v>45869</v>
      </c>
      <c r="AJ36" s="123">
        <v>1034.17</v>
      </c>
      <c r="AK36" s="127"/>
      <c r="AL36" s="262"/>
      <c r="AM36" s="27"/>
      <c r="AN36" s="79"/>
      <c r="AO36" s="80"/>
      <c r="AP36" s="80"/>
      <c r="AQ36" s="81">
        <f t="shared" si="16"/>
        <v>0</v>
      </c>
      <c r="AS36" s="122">
        <v>45869</v>
      </c>
      <c r="AT36" s="123">
        <v>3210.68</v>
      </c>
      <c r="AU36" s="127"/>
      <c r="AV36" s="261"/>
      <c r="AW36" s="27"/>
      <c r="AX36" s="79"/>
      <c r="AY36" s="80"/>
      <c r="AZ36" s="80"/>
      <c r="BA36" s="81">
        <f t="shared" si="17"/>
        <v>0</v>
      </c>
      <c r="BC36" s="122">
        <v>45869</v>
      </c>
      <c r="BD36" s="123">
        <v>2519.6799999999998</v>
      </c>
      <c r="BE36" s="125"/>
      <c r="BF36" s="128">
        <v>20.61</v>
      </c>
      <c r="BG36" s="27"/>
      <c r="BH36" s="79"/>
      <c r="BI36" s="80"/>
      <c r="BJ36" s="80"/>
      <c r="BK36" s="81">
        <f t="shared" si="18"/>
        <v>20.61</v>
      </c>
      <c r="BM36" s="122">
        <v>45869</v>
      </c>
      <c r="BN36" s="123">
        <v>11213.88</v>
      </c>
      <c r="BO36" s="123">
        <v>2729.6</v>
      </c>
      <c r="BP36" s="123">
        <v>6980.09</v>
      </c>
      <c r="BQ36" s="125"/>
      <c r="BR36" s="125"/>
      <c r="BS36" s="27"/>
      <c r="BT36" s="79"/>
      <c r="BU36" s="80"/>
      <c r="BV36" s="80"/>
      <c r="BW36" s="81">
        <f t="shared" si="0"/>
        <v>0</v>
      </c>
      <c r="BY36" s="122">
        <v>45869</v>
      </c>
      <c r="BZ36" s="256">
        <v>1341.04</v>
      </c>
      <c r="CA36" s="257">
        <v>321.10000000000002</v>
      </c>
      <c r="CB36" s="125"/>
      <c r="CC36" s="126"/>
      <c r="CD36" s="27"/>
      <c r="CE36" s="79"/>
      <c r="CF36" s="80"/>
      <c r="CG36" s="80"/>
      <c r="CH36" s="81">
        <f t="shared" si="7"/>
        <v>0</v>
      </c>
      <c r="CJ36" s="122">
        <v>45869</v>
      </c>
      <c r="CK36" s="123">
        <v>7924.74</v>
      </c>
      <c r="CL36" s="123">
        <v>385.21</v>
      </c>
      <c r="CM36" s="125"/>
      <c r="CN36" s="126">
        <v>27.76</v>
      </c>
      <c r="CO36" s="27"/>
      <c r="CP36" s="79"/>
      <c r="CQ36" s="80"/>
      <c r="CR36" s="80"/>
      <c r="CS36" s="81">
        <f t="shared" si="8"/>
        <v>27.76</v>
      </c>
      <c r="CU36" s="122">
        <v>45869</v>
      </c>
      <c r="CV36" s="123">
        <v>11957.85</v>
      </c>
      <c r="CW36" s="127">
        <v>1166.1199999999999</v>
      </c>
      <c r="CX36" s="125"/>
      <c r="CY36" s="126">
        <v>106.58</v>
      </c>
      <c r="CZ36" s="27"/>
      <c r="DA36" s="79"/>
      <c r="DB36" s="188"/>
      <c r="DC36" s="80"/>
      <c r="DD36" s="80"/>
      <c r="DE36" s="81">
        <f t="shared" si="9"/>
        <v>106.58</v>
      </c>
      <c r="DH36" s="122">
        <v>45869</v>
      </c>
      <c r="DI36" s="123">
        <v>1678.5</v>
      </c>
      <c r="DJ36" s="127">
        <v>233.25</v>
      </c>
      <c r="DK36" s="127"/>
      <c r="DL36" s="127"/>
      <c r="DM36" s="126">
        <v>39.49</v>
      </c>
      <c r="DN36" s="27"/>
      <c r="DO36" s="79"/>
      <c r="DP36" s="80"/>
      <c r="DQ36" s="80"/>
      <c r="DR36" s="81">
        <f t="shared" si="10"/>
        <v>39.49</v>
      </c>
      <c r="DT36" s="122">
        <v>45869</v>
      </c>
      <c r="DU36" s="123">
        <v>989.71</v>
      </c>
      <c r="DV36" s="127">
        <v>1114.5</v>
      </c>
      <c r="DW36" s="127"/>
      <c r="DX36" s="126">
        <v>8.5</v>
      </c>
      <c r="DY36" s="27"/>
      <c r="DZ36" s="79"/>
      <c r="EA36" s="80"/>
      <c r="EB36" s="80"/>
      <c r="EC36" s="81">
        <f t="shared" si="11"/>
        <v>8.5</v>
      </c>
      <c r="EE36" s="122">
        <v>45869</v>
      </c>
      <c r="EF36" s="123">
        <v>688.5</v>
      </c>
      <c r="EG36" s="127">
        <v>922.01</v>
      </c>
      <c r="EH36" s="127"/>
      <c r="EI36" s="258">
        <v>0</v>
      </c>
      <c r="EJ36" s="27"/>
      <c r="EK36" s="79"/>
      <c r="EL36" s="188"/>
      <c r="EM36" s="80"/>
      <c r="EN36" s="80"/>
      <c r="EO36" s="81">
        <f t="shared" si="12"/>
        <v>0</v>
      </c>
      <c r="EQ36" s="122">
        <v>45869</v>
      </c>
      <c r="ER36" s="123">
        <v>2723.24</v>
      </c>
      <c r="ES36" s="263">
        <v>368.29</v>
      </c>
      <c r="ET36" s="127"/>
      <c r="EU36" s="126">
        <v>119.01</v>
      </c>
      <c r="EV36" s="27"/>
      <c r="EW36" s="79"/>
      <c r="EX36" s="80"/>
      <c r="EY36" s="80"/>
      <c r="EZ36" s="81">
        <f t="shared" si="13"/>
        <v>119.01</v>
      </c>
      <c r="FB36" s="122">
        <v>45869</v>
      </c>
      <c r="FC36" s="123">
        <v>352.85</v>
      </c>
      <c r="FD36" s="123">
        <v>45</v>
      </c>
      <c r="FE36" s="125"/>
      <c r="FF36" s="126"/>
      <c r="FG36" s="27"/>
      <c r="FH36" s="79"/>
      <c r="FI36" s="80"/>
      <c r="FJ36" s="80"/>
      <c r="FK36" s="81">
        <f t="shared" si="14"/>
        <v>0</v>
      </c>
    </row>
    <row r="37" spans="2:167" s="32" customFormat="1" ht="19.5" hidden="1" thickBot="1" x14ac:dyDescent="0.35">
      <c r="C37" s="129">
        <f>SUM(C6:C36)</f>
        <v>316919.23</v>
      </c>
      <c r="D37" s="129">
        <f>SUM(D6:D36)</f>
        <v>0</v>
      </c>
      <c r="F37" s="129">
        <f>SUM(F6:F36)</f>
        <v>1488.67</v>
      </c>
      <c r="G37" s="106"/>
      <c r="H37" s="107">
        <f t="shared" ref="H37:K37" si="19">SUM(H6:H36)</f>
        <v>0</v>
      </c>
      <c r="I37" s="108">
        <f t="shared" si="19"/>
        <v>0</v>
      </c>
      <c r="J37" s="108">
        <f t="shared" si="19"/>
        <v>0</v>
      </c>
      <c r="K37" s="108">
        <f t="shared" si="19"/>
        <v>1488.67</v>
      </c>
      <c r="N37" s="129">
        <f>SUM(N6:N36)</f>
        <v>105432.06000000001</v>
      </c>
      <c r="O37" s="129"/>
      <c r="P37" s="129">
        <f>SUM(P6:P36)</f>
        <v>678.8599999999999</v>
      </c>
      <c r="Q37" s="106"/>
      <c r="R37" s="107">
        <f t="shared" ref="R37:U37" si="20">SUM(R6:R36)</f>
        <v>0</v>
      </c>
      <c r="S37" s="108">
        <f t="shared" si="20"/>
        <v>0</v>
      </c>
      <c r="T37" s="108">
        <f t="shared" si="20"/>
        <v>0</v>
      </c>
      <c r="U37" s="108">
        <f t="shared" si="20"/>
        <v>678.8599999999999</v>
      </c>
      <c r="X37" s="129">
        <f>SUM(X6:X36)</f>
        <v>58667.86</v>
      </c>
      <c r="Y37" s="129">
        <f>SUM(Y6:Y36)</f>
        <v>6563.92</v>
      </c>
      <c r="AA37" s="129">
        <f>SUM(AA6:AA35)</f>
        <v>5.13</v>
      </c>
      <c r="AB37" s="106"/>
      <c r="AC37" s="107">
        <f t="shared" ref="AC37:AF37" si="21">SUM(AC6:AC36)</f>
        <v>0</v>
      </c>
      <c r="AD37" s="108">
        <f t="shared" si="21"/>
        <v>0</v>
      </c>
      <c r="AE37" s="108">
        <f t="shared" si="21"/>
        <v>0</v>
      </c>
      <c r="AF37" s="108">
        <f t="shared" si="21"/>
        <v>5.13</v>
      </c>
      <c r="AJ37" s="129">
        <f>SUM(AJ6:AJ36)</f>
        <v>42370.15</v>
      </c>
      <c r="AM37" s="106"/>
      <c r="AN37" s="107">
        <f t="shared" ref="AN37:AQ37" si="22">SUM(AN6:AN36)</f>
        <v>0</v>
      </c>
      <c r="AO37" s="108">
        <f t="shared" si="22"/>
        <v>0</v>
      </c>
      <c r="AP37" s="108">
        <f t="shared" si="22"/>
        <v>0</v>
      </c>
      <c r="AQ37" s="108">
        <f t="shared" si="22"/>
        <v>0</v>
      </c>
      <c r="AT37" s="129">
        <f>SUM(AT6:AT36)</f>
        <v>115363.05999999998</v>
      </c>
      <c r="AV37" s="129">
        <f>SUM(AV6:AV36)</f>
        <v>0</v>
      </c>
      <c r="AW37" s="106"/>
      <c r="AX37" s="107">
        <f t="shared" ref="AX37:BA37" si="23">SUM(AX6:AX36)</f>
        <v>0</v>
      </c>
      <c r="AY37" s="108">
        <f t="shared" si="23"/>
        <v>0</v>
      </c>
      <c r="AZ37" s="108">
        <f t="shared" si="23"/>
        <v>0</v>
      </c>
      <c r="BA37" s="108">
        <f t="shared" si="23"/>
        <v>0</v>
      </c>
      <c r="BD37" s="129">
        <f>SUM(BD6:BD36)</f>
        <v>103920.18</v>
      </c>
      <c r="BF37" s="129">
        <f>SUM(BF6:BF36)</f>
        <v>333.32000000000011</v>
      </c>
      <c r="BG37" s="106"/>
      <c r="BH37" s="107">
        <f t="shared" ref="BH37:BK37" si="24">SUM(BH6:BH36)</f>
        <v>0</v>
      </c>
      <c r="BI37" s="108">
        <f t="shared" si="24"/>
        <v>0</v>
      </c>
      <c r="BJ37" s="108">
        <f t="shared" si="24"/>
        <v>0</v>
      </c>
      <c r="BK37" s="108">
        <f t="shared" si="24"/>
        <v>333.32000000000011</v>
      </c>
      <c r="BN37" s="129">
        <f>SUM(BN6:BN36)</f>
        <v>405315.93000000005</v>
      </c>
      <c r="BO37" s="129">
        <f>SUM(BO6:BO36)</f>
        <v>80460.59</v>
      </c>
      <c r="BP37" s="129">
        <f>SUM(BP6:BP36)</f>
        <v>204111.34999999998</v>
      </c>
      <c r="BQ37" s="129">
        <f t="shared" ref="BQ37:BR37" si="25">SUM(BQ6:BQ36)</f>
        <v>0</v>
      </c>
      <c r="BR37" s="129">
        <f t="shared" si="25"/>
        <v>0</v>
      </c>
      <c r="BS37" s="106"/>
      <c r="BT37" s="107">
        <f t="shared" ref="BT37:BW37" si="26">SUM(BT6:BT36)</f>
        <v>0</v>
      </c>
      <c r="BU37" s="108">
        <f t="shared" si="26"/>
        <v>0</v>
      </c>
      <c r="BV37" s="108">
        <f t="shared" si="26"/>
        <v>0</v>
      </c>
      <c r="BW37" s="108">
        <f t="shared" si="26"/>
        <v>0</v>
      </c>
      <c r="BZ37" s="129">
        <f>SUM(BZ6:BZ36)</f>
        <v>38853.729999999989</v>
      </c>
      <c r="CA37" s="129">
        <f>SUM(CA6:CA36)</f>
        <v>16957.679999999997</v>
      </c>
      <c r="CC37" s="129"/>
      <c r="CD37" s="106"/>
      <c r="CE37" s="107">
        <f t="shared" ref="CE37:CH37" si="27">SUM(CE6:CE36)</f>
        <v>0</v>
      </c>
      <c r="CF37" s="108">
        <f t="shared" si="27"/>
        <v>0</v>
      </c>
      <c r="CG37" s="108">
        <f t="shared" si="27"/>
        <v>0</v>
      </c>
      <c r="CH37" s="108">
        <f t="shared" si="27"/>
        <v>0</v>
      </c>
      <c r="CK37" s="129">
        <f>SUM(CK6:CK36)</f>
        <v>126762.73</v>
      </c>
      <c r="CL37" s="129">
        <f>SUM(CL6:CL36)</f>
        <v>15011.109999999999</v>
      </c>
      <c r="CN37" s="129">
        <f>SUM(CN6:CN36)</f>
        <v>278.83</v>
      </c>
      <c r="CO37" s="106"/>
      <c r="CP37" s="107">
        <f t="shared" ref="CP37:CS37" si="28">SUM(CP6:CP36)</f>
        <v>0</v>
      </c>
      <c r="CQ37" s="108">
        <f t="shared" si="28"/>
        <v>0</v>
      </c>
      <c r="CR37" s="108">
        <f t="shared" si="28"/>
        <v>0</v>
      </c>
      <c r="CS37" s="108">
        <f t="shared" si="28"/>
        <v>278.83</v>
      </c>
      <c r="CV37" s="129">
        <f>SUM(CV6:CV36)</f>
        <v>205194.52000000005</v>
      </c>
      <c r="CW37" s="129">
        <f>SUM(CW6:CW36)</f>
        <v>22442.600000000002</v>
      </c>
      <c r="CY37" s="129">
        <f>SUM(CY6:CY36)</f>
        <v>3901.4900000000002</v>
      </c>
      <c r="CZ37" s="106"/>
      <c r="DA37" s="107">
        <f t="shared" ref="DA37:DE37" si="29">SUM(DA6:DA36)</f>
        <v>0</v>
      </c>
      <c r="DB37" s="434"/>
      <c r="DC37" s="108">
        <f t="shared" si="29"/>
        <v>0</v>
      </c>
      <c r="DD37" s="108">
        <f t="shared" si="29"/>
        <v>0</v>
      </c>
      <c r="DE37" s="108">
        <f t="shared" si="29"/>
        <v>3901.4900000000002</v>
      </c>
      <c r="DI37" s="129">
        <f>SUM(DI6:DI36)</f>
        <v>54480.22</v>
      </c>
      <c r="DJ37" s="129">
        <f>SUM(DJ6:DJ36)</f>
        <v>14051.93</v>
      </c>
      <c r="DK37" s="129"/>
      <c r="DM37" s="129">
        <f>SUM(DM6:DM36)</f>
        <v>298.84000000000003</v>
      </c>
      <c r="DN37" s="106"/>
      <c r="DO37" s="107">
        <f t="shared" ref="DO37:DR37" si="30">SUM(DO6:DO36)</f>
        <v>0</v>
      </c>
      <c r="DP37" s="108">
        <f t="shared" si="30"/>
        <v>0</v>
      </c>
      <c r="DQ37" s="108">
        <f t="shared" si="30"/>
        <v>0</v>
      </c>
      <c r="DR37" s="108">
        <f t="shared" si="30"/>
        <v>298.84000000000003</v>
      </c>
      <c r="DU37" s="264">
        <f>SUM(DU6:DU36)</f>
        <v>38736.285000000003</v>
      </c>
      <c r="DV37" s="129">
        <f>SUM(DV6:DV36)</f>
        <v>43906.87</v>
      </c>
      <c r="DX37" s="264">
        <f>SUM(DX6:DX36)</f>
        <v>691.82</v>
      </c>
      <c r="DY37" s="106"/>
      <c r="DZ37" s="107">
        <f t="shared" ref="DZ37:EC37" si="31">SUM(DZ6:DZ36)</f>
        <v>0</v>
      </c>
      <c r="EA37" s="108">
        <f t="shared" si="31"/>
        <v>0</v>
      </c>
      <c r="EB37" s="108">
        <f t="shared" si="31"/>
        <v>0</v>
      </c>
      <c r="EC37" s="108">
        <f t="shared" si="31"/>
        <v>691.82</v>
      </c>
      <c r="EF37" s="129">
        <f>SUM(EF6:EF36)</f>
        <v>29094.97</v>
      </c>
      <c r="EG37" s="129">
        <f>SUM(EG6:EG36)</f>
        <v>21071.3</v>
      </c>
      <c r="EI37" s="129">
        <f>SUM(EI6:EI36)</f>
        <v>34.99</v>
      </c>
      <c r="EJ37" s="106"/>
      <c r="EK37" s="107">
        <f t="shared" ref="EK37:EO37" si="32">SUM(EK6:EK36)</f>
        <v>0</v>
      </c>
      <c r="EL37" s="434"/>
      <c r="EM37" s="108">
        <f t="shared" si="32"/>
        <v>0</v>
      </c>
      <c r="EN37" s="108">
        <f t="shared" si="32"/>
        <v>0</v>
      </c>
      <c r="EO37" s="108">
        <f t="shared" si="32"/>
        <v>34.99</v>
      </c>
      <c r="EQ37" s="265"/>
      <c r="ER37" s="129">
        <f>SUM(ER6:ER36)</f>
        <v>119667.35999999999</v>
      </c>
      <c r="ES37" s="129">
        <f>SUM(ES6:ES36)</f>
        <v>11318.420000000002</v>
      </c>
      <c r="EU37" s="129">
        <f>SUM(EU6:EU36)</f>
        <v>1762.15</v>
      </c>
      <c r="EV37" s="106"/>
      <c r="EW37" s="107">
        <f t="shared" ref="EW37:EZ37" si="33">SUM(EW6:EW36)</f>
        <v>0</v>
      </c>
      <c r="EX37" s="108">
        <f t="shared" si="33"/>
        <v>0</v>
      </c>
      <c r="EY37" s="108">
        <f t="shared" si="33"/>
        <v>0</v>
      </c>
      <c r="EZ37" s="108">
        <f t="shared" si="33"/>
        <v>1762.15</v>
      </c>
      <c r="FC37" s="129">
        <f>SUM(FC6:FC36)</f>
        <v>19486.880000000005</v>
      </c>
      <c r="FD37" s="129">
        <f>SUM(FD6:FD36)</f>
        <v>18535.280000000002</v>
      </c>
      <c r="FF37" s="129">
        <f>SUM(FF6:FF36)</f>
        <v>0</v>
      </c>
      <c r="FG37" s="106"/>
      <c r="FH37" s="107">
        <f t="shared" ref="FH37:FK37" si="34">SUM(FH6:FH36)</f>
        <v>0</v>
      </c>
      <c r="FI37" s="108">
        <f t="shared" si="34"/>
        <v>0</v>
      </c>
      <c r="FJ37" s="108">
        <f t="shared" si="34"/>
        <v>0</v>
      </c>
      <c r="FK37" s="108">
        <f t="shared" si="34"/>
        <v>0</v>
      </c>
    </row>
    <row r="38" spans="2:167" hidden="1" x14ac:dyDescent="0.25">
      <c r="DU38" s="266"/>
      <c r="EQ38" s="267"/>
    </row>
    <row r="39" spans="2:167" hidden="1" x14ac:dyDescent="0.25">
      <c r="DU39" s="266"/>
      <c r="EQ39" s="267"/>
    </row>
    <row r="40" spans="2:167" hidden="1" x14ac:dyDescent="0.25">
      <c r="G40" s="130"/>
      <c r="H40" s="130"/>
      <c r="I40" s="130"/>
      <c r="J40" s="130"/>
      <c r="K40" s="130"/>
      <c r="Q40" s="130"/>
      <c r="R40" s="130"/>
      <c r="S40" s="130"/>
      <c r="T40" s="130"/>
      <c r="U40" s="130"/>
      <c r="AB40" s="130"/>
      <c r="AC40" s="130"/>
      <c r="AD40" s="130"/>
      <c r="AE40" s="130"/>
      <c r="AF40" s="130"/>
      <c r="AM40" s="130"/>
      <c r="AN40" s="130"/>
      <c r="AO40" s="130"/>
      <c r="AP40" s="130"/>
      <c r="AQ40" s="130"/>
      <c r="AW40" s="130"/>
      <c r="AX40" s="130"/>
      <c r="AY40" s="130"/>
      <c r="AZ40" s="130"/>
      <c r="BA40" s="130"/>
      <c r="BG40" s="130"/>
      <c r="BH40" s="130"/>
      <c r="BI40" s="130"/>
      <c r="BJ40" s="130"/>
      <c r="BK40" s="130"/>
      <c r="BS40" s="130"/>
      <c r="BT40" s="130"/>
      <c r="BU40" s="130"/>
      <c r="BV40" s="130"/>
      <c r="BW40" s="130"/>
      <c r="CD40" s="130"/>
      <c r="CE40" s="130"/>
      <c r="CF40" s="130"/>
      <c r="CG40" s="130"/>
      <c r="CH40" s="130"/>
      <c r="CO40" s="130"/>
      <c r="CP40" s="130"/>
      <c r="CQ40" s="130"/>
      <c r="CR40" s="130"/>
      <c r="CS40" s="130"/>
      <c r="CZ40" s="130"/>
      <c r="DA40" s="130"/>
      <c r="DB40" s="130"/>
      <c r="DC40" s="130"/>
      <c r="DD40" s="130"/>
      <c r="DE40" s="130"/>
      <c r="DN40" s="130"/>
      <c r="DO40" s="130"/>
      <c r="DP40" s="130"/>
      <c r="DQ40" s="130"/>
      <c r="DR40" s="130"/>
      <c r="DU40" s="266"/>
      <c r="DY40" s="130"/>
      <c r="DZ40" s="130"/>
      <c r="EA40" s="130"/>
      <c r="EB40" s="130"/>
      <c r="EC40" s="130"/>
      <c r="EJ40" s="130"/>
      <c r="EK40" s="130"/>
      <c r="EL40" s="130"/>
      <c r="EM40" s="130"/>
      <c r="EN40" s="130"/>
      <c r="EO40" s="130"/>
      <c r="EV40" s="130"/>
      <c r="EW40" s="130"/>
      <c r="EX40" s="130"/>
      <c r="EY40" s="130"/>
      <c r="EZ40" s="130"/>
      <c r="FG40" s="130"/>
      <c r="FH40" s="130"/>
      <c r="FI40" s="130"/>
      <c r="FJ40" s="130"/>
      <c r="FK40" s="130"/>
    </row>
    <row r="41" spans="2:167" hidden="1" x14ac:dyDescent="0.25">
      <c r="DU41" s="266"/>
    </row>
    <row r="42" spans="2:167" ht="21" hidden="1" customHeight="1" x14ac:dyDescent="0.35">
      <c r="B42" s="249" t="s">
        <v>56</v>
      </c>
      <c r="C42" s="249"/>
      <c r="D42" s="249"/>
      <c r="E42" s="249"/>
      <c r="F42" s="249"/>
      <c r="G42" s="6"/>
      <c r="M42" s="451" t="s">
        <v>57</v>
      </c>
      <c r="N42" s="451"/>
      <c r="O42" s="451"/>
      <c r="P42" s="451"/>
      <c r="Q42" s="6"/>
      <c r="W42" s="249" t="s">
        <v>58</v>
      </c>
      <c r="X42" s="249"/>
      <c r="Y42" s="249"/>
      <c r="Z42" s="249"/>
      <c r="AA42" s="249"/>
      <c r="AB42" s="6"/>
      <c r="AI42" s="451" t="s">
        <v>59</v>
      </c>
      <c r="AJ42" s="451"/>
      <c r="AK42" s="451"/>
      <c r="AL42" s="451"/>
      <c r="AM42" s="451"/>
      <c r="AN42" s="451"/>
      <c r="AO42" s="451"/>
      <c r="AP42" s="451"/>
      <c r="AQ42" s="451"/>
      <c r="AS42" s="451" t="s">
        <v>60</v>
      </c>
      <c r="AT42" s="451"/>
      <c r="AU42" s="451"/>
      <c r="AV42" s="451"/>
      <c r="AW42" s="451"/>
      <c r="AX42" s="451"/>
      <c r="AY42" s="451"/>
      <c r="AZ42" s="451"/>
      <c r="BA42" s="451"/>
      <c r="BC42" s="451" t="s">
        <v>61</v>
      </c>
      <c r="BD42" s="451"/>
      <c r="BE42" s="451"/>
      <c r="BF42" s="451"/>
      <c r="BG42" s="451"/>
      <c r="BH42" s="451"/>
      <c r="BI42" s="451"/>
      <c r="BJ42" s="451"/>
      <c r="BK42" s="451"/>
      <c r="BM42" s="249" t="s">
        <v>62</v>
      </c>
      <c r="BN42" s="249"/>
      <c r="BO42" s="249"/>
      <c r="BP42" s="249"/>
      <c r="BQ42" s="250"/>
      <c r="BR42" s="249"/>
      <c r="BS42" s="250"/>
      <c r="BT42" s="250"/>
      <c r="BU42" s="250"/>
      <c r="BV42" s="250"/>
      <c r="BW42" s="250"/>
      <c r="BY42" s="249" t="s">
        <v>63</v>
      </c>
      <c r="BZ42" s="249"/>
      <c r="CA42" s="249"/>
      <c r="CB42" s="249"/>
      <c r="CC42" s="249"/>
      <c r="CD42" s="250"/>
      <c r="CE42" s="250"/>
      <c r="CF42" s="250"/>
      <c r="CG42" s="250"/>
      <c r="CH42" s="250"/>
      <c r="CJ42" s="249" t="s">
        <v>64</v>
      </c>
      <c r="CK42" s="249"/>
      <c r="CL42" s="249"/>
      <c r="CM42" s="249"/>
      <c r="CN42" s="249"/>
      <c r="CO42" s="250"/>
      <c r="CP42" s="250"/>
      <c r="CQ42" s="250"/>
      <c r="CR42" s="250"/>
      <c r="CS42" s="250"/>
      <c r="CU42" s="249" t="s">
        <v>65</v>
      </c>
      <c r="CV42" s="249"/>
      <c r="CW42" s="249"/>
      <c r="CX42" s="249"/>
      <c r="CY42" s="249"/>
      <c r="CZ42" s="250"/>
      <c r="DA42" s="250"/>
      <c r="DB42" s="250"/>
      <c r="DC42" s="250"/>
      <c r="DD42" s="250"/>
      <c r="DE42" s="250"/>
      <c r="DH42" s="249" t="s">
        <v>66</v>
      </c>
      <c r="DI42" s="249"/>
      <c r="DJ42" s="249"/>
      <c r="DK42" s="249"/>
      <c r="DL42" s="249"/>
      <c r="DM42" s="249"/>
      <c r="DN42" s="250"/>
      <c r="DO42" s="250"/>
      <c r="DP42" s="250"/>
      <c r="DQ42" s="250"/>
      <c r="DR42" s="250"/>
      <c r="DT42" s="249" t="s">
        <v>67</v>
      </c>
      <c r="DU42" s="249"/>
      <c r="DV42" s="249"/>
      <c r="DW42" s="249"/>
      <c r="DX42" s="249"/>
      <c r="DY42" s="250"/>
      <c r="DZ42" s="250"/>
      <c r="EA42" s="250"/>
      <c r="EB42" s="250"/>
      <c r="EC42" s="250"/>
      <c r="EE42" s="249" t="s">
        <v>68</v>
      </c>
      <c r="EF42" s="249"/>
      <c r="EG42" s="249"/>
      <c r="EH42" s="249"/>
      <c r="EI42" s="249"/>
      <c r="EJ42" s="250"/>
      <c r="EK42" s="250"/>
      <c r="EL42" s="250"/>
      <c r="EM42" s="250"/>
      <c r="EN42" s="250"/>
      <c r="EO42" s="250"/>
      <c r="EQ42" s="249" t="s">
        <v>69</v>
      </c>
      <c r="ER42" s="249"/>
      <c r="ES42" s="249"/>
      <c r="ET42" s="249"/>
      <c r="EU42" s="249"/>
      <c r="EV42" s="250"/>
      <c r="EW42" s="250"/>
      <c r="EX42" s="250"/>
      <c r="EY42" s="250"/>
      <c r="EZ42" s="250"/>
      <c r="FB42" s="249" t="s">
        <v>70</v>
      </c>
      <c r="FC42" s="249"/>
      <c r="FD42" s="249"/>
      <c r="FE42" s="249"/>
      <c r="FF42" s="249"/>
      <c r="FG42" s="250"/>
      <c r="FH42" s="250"/>
      <c r="FI42" s="250"/>
      <c r="FJ42" s="250"/>
      <c r="FK42" s="250"/>
    </row>
    <row r="43" spans="2:167" ht="6.75" hidden="1" customHeight="1" x14ac:dyDescent="0.25">
      <c r="G43" s="6"/>
      <c r="Q43" s="6"/>
      <c r="AB43" s="6"/>
      <c r="AM43" s="6"/>
      <c r="AW43" s="6"/>
      <c r="BG43" s="6"/>
      <c r="BS43" s="6"/>
      <c r="CD43" s="6"/>
      <c r="CO43" s="6"/>
      <c r="CZ43" s="6"/>
      <c r="DN43" s="6"/>
      <c r="DY43" s="6"/>
      <c r="EJ43" s="6"/>
      <c r="EV43" s="6"/>
      <c r="FG43" s="6"/>
    </row>
    <row r="44" spans="2:167" hidden="1" x14ac:dyDescent="0.25">
      <c r="B44" s="119" t="s">
        <v>14</v>
      </c>
      <c r="C44" s="120" t="s">
        <v>15</v>
      </c>
      <c r="D44" s="120" t="s">
        <v>15</v>
      </c>
      <c r="E44" s="121" t="s">
        <v>16</v>
      </c>
      <c r="F44" s="121" t="s">
        <v>16</v>
      </c>
      <c r="G44" s="27"/>
      <c r="H44" s="134" t="s">
        <v>16</v>
      </c>
      <c r="I44" s="135" t="s">
        <v>16</v>
      </c>
      <c r="J44" s="136" t="s">
        <v>16</v>
      </c>
      <c r="K44" s="10" t="s">
        <v>17</v>
      </c>
      <c r="M44" s="119" t="s">
        <v>14</v>
      </c>
      <c r="N44" s="120" t="s">
        <v>15</v>
      </c>
      <c r="O44" s="120" t="s">
        <v>15</v>
      </c>
      <c r="P44" s="121" t="s">
        <v>16</v>
      </c>
      <c r="Q44" s="27"/>
      <c r="R44" s="134" t="s">
        <v>16</v>
      </c>
      <c r="S44" s="135" t="s">
        <v>16</v>
      </c>
      <c r="T44" s="136" t="s">
        <v>16</v>
      </c>
      <c r="U44" s="10" t="s">
        <v>17</v>
      </c>
      <c r="W44" s="119" t="s">
        <v>14</v>
      </c>
      <c r="X44" s="120" t="s">
        <v>15</v>
      </c>
      <c r="Y44" s="120" t="s">
        <v>15</v>
      </c>
      <c r="Z44" s="121" t="s">
        <v>16</v>
      </c>
      <c r="AA44" s="121" t="s">
        <v>16</v>
      </c>
      <c r="AB44" s="27"/>
      <c r="AC44" s="134" t="s">
        <v>16</v>
      </c>
      <c r="AD44" s="135" t="s">
        <v>16</v>
      </c>
      <c r="AE44" s="136" t="s">
        <v>16</v>
      </c>
      <c r="AF44" s="10" t="s">
        <v>17</v>
      </c>
      <c r="AI44" s="119" t="s">
        <v>14</v>
      </c>
      <c r="AJ44" s="120" t="s">
        <v>15</v>
      </c>
      <c r="AK44" s="120" t="s">
        <v>15</v>
      </c>
      <c r="AL44" s="121" t="s">
        <v>16</v>
      </c>
      <c r="AM44" s="27"/>
      <c r="AN44" s="134" t="s">
        <v>16</v>
      </c>
      <c r="AO44" s="135" t="s">
        <v>16</v>
      </c>
      <c r="AP44" s="136" t="s">
        <v>16</v>
      </c>
      <c r="AQ44" s="10" t="s">
        <v>17</v>
      </c>
      <c r="AS44" s="119" t="s">
        <v>14</v>
      </c>
      <c r="AT44" s="120" t="s">
        <v>15</v>
      </c>
      <c r="AU44" s="120" t="s">
        <v>15</v>
      </c>
      <c r="AV44" s="121" t="s">
        <v>16</v>
      </c>
      <c r="AW44" s="27"/>
      <c r="AX44" s="134" t="s">
        <v>16</v>
      </c>
      <c r="AY44" s="135" t="s">
        <v>16</v>
      </c>
      <c r="AZ44" s="136" t="s">
        <v>16</v>
      </c>
      <c r="BA44" s="10" t="s">
        <v>17</v>
      </c>
      <c r="BC44" s="119" t="s">
        <v>14</v>
      </c>
      <c r="BD44" s="120" t="s">
        <v>15</v>
      </c>
      <c r="BE44" s="120" t="s">
        <v>15</v>
      </c>
      <c r="BF44" s="121" t="s">
        <v>16</v>
      </c>
      <c r="BG44" s="27"/>
      <c r="BH44" s="134" t="s">
        <v>16</v>
      </c>
      <c r="BI44" s="135" t="s">
        <v>16</v>
      </c>
      <c r="BJ44" s="136" t="s">
        <v>16</v>
      </c>
      <c r="BK44" s="10" t="s">
        <v>17</v>
      </c>
      <c r="BM44" s="119" t="s">
        <v>14</v>
      </c>
      <c r="BN44" s="120" t="s">
        <v>15</v>
      </c>
      <c r="BO44" s="120" t="s">
        <v>15</v>
      </c>
      <c r="BP44" s="120" t="s">
        <v>15</v>
      </c>
      <c r="BQ44" s="121" t="s">
        <v>16</v>
      </c>
      <c r="BR44" s="121" t="s">
        <v>16</v>
      </c>
      <c r="BS44" s="27"/>
      <c r="BT44" s="134" t="s">
        <v>16</v>
      </c>
      <c r="BU44" s="135" t="s">
        <v>16</v>
      </c>
      <c r="BV44" s="136" t="s">
        <v>16</v>
      </c>
      <c r="BW44" s="10" t="s">
        <v>17</v>
      </c>
      <c r="BY44" s="119" t="s">
        <v>14</v>
      </c>
      <c r="BZ44" s="252" t="s">
        <v>15</v>
      </c>
      <c r="CA44" s="253" t="s">
        <v>15</v>
      </c>
      <c r="CB44" s="121" t="s">
        <v>16</v>
      </c>
      <c r="CC44" s="121" t="s">
        <v>16</v>
      </c>
      <c r="CD44" s="27"/>
      <c r="CE44" s="134" t="s">
        <v>16</v>
      </c>
      <c r="CF44" s="135" t="s">
        <v>16</v>
      </c>
      <c r="CG44" s="136" t="s">
        <v>16</v>
      </c>
      <c r="CH44" s="10" t="s">
        <v>17</v>
      </c>
      <c r="CJ44" s="119" t="s">
        <v>14</v>
      </c>
      <c r="CK44" s="120" t="s">
        <v>15</v>
      </c>
      <c r="CL44" s="120" t="s">
        <v>15</v>
      </c>
      <c r="CM44" s="121" t="s">
        <v>16</v>
      </c>
      <c r="CN44" s="121" t="s">
        <v>16</v>
      </c>
      <c r="CO44" s="27"/>
      <c r="CP44" s="134" t="s">
        <v>16</v>
      </c>
      <c r="CQ44" s="135" t="s">
        <v>16</v>
      </c>
      <c r="CR44" s="136" t="s">
        <v>16</v>
      </c>
      <c r="CS44" s="10" t="s">
        <v>17</v>
      </c>
      <c r="CU44" s="119" t="s">
        <v>14</v>
      </c>
      <c r="CV44" s="120" t="s">
        <v>15</v>
      </c>
      <c r="CW44" s="120" t="s">
        <v>15</v>
      </c>
      <c r="CX44" s="121" t="s">
        <v>16</v>
      </c>
      <c r="CY44" s="121" t="s">
        <v>16</v>
      </c>
      <c r="CZ44" s="27"/>
      <c r="DA44" s="134" t="s">
        <v>16</v>
      </c>
      <c r="DB44" s="134"/>
      <c r="DC44" s="135" t="s">
        <v>16</v>
      </c>
      <c r="DD44" s="136" t="s">
        <v>16</v>
      </c>
      <c r="DE44" s="10" t="s">
        <v>17</v>
      </c>
      <c r="DH44" s="119" t="s">
        <v>14</v>
      </c>
      <c r="DI44" s="120" t="s">
        <v>15</v>
      </c>
      <c r="DJ44" s="120" t="s">
        <v>15</v>
      </c>
      <c r="DK44" s="120"/>
      <c r="DL44" s="121" t="s">
        <v>16</v>
      </c>
      <c r="DM44" s="121" t="s">
        <v>16</v>
      </c>
      <c r="DN44" s="27"/>
      <c r="DO44" s="134" t="s">
        <v>16</v>
      </c>
      <c r="DP44" s="135" t="s">
        <v>16</v>
      </c>
      <c r="DQ44" s="136" t="s">
        <v>16</v>
      </c>
      <c r="DR44" s="10" t="s">
        <v>17</v>
      </c>
      <c r="DT44" s="119" t="s">
        <v>14</v>
      </c>
      <c r="DU44" s="120" t="s">
        <v>15</v>
      </c>
      <c r="DV44" s="120" t="s">
        <v>15</v>
      </c>
      <c r="DW44" s="121" t="s">
        <v>16</v>
      </c>
      <c r="DX44" s="121" t="s">
        <v>16</v>
      </c>
      <c r="DY44" s="27"/>
      <c r="DZ44" s="134" t="s">
        <v>16</v>
      </c>
      <c r="EA44" s="135" t="s">
        <v>16</v>
      </c>
      <c r="EB44" s="136" t="s">
        <v>16</v>
      </c>
      <c r="EC44" s="10" t="s">
        <v>17</v>
      </c>
      <c r="EE44" s="119" t="s">
        <v>14</v>
      </c>
      <c r="EF44" s="120" t="s">
        <v>15</v>
      </c>
      <c r="EG44" s="252" t="s">
        <v>15</v>
      </c>
      <c r="EH44" s="121" t="s">
        <v>16</v>
      </c>
      <c r="EI44" s="121" t="s">
        <v>16</v>
      </c>
      <c r="EJ44" s="27"/>
      <c r="EK44" s="134" t="s">
        <v>16</v>
      </c>
      <c r="EL44" s="134"/>
      <c r="EM44" s="135" t="s">
        <v>16</v>
      </c>
      <c r="EN44" s="136" t="s">
        <v>16</v>
      </c>
      <c r="EO44" s="10" t="s">
        <v>17</v>
      </c>
      <c r="EQ44" s="119" t="s">
        <v>14</v>
      </c>
      <c r="ER44" s="120" t="s">
        <v>15</v>
      </c>
      <c r="ES44" s="120" t="s">
        <v>15</v>
      </c>
      <c r="ET44" s="121" t="s">
        <v>16</v>
      </c>
      <c r="EU44" s="121" t="s">
        <v>16</v>
      </c>
      <c r="EV44" s="27"/>
      <c r="EW44" s="134" t="s">
        <v>16</v>
      </c>
      <c r="EX44" s="135" t="s">
        <v>16</v>
      </c>
      <c r="EY44" s="136" t="s">
        <v>16</v>
      </c>
      <c r="EZ44" s="10" t="s">
        <v>17</v>
      </c>
      <c r="FB44" s="119" t="s">
        <v>14</v>
      </c>
      <c r="FC44" s="120" t="s">
        <v>15</v>
      </c>
      <c r="FD44" s="120" t="s">
        <v>15</v>
      </c>
      <c r="FE44" s="121" t="s">
        <v>16</v>
      </c>
      <c r="FF44" s="121" t="s">
        <v>16</v>
      </c>
      <c r="FG44" s="27"/>
      <c r="FH44" s="134" t="s">
        <v>16</v>
      </c>
      <c r="FI44" s="135" t="s">
        <v>16</v>
      </c>
      <c r="FJ44" s="136" t="s">
        <v>16</v>
      </c>
      <c r="FK44" s="10" t="s">
        <v>17</v>
      </c>
    </row>
    <row r="45" spans="2:167" ht="15.75" hidden="1" thickBot="1" x14ac:dyDescent="0.3">
      <c r="B45" s="119"/>
      <c r="C45" s="120" t="s">
        <v>18</v>
      </c>
      <c r="D45" s="120" t="s">
        <v>19</v>
      </c>
      <c r="E45" s="121" t="s">
        <v>19</v>
      </c>
      <c r="F45" s="121" t="s">
        <v>25</v>
      </c>
      <c r="G45" s="27"/>
      <c r="H45" s="145" t="s">
        <v>21</v>
      </c>
      <c r="I45" s="146" t="s">
        <v>22</v>
      </c>
      <c r="J45" s="147" t="s">
        <v>23</v>
      </c>
      <c r="K45" s="148" t="s">
        <v>24</v>
      </c>
      <c r="M45" s="119"/>
      <c r="N45" s="120" t="s">
        <v>18</v>
      </c>
      <c r="O45" s="120" t="s">
        <v>19</v>
      </c>
      <c r="P45" s="121" t="s">
        <v>25</v>
      </c>
      <c r="Q45" s="27"/>
      <c r="R45" s="145" t="s">
        <v>21</v>
      </c>
      <c r="S45" s="146" t="s">
        <v>22</v>
      </c>
      <c r="T45" s="147" t="s">
        <v>23</v>
      </c>
      <c r="U45" s="148" t="s">
        <v>24</v>
      </c>
      <c r="W45" s="119"/>
      <c r="X45" s="120" t="s">
        <v>18</v>
      </c>
      <c r="Y45" s="120" t="s">
        <v>19</v>
      </c>
      <c r="Z45" s="121" t="s">
        <v>19</v>
      </c>
      <c r="AA45" s="121" t="s">
        <v>25</v>
      </c>
      <c r="AB45" s="27"/>
      <c r="AC45" s="145" t="s">
        <v>21</v>
      </c>
      <c r="AD45" s="146" t="s">
        <v>22</v>
      </c>
      <c r="AE45" s="147" t="s">
        <v>23</v>
      </c>
      <c r="AF45" s="148" t="s">
        <v>24</v>
      </c>
      <c r="AI45" s="119"/>
      <c r="AJ45" s="120" t="s">
        <v>18</v>
      </c>
      <c r="AK45" s="120" t="s">
        <v>19</v>
      </c>
      <c r="AL45" s="121" t="s">
        <v>25</v>
      </c>
      <c r="AM45" s="27"/>
      <c r="AN45" s="145" t="s">
        <v>21</v>
      </c>
      <c r="AO45" s="146" t="s">
        <v>22</v>
      </c>
      <c r="AP45" s="147" t="s">
        <v>23</v>
      </c>
      <c r="AQ45" s="148" t="s">
        <v>24</v>
      </c>
      <c r="AS45" s="119"/>
      <c r="AT45" s="120" t="s">
        <v>18</v>
      </c>
      <c r="AU45" s="120" t="s">
        <v>19</v>
      </c>
      <c r="AV45" s="121" t="s">
        <v>25</v>
      </c>
      <c r="AW45" s="27"/>
      <c r="AX45" s="145" t="s">
        <v>21</v>
      </c>
      <c r="AY45" s="146" t="s">
        <v>22</v>
      </c>
      <c r="AZ45" s="147" t="s">
        <v>23</v>
      </c>
      <c r="BA45" s="148" t="s">
        <v>24</v>
      </c>
      <c r="BC45" s="119"/>
      <c r="BD45" s="120" t="s">
        <v>18</v>
      </c>
      <c r="BE45" s="120" t="s">
        <v>19</v>
      </c>
      <c r="BF45" s="121" t="s">
        <v>25</v>
      </c>
      <c r="BG45" s="27"/>
      <c r="BH45" s="145" t="s">
        <v>21</v>
      </c>
      <c r="BI45" s="146" t="s">
        <v>22</v>
      </c>
      <c r="BJ45" s="147" t="s">
        <v>23</v>
      </c>
      <c r="BK45" s="148" t="s">
        <v>24</v>
      </c>
      <c r="BM45" s="119"/>
      <c r="BN45" s="120" t="s">
        <v>18</v>
      </c>
      <c r="BO45" s="120" t="s">
        <v>19</v>
      </c>
      <c r="BP45" s="120" t="s">
        <v>20</v>
      </c>
      <c r="BQ45" s="121" t="s">
        <v>19</v>
      </c>
      <c r="BR45" s="121" t="s">
        <v>25</v>
      </c>
      <c r="BS45" s="27"/>
      <c r="BT45" s="145" t="s">
        <v>21</v>
      </c>
      <c r="BU45" s="146" t="s">
        <v>22</v>
      </c>
      <c r="BV45" s="147" t="s">
        <v>23</v>
      </c>
      <c r="BW45" s="148" t="s">
        <v>24</v>
      </c>
      <c r="BY45" s="119"/>
      <c r="BZ45" s="252" t="s">
        <v>18</v>
      </c>
      <c r="CA45" s="253" t="s">
        <v>19</v>
      </c>
      <c r="CB45" s="121" t="s">
        <v>19</v>
      </c>
      <c r="CC45" s="121" t="s">
        <v>25</v>
      </c>
      <c r="CD45" s="27"/>
      <c r="CE45" s="145" t="s">
        <v>21</v>
      </c>
      <c r="CF45" s="146" t="s">
        <v>22</v>
      </c>
      <c r="CG45" s="147" t="s">
        <v>23</v>
      </c>
      <c r="CH45" s="148" t="s">
        <v>24</v>
      </c>
      <c r="CJ45" s="119"/>
      <c r="CK45" s="120" t="s">
        <v>18</v>
      </c>
      <c r="CL45" s="120" t="s">
        <v>19</v>
      </c>
      <c r="CM45" s="121" t="s">
        <v>19</v>
      </c>
      <c r="CN45" s="121" t="s">
        <v>25</v>
      </c>
      <c r="CO45" s="27"/>
      <c r="CP45" s="145" t="s">
        <v>21</v>
      </c>
      <c r="CQ45" s="146" t="s">
        <v>22</v>
      </c>
      <c r="CR45" s="147" t="s">
        <v>23</v>
      </c>
      <c r="CS45" s="148" t="s">
        <v>24</v>
      </c>
      <c r="CU45" s="119"/>
      <c r="CV45" s="120" t="s">
        <v>18</v>
      </c>
      <c r="CW45" s="120" t="s">
        <v>19</v>
      </c>
      <c r="CX45" s="121" t="s">
        <v>19</v>
      </c>
      <c r="CY45" s="121" t="s">
        <v>25</v>
      </c>
      <c r="CZ45" s="27"/>
      <c r="DA45" s="145" t="s">
        <v>21</v>
      </c>
      <c r="DB45" s="145"/>
      <c r="DC45" s="146" t="s">
        <v>22</v>
      </c>
      <c r="DD45" s="147" t="s">
        <v>23</v>
      </c>
      <c r="DE45" s="148" t="s">
        <v>24</v>
      </c>
      <c r="DH45" s="119"/>
      <c r="DI45" s="120" t="s">
        <v>18</v>
      </c>
      <c r="DJ45" s="120" t="s">
        <v>19</v>
      </c>
      <c r="DK45" s="120"/>
      <c r="DL45" s="121" t="s">
        <v>19</v>
      </c>
      <c r="DM45" s="121" t="s">
        <v>25</v>
      </c>
      <c r="DN45" s="27"/>
      <c r="DO45" s="145" t="s">
        <v>21</v>
      </c>
      <c r="DP45" s="146" t="s">
        <v>22</v>
      </c>
      <c r="DQ45" s="147" t="s">
        <v>23</v>
      </c>
      <c r="DR45" s="148" t="s">
        <v>24</v>
      </c>
      <c r="DT45" s="119"/>
      <c r="DU45" s="120" t="s">
        <v>18</v>
      </c>
      <c r="DV45" s="120" t="s">
        <v>19</v>
      </c>
      <c r="DW45" s="121" t="s">
        <v>19</v>
      </c>
      <c r="DX45" s="121" t="s">
        <v>25</v>
      </c>
      <c r="DY45" s="27"/>
      <c r="DZ45" s="145" t="s">
        <v>21</v>
      </c>
      <c r="EA45" s="146" t="s">
        <v>22</v>
      </c>
      <c r="EB45" s="147" t="s">
        <v>23</v>
      </c>
      <c r="EC45" s="148" t="s">
        <v>24</v>
      </c>
      <c r="EE45" s="119"/>
      <c r="EF45" s="120" t="s">
        <v>18</v>
      </c>
      <c r="EG45" s="252" t="s">
        <v>19</v>
      </c>
      <c r="EH45" s="121" t="s">
        <v>19</v>
      </c>
      <c r="EI45" s="121" t="s">
        <v>25</v>
      </c>
      <c r="EJ45" s="27"/>
      <c r="EK45" s="145" t="s">
        <v>21</v>
      </c>
      <c r="EL45" s="145"/>
      <c r="EM45" s="146" t="s">
        <v>22</v>
      </c>
      <c r="EN45" s="147" t="s">
        <v>23</v>
      </c>
      <c r="EO45" s="148" t="s">
        <v>24</v>
      </c>
      <c r="EQ45" s="119"/>
      <c r="ER45" s="120" t="s">
        <v>18</v>
      </c>
      <c r="ES45" s="120" t="s">
        <v>19</v>
      </c>
      <c r="ET45" s="121" t="s">
        <v>19</v>
      </c>
      <c r="EU45" s="121" t="s">
        <v>25</v>
      </c>
      <c r="EV45" s="27"/>
      <c r="EW45" s="145" t="s">
        <v>21</v>
      </c>
      <c r="EX45" s="146" t="s">
        <v>22</v>
      </c>
      <c r="EY45" s="147" t="s">
        <v>23</v>
      </c>
      <c r="EZ45" s="148" t="s">
        <v>24</v>
      </c>
      <c r="FB45" s="119"/>
      <c r="FC45" s="254" t="s">
        <v>18</v>
      </c>
      <c r="FD45" s="254" t="s">
        <v>19</v>
      </c>
      <c r="FE45" s="255" t="s">
        <v>19</v>
      </c>
      <c r="FF45" s="255" t="s">
        <v>25</v>
      </c>
      <c r="FG45" s="27"/>
      <c r="FH45" s="145" t="s">
        <v>21</v>
      </c>
      <c r="FI45" s="146" t="s">
        <v>22</v>
      </c>
      <c r="FJ45" s="147" t="s">
        <v>23</v>
      </c>
      <c r="FK45" s="148" t="s">
        <v>24</v>
      </c>
    </row>
    <row r="46" spans="2:167" hidden="1" x14ac:dyDescent="0.25">
      <c r="B46" s="122">
        <v>45870</v>
      </c>
      <c r="C46" s="123">
        <v>10314.48</v>
      </c>
      <c r="D46" s="126"/>
      <c r="E46" s="125"/>
      <c r="F46" s="126">
        <v>41.3</v>
      </c>
      <c r="G46" s="27"/>
      <c r="H46" s="28"/>
      <c r="I46" s="29"/>
      <c r="J46" s="29"/>
      <c r="K46" s="30">
        <f t="shared" ref="K46:K76" si="35">SUM(F46:J46)</f>
        <v>41.3</v>
      </c>
      <c r="M46" s="122">
        <v>45870</v>
      </c>
      <c r="N46" s="123">
        <v>3149.38</v>
      </c>
      <c r="O46" s="125"/>
      <c r="P46" s="126">
        <v>23.28</v>
      </c>
      <c r="Q46" s="27"/>
      <c r="R46" s="28"/>
      <c r="S46" s="29"/>
      <c r="T46" s="29"/>
      <c r="U46" s="30">
        <f t="shared" ref="U46:U76" si="36">SUM(P46:T46)</f>
        <v>23.28</v>
      </c>
      <c r="W46" s="122">
        <v>45870</v>
      </c>
      <c r="X46" s="123">
        <v>2018.45</v>
      </c>
      <c r="Y46" s="123">
        <v>0</v>
      </c>
      <c r="Z46" s="125"/>
      <c r="AA46" s="123"/>
      <c r="AB46" s="27"/>
      <c r="AC46" s="28"/>
      <c r="AD46" s="29"/>
      <c r="AE46" s="29"/>
      <c r="AF46" s="30">
        <f t="shared" ref="AF46:AF73" si="37">SUM(AA46:AE46)</f>
        <v>0</v>
      </c>
      <c r="AI46" s="122">
        <v>45870</v>
      </c>
      <c r="AJ46" s="123">
        <v>1648.81</v>
      </c>
      <c r="AK46" s="125"/>
      <c r="AL46" s="126"/>
      <c r="AM46" s="27"/>
      <c r="AN46" s="28"/>
      <c r="AO46" s="29"/>
      <c r="AP46" s="29"/>
      <c r="AQ46" s="30">
        <f t="shared" ref="AQ46:AQ73" si="38">SUM(AL46:AP46)</f>
        <v>0</v>
      </c>
      <c r="AS46" s="122">
        <v>45870</v>
      </c>
      <c r="AT46" s="123">
        <v>3820.53</v>
      </c>
      <c r="AU46" s="125"/>
      <c r="AV46" s="128"/>
      <c r="AW46" s="27"/>
      <c r="AX46" s="28"/>
      <c r="AY46" s="29"/>
      <c r="AZ46" s="29"/>
      <c r="BA46" s="30">
        <f t="shared" ref="BA46:BA73" si="39">SUM(AV46:AZ46)</f>
        <v>0</v>
      </c>
      <c r="BC46" s="122">
        <v>45870</v>
      </c>
      <c r="BD46" s="123">
        <v>2895.45</v>
      </c>
      <c r="BE46" s="125"/>
      <c r="BF46" s="128">
        <v>21.35</v>
      </c>
      <c r="BG46" s="27"/>
      <c r="BH46" s="28"/>
      <c r="BI46" s="29"/>
      <c r="BJ46" s="29"/>
      <c r="BK46" s="30">
        <f t="shared" ref="BK46:BK73" si="40">SUM(BF46:BJ46)</f>
        <v>21.35</v>
      </c>
      <c r="BM46" s="122">
        <v>45870</v>
      </c>
      <c r="BN46" s="123">
        <v>10832.32</v>
      </c>
      <c r="BO46" s="123">
        <v>2226.5100000000002</v>
      </c>
      <c r="BP46" s="123">
        <v>7607.31</v>
      </c>
      <c r="BQ46" s="125"/>
      <c r="BR46" s="125"/>
      <c r="BS46" s="27"/>
      <c r="BT46" s="28"/>
      <c r="BU46" s="29"/>
      <c r="BV46" s="29"/>
      <c r="BW46" s="30">
        <f t="shared" ref="BW46:BW76" si="41">SUM(BR46:BV46)</f>
        <v>0</v>
      </c>
      <c r="BY46" s="122">
        <v>45870</v>
      </c>
      <c r="BZ46" s="256">
        <v>1715.31</v>
      </c>
      <c r="CA46" s="257">
        <v>514.41</v>
      </c>
      <c r="CB46" s="125"/>
      <c r="CC46" s="126"/>
      <c r="CD46" s="27"/>
      <c r="CE46" s="28"/>
      <c r="CF46" s="29"/>
      <c r="CG46" s="29"/>
      <c r="CH46" s="30">
        <f t="shared" ref="CH46:CH76" si="42">SUM(CC46:CG46)</f>
        <v>0</v>
      </c>
      <c r="CJ46" s="122">
        <v>45870</v>
      </c>
      <c r="CK46" s="123">
        <v>3738.01</v>
      </c>
      <c r="CL46" s="123">
        <v>498.94</v>
      </c>
      <c r="CM46" s="125"/>
      <c r="CN46" s="126">
        <v>0</v>
      </c>
      <c r="CO46" s="27"/>
      <c r="CP46" s="28"/>
      <c r="CQ46" s="29"/>
      <c r="CR46" s="29"/>
      <c r="CS46" s="30">
        <f t="shared" ref="CS46:CS76" si="43">SUM(CN46:CR46)</f>
        <v>0</v>
      </c>
      <c r="CU46" s="122">
        <v>45870</v>
      </c>
      <c r="CV46" s="123">
        <v>8703.2000000000007</v>
      </c>
      <c r="CW46" s="124">
        <v>1169.71</v>
      </c>
      <c r="CX46" s="125"/>
      <c r="CY46" s="126">
        <v>369.49</v>
      </c>
      <c r="CZ46" s="27"/>
      <c r="DA46" s="28"/>
      <c r="DB46" s="165"/>
      <c r="DC46" s="29"/>
      <c r="DD46" s="29"/>
      <c r="DE46" s="30">
        <f t="shared" ref="DE46:DE76" si="44">SUM(CY46:DD46)</f>
        <v>369.49</v>
      </c>
      <c r="DH46" s="122">
        <v>45870</v>
      </c>
      <c r="DI46" s="123">
        <v>1032.1199999999999</v>
      </c>
      <c r="DJ46" s="127">
        <v>366.81</v>
      </c>
      <c r="DK46" s="127"/>
      <c r="DL46" s="127"/>
      <c r="DM46" s="126">
        <v>4</v>
      </c>
      <c r="DN46" s="27"/>
      <c r="DO46" s="28"/>
      <c r="DP46" s="29"/>
      <c r="DQ46" s="29"/>
      <c r="DR46" s="30">
        <f t="shared" ref="DR46:DR76" si="45">SUM(DM46:DQ46)</f>
        <v>4</v>
      </c>
      <c r="DT46" s="122">
        <v>45870</v>
      </c>
      <c r="DU46" s="123">
        <v>1168.6600000000001</v>
      </c>
      <c r="DV46" s="127">
        <v>1247.46</v>
      </c>
      <c r="DW46" s="127"/>
      <c r="DX46" s="126">
        <v>10.01</v>
      </c>
      <c r="DY46" s="27"/>
      <c r="DZ46" s="28"/>
      <c r="EA46" s="29"/>
      <c r="EB46" s="29"/>
      <c r="EC46" s="30">
        <f t="shared" ref="EC46:EC76" si="46">SUM(DX46:EB46)</f>
        <v>10.01</v>
      </c>
      <c r="EE46" s="122">
        <v>45870</v>
      </c>
      <c r="EF46" s="123">
        <v>1139.5999999999999</v>
      </c>
      <c r="EG46" s="127">
        <v>945.95</v>
      </c>
      <c r="EH46" s="127"/>
      <c r="EI46" s="126">
        <v>0</v>
      </c>
      <c r="EJ46" s="27"/>
      <c r="EK46" s="28"/>
      <c r="EL46" s="165"/>
      <c r="EM46" s="29"/>
      <c r="EN46" s="29"/>
      <c r="EO46" s="30">
        <f t="shared" ref="EO46:EO76" si="47">SUM(EI46:EN46)</f>
        <v>0</v>
      </c>
      <c r="EQ46" s="122">
        <v>45870</v>
      </c>
      <c r="ER46" s="123">
        <v>2723.93</v>
      </c>
      <c r="ES46" s="259">
        <v>60</v>
      </c>
      <c r="ET46" s="127"/>
      <c r="EU46" s="258">
        <v>470.85</v>
      </c>
      <c r="EV46" s="27"/>
      <c r="EW46" s="28"/>
      <c r="EX46" s="29"/>
      <c r="EY46" s="29"/>
      <c r="EZ46" s="30">
        <f t="shared" ref="EZ46:EZ76" si="48">SUM(EU46:EY46)</f>
        <v>470.85</v>
      </c>
      <c r="FB46" s="122">
        <v>45870</v>
      </c>
      <c r="FC46" s="123">
        <v>721.55</v>
      </c>
      <c r="FD46" s="123">
        <v>212.03</v>
      </c>
      <c r="FE46" s="125"/>
      <c r="FF46" s="126"/>
      <c r="FG46" s="27"/>
      <c r="FH46" s="28"/>
      <c r="FI46" s="29"/>
      <c r="FJ46" s="29"/>
      <c r="FK46" s="30">
        <f t="shared" ref="FK46:FK76" si="49">SUM(FF46:FJ46)</f>
        <v>0</v>
      </c>
    </row>
    <row r="47" spans="2:167" hidden="1" x14ac:dyDescent="0.25">
      <c r="B47" s="122">
        <v>45871</v>
      </c>
      <c r="C47" s="123">
        <v>15248.97</v>
      </c>
      <c r="D47" s="125"/>
      <c r="E47" s="125"/>
      <c r="F47" s="125">
        <v>41.3</v>
      </c>
      <c r="G47" s="27"/>
      <c r="H47" s="51"/>
      <c r="I47" s="52"/>
      <c r="J47" s="52"/>
      <c r="K47" s="53">
        <f t="shared" si="35"/>
        <v>41.3</v>
      </c>
      <c r="M47" s="122">
        <v>45871</v>
      </c>
      <c r="N47" s="123">
        <v>4101.97</v>
      </c>
      <c r="O47" s="125"/>
      <c r="P47" s="126">
        <v>13.88</v>
      </c>
      <c r="Q47" s="27"/>
      <c r="R47" s="51"/>
      <c r="S47" s="52"/>
      <c r="T47" s="52"/>
      <c r="U47" s="53">
        <f t="shared" si="36"/>
        <v>13.88</v>
      </c>
      <c r="W47" s="122">
        <v>45871</v>
      </c>
      <c r="X47" s="123">
        <v>1781.18</v>
      </c>
      <c r="Y47" s="123">
        <v>56.41</v>
      </c>
      <c r="Z47" s="125"/>
      <c r="AA47" s="123"/>
      <c r="AB47" s="27"/>
      <c r="AC47" s="51"/>
      <c r="AD47" s="52"/>
      <c r="AE47" s="52"/>
      <c r="AF47" s="53">
        <f t="shared" si="37"/>
        <v>0</v>
      </c>
      <c r="AI47" s="122">
        <v>45871</v>
      </c>
      <c r="AJ47" s="123">
        <v>854.45</v>
      </c>
      <c r="AK47" s="125"/>
      <c r="AL47" s="126"/>
      <c r="AM47" s="27"/>
      <c r="AN47" s="51"/>
      <c r="AO47" s="52"/>
      <c r="AP47" s="52"/>
      <c r="AQ47" s="53">
        <f t="shared" si="38"/>
        <v>0</v>
      </c>
      <c r="AS47" s="122">
        <v>45871</v>
      </c>
      <c r="AT47" s="123">
        <v>4744.2</v>
      </c>
      <c r="AU47" s="125"/>
      <c r="AV47" s="128"/>
      <c r="AW47" s="27"/>
      <c r="AX47" s="51"/>
      <c r="AY47" s="52"/>
      <c r="AZ47" s="52"/>
      <c r="BA47" s="53">
        <f t="shared" si="39"/>
        <v>0</v>
      </c>
      <c r="BC47" s="122">
        <v>45871</v>
      </c>
      <c r="BD47" s="123">
        <v>3497.68</v>
      </c>
      <c r="BE47" s="125"/>
      <c r="BF47" s="128">
        <v>0</v>
      </c>
      <c r="BG47" s="27"/>
      <c r="BH47" s="51"/>
      <c r="BI47" s="52"/>
      <c r="BJ47" s="52"/>
      <c r="BK47" s="53">
        <f t="shared" si="40"/>
        <v>0</v>
      </c>
      <c r="BM47" s="122">
        <v>45871</v>
      </c>
      <c r="BN47" s="123">
        <v>12751.6</v>
      </c>
      <c r="BO47" s="123">
        <v>2387.4499999999998</v>
      </c>
      <c r="BP47" s="123">
        <v>7523.85</v>
      </c>
      <c r="BQ47" s="125"/>
      <c r="BR47" s="125"/>
      <c r="BS47" s="27"/>
      <c r="BT47" s="51"/>
      <c r="BU47" s="52"/>
      <c r="BV47" s="52"/>
      <c r="BW47" s="53">
        <f t="shared" si="41"/>
        <v>0</v>
      </c>
      <c r="BY47" s="122">
        <v>45871</v>
      </c>
      <c r="BZ47" s="256">
        <v>1897.45</v>
      </c>
      <c r="CA47" s="257">
        <v>382.58</v>
      </c>
      <c r="CB47" s="125"/>
      <c r="CC47" s="126"/>
      <c r="CD47" s="27"/>
      <c r="CE47" s="51"/>
      <c r="CF47" s="52"/>
      <c r="CG47" s="52"/>
      <c r="CH47" s="53">
        <f t="shared" si="42"/>
        <v>0</v>
      </c>
      <c r="CJ47" s="122">
        <v>45871</v>
      </c>
      <c r="CK47" s="123">
        <v>5829.14</v>
      </c>
      <c r="CL47" s="123">
        <v>503.84</v>
      </c>
      <c r="CM47" s="125"/>
      <c r="CN47" s="126">
        <v>0</v>
      </c>
      <c r="CO47" s="27"/>
      <c r="CP47" s="51"/>
      <c r="CQ47" s="52"/>
      <c r="CR47" s="52"/>
      <c r="CS47" s="53">
        <f t="shared" si="43"/>
        <v>0</v>
      </c>
      <c r="CU47" s="122">
        <v>45871</v>
      </c>
      <c r="CV47" s="123">
        <v>8746.1200000000008</v>
      </c>
      <c r="CW47" s="127">
        <v>542.33000000000004</v>
      </c>
      <c r="CX47" s="125"/>
      <c r="CY47" s="128">
        <v>148.75</v>
      </c>
      <c r="CZ47" s="27"/>
      <c r="DA47" s="51"/>
      <c r="DB47" s="173"/>
      <c r="DC47" s="52"/>
      <c r="DD47" s="52"/>
      <c r="DE47" s="53">
        <f t="shared" si="44"/>
        <v>148.75</v>
      </c>
      <c r="DH47" s="122">
        <v>45871</v>
      </c>
      <c r="DI47" s="123">
        <v>1672.62</v>
      </c>
      <c r="DJ47" s="127">
        <v>299.98</v>
      </c>
      <c r="DK47" s="127"/>
      <c r="DL47" s="127"/>
      <c r="DM47" s="126">
        <v>4</v>
      </c>
      <c r="DN47" s="27"/>
      <c r="DO47" s="51"/>
      <c r="DP47" s="52"/>
      <c r="DQ47" s="52"/>
      <c r="DR47" s="53">
        <f t="shared" si="45"/>
        <v>4</v>
      </c>
      <c r="DT47" s="122">
        <v>45871</v>
      </c>
      <c r="DU47" s="123">
        <v>1016.54</v>
      </c>
      <c r="DV47" s="127">
        <v>1097.47</v>
      </c>
      <c r="DW47" s="127"/>
      <c r="DX47" s="126">
        <v>20.75</v>
      </c>
      <c r="DY47" s="27"/>
      <c r="DZ47" s="51"/>
      <c r="EA47" s="52"/>
      <c r="EB47" s="52"/>
      <c r="EC47" s="53">
        <f t="shared" si="46"/>
        <v>20.75</v>
      </c>
      <c r="EE47" s="122">
        <v>45871</v>
      </c>
      <c r="EF47" s="123">
        <v>728.23</v>
      </c>
      <c r="EG47" s="127">
        <v>892.18</v>
      </c>
      <c r="EH47" s="127"/>
      <c r="EI47" s="126">
        <v>0</v>
      </c>
      <c r="EJ47" s="27"/>
      <c r="EK47" s="51"/>
      <c r="EL47" s="173"/>
      <c r="EM47" s="52"/>
      <c r="EN47" s="52"/>
      <c r="EO47" s="53">
        <f t="shared" si="47"/>
        <v>0</v>
      </c>
      <c r="EQ47" s="122">
        <v>45871</v>
      </c>
      <c r="ER47" s="123">
        <v>3262.11</v>
      </c>
      <c r="ES47" s="259">
        <v>281.41000000000003</v>
      </c>
      <c r="ET47" s="127"/>
      <c r="EU47" s="258">
        <v>287.27999999999997</v>
      </c>
      <c r="EV47" s="27"/>
      <c r="EW47" s="51"/>
      <c r="EX47" s="52"/>
      <c r="EY47" s="52"/>
      <c r="EZ47" s="53">
        <f t="shared" si="48"/>
        <v>287.27999999999997</v>
      </c>
      <c r="FB47" s="122">
        <v>45871</v>
      </c>
      <c r="FC47" s="123">
        <v>451.42</v>
      </c>
      <c r="FD47" s="123">
        <v>195</v>
      </c>
      <c r="FE47" s="125"/>
      <c r="FF47" s="126"/>
      <c r="FG47" s="27"/>
      <c r="FH47" s="51"/>
      <c r="FI47" s="52"/>
      <c r="FJ47" s="52"/>
      <c r="FK47" s="53">
        <f t="shared" si="49"/>
        <v>0</v>
      </c>
    </row>
    <row r="48" spans="2:167" hidden="1" x14ac:dyDescent="0.25">
      <c r="B48" s="122">
        <v>45872</v>
      </c>
      <c r="C48" s="123">
        <v>7526.7</v>
      </c>
      <c r="D48" s="125"/>
      <c r="E48" s="125"/>
      <c r="F48" s="123">
        <v>0</v>
      </c>
      <c r="G48" s="27"/>
      <c r="H48" s="51"/>
      <c r="I48" s="52"/>
      <c r="J48" s="52"/>
      <c r="K48" s="53">
        <f t="shared" si="35"/>
        <v>0</v>
      </c>
      <c r="M48" s="122">
        <v>45872</v>
      </c>
      <c r="N48" s="123">
        <v>4829.2</v>
      </c>
      <c r="O48" s="125"/>
      <c r="P48" s="126">
        <v>17.73</v>
      </c>
      <c r="Q48" s="27"/>
      <c r="R48" s="51"/>
      <c r="S48" s="52"/>
      <c r="T48" s="52"/>
      <c r="U48" s="53">
        <f t="shared" si="36"/>
        <v>17.73</v>
      </c>
      <c r="W48" s="122">
        <v>45872</v>
      </c>
      <c r="X48" s="123">
        <v>415.27</v>
      </c>
      <c r="Y48" s="123">
        <v>0</v>
      </c>
      <c r="Z48" s="125"/>
      <c r="AA48" s="123"/>
      <c r="AB48" s="27"/>
      <c r="AC48" s="51"/>
      <c r="AD48" s="52"/>
      <c r="AE48" s="52"/>
      <c r="AF48" s="53">
        <f t="shared" si="37"/>
        <v>0</v>
      </c>
      <c r="AI48" s="122">
        <v>45872</v>
      </c>
      <c r="AJ48" s="123">
        <v>1511.34</v>
      </c>
      <c r="AK48" s="125"/>
      <c r="AL48" s="126"/>
      <c r="AM48" s="27"/>
      <c r="AN48" s="51"/>
      <c r="AO48" s="52"/>
      <c r="AP48" s="52"/>
      <c r="AQ48" s="53">
        <f t="shared" si="38"/>
        <v>0</v>
      </c>
      <c r="AS48" s="122">
        <v>45872</v>
      </c>
      <c r="AT48" s="123">
        <v>2899.12</v>
      </c>
      <c r="AU48" s="125"/>
      <c r="AV48" s="128"/>
      <c r="AW48" s="27"/>
      <c r="AX48" s="51"/>
      <c r="AY48" s="52"/>
      <c r="AZ48" s="52"/>
      <c r="BA48" s="53">
        <f t="shared" si="39"/>
        <v>0</v>
      </c>
      <c r="BC48" s="122">
        <v>45872</v>
      </c>
      <c r="BD48" s="123">
        <v>1655.92</v>
      </c>
      <c r="BE48" s="125"/>
      <c r="BF48" s="128">
        <v>2.84</v>
      </c>
      <c r="BG48" s="27"/>
      <c r="BH48" s="51"/>
      <c r="BI48" s="52"/>
      <c r="BJ48" s="52"/>
      <c r="BK48" s="53">
        <f t="shared" si="40"/>
        <v>2.84</v>
      </c>
      <c r="BM48" s="122">
        <v>45872</v>
      </c>
      <c r="BN48" s="123">
        <v>8976.23</v>
      </c>
      <c r="BO48" s="123">
        <v>1908.37</v>
      </c>
      <c r="BP48" s="123">
        <v>4346.45</v>
      </c>
      <c r="BQ48" s="125"/>
      <c r="BR48" s="125"/>
      <c r="BS48" s="27"/>
      <c r="BT48" s="51"/>
      <c r="BU48" s="52"/>
      <c r="BV48" s="52"/>
      <c r="BW48" s="53">
        <f t="shared" si="41"/>
        <v>0</v>
      </c>
      <c r="BY48" s="122">
        <v>45872</v>
      </c>
      <c r="BZ48" s="256">
        <v>2474.79</v>
      </c>
      <c r="CA48" s="257">
        <v>534.83000000000004</v>
      </c>
      <c r="CB48" s="125"/>
      <c r="CC48" s="126"/>
      <c r="CD48" s="27"/>
      <c r="CE48" s="51"/>
      <c r="CF48" s="52"/>
      <c r="CG48" s="52"/>
      <c r="CH48" s="53">
        <f t="shared" si="42"/>
        <v>0</v>
      </c>
      <c r="CJ48" s="122">
        <v>45872</v>
      </c>
      <c r="CK48" s="123">
        <v>2989.16</v>
      </c>
      <c r="CL48" s="123">
        <v>484.71</v>
      </c>
      <c r="CM48" s="125"/>
      <c r="CN48" s="126">
        <v>0</v>
      </c>
      <c r="CO48" s="27"/>
      <c r="CP48" s="51"/>
      <c r="CQ48" s="52"/>
      <c r="CR48" s="52"/>
      <c r="CS48" s="53">
        <f t="shared" si="43"/>
        <v>0</v>
      </c>
      <c r="CU48" s="122">
        <v>45872</v>
      </c>
      <c r="CV48" s="123">
        <v>3760.33</v>
      </c>
      <c r="CW48" s="127">
        <v>426.48</v>
      </c>
      <c r="CX48" s="125"/>
      <c r="CY48" s="126">
        <v>66.349999999999994</v>
      </c>
      <c r="CZ48" s="27"/>
      <c r="DA48" s="51"/>
      <c r="DB48" s="173"/>
      <c r="DC48" s="52"/>
      <c r="DD48" s="52"/>
      <c r="DE48" s="53">
        <f t="shared" si="44"/>
        <v>66.349999999999994</v>
      </c>
      <c r="DH48" s="122">
        <v>45872</v>
      </c>
      <c r="DI48" s="123">
        <v>1927.46</v>
      </c>
      <c r="DJ48" s="126">
        <v>228.42</v>
      </c>
      <c r="DK48" s="126"/>
      <c r="DL48" s="127"/>
      <c r="DM48" s="126">
        <v>4</v>
      </c>
      <c r="DN48" s="27"/>
      <c r="DO48" s="51"/>
      <c r="DP48" s="52"/>
      <c r="DQ48" s="52"/>
      <c r="DR48" s="53">
        <f t="shared" si="45"/>
        <v>4</v>
      </c>
      <c r="DT48" s="122">
        <v>45872</v>
      </c>
      <c r="DU48" s="123">
        <v>597.04</v>
      </c>
      <c r="DV48" s="127">
        <v>880.33</v>
      </c>
      <c r="DW48" s="127"/>
      <c r="DX48" s="126">
        <v>10.199999999999999</v>
      </c>
      <c r="DY48" s="27"/>
      <c r="DZ48" s="51"/>
      <c r="EA48" s="52"/>
      <c r="EB48" s="52"/>
      <c r="EC48" s="53">
        <f t="shared" si="46"/>
        <v>10.199999999999999</v>
      </c>
      <c r="EE48" s="122">
        <v>45872</v>
      </c>
      <c r="EF48" s="123">
        <v>720.84</v>
      </c>
      <c r="EG48" s="127">
        <v>313.54000000000002</v>
      </c>
      <c r="EH48" s="127"/>
      <c r="EI48" s="126">
        <v>0</v>
      </c>
      <c r="EJ48" s="27"/>
      <c r="EK48" s="51"/>
      <c r="EL48" s="173"/>
      <c r="EM48" s="52"/>
      <c r="EN48" s="52"/>
      <c r="EO48" s="53">
        <f t="shared" si="47"/>
        <v>0</v>
      </c>
      <c r="EQ48" s="122">
        <v>45872</v>
      </c>
      <c r="ER48" s="123">
        <v>3323.12</v>
      </c>
      <c r="ES48" s="259">
        <v>266.05</v>
      </c>
      <c r="ET48" s="127"/>
      <c r="EU48" s="258">
        <v>133</v>
      </c>
      <c r="EV48" s="27"/>
      <c r="EW48" s="51"/>
      <c r="EX48" s="52"/>
      <c r="EY48" s="52"/>
      <c r="EZ48" s="53">
        <f t="shared" si="48"/>
        <v>133</v>
      </c>
      <c r="FB48" s="122">
        <v>45872</v>
      </c>
      <c r="FC48" s="123">
        <v>348.4</v>
      </c>
      <c r="FD48" s="123">
        <v>126.36</v>
      </c>
      <c r="FE48" s="125"/>
      <c r="FF48" s="126"/>
      <c r="FG48" s="27"/>
      <c r="FH48" s="51"/>
      <c r="FI48" s="52"/>
      <c r="FJ48" s="52"/>
      <c r="FK48" s="53">
        <f t="shared" si="49"/>
        <v>0</v>
      </c>
    </row>
    <row r="49" spans="2:167" hidden="1" x14ac:dyDescent="0.25">
      <c r="B49" s="122">
        <v>45873</v>
      </c>
      <c r="C49" s="123">
        <v>10555.3</v>
      </c>
      <c r="D49" s="125"/>
      <c r="E49" s="125"/>
      <c r="F49" s="125">
        <v>49.99</v>
      </c>
      <c r="G49" s="27"/>
      <c r="H49" s="51"/>
      <c r="I49" s="52"/>
      <c r="J49" s="52"/>
      <c r="K49" s="53">
        <f t="shared" si="35"/>
        <v>49.99</v>
      </c>
      <c r="M49" s="122">
        <v>45873</v>
      </c>
      <c r="N49" s="123">
        <v>2615.0100000000002</v>
      </c>
      <c r="O49" s="125"/>
      <c r="P49" s="126">
        <v>5.09</v>
      </c>
      <c r="Q49" s="27"/>
      <c r="R49" s="51"/>
      <c r="S49" s="52"/>
      <c r="T49" s="52"/>
      <c r="U49" s="53">
        <f t="shared" si="36"/>
        <v>5.09</v>
      </c>
      <c r="W49" s="122">
        <v>45873</v>
      </c>
      <c r="X49" s="123">
        <v>1604.29</v>
      </c>
      <c r="Y49" s="123">
        <v>0</v>
      </c>
      <c r="Z49" s="125"/>
      <c r="AA49" s="123"/>
      <c r="AB49" s="27"/>
      <c r="AC49" s="51"/>
      <c r="AD49" s="52"/>
      <c r="AE49" s="52"/>
      <c r="AF49" s="53">
        <f t="shared" si="37"/>
        <v>0</v>
      </c>
      <c r="AI49" s="122">
        <v>45873</v>
      </c>
      <c r="AJ49" s="123">
        <v>1029.43</v>
      </c>
      <c r="AK49" s="125"/>
      <c r="AL49" s="126"/>
      <c r="AM49" s="27"/>
      <c r="AN49" s="51"/>
      <c r="AO49" s="52"/>
      <c r="AP49" s="52"/>
      <c r="AQ49" s="53">
        <f t="shared" si="38"/>
        <v>0</v>
      </c>
      <c r="AS49" s="122">
        <v>45873</v>
      </c>
      <c r="AT49" s="123">
        <v>2596.35</v>
      </c>
      <c r="AU49" s="125"/>
      <c r="AV49" s="128"/>
      <c r="AW49" s="27"/>
      <c r="AX49" s="51"/>
      <c r="AY49" s="52"/>
      <c r="AZ49" s="52"/>
      <c r="BA49" s="53">
        <f t="shared" si="39"/>
        <v>0</v>
      </c>
      <c r="BC49" s="122">
        <v>45873</v>
      </c>
      <c r="BD49" s="123">
        <v>2580.35</v>
      </c>
      <c r="BE49" s="125"/>
      <c r="BF49" s="128">
        <v>11.78</v>
      </c>
      <c r="BG49" s="27"/>
      <c r="BH49" s="51"/>
      <c r="BI49" s="52"/>
      <c r="BJ49" s="52"/>
      <c r="BK49" s="53">
        <f t="shared" si="40"/>
        <v>11.78</v>
      </c>
      <c r="BM49" s="122">
        <v>45873</v>
      </c>
      <c r="BN49" s="123">
        <v>11110.52</v>
      </c>
      <c r="BO49" s="123">
        <v>2146.79</v>
      </c>
      <c r="BP49" s="123">
        <v>6752.57</v>
      </c>
      <c r="BQ49" s="125"/>
      <c r="BR49" s="125"/>
      <c r="BS49" s="27"/>
      <c r="BT49" s="51"/>
      <c r="BU49" s="52"/>
      <c r="BV49" s="52"/>
      <c r="BW49" s="53">
        <f t="shared" si="41"/>
        <v>0</v>
      </c>
      <c r="BY49" s="122">
        <v>45873</v>
      </c>
      <c r="BZ49" s="256">
        <v>681</v>
      </c>
      <c r="CA49" s="257">
        <v>842.04</v>
      </c>
      <c r="CB49" s="126"/>
      <c r="CC49" s="126"/>
      <c r="CD49" s="27"/>
      <c r="CE49" s="51"/>
      <c r="CF49" s="52"/>
      <c r="CG49" s="52"/>
      <c r="CH49" s="53">
        <f t="shared" si="42"/>
        <v>0</v>
      </c>
      <c r="CJ49" s="122">
        <v>45873</v>
      </c>
      <c r="CK49" s="123">
        <v>6585.8</v>
      </c>
      <c r="CL49" s="123">
        <v>861.59</v>
      </c>
      <c r="CM49" s="125"/>
      <c r="CN49" s="126">
        <v>0</v>
      </c>
      <c r="CO49" s="27"/>
      <c r="CP49" s="51"/>
      <c r="CQ49" s="52"/>
      <c r="CR49" s="52"/>
      <c r="CS49" s="53">
        <f t="shared" si="43"/>
        <v>0</v>
      </c>
      <c r="CU49" s="122">
        <v>45873</v>
      </c>
      <c r="CV49" s="123">
        <v>10401.89</v>
      </c>
      <c r="CW49" s="127">
        <v>1120.08</v>
      </c>
      <c r="CX49" s="125"/>
      <c r="CY49" s="126">
        <v>76.55</v>
      </c>
      <c r="CZ49" s="27"/>
      <c r="DA49" s="51"/>
      <c r="DB49" s="173"/>
      <c r="DC49" s="52"/>
      <c r="DD49" s="52"/>
      <c r="DE49" s="53">
        <f t="shared" si="44"/>
        <v>76.55</v>
      </c>
      <c r="DH49" s="122">
        <v>45873</v>
      </c>
      <c r="DI49" s="123">
        <v>2092.34</v>
      </c>
      <c r="DJ49" s="127">
        <v>270</v>
      </c>
      <c r="DK49" s="127"/>
      <c r="DL49" s="127"/>
      <c r="DM49" s="126">
        <v>4</v>
      </c>
      <c r="DN49" s="27"/>
      <c r="DO49" s="51"/>
      <c r="DP49" s="52"/>
      <c r="DQ49" s="52"/>
      <c r="DR49" s="53">
        <f t="shared" si="45"/>
        <v>4</v>
      </c>
      <c r="DT49" s="122">
        <v>45873</v>
      </c>
      <c r="DU49" s="123">
        <v>1509.98</v>
      </c>
      <c r="DV49" s="127">
        <v>1193.8900000000001</v>
      </c>
      <c r="DW49" s="127"/>
      <c r="DX49" s="126">
        <v>101.64</v>
      </c>
      <c r="DY49" s="27"/>
      <c r="DZ49" s="51"/>
      <c r="EA49" s="52"/>
      <c r="EB49" s="52"/>
      <c r="EC49" s="53">
        <f t="shared" si="46"/>
        <v>101.64</v>
      </c>
      <c r="EE49" s="122">
        <v>45873</v>
      </c>
      <c r="EF49" s="123">
        <v>507.93</v>
      </c>
      <c r="EG49" s="127">
        <v>751.75</v>
      </c>
      <c r="EH49" s="127"/>
      <c r="EI49" s="126">
        <v>0</v>
      </c>
      <c r="EJ49" s="27"/>
      <c r="EK49" s="51"/>
      <c r="EL49" s="173"/>
      <c r="EM49" s="52"/>
      <c r="EN49" s="52"/>
      <c r="EO49" s="53">
        <f t="shared" si="47"/>
        <v>0</v>
      </c>
      <c r="EQ49" s="122">
        <v>45873</v>
      </c>
      <c r="ER49" s="123">
        <v>3031.53</v>
      </c>
      <c r="ES49" s="259">
        <v>183.13</v>
      </c>
      <c r="ET49" s="127"/>
      <c r="EU49" s="258">
        <v>14.46</v>
      </c>
      <c r="EV49" s="27"/>
      <c r="EW49" s="51"/>
      <c r="EX49" s="52"/>
      <c r="EY49" s="52"/>
      <c r="EZ49" s="53">
        <f t="shared" si="48"/>
        <v>14.46</v>
      </c>
      <c r="FB49" s="122">
        <v>45873</v>
      </c>
      <c r="FC49" s="123">
        <v>1444.48</v>
      </c>
      <c r="FD49" s="123">
        <v>120</v>
      </c>
      <c r="FE49" s="125"/>
      <c r="FF49" s="126"/>
      <c r="FG49" s="27"/>
      <c r="FH49" s="51"/>
      <c r="FI49" s="52"/>
      <c r="FJ49" s="52"/>
      <c r="FK49" s="53">
        <f t="shared" si="49"/>
        <v>0</v>
      </c>
    </row>
    <row r="50" spans="2:167" hidden="1" x14ac:dyDescent="0.25">
      <c r="B50" s="122">
        <v>45874</v>
      </c>
      <c r="C50" s="123">
        <v>12564.83</v>
      </c>
      <c r="D50" s="125"/>
      <c r="E50" s="125"/>
      <c r="F50" s="125">
        <v>94.39</v>
      </c>
      <c r="G50" s="27"/>
      <c r="H50" s="51"/>
      <c r="I50" s="52"/>
      <c r="J50" s="52"/>
      <c r="K50" s="53">
        <f t="shared" si="35"/>
        <v>94.39</v>
      </c>
      <c r="M50" s="122">
        <v>45874</v>
      </c>
      <c r="N50" s="123">
        <v>3683.85</v>
      </c>
      <c r="O50" s="125"/>
      <c r="P50" s="126">
        <v>23.93</v>
      </c>
      <c r="Q50" s="27"/>
      <c r="R50" s="51"/>
      <c r="S50" s="52"/>
      <c r="T50" s="52"/>
      <c r="U50" s="53">
        <f t="shared" si="36"/>
        <v>23.93</v>
      </c>
      <c r="W50" s="122">
        <v>45874</v>
      </c>
      <c r="X50" s="123">
        <v>1653.54</v>
      </c>
      <c r="Y50" s="123">
        <v>0</v>
      </c>
      <c r="Z50" s="125"/>
      <c r="AA50" s="123"/>
      <c r="AB50" s="27"/>
      <c r="AC50" s="51"/>
      <c r="AD50" s="52"/>
      <c r="AE50" s="52"/>
      <c r="AF50" s="53">
        <f t="shared" si="37"/>
        <v>0</v>
      </c>
      <c r="AI50" s="122">
        <v>45874</v>
      </c>
      <c r="AJ50" s="123">
        <v>1310.78</v>
      </c>
      <c r="AK50" s="125"/>
      <c r="AL50" s="126"/>
      <c r="AM50" s="27"/>
      <c r="AN50" s="51"/>
      <c r="AO50" s="52"/>
      <c r="AP50" s="52"/>
      <c r="AQ50" s="53">
        <f t="shared" si="38"/>
        <v>0</v>
      </c>
      <c r="AS50" s="122">
        <v>45874</v>
      </c>
      <c r="AT50" s="123">
        <v>4468.8500000000004</v>
      </c>
      <c r="AU50" s="125"/>
      <c r="AV50" s="128"/>
      <c r="AW50" s="27"/>
      <c r="AX50" s="51"/>
      <c r="AY50" s="52"/>
      <c r="AZ50" s="52"/>
      <c r="BA50" s="53">
        <f t="shared" si="39"/>
        <v>0</v>
      </c>
      <c r="BC50" s="122">
        <v>45874</v>
      </c>
      <c r="BD50" s="123">
        <v>3862.8</v>
      </c>
      <c r="BE50" s="125"/>
      <c r="BF50" s="128">
        <v>3.69</v>
      </c>
      <c r="BG50" s="27"/>
      <c r="BH50" s="51"/>
      <c r="BI50" s="52"/>
      <c r="BJ50" s="52"/>
      <c r="BK50" s="53">
        <f t="shared" si="40"/>
        <v>3.69</v>
      </c>
      <c r="BM50" s="122">
        <v>45874</v>
      </c>
      <c r="BN50" s="123">
        <v>12908.64</v>
      </c>
      <c r="BO50" s="123">
        <v>2166.71</v>
      </c>
      <c r="BP50" s="123">
        <v>7375.73</v>
      </c>
      <c r="BQ50" s="125"/>
      <c r="BR50" s="125"/>
      <c r="BS50" s="27"/>
      <c r="BT50" s="51"/>
      <c r="BU50" s="52"/>
      <c r="BV50" s="52"/>
      <c r="BW50" s="53">
        <f t="shared" si="41"/>
        <v>0</v>
      </c>
      <c r="BY50" s="122">
        <v>45874</v>
      </c>
      <c r="BZ50" s="256">
        <v>1258.78</v>
      </c>
      <c r="CA50" s="257">
        <v>760.63</v>
      </c>
      <c r="CB50" s="125"/>
      <c r="CC50" s="126"/>
      <c r="CD50" s="27"/>
      <c r="CE50" s="51"/>
      <c r="CF50" s="52"/>
      <c r="CG50" s="52"/>
      <c r="CH50" s="53">
        <f t="shared" si="42"/>
        <v>0</v>
      </c>
      <c r="CJ50" s="122">
        <v>45874</v>
      </c>
      <c r="CK50" s="123">
        <v>5767.39</v>
      </c>
      <c r="CL50" s="123">
        <v>393.19</v>
      </c>
      <c r="CM50" s="125"/>
      <c r="CN50" s="126">
        <v>14.3</v>
      </c>
      <c r="CO50" s="27"/>
      <c r="CP50" s="51"/>
      <c r="CQ50" s="52"/>
      <c r="CR50" s="52"/>
      <c r="CS50" s="53">
        <f t="shared" si="43"/>
        <v>14.3</v>
      </c>
      <c r="CU50" s="122">
        <v>45874</v>
      </c>
      <c r="CV50" s="123">
        <v>8024.66</v>
      </c>
      <c r="CW50" s="127">
        <v>1045.58</v>
      </c>
      <c r="CX50" s="125"/>
      <c r="CY50" s="126">
        <v>60.55</v>
      </c>
      <c r="CZ50" s="27"/>
      <c r="DA50" s="51"/>
      <c r="DB50" s="173"/>
      <c r="DC50" s="52"/>
      <c r="DD50" s="52"/>
      <c r="DE50" s="53">
        <f t="shared" si="44"/>
        <v>60.55</v>
      </c>
      <c r="DH50" s="122">
        <v>45874</v>
      </c>
      <c r="DI50" s="123">
        <v>964.85</v>
      </c>
      <c r="DJ50" s="127">
        <v>313.27</v>
      </c>
      <c r="DK50" s="127"/>
      <c r="DL50" s="127"/>
      <c r="DM50" s="126">
        <v>0</v>
      </c>
      <c r="DN50" s="27"/>
      <c r="DO50" s="51"/>
      <c r="DP50" s="52"/>
      <c r="DQ50" s="52"/>
      <c r="DR50" s="53">
        <f t="shared" si="45"/>
        <v>0</v>
      </c>
      <c r="DT50" s="122">
        <v>45874</v>
      </c>
      <c r="DU50" s="123">
        <v>1233.7</v>
      </c>
      <c r="DV50" s="127">
        <v>947.92</v>
      </c>
      <c r="DW50" s="127"/>
      <c r="DX50" s="126">
        <v>28.09</v>
      </c>
      <c r="DY50" s="27"/>
      <c r="DZ50" s="51"/>
      <c r="EA50" s="52"/>
      <c r="EB50" s="52"/>
      <c r="EC50" s="53">
        <f t="shared" si="46"/>
        <v>28.09</v>
      </c>
      <c r="EE50" s="122">
        <v>45874</v>
      </c>
      <c r="EF50" s="123">
        <v>783.01</v>
      </c>
      <c r="EG50" s="127">
        <v>718.23</v>
      </c>
      <c r="EH50" s="127"/>
      <c r="EI50" s="126">
        <v>0</v>
      </c>
      <c r="EJ50" s="27"/>
      <c r="EK50" s="51"/>
      <c r="EL50" s="173"/>
      <c r="EM50" s="52"/>
      <c r="EN50" s="52"/>
      <c r="EO50" s="53">
        <f t="shared" si="47"/>
        <v>0</v>
      </c>
      <c r="EQ50" s="122">
        <v>45874</v>
      </c>
      <c r="ER50" s="123">
        <v>2952.37</v>
      </c>
      <c r="ES50" s="259">
        <v>232.11</v>
      </c>
      <c r="ET50" s="127"/>
      <c r="EU50" s="258">
        <v>46.56</v>
      </c>
      <c r="EV50" s="27"/>
      <c r="EW50" s="51"/>
      <c r="EX50" s="52"/>
      <c r="EY50" s="52"/>
      <c r="EZ50" s="53">
        <f t="shared" si="48"/>
        <v>46.56</v>
      </c>
      <c r="FB50" s="122">
        <v>45874</v>
      </c>
      <c r="FC50" s="123">
        <v>998.2</v>
      </c>
      <c r="FD50" s="123">
        <v>117.86</v>
      </c>
      <c r="FE50" s="125"/>
      <c r="FF50" s="126"/>
      <c r="FG50" s="27"/>
      <c r="FH50" s="51"/>
      <c r="FI50" s="52"/>
      <c r="FJ50" s="52"/>
      <c r="FK50" s="53">
        <f t="shared" si="49"/>
        <v>0</v>
      </c>
    </row>
    <row r="51" spans="2:167" hidden="1" x14ac:dyDescent="0.25">
      <c r="B51" s="122">
        <v>45875</v>
      </c>
      <c r="C51" s="123">
        <v>17406.23</v>
      </c>
      <c r="D51" s="125"/>
      <c r="E51" s="125"/>
      <c r="F51" s="125">
        <v>120.73</v>
      </c>
      <c r="G51" s="27"/>
      <c r="H51" s="51"/>
      <c r="I51" s="52"/>
      <c r="J51" s="52"/>
      <c r="K51" s="53">
        <f t="shared" si="35"/>
        <v>120.73</v>
      </c>
      <c r="M51" s="122">
        <v>45875</v>
      </c>
      <c r="N51" s="123">
        <v>3434.26</v>
      </c>
      <c r="O51" s="125"/>
      <c r="P51" s="126">
        <v>8.68</v>
      </c>
      <c r="Q51" s="27"/>
      <c r="R51" s="51"/>
      <c r="S51" s="52"/>
      <c r="T51" s="52"/>
      <c r="U51" s="53">
        <f t="shared" si="36"/>
        <v>8.68</v>
      </c>
      <c r="W51" s="122">
        <v>45875</v>
      </c>
      <c r="X51" s="123">
        <v>865.06</v>
      </c>
      <c r="Y51" s="123">
        <v>0</v>
      </c>
      <c r="Z51" s="125"/>
      <c r="AA51" s="123"/>
      <c r="AB51" s="27"/>
      <c r="AC51" s="51"/>
      <c r="AD51" s="52"/>
      <c r="AE51" s="52"/>
      <c r="AF51" s="53">
        <f t="shared" si="37"/>
        <v>0</v>
      </c>
      <c r="AI51" s="122">
        <v>45875</v>
      </c>
      <c r="AJ51" s="123">
        <v>2010.43</v>
      </c>
      <c r="AK51" s="125"/>
      <c r="AL51" s="126"/>
      <c r="AM51" s="27"/>
      <c r="AN51" s="51"/>
      <c r="AO51" s="52"/>
      <c r="AP51" s="52"/>
      <c r="AQ51" s="53">
        <f t="shared" si="38"/>
        <v>0</v>
      </c>
      <c r="AS51" s="122">
        <v>45875</v>
      </c>
      <c r="AT51" s="123">
        <v>2915.39</v>
      </c>
      <c r="AU51" s="125"/>
      <c r="AV51" s="128"/>
      <c r="AW51" s="27"/>
      <c r="AX51" s="51"/>
      <c r="AY51" s="52"/>
      <c r="AZ51" s="52"/>
      <c r="BA51" s="53">
        <f t="shared" si="39"/>
        <v>0</v>
      </c>
      <c r="BC51" s="122">
        <v>45875</v>
      </c>
      <c r="BD51" s="123">
        <v>2091.8000000000002</v>
      </c>
      <c r="BE51" s="125"/>
      <c r="BF51" s="128">
        <v>8.93</v>
      </c>
      <c r="BG51" s="27"/>
      <c r="BH51" s="51"/>
      <c r="BI51" s="52"/>
      <c r="BJ51" s="52"/>
      <c r="BK51" s="53">
        <f t="shared" si="40"/>
        <v>8.93</v>
      </c>
      <c r="BM51" s="122">
        <v>45875</v>
      </c>
      <c r="BN51" s="123">
        <v>10553.54</v>
      </c>
      <c r="BO51" s="123">
        <v>2266.65</v>
      </c>
      <c r="BP51" s="123">
        <v>5224.38</v>
      </c>
      <c r="BQ51" s="125"/>
      <c r="BR51" s="125"/>
      <c r="BS51" s="27"/>
      <c r="BT51" s="51"/>
      <c r="BU51" s="52"/>
      <c r="BV51" s="52"/>
      <c r="BW51" s="53">
        <f t="shared" si="41"/>
        <v>0</v>
      </c>
      <c r="BY51" s="122">
        <v>45875</v>
      </c>
      <c r="BZ51" s="256">
        <v>815.01</v>
      </c>
      <c r="CA51" s="257">
        <v>664.04</v>
      </c>
      <c r="CB51" s="125"/>
      <c r="CC51" s="126"/>
      <c r="CD51" s="27"/>
      <c r="CE51" s="51"/>
      <c r="CF51" s="52"/>
      <c r="CG51" s="52"/>
      <c r="CH51" s="53">
        <f t="shared" si="42"/>
        <v>0</v>
      </c>
      <c r="CJ51" s="122">
        <v>45875</v>
      </c>
      <c r="CK51" s="123">
        <v>3243.19</v>
      </c>
      <c r="CL51" s="123">
        <v>549.74</v>
      </c>
      <c r="CM51" s="125"/>
      <c r="CN51" s="126">
        <v>1.73</v>
      </c>
      <c r="CO51" s="27"/>
      <c r="CP51" s="51"/>
      <c r="CQ51" s="52"/>
      <c r="CR51" s="52"/>
      <c r="CS51" s="53">
        <f t="shared" si="43"/>
        <v>1.73</v>
      </c>
      <c r="CU51" s="122">
        <v>45875</v>
      </c>
      <c r="CV51" s="123">
        <v>3181.47</v>
      </c>
      <c r="CW51" s="127">
        <v>237.74</v>
      </c>
      <c r="CX51" s="125"/>
      <c r="CY51" s="126">
        <v>77.58</v>
      </c>
      <c r="CZ51" s="27"/>
      <c r="DA51" s="51"/>
      <c r="DB51" s="173"/>
      <c r="DC51" s="52"/>
      <c r="DD51" s="52"/>
      <c r="DE51" s="53">
        <f t="shared" si="44"/>
        <v>77.58</v>
      </c>
      <c r="DH51" s="122">
        <v>45875</v>
      </c>
      <c r="DI51" s="123">
        <v>2157.27</v>
      </c>
      <c r="DJ51" s="259">
        <v>409.98</v>
      </c>
      <c r="DK51" s="259"/>
      <c r="DL51" s="127"/>
      <c r="DM51" s="126">
        <v>12.4</v>
      </c>
      <c r="DN51" s="27"/>
      <c r="DO51" s="51"/>
      <c r="DP51" s="52"/>
      <c r="DQ51" s="52"/>
      <c r="DR51" s="53">
        <f t="shared" si="45"/>
        <v>12.4</v>
      </c>
      <c r="DT51" s="122">
        <v>45875</v>
      </c>
      <c r="DU51" s="123">
        <v>502.27</v>
      </c>
      <c r="DV51" s="259">
        <v>896.51</v>
      </c>
      <c r="DW51" s="127"/>
      <c r="DX51" s="126">
        <v>40.69</v>
      </c>
      <c r="DY51" s="27"/>
      <c r="DZ51" s="51"/>
      <c r="EA51" s="52"/>
      <c r="EB51" s="52"/>
      <c r="EC51" s="53">
        <f t="shared" si="46"/>
        <v>40.69</v>
      </c>
      <c r="EE51" s="122">
        <v>45875</v>
      </c>
      <c r="EF51" s="123">
        <v>1065.1099999999999</v>
      </c>
      <c r="EG51" s="127">
        <v>784.24</v>
      </c>
      <c r="EH51" s="127"/>
      <c r="EI51" s="126">
        <v>0</v>
      </c>
      <c r="EJ51" s="27"/>
      <c r="EK51" s="51"/>
      <c r="EL51" s="173"/>
      <c r="EM51" s="52"/>
      <c r="EN51" s="52"/>
      <c r="EO51" s="53">
        <f t="shared" si="47"/>
        <v>0</v>
      </c>
      <c r="EQ51" s="122">
        <v>45875</v>
      </c>
      <c r="ER51" s="123">
        <v>3809.02</v>
      </c>
      <c r="ES51" s="259">
        <v>286.27999999999997</v>
      </c>
      <c r="ET51" s="127"/>
      <c r="EU51" s="258">
        <v>88.24</v>
      </c>
      <c r="EV51" s="27"/>
      <c r="EW51" s="51"/>
      <c r="EX51" s="52"/>
      <c r="EY51" s="52"/>
      <c r="EZ51" s="53">
        <f t="shared" si="48"/>
        <v>88.24</v>
      </c>
      <c r="FB51" s="122">
        <v>45875</v>
      </c>
      <c r="FC51" s="123">
        <v>994.13</v>
      </c>
      <c r="FD51" s="123">
        <v>175</v>
      </c>
      <c r="FE51" s="125"/>
      <c r="FF51" s="126"/>
      <c r="FG51" s="27"/>
      <c r="FH51" s="51"/>
      <c r="FI51" s="52"/>
      <c r="FJ51" s="52"/>
      <c r="FK51" s="53">
        <f t="shared" si="49"/>
        <v>0</v>
      </c>
    </row>
    <row r="52" spans="2:167" hidden="1" x14ac:dyDescent="0.25">
      <c r="B52" s="122">
        <v>45876</v>
      </c>
      <c r="C52" s="123">
        <v>7338.03</v>
      </c>
      <c r="D52" s="125"/>
      <c r="E52" s="125"/>
      <c r="F52" s="125">
        <v>41.3</v>
      </c>
      <c r="G52" s="27"/>
      <c r="H52" s="51"/>
      <c r="I52" s="52"/>
      <c r="J52" s="52"/>
      <c r="K52" s="53">
        <f t="shared" si="35"/>
        <v>41.3</v>
      </c>
      <c r="M52" s="122">
        <v>45876</v>
      </c>
      <c r="N52" s="123">
        <v>2997.41</v>
      </c>
      <c r="O52" s="125"/>
      <c r="P52" s="126">
        <v>14.36</v>
      </c>
      <c r="Q52" s="27"/>
      <c r="R52" s="51"/>
      <c r="S52" s="52"/>
      <c r="T52" s="52"/>
      <c r="U52" s="53">
        <f t="shared" si="36"/>
        <v>14.36</v>
      </c>
      <c r="W52" s="122">
        <v>45876</v>
      </c>
      <c r="X52" s="123">
        <v>715.54</v>
      </c>
      <c r="Y52" s="123">
        <v>63.03</v>
      </c>
      <c r="Z52" s="125"/>
      <c r="AA52" s="123"/>
      <c r="AB52" s="27"/>
      <c r="AC52" s="51"/>
      <c r="AD52" s="52"/>
      <c r="AE52" s="52"/>
      <c r="AF52" s="53">
        <f t="shared" si="37"/>
        <v>0</v>
      </c>
      <c r="AI52" s="122">
        <v>45876</v>
      </c>
      <c r="AJ52" s="123">
        <v>1544.98</v>
      </c>
      <c r="AK52" s="125"/>
      <c r="AL52" s="126"/>
      <c r="AM52" s="27"/>
      <c r="AN52" s="51"/>
      <c r="AO52" s="52"/>
      <c r="AP52" s="52"/>
      <c r="AQ52" s="53">
        <f t="shared" si="38"/>
        <v>0</v>
      </c>
      <c r="AS52" s="122">
        <v>45876</v>
      </c>
      <c r="AT52" s="123">
        <v>1570.84</v>
      </c>
      <c r="AU52" s="125"/>
      <c r="AV52" s="128"/>
      <c r="AW52" s="27"/>
      <c r="AX52" s="51"/>
      <c r="AY52" s="52"/>
      <c r="AZ52" s="52"/>
      <c r="BA52" s="53">
        <f t="shared" si="39"/>
        <v>0</v>
      </c>
      <c r="BC52" s="122">
        <v>45876</v>
      </c>
      <c r="BD52" s="123">
        <v>3128.49</v>
      </c>
      <c r="BE52" s="125"/>
      <c r="BF52" s="128">
        <v>6.56</v>
      </c>
      <c r="BG52" s="27"/>
      <c r="BH52" s="51"/>
      <c r="BI52" s="52"/>
      <c r="BJ52" s="52"/>
      <c r="BK52" s="53">
        <f t="shared" si="40"/>
        <v>6.56</v>
      </c>
      <c r="BM52" s="122">
        <v>45876</v>
      </c>
      <c r="BN52" s="123">
        <v>11608.16</v>
      </c>
      <c r="BO52" s="123">
        <v>1892.78</v>
      </c>
      <c r="BP52" s="123">
        <v>7790.96</v>
      </c>
      <c r="BQ52" s="125"/>
      <c r="BR52" s="125"/>
      <c r="BS52" s="27"/>
      <c r="BT52" s="51"/>
      <c r="BU52" s="52"/>
      <c r="BV52" s="52"/>
      <c r="BW52" s="53">
        <f t="shared" si="41"/>
        <v>0</v>
      </c>
      <c r="BY52" s="122">
        <v>45876</v>
      </c>
      <c r="BZ52" s="256">
        <v>720.36</v>
      </c>
      <c r="CA52" s="257">
        <v>475.92</v>
      </c>
      <c r="CB52" s="125"/>
      <c r="CC52" s="126"/>
      <c r="CD52" s="27"/>
      <c r="CE52" s="51"/>
      <c r="CF52" s="52"/>
      <c r="CG52" s="52"/>
      <c r="CH52" s="53">
        <f t="shared" si="42"/>
        <v>0</v>
      </c>
      <c r="CJ52" s="122">
        <v>45876</v>
      </c>
      <c r="CK52" s="123">
        <v>7123.12</v>
      </c>
      <c r="CL52" s="123">
        <v>481.29</v>
      </c>
      <c r="CM52" s="125"/>
      <c r="CN52" s="126">
        <v>13.47</v>
      </c>
      <c r="CO52" s="27"/>
      <c r="CP52" s="51"/>
      <c r="CQ52" s="52"/>
      <c r="CR52" s="52"/>
      <c r="CS52" s="53">
        <f t="shared" si="43"/>
        <v>13.47</v>
      </c>
      <c r="CU52" s="122">
        <v>45876</v>
      </c>
      <c r="CV52" s="123">
        <v>9595.2900000000009</v>
      </c>
      <c r="CW52" s="127">
        <v>683.06</v>
      </c>
      <c r="CX52" s="125"/>
      <c r="CY52" s="126">
        <v>198.76</v>
      </c>
      <c r="CZ52" s="27"/>
      <c r="DA52" s="51"/>
      <c r="DB52" s="173"/>
      <c r="DC52" s="52"/>
      <c r="DD52" s="52"/>
      <c r="DE52" s="53">
        <f t="shared" si="44"/>
        <v>198.76</v>
      </c>
      <c r="DH52" s="122">
        <v>45876</v>
      </c>
      <c r="DI52" s="123">
        <v>1214.1600000000001</v>
      </c>
      <c r="DJ52" s="127">
        <v>525.21</v>
      </c>
      <c r="DK52" s="127"/>
      <c r="DL52" s="127"/>
      <c r="DM52" s="126">
        <v>4</v>
      </c>
      <c r="DN52" s="27"/>
      <c r="DO52" s="51"/>
      <c r="DP52" s="52"/>
      <c r="DQ52" s="52"/>
      <c r="DR52" s="53">
        <f t="shared" si="45"/>
        <v>4</v>
      </c>
      <c r="DT52" s="122">
        <v>45876</v>
      </c>
      <c r="DU52" s="123">
        <v>2344.35</v>
      </c>
      <c r="DV52" s="127">
        <v>893.06</v>
      </c>
      <c r="DW52" s="127"/>
      <c r="DX52" s="126">
        <v>40.590000000000003</v>
      </c>
      <c r="DY52" s="27"/>
      <c r="DZ52" s="51"/>
      <c r="EA52" s="52"/>
      <c r="EB52" s="52"/>
      <c r="EC52" s="53">
        <f t="shared" si="46"/>
        <v>40.590000000000003</v>
      </c>
      <c r="EE52" s="122">
        <v>45876</v>
      </c>
      <c r="EF52" s="123">
        <v>1098.03</v>
      </c>
      <c r="EG52" s="127">
        <v>917.8</v>
      </c>
      <c r="EH52" s="127"/>
      <c r="EI52" s="126">
        <v>0</v>
      </c>
      <c r="EJ52" s="27"/>
      <c r="EK52" s="51"/>
      <c r="EL52" s="173"/>
      <c r="EM52" s="52"/>
      <c r="EN52" s="52"/>
      <c r="EO52" s="53">
        <f t="shared" si="47"/>
        <v>0</v>
      </c>
      <c r="EQ52" s="122">
        <v>45876</v>
      </c>
      <c r="ER52" s="123">
        <v>2831.4</v>
      </c>
      <c r="ES52" s="259">
        <v>335.93</v>
      </c>
      <c r="ET52" s="127"/>
      <c r="EU52" s="258">
        <v>127.96</v>
      </c>
      <c r="EV52" s="27"/>
      <c r="EW52" s="51"/>
      <c r="EX52" s="52"/>
      <c r="EY52" s="52"/>
      <c r="EZ52" s="53">
        <f t="shared" si="48"/>
        <v>127.96</v>
      </c>
      <c r="FB52" s="122">
        <v>45876</v>
      </c>
      <c r="FC52" s="123">
        <v>541.1</v>
      </c>
      <c r="FD52" s="123">
        <v>170.18</v>
      </c>
      <c r="FE52" s="125"/>
      <c r="FF52" s="126"/>
      <c r="FG52" s="27"/>
      <c r="FH52" s="51"/>
      <c r="FI52" s="52"/>
      <c r="FJ52" s="52"/>
      <c r="FK52" s="53">
        <f t="shared" si="49"/>
        <v>0</v>
      </c>
    </row>
    <row r="53" spans="2:167" hidden="1" x14ac:dyDescent="0.25">
      <c r="B53" s="122">
        <v>45877</v>
      </c>
      <c r="C53" s="123">
        <v>12680.24</v>
      </c>
      <c r="D53" s="125"/>
      <c r="E53" s="125"/>
      <c r="F53" s="125">
        <v>76.709999999999994</v>
      </c>
      <c r="G53" s="27"/>
      <c r="H53" s="51"/>
      <c r="I53" s="52"/>
      <c r="J53" s="52"/>
      <c r="K53" s="53">
        <f t="shared" si="35"/>
        <v>76.709999999999994</v>
      </c>
      <c r="M53" s="122">
        <v>45877</v>
      </c>
      <c r="N53" s="123">
        <v>3121.15</v>
      </c>
      <c r="O53" s="125"/>
      <c r="P53" s="126">
        <v>9.8699999999999992</v>
      </c>
      <c r="Q53" s="27"/>
      <c r="R53" s="51"/>
      <c r="S53" s="52"/>
      <c r="T53" s="52"/>
      <c r="U53" s="53">
        <f t="shared" si="36"/>
        <v>9.8699999999999992</v>
      </c>
      <c r="W53" s="122">
        <v>45877</v>
      </c>
      <c r="X53" s="123">
        <v>1245.0899999999999</v>
      </c>
      <c r="Y53" s="123">
        <v>197.2</v>
      </c>
      <c r="Z53" s="125"/>
      <c r="AA53" s="123"/>
      <c r="AB53" s="27"/>
      <c r="AC53" s="51"/>
      <c r="AD53" s="52"/>
      <c r="AE53" s="52"/>
      <c r="AF53" s="53">
        <f t="shared" si="37"/>
        <v>0</v>
      </c>
      <c r="AI53" s="122">
        <v>45877</v>
      </c>
      <c r="AJ53" s="123">
        <v>1011.91</v>
      </c>
      <c r="AK53" s="125"/>
      <c r="AL53" s="126"/>
      <c r="AM53" s="27"/>
      <c r="AN53" s="51"/>
      <c r="AO53" s="52"/>
      <c r="AP53" s="52"/>
      <c r="AQ53" s="53">
        <f t="shared" si="38"/>
        <v>0</v>
      </c>
      <c r="AS53" s="122">
        <v>45877</v>
      </c>
      <c r="AT53" s="123">
        <v>2869.01</v>
      </c>
      <c r="AU53" s="125"/>
      <c r="AV53" s="128"/>
      <c r="AW53" s="27"/>
      <c r="AX53" s="51"/>
      <c r="AY53" s="52"/>
      <c r="AZ53" s="52"/>
      <c r="BA53" s="53">
        <f t="shared" si="39"/>
        <v>0</v>
      </c>
      <c r="BC53" s="122">
        <v>45877</v>
      </c>
      <c r="BD53" s="123">
        <v>3429.46</v>
      </c>
      <c r="BE53" s="125"/>
      <c r="BF53" s="128">
        <v>0</v>
      </c>
      <c r="BG53" s="27"/>
      <c r="BH53" s="51"/>
      <c r="BI53" s="52"/>
      <c r="BJ53" s="52"/>
      <c r="BK53" s="53">
        <f t="shared" si="40"/>
        <v>0</v>
      </c>
      <c r="BM53" s="122">
        <v>45877</v>
      </c>
      <c r="BN53" s="123">
        <v>14717.13</v>
      </c>
      <c r="BO53" s="123">
        <v>2915.75</v>
      </c>
      <c r="BP53" s="123">
        <v>8809.68</v>
      </c>
      <c r="BQ53" s="125"/>
      <c r="BR53" s="125"/>
      <c r="BS53" s="27"/>
      <c r="BT53" s="51"/>
      <c r="BU53" s="52"/>
      <c r="BV53" s="52"/>
      <c r="BW53" s="53">
        <f t="shared" si="41"/>
        <v>0</v>
      </c>
      <c r="BY53" s="122">
        <v>45877</v>
      </c>
      <c r="BZ53" s="256">
        <v>2492.6999999999998</v>
      </c>
      <c r="CA53" s="257">
        <v>1054.06</v>
      </c>
      <c r="CB53" s="125"/>
      <c r="CC53" s="126"/>
      <c r="CD53" s="27"/>
      <c r="CE53" s="51"/>
      <c r="CF53" s="52"/>
      <c r="CG53" s="52"/>
      <c r="CH53" s="53">
        <f t="shared" si="42"/>
        <v>0</v>
      </c>
      <c r="CJ53" s="122">
        <v>45877</v>
      </c>
      <c r="CK53" s="123">
        <v>5317.76</v>
      </c>
      <c r="CL53" s="123">
        <v>811.61</v>
      </c>
      <c r="CM53" s="125"/>
      <c r="CN53" s="126">
        <v>9.6999999999999993</v>
      </c>
      <c r="CO53" s="27"/>
      <c r="CP53" s="51"/>
      <c r="CQ53" s="52"/>
      <c r="CR53" s="52"/>
      <c r="CS53" s="53">
        <f t="shared" si="43"/>
        <v>9.6999999999999993</v>
      </c>
      <c r="CU53" s="122">
        <v>45877</v>
      </c>
      <c r="CV53" s="123">
        <v>9889.36</v>
      </c>
      <c r="CW53" s="127">
        <v>723.34</v>
      </c>
      <c r="CX53" s="125"/>
      <c r="CY53" s="126">
        <v>212.56</v>
      </c>
      <c r="CZ53" s="27"/>
      <c r="DA53" s="51"/>
      <c r="DB53" s="173"/>
      <c r="DC53" s="52"/>
      <c r="DD53" s="52"/>
      <c r="DE53" s="53">
        <f t="shared" si="44"/>
        <v>212.56</v>
      </c>
      <c r="DH53" s="122">
        <v>45877</v>
      </c>
      <c r="DI53" s="123">
        <v>1214.54</v>
      </c>
      <c r="DJ53" s="127">
        <v>350.58</v>
      </c>
      <c r="DK53" s="127"/>
      <c r="DL53" s="127"/>
      <c r="DM53" s="126">
        <v>0</v>
      </c>
      <c r="DN53" s="27"/>
      <c r="DO53" s="51"/>
      <c r="DP53" s="52"/>
      <c r="DQ53" s="52"/>
      <c r="DR53" s="53">
        <f t="shared" si="45"/>
        <v>0</v>
      </c>
      <c r="DT53" s="122">
        <v>45877</v>
      </c>
      <c r="DU53" s="123">
        <v>771.68</v>
      </c>
      <c r="DV53" s="127">
        <v>901.85</v>
      </c>
      <c r="DW53" s="127"/>
      <c r="DX53" s="126">
        <v>23.13</v>
      </c>
      <c r="DY53" s="27"/>
      <c r="DZ53" s="51"/>
      <c r="EA53" s="52"/>
      <c r="EB53" s="52"/>
      <c r="EC53" s="53">
        <f t="shared" si="46"/>
        <v>23.13</v>
      </c>
      <c r="EE53" s="122">
        <v>45877</v>
      </c>
      <c r="EF53" s="123">
        <v>953.37</v>
      </c>
      <c r="EG53" s="127">
        <v>970.58</v>
      </c>
      <c r="EH53" s="127"/>
      <c r="EI53" s="126">
        <v>0</v>
      </c>
      <c r="EJ53" s="27"/>
      <c r="EK53" s="51"/>
      <c r="EL53" s="173"/>
      <c r="EM53" s="52"/>
      <c r="EN53" s="52"/>
      <c r="EO53" s="53">
        <f t="shared" si="47"/>
        <v>0</v>
      </c>
      <c r="EQ53" s="122">
        <v>45877</v>
      </c>
      <c r="ER53" s="123">
        <v>2533.1799999999998</v>
      </c>
      <c r="ES53" s="259">
        <v>145.84</v>
      </c>
      <c r="ET53" s="127"/>
      <c r="EU53" s="258">
        <v>24.24</v>
      </c>
      <c r="EV53" s="27"/>
      <c r="EW53" s="51"/>
      <c r="EX53" s="52"/>
      <c r="EY53" s="52"/>
      <c r="EZ53" s="53">
        <f t="shared" si="48"/>
        <v>24.24</v>
      </c>
      <c r="FB53" s="122">
        <v>45877</v>
      </c>
      <c r="FC53" s="123">
        <v>1155.97</v>
      </c>
      <c r="FD53" s="123">
        <v>97.5</v>
      </c>
      <c r="FE53" s="125"/>
      <c r="FF53" s="126"/>
      <c r="FG53" s="27"/>
      <c r="FH53" s="51"/>
      <c r="FI53" s="52"/>
      <c r="FJ53" s="52"/>
      <c r="FK53" s="53">
        <f t="shared" si="49"/>
        <v>0</v>
      </c>
    </row>
    <row r="54" spans="2:167" hidden="1" x14ac:dyDescent="0.25">
      <c r="B54" s="122">
        <v>45878</v>
      </c>
      <c r="C54" s="123">
        <v>14356.46</v>
      </c>
      <c r="D54" s="125"/>
      <c r="E54" s="125"/>
      <c r="F54" s="125">
        <v>41.3</v>
      </c>
      <c r="G54" s="27"/>
      <c r="H54" s="51"/>
      <c r="I54" s="52"/>
      <c r="J54" s="52"/>
      <c r="K54" s="53">
        <f t="shared" si="35"/>
        <v>41.3</v>
      </c>
      <c r="M54" s="122">
        <v>45878</v>
      </c>
      <c r="N54" s="126">
        <v>3955.23</v>
      </c>
      <c r="O54" s="125"/>
      <c r="P54" s="126">
        <v>10.74</v>
      </c>
      <c r="Q54" s="27"/>
      <c r="R54" s="51"/>
      <c r="S54" s="52"/>
      <c r="T54" s="52"/>
      <c r="U54" s="53">
        <f t="shared" si="36"/>
        <v>10.74</v>
      </c>
      <c r="W54" s="122">
        <v>45878</v>
      </c>
      <c r="X54" s="123">
        <v>1437.03</v>
      </c>
      <c r="Y54" s="123">
        <v>339.15</v>
      </c>
      <c r="Z54" s="125"/>
      <c r="AA54" s="123"/>
      <c r="AB54" s="27"/>
      <c r="AC54" s="51"/>
      <c r="AD54" s="52"/>
      <c r="AE54" s="52"/>
      <c r="AF54" s="53">
        <f t="shared" si="37"/>
        <v>0</v>
      </c>
      <c r="AI54" s="122">
        <v>45878</v>
      </c>
      <c r="AJ54" s="123">
        <v>1111.3699999999999</v>
      </c>
      <c r="AK54" s="125"/>
      <c r="AL54" s="126"/>
      <c r="AM54" s="27"/>
      <c r="AN54" s="51"/>
      <c r="AO54" s="52"/>
      <c r="AP54" s="52"/>
      <c r="AQ54" s="53">
        <f t="shared" si="38"/>
        <v>0</v>
      </c>
      <c r="AS54" s="122">
        <v>45878</v>
      </c>
      <c r="AT54" s="123">
        <v>3639.35</v>
      </c>
      <c r="AU54" s="125"/>
      <c r="AV54" s="128"/>
      <c r="AW54" s="27"/>
      <c r="AX54" s="51"/>
      <c r="AY54" s="52"/>
      <c r="AZ54" s="52"/>
      <c r="BA54" s="53">
        <f t="shared" si="39"/>
        <v>0</v>
      </c>
      <c r="BC54" s="122">
        <v>45878</v>
      </c>
      <c r="BD54" s="123">
        <v>3356.98</v>
      </c>
      <c r="BE54" s="125"/>
      <c r="BF54" s="128">
        <v>6.47</v>
      </c>
      <c r="BG54" s="27"/>
      <c r="BH54" s="51"/>
      <c r="BI54" s="52"/>
      <c r="BJ54" s="52"/>
      <c r="BK54" s="53">
        <f t="shared" si="40"/>
        <v>6.47</v>
      </c>
      <c r="BM54" s="122">
        <v>45878</v>
      </c>
      <c r="BN54" s="123">
        <v>13117.82</v>
      </c>
      <c r="BO54" s="123">
        <v>3828.94</v>
      </c>
      <c r="BP54" s="123">
        <v>7377.09</v>
      </c>
      <c r="BQ54" s="125"/>
      <c r="BR54" s="125"/>
      <c r="BS54" s="27"/>
      <c r="BT54" s="51"/>
      <c r="BU54" s="52"/>
      <c r="BV54" s="52"/>
      <c r="BW54" s="53">
        <f t="shared" si="41"/>
        <v>0</v>
      </c>
      <c r="BY54" s="122">
        <v>45878</v>
      </c>
      <c r="BZ54" s="256">
        <v>1051.95</v>
      </c>
      <c r="CA54" s="257">
        <v>304.13</v>
      </c>
      <c r="CB54" s="125"/>
      <c r="CC54" s="126"/>
      <c r="CD54" s="27"/>
      <c r="CE54" s="51"/>
      <c r="CF54" s="52"/>
      <c r="CG54" s="52"/>
      <c r="CH54" s="53">
        <f t="shared" si="42"/>
        <v>0</v>
      </c>
      <c r="CJ54" s="122">
        <v>45878</v>
      </c>
      <c r="CK54" s="123">
        <v>5808.21</v>
      </c>
      <c r="CL54" s="123">
        <v>919.39</v>
      </c>
      <c r="CM54" s="125"/>
      <c r="CN54" s="126">
        <v>17.059999999999999</v>
      </c>
      <c r="CO54" s="27"/>
      <c r="CP54" s="51"/>
      <c r="CQ54" s="52"/>
      <c r="CR54" s="52"/>
      <c r="CS54" s="53">
        <f t="shared" si="43"/>
        <v>17.059999999999999</v>
      </c>
      <c r="CU54" s="122">
        <v>45878</v>
      </c>
      <c r="CV54" s="123">
        <v>4095.19</v>
      </c>
      <c r="CW54" s="127">
        <v>680.32</v>
      </c>
      <c r="CX54" s="125"/>
      <c r="CY54" s="128">
        <v>90.03</v>
      </c>
      <c r="CZ54" s="27"/>
      <c r="DA54" s="51"/>
      <c r="DB54" s="173"/>
      <c r="DC54" s="52"/>
      <c r="DD54" s="52"/>
      <c r="DE54" s="53">
        <f t="shared" si="44"/>
        <v>90.03</v>
      </c>
      <c r="DH54" s="122">
        <v>45878</v>
      </c>
      <c r="DI54" s="123">
        <v>1367.99</v>
      </c>
      <c r="DJ54" s="127">
        <v>210.22</v>
      </c>
      <c r="DK54" s="127"/>
      <c r="DL54" s="127"/>
      <c r="DM54" s="126">
        <v>8.86</v>
      </c>
      <c r="DN54" s="27"/>
      <c r="DO54" s="51"/>
      <c r="DP54" s="52"/>
      <c r="DQ54" s="52"/>
      <c r="DR54" s="53">
        <f t="shared" si="45"/>
        <v>8.86</v>
      </c>
      <c r="DT54" s="122">
        <v>45878</v>
      </c>
      <c r="DU54" s="123">
        <v>886.85</v>
      </c>
      <c r="DV54" s="127">
        <v>740.32</v>
      </c>
      <c r="DW54" s="127"/>
      <c r="DX54" s="126">
        <v>14.7</v>
      </c>
      <c r="DY54" s="27"/>
      <c r="DZ54" s="51"/>
      <c r="EA54" s="52"/>
      <c r="EB54" s="52"/>
      <c r="EC54" s="53">
        <f t="shared" si="46"/>
        <v>14.7</v>
      </c>
      <c r="EE54" s="122">
        <v>45878</v>
      </c>
      <c r="EF54" s="123">
        <v>607.77</v>
      </c>
      <c r="EG54" s="127">
        <v>790.47</v>
      </c>
      <c r="EH54" s="127"/>
      <c r="EI54" s="126">
        <v>0</v>
      </c>
      <c r="EJ54" s="27"/>
      <c r="EK54" s="51"/>
      <c r="EL54" s="173"/>
      <c r="EM54" s="52"/>
      <c r="EN54" s="52"/>
      <c r="EO54" s="53">
        <f t="shared" si="47"/>
        <v>0</v>
      </c>
      <c r="EQ54" s="122">
        <v>45878</v>
      </c>
      <c r="ER54" s="123">
        <v>3385.32</v>
      </c>
      <c r="ES54" s="259">
        <v>243.69</v>
      </c>
      <c r="ET54" s="127"/>
      <c r="EU54" s="258">
        <v>40.61</v>
      </c>
      <c r="EV54" s="27"/>
      <c r="EW54" s="51"/>
      <c r="EX54" s="52"/>
      <c r="EY54" s="52"/>
      <c r="EZ54" s="53">
        <f t="shared" si="48"/>
        <v>40.61</v>
      </c>
      <c r="FB54" s="122">
        <v>45878</v>
      </c>
      <c r="FC54" s="123">
        <v>620.5</v>
      </c>
      <c r="FD54" s="123">
        <v>223</v>
      </c>
      <c r="FE54" s="125"/>
      <c r="FF54" s="126"/>
      <c r="FG54" s="27"/>
      <c r="FH54" s="51"/>
      <c r="FI54" s="52"/>
      <c r="FJ54" s="52"/>
      <c r="FK54" s="53">
        <f t="shared" si="49"/>
        <v>0</v>
      </c>
    </row>
    <row r="55" spans="2:167" hidden="1" x14ac:dyDescent="0.25">
      <c r="B55" s="122">
        <v>45879</v>
      </c>
      <c r="C55" s="123">
        <v>9246.27</v>
      </c>
      <c r="D55" s="125"/>
      <c r="E55" s="125"/>
      <c r="F55" s="125">
        <v>7.05</v>
      </c>
      <c r="G55" s="27"/>
      <c r="H55" s="51"/>
      <c r="I55" s="52"/>
      <c r="J55" s="52"/>
      <c r="K55" s="53">
        <f t="shared" si="35"/>
        <v>7.05</v>
      </c>
      <c r="M55" s="122">
        <v>45879</v>
      </c>
      <c r="N55" s="123">
        <v>2910.87</v>
      </c>
      <c r="O55" s="125"/>
      <c r="P55" s="126">
        <v>0</v>
      </c>
      <c r="Q55" s="27"/>
      <c r="R55" s="51"/>
      <c r="S55" s="52"/>
      <c r="T55" s="52"/>
      <c r="U55" s="53">
        <f t="shared" si="36"/>
        <v>0</v>
      </c>
      <c r="W55" s="122">
        <v>45879</v>
      </c>
      <c r="X55" s="123">
        <v>877.24</v>
      </c>
      <c r="Y55" s="123">
        <v>10</v>
      </c>
      <c r="Z55" s="125"/>
      <c r="AA55" s="123"/>
      <c r="AB55" s="27"/>
      <c r="AC55" s="51"/>
      <c r="AD55" s="52"/>
      <c r="AE55" s="52"/>
      <c r="AF55" s="53">
        <f t="shared" si="37"/>
        <v>0</v>
      </c>
      <c r="AI55" s="122">
        <v>45879</v>
      </c>
      <c r="AJ55" s="123">
        <v>1457.69</v>
      </c>
      <c r="AK55" s="125"/>
      <c r="AL55" s="126"/>
      <c r="AM55" s="27"/>
      <c r="AN55" s="51"/>
      <c r="AO55" s="52"/>
      <c r="AP55" s="52"/>
      <c r="AQ55" s="53">
        <f t="shared" si="38"/>
        <v>0</v>
      </c>
      <c r="AS55" s="122">
        <v>45879</v>
      </c>
      <c r="AT55" s="123">
        <v>4181.6400000000003</v>
      </c>
      <c r="AU55" s="125"/>
      <c r="AV55" s="128"/>
      <c r="AW55" s="27"/>
      <c r="AX55" s="51"/>
      <c r="AY55" s="52"/>
      <c r="AZ55" s="52"/>
      <c r="BA55" s="53">
        <f t="shared" si="39"/>
        <v>0</v>
      </c>
      <c r="BC55" s="122">
        <v>45879</v>
      </c>
      <c r="BD55" s="123">
        <v>2583.15</v>
      </c>
      <c r="BE55" s="125"/>
      <c r="BF55" s="128">
        <v>2.84</v>
      </c>
      <c r="BG55" s="27"/>
      <c r="BH55" s="51"/>
      <c r="BI55" s="52"/>
      <c r="BJ55" s="52"/>
      <c r="BK55" s="53">
        <f t="shared" si="40"/>
        <v>2.84</v>
      </c>
      <c r="BM55" s="122">
        <v>45879</v>
      </c>
      <c r="BN55" s="123">
        <v>8736.27</v>
      </c>
      <c r="BO55" s="123">
        <v>2315.96</v>
      </c>
      <c r="BP55" s="123">
        <v>4667.12</v>
      </c>
      <c r="BQ55" s="125"/>
      <c r="BR55" s="125"/>
      <c r="BS55" s="27"/>
      <c r="BT55" s="51"/>
      <c r="BU55" s="52"/>
      <c r="BV55" s="52"/>
      <c r="BW55" s="53">
        <f t="shared" si="41"/>
        <v>0</v>
      </c>
      <c r="BY55" s="122">
        <v>45879</v>
      </c>
      <c r="BZ55" s="256">
        <v>1382.16</v>
      </c>
      <c r="CA55" s="257">
        <v>754.64</v>
      </c>
      <c r="CB55" s="125"/>
      <c r="CC55" s="126"/>
      <c r="CD55" s="27"/>
      <c r="CE55" s="51"/>
      <c r="CF55" s="52"/>
      <c r="CG55" s="52"/>
      <c r="CH55" s="53">
        <f t="shared" si="42"/>
        <v>0</v>
      </c>
      <c r="CJ55" s="122">
        <v>45879</v>
      </c>
      <c r="CK55" s="123">
        <v>3058.85</v>
      </c>
      <c r="CL55" s="123">
        <v>644.08000000000004</v>
      </c>
      <c r="CM55" s="125"/>
      <c r="CN55" s="126">
        <v>0</v>
      </c>
      <c r="CO55" s="27"/>
      <c r="CP55" s="51"/>
      <c r="CQ55" s="52"/>
      <c r="CR55" s="52"/>
      <c r="CS55" s="53">
        <f t="shared" si="43"/>
        <v>0</v>
      </c>
      <c r="CU55" s="122">
        <v>45879</v>
      </c>
      <c r="CV55" s="123">
        <v>2602.54</v>
      </c>
      <c r="CW55" s="127">
        <v>521.84</v>
      </c>
      <c r="CX55" s="125"/>
      <c r="CY55" s="128">
        <v>79.510000000000005</v>
      </c>
      <c r="CZ55" s="27"/>
      <c r="DA55" s="51"/>
      <c r="DB55" s="173"/>
      <c r="DC55" s="52"/>
      <c r="DD55" s="52"/>
      <c r="DE55" s="53">
        <f t="shared" si="44"/>
        <v>79.510000000000005</v>
      </c>
      <c r="DH55" s="122">
        <v>45879</v>
      </c>
      <c r="DI55" s="123">
        <v>962.28</v>
      </c>
      <c r="DJ55" s="127">
        <v>431.62</v>
      </c>
      <c r="DK55" s="127"/>
      <c r="DL55" s="127"/>
      <c r="DM55" s="126">
        <v>4</v>
      </c>
      <c r="DN55" s="27"/>
      <c r="DO55" s="51"/>
      <c r="DP55" s="52"/>
      <c r="DQ55" s="52"/>
      <c r="DR55" s="53">
        <f t="shared" si="45"/>
        <v>4</v>
      </c>
      <c r="DT55" s="122">
        <v>45879</v>
      </c>
      <c r="DU55" s="123">
        <v>886.71</v>
      </c>
      <c r="DV55" s="127">
        <v>789</v>
      </c>
      <c r="DW55" s="127"/>
      <c r="DX55" s="126">
        <v>10.199999999999999</v>
      </c>
      <c r="DY55" s="27"/>
      <c r="DZ55" s="51"/>
      <c r="EA55" s="52"/>
      <c r="EB55" s="52"/>
      <c r="EC55" s="53">
        <f t="shared" si="46"/>
        <v>10.199999999999999</v>
      </c>
      <c r="EE55" s="122">
        <v>45879</v>
      </c>
      <c r="EF55" s="123">
        <v>954.7</v>
      </c>
      <c r="EG55" s="127">
        <v>644.35</v>
      </c>
      <c r="EH55" s="127"/>
      <c r="EI55" s="126">
        <v>0</v>
      </c>
      <c r="EJ55" s="27"/>
      <c r="EK55" s="51"/>
      <c r="EL55" s="173"/>
      <c r="EM55" s="52"/>
      <c r="EN55" s="52"/>
      <c r="EO55" s="53">
        <f t="shared" si="47"/>
        <v>0</v>
      </c>
      <c r="EQ55" s="122">
        <v>45879</v>
      </c>
      <c r="ER55" s="123">
        <v>5304.97</v>
      </c>
      <c r="ES55" s="259">
        <v>285.7</v>
      </c>
      <c r="ET55" s="127"/>
      <c r="EU55" s="258">
        <v>116.31</v>
      </c>
      <c r="EV55" s="27"/>
      <c r="EW55" s="51"/>
      <c r="EX55" s="52"/>
      <c r="EY55" s="52"/>
      <c r="EZ55" s="53">
        <f t="shared" si="48"/>
        <v>116.31</v>
      </c>
      <c r="FB55" s="122">
        <v>45879</v>
      </c>
      <c r="FC55" s="123">
        <v>551.54999999999995</v>
      </c>
      <c r="FD55" s="123">
        <v>248.04</v>
      </c>
      <c r="FE55" s="125"/>
      <c r="FF55" s="126"/>
      <c r="FG55" s="27"/>
      <c r="FH55" s="51"/>
      <c r="FI55" s="52"/>
      <c r="FJ55" s="52"/>
      <c r="FK55" s="53">
        <f t="shared" si="49"/>
        <v>0</v>
      </c>
    </row>
    <row r="56" spans="2:167" hidden="1" x14ac:dyDescent="0.25">
      <c r="B56" s="122">
        <v>45880</v>
      </c>
      <c r="C56" s="123">
        <v>8754.7999999999993</v>
      </c>
      <c r="D56" s="126"/>
      <c r="E56" s="125"/>
      <c r="F56" s="126">
        <v>38.36</v>
      </c>
      <c r="G56" s="27"/>
      <c r="H56" s="51"/>
      <c r="I56" s="52"/>
      <c r="J56" s="52"/>
      <c r="K56" s="53">
        <f t="shared" si="35"/>
        <v>38.36</v>
      </c>
      <c r="M56" s="122">
        <v>45880</v>
      </c>
      <c r="N56" s="123">
        <v>3562</v>
      </c>
      <c r="O56" s="125"/>
      <c r="P56" s="126">
        <v>32.619999999999997</v>
      </c>
      <c r="Q56" s="27"/>
      <c r="R56" s="51"/>
      <c r="S56" s="52"/>
      <c r="T56" s="52"/>
      <c r="U56" s="53">
        <f t="shared" si="36"/>
        <v>32.619999999999997</v>
      </c>
      <c r="W56" s="122">
        <v>45880</v>
      </c>
      <c r="X56" s="123">
        <v>674.61</v>
      </c>
      <c r="Y56" s="123">
        <v>455.5</v>
      </c>
      <c r="Z56" s="125"/>
      <c r="AA56" s="123"/>
      <c r="AB56" s="27"/>
      <c r="AC56" s="51"/>
      <c r="AD56" s="52"/>
      <c r="AE56" s="52"/>
      <c r="AF56" s="53">
        <f t="shared" si="37"/>
        <v>0</v>
      </c>
      <c r="AI56" s="122">
        <v>45880</v>
      </c>
      <c r="AJ56" s="123">
        <v>1437.93</v>
      </c>
      <c r="AK56" s="125"/>
      <c r="AL56" s="126"/>
      <c r="AM56" s="27"/>
      <c r="AN56" s="51"/>
      <c r="AO56" s="52"/>
      <c r="AP56" s="52"/>
      <c r="AQ56" s="53">
        <f t="shared" si="38"/>
        <v>0</v>
      </c>
      <c r="AS56" s="122">
        <v>45880</v>
      </c>
      <c r="AT56" s="123">
        <v>2900.28</v>
      </c>
      <c r="AU56" s="125"/>
      <c r="AV56" s="128"/>
      <c r="AW56" s="27"/>
      <c r="AX56" s="51"/>
      <c r="AY56" s="52"/>
      <c r="AZ56" s="52"/>
      <c r="BA56" s="53">
        <f t="shared" si="39"/>
        <v>0</v>
      </c>
      <c r="BC56" s="122">
        <v>45880</v>
      </c>
      <c r="BD56" s="123">
        <v>2934.95</v>
      </c>
      <c r="BE56" s="125"/>
      <c r="BF56" s="128">
        <v>14.2</v>
      </c>
      <c r="BG56" s="27"/>
      <c r="BH56" s="51"/>
      <c r="BI56" s="52"/>
      <c r="BJ56" s="52"/>
      <c r="BK56" s="53">
        <f t="shared" si="40"/>
        <v>14.2</v>
      </c>
      <c r="BM56" s="122">
        <v>45880</v>
      </c>
      <c r="BN56" s="123">
        <v>12849.9</v>
      </c>
      <c r="BO56" s="123">
        <v>2878.17</v>
      </c>
      <c r="BP56" s="123">
        <v>7347.52</v>
      </c>
      <c r="BQ56" s="125"/>
      <c r="BR56" s="125"/>
      <c r="BS56" s="27"/>
      <c r="BT56" s="51"/>
      <c r="BU56" s="52"/>
      <c r="BV56" s="52"/>
      <c r="BW56" s="53">
        <f t="shared" si="41"/>
        <v>0</v>
      </c>
      <c r="BY56" s="122">
        <v>45880</v>
      </c>
      <c r="BZ56" s="256">
        <v>1841.24</v>
      </c>
      <c r="CA56" s="257">
        <v>534.9</v>
      </c>
      <c r="CB56" s="125"/>
      <c r="CC56" s="126"/>
      <c r="CD56" s="27"/>
      <c r="CE56" s="51"/>
      <c r="CF56" s="52"/>
      <c r="CG56" s="52"/>
      <c r="CH56" s="53">
        <f t="shared" si="42"/>
        <v>0</v>
      </c>
      <c r="CJ56" s="122">
        <v>45880</v>
      </c>
      <c r="CK56" s="123">
        <v>4865.57</v>
      </c>
      <c r="CL56" s="123">
        <v>813.27</v>
      </c>
      <c r="CM56" s="125"/>
      <c r="CN56" s="126">
        <v>8.2899999999999991</v>
      </c>
      <c r="CO56" s="27"/>
      <c r="CP56" s="51"/>
      <c r="CQ56" s="52"/>
      <c r="CR56" s="52"/>
      <c r="CS56" s="53">
        <f t="shared" si="43"/>
        <v>8.2899999999999991</v>
      </c>
      <c r="CU56" s="122">
        <v>45880</v>
      </c>
      <c r="CV56" s="123">
        <v>9318.02</v>
      </c>
      <c r="CW56" s="127">
        <v>947.72</v>
      </c>
      <c r="CX56" s="125"/>
      <c r="CY56" s="128">
        <v>168.47</v>
      </c>
      <c r="CZ56" s="27"/>
      <c r="DA56" s="51"/>
      <c r="DB56" s="173"/>
      <c r="DC56" s="52"/>
      <c r="DD56" s="52"/>
      <c r="DE56" s="53">
        <f t="shared" si="44"/>
        <v>168.47</v>
      </c>
      <c r="DH56" s="122">
        <v>45880</v>
      </c>
      <c r="DI56" s="123">
        <v>2748.82</v>
      </c>
      <c r="DJ56" s="127">
        <v>411.72</v>
      </c>
      <c r="DK56" s="127"/>
      <c r="DL56" s="127"/>
      <c r="DM56" s="126">
        <v>8.4</v>
      </c>
      <c r="DN56" s="27"/>
      <c r="DO56" s="51"/>
      <c r="DP56" s="52"/>
      <c r="DQ56" s="52"/>
      <c r="DR56" s="53">
        <f t="shared" si="45"/>
        <v>8.4</v>
      </c>
      <c r="DT56" s="122">
        <v>45880</v>
      </c>
      <c r="DU56" s="123">
        <v>864.34</v>
      </c>
      <c r="DV56" s="127">
        <v>1031.98</v>
      </c>
      <c r="DW56" s="127"/>
      <c r="DX56" s="126">
        <v>52.77</v>
      </c>
      <c r="DY56" s="27"/>
      <c r="DZ56" s="51"/>
      <c r="EA56" s="52"/>
      <c r="EB56" s="52"/>
      <c r="EC56" s="53">
        <f t="shared" si="46"/>
        <v>52.77</v>
      </c>
      <c r="EE56" s="122">
        <v>45880</v>
      </c>
      <c r="EF56" s="123">
        <v>740.41</v>
      </c>
      <c r="EG56" s="127">
        <v>362.14</v>
      </c>
      <c r="EH56" s="127"/>
      <c r="EI56" s="126">
        <v>0</v>
      </c>
      <c r="EJ56" s="27"/>
      <c r="EK56" s="51"/>
      <c r="EL56" s="173"/>
      <c r="EM56" s="52"/>
      <c r="EN56" s="52"/>
      <c r="EO56" s="53">
        <f t="shared" si="47"/>
        <v>0</v>
      </c>
      <c r="EQ56" s="122">
        <v>45880</v>
      </c>
      <c r="ER56" s="123">
        <v>2767.71</v>
      </c>
      <c r="ES56" s="259">
        <v>305.62</v>
      </c>
      <c r="ET56" s="127"/>
      <c r="EU56" s="258">
        <v>206</v>
      </c>
      <c r="EV56" s="27"/>
      <c r="EW56" s="51"/>
      <c r="EX56" s="52"/>
      <c r="EY56" s="52"/>
      <c r="EZ56" s="53">
        <f t="shared" si="48"/>
        <v>206</v>
      </c>
      <c r="FB56" s="122">
        <v>45880</v>
      </c>
      <c r="FC56" s="123">
        <v>573.58000000000004</v>
      </c>
      <c r="FD56" s="123">
        <v>151.47</v>
      </c>
      <c r="FE56" s="125"/>
      <c r="FF56" s="126"/>
      <c r="FG56" s="27"/>
      <c r="FH56" s="51"/>
      <c r="FI56" s="52"/>
      <c r="FJ56" s="52"/>
      <c r="FK56" s="53">
        <f t="shared" si="49"/>
        <v>0</v>
      </c>
    </row>
    <row r="57" spans="2:167" hidden="1" x14ac:dyDescent="0.25">
      <c r="B57" s="122">
        <v>45881</v>
      </c>
      <c r="C57" s="123">
        <v>9127.16</v>
      </c>
      <c r="D57" s="125"/>
      <c r="E57" s="125"/>
      <c r="F57" s="125">
        <v>1.4</v>
      </c>
      <c r="G57" s="27"/>
      <c r="H57" s="51"/>
      <c r="I57" s="52"/>
      <c r="J57" s="52"/>
      <c r="K57" s="53">
        <f>SUM(F57:J57)</f>
        <v>1.4</v>
      </c>
      <c r="M57" s="122">
        <v>45881</v>
      </c>
      <c r="N57" s="123">
        <v>3323.14</v>
      </c>
      <c r="O57" s="125"/>
      <c r="P57" s="126">
        <v>24.21</v>
      </c>
      <c r="Q57" s="27"/>
      <c r="R57" s="51"/>
      <c r="S57" s="52"/>
      <c r="T57" s="52"/>
      <c r="U57" s="53">
        <f t="shared" si="36"/>
        <v>24.21</v>
      </c>
      <c r="W57" s="122">
        <v>45881</v>
      </c>
      <c r="X57" s="123">
        <v>770.54</v>
      </c>
      <c r="Y57" s="123">
        <v>175</v>
      </c>
      <c r="Z57" s="125"/>
      <c r="AA57" s="123"/>
      <c r="AB57" s="27"/>
      <c r="AC57" s="51"/>
      <c r="AD57" s="52"/>
      <c r="AE57" s="52"/>
      <c r="AF57" s="53">
        <f t="shared" si="37"/>
        <v>0</v>
      </c>
      <c r="AI57" s="122">
        <v>45881</v>
      </c>
      <c r="AJ57" s="123">
        <v>727.84</v>
      </c>
      <c r="AK57" s="125"/>
      <c r="AL57" s="126"/>
      <c r="AM57" s="27"/>
      <c r="AN57" s="51"/>
      <c r="AO57" s="52"/>
      <c r="AP57" s="52"/>
      <c r="AQ57" s="53">
        <f t="shared" si="38"/>
        <v>0</v>
      </c>
      <c r="AS57" s="122">
        <v>45881</v>
      </c>
      <c r="AT57" s="123">
        <v>3416.7</v>
      </c>
      <c r="AU57" s="125"/>
      <c r="AV57" s="128"/>
      <c r="AW57" s="27"/>
      <c r="AX57" s="51"/>
      <c r="AY57" s="52"/>
      <c r="AZ57" s="52"/>
      <c r="BA57" s="53">
        <f t="shared" si="39"/>
        <v>0</v>
      </c>
      <c r="BC57" s="122">
        <v>45881</v>
      </c>
      <c r="BD57" s="123">
        <v>3032.76</v>
      </c>
      <c r="BE57" s="125"/>
      <c r="BF57" s="128">
        <v>21.4</v>
      </c>
      <c r="BG57" s="27"/>
      <c r="BH57" s="51"/>
      <c r="BI57" s="52"/>
      <c r="BJ57" s="52"/>
      <c r="BK57" s="53">
        <f t="shared" si="40"/>
        <v>21.4</v>
      </c>
      <c r="BM57" s="122">
        <v>45881</v>
      </c>
      <c r="BN57" s="123">
        <v>11702.35</v>
      </c>
      <c r="BO57" s="123">
        <v>2646.46</v>
      </c>
      <c r="BP57" s="123">
        <v>8569.89</v>
      </c>
      <c r="BQ57" s="125"/>
      <c r="BR57" s="125"/>
      <c r="BS57" s="27"/>
      <c r="BT57" s="51"/>
      <c r="BU57" s="52"/>
      <c r="BV57" s="52"/>
      <c r="BW57" s="53">
        <f t="shared" si="41"/>
        <v>0</v>
      </c>
      <c r="BY57" s="122">
        <v>45881</v>
      </c>
      <c r="BZ57" s="256">
        <v>3464.11</v>
      </c>
      <c r="CA57" s="257">
        <v>395.51</v>
      </c>
      <c r="CB57" s="125"/>
      <c r="CC57" s="126"/>
      <c r="CD57" s="27"/>
      <c r="CE57" s="51"/>
      <c r="CF57" s="52"/>
      <c r="CG57" s="52"/>
      <c r="CH57" s="53">
        <f t="shared" si="42"/>
        <v>0</v>
      </c>
      <c r="CJ57" s="122">
        <v>45881</v>
      </c>
      <c r="CK57" s="123">
        <v>4406.66</v>
      </c>
      <c r="CL57" s="123">
        <v>684.49</v>
      </c>
      <c r="CM57" s="125"/>
      <c r="CN57" s="126">
        <v>8.2100000000000009</v>
      </c>
      <c r="CO57" s="27"/>
      <c r="CP57" s="51"/>
      <c r="CQ57" s="52"/>
      <c r="CR57" s="52"/>
      <c r="CS57" s="53">
        <f t="shared" si="43"/>
        <v>8.2100000000000009</v>
      </c>
      <c r="CU57" s="122">
        <v>45881</v>
      </c>
      <c r="CV57" s="123">
        <v>8390.64</v>
      </c>
      <c r="CW57" s="127">
        <v>969.48</v>
      </c>
      <c r="CX57" s="125"/>
      <c r="CY57" s="128">
        <v>150.53</v>
      </c>
      <c r="CZ57" s="27"/>
      <c r="DA57" s="51"/>
      <c r="DB57" s="173"/>
      <c r="DC57" s="52"/>
      <c r="DD57" s="52"/>
      <c r="DE57" s="53">
        <f t="shared" si="44"/>
        <v>150.53</v>
      </c>
      <c r="DH57" s="122">
        <v>45881</v>
      </c>
      <c r="DI57" s="123">
        <v>864.27</v>
      </c>
      <c r="DJ57" s="127">
        <v>281</v>
      </c>
      <c r="DK57" s="127"/>
      <c r="DL57" s="127"/>
      <c r="DM57" s="126">
        <v>8</v>
      </c>
      <c r="DN57" s="27"/>
      <c r="DO57" s="51"/>
      <c r="DP57" s="52"/>
      <c r="DQ57" s="52"/>
      <c r="DR57" s="53">
        <f t="shared" si="45"/>
        <v>8</v>
      </c>
      <c r="DT57" s="122">
        <v>45881</v>
      </c>
      <c r="DU57" s="123">
        <v>854.8</v>
      </c>
      <c r="DV57" s="127">
        <v>651.53</v>
      </c>
      <c r="DW57" s="127"/>
      <c r="DX57" s="126">
        <v>10.199999999999999</v>
      </c>
      <c r="DY57" s="27"/>
      <c r="DZ57" s="51"/>
      <c r="EA57" s="52"/>
      <c r="EB57" s="52"/>
      <c r="EC57" s="53">
        <f t="shared" si="46"/>
        <v>10.199999999999999</v>
      </c>
      <c r="EE57" s="122">
        <v>45881</v>
      </c>
      <c r="EF57" s="123">
        <v>1080.02</v>
      </c>
      <c r="EG57" s="127">
        <v>727.15</v>
      </c>
      <c r="EH57" s="127"/>
      <c r="EI57" s="126">
        <v>0</v>
      </c>
      <c r="EJ57" s="27"/>
      <c r="EK57" s="51"/>
      <c r="EL57" s="173"/>
      <c r="EM57" s="52"/>
      <c r="EN57" s="52"/>
      <c r="EO57" s="53">
        <f t="shared" si="47"/>
        <v>0</v>
      </c>
      <c r="EQ57" s="122">
        <v>45881</v>
      </c>
      <c r="ER57" s="123">
        <v>7709.58</v>
      </c>
      <c r="ES57" s="259">
        <v>224.21</v>
      </c>
      <c r="ET57" s="127"/>
      <c r="EU57" s="258">
        <v>122.69</v>
      </c>
      <c r="EV57" s="27"/>
      <c r="EW57" s="51"/>
      <c r="EX57" s="52"/>
      <c r="EY57" s="52"/>
      <c r="EZ57" s="53">
        <f t="shared" si="48"/>
        <v>122.69</v>
      </c>
      <c r="FB57" s="122">
        <v>45881</v>
      </c>
      <c r="FC57" s="123">
        <v>574.01</v>
      </c>
      <c r="FD57" s="123">
        <v>396</v>
      </c>
      <c r="FE57" s="125"/>
      <c r="FF57" s="126"/>
      <c r="FG57" s="27"/>
      <c r="FH57" s="51"/>
      <c r="FI57" s="52"/>
      <c r="FJ57" s="52"/>
      <c r="FK57" s="53">
        <f t="shared" si="49"/>
        <v>0</v>
      </c>
    </row>
    <row r="58" spans="2:167" hidden="1" x14ac:dyDescent="0.25">
      <c r="B58" s="122">
        <v>45882</v>
      </c>
      <c r="C58" s="123">
        <v>13951.39</v>
      </c>
      <c r="D58" s="125"/>
      <c r="E58" s="125"/>
      <c r="F58" s="125">
        <v>8.24</v>
      </c>
      <c r="G58" s="27"/>
      <c r="H58" s="51"/>
      <c r="I58" s="52"/>
      <c r="J58" s="52"/>
      <c r="K58" s="53">
        <f t="shared" si="35"/>
        <v>8.24</v>
      </c>
      <c r="M58" s="122">
        <v>45882</v>
      </c>
      <c r="N58" s="123">
        <v>3126.89</v>
      </c>
      <c r="O58" s="125"/>
      <c r="P58" s="126">
        <v>40.840000000000003</v>
      </c>
      <c r="Q58" s="27"/>
      <c r="R58" s="51"/>
      <c r="S58" s="52"/>
      <c r="T58" s="52"/>
      <c r="U58" s="53">
        <f t="shared" si="36"/>
        <v>40.840000000000003</v>
      </c>
      <c r="W58" s="122">
        <v>45882</v>
      </c>
      <c r="X58" s="123">
        <v>2180.59</v>
      </c>
      <c r="Y58" s="123">
        <v>289.05</v>
      </c>
      <c r="Z58" s="125"/>
      <c r="AA58" s="123"/>
      <c r="AB58" s="27"/>
      <c r="AC58" s="51"/>
      <c r="AD58" s="52"/>
      <c r="AE58" s="52"/>
      <c r="AF58" s="53">
        <f t="shared" si="37"/>
        <v>0</v>
      </c>
      <c r="AI58" s="122">
        <v>45882</v>
      </c>
      <c r="AJ58" s="123">
        <v>1506.92</v>
      </c>
      <c r="AK58" s="125"/>
      <c r="AL58" s="126"/>
      <c r="AM58" s="27"/>
      <c r="AN58" s="51"/>
      <c r="AO58" s="52"/>
      <c r="AP58" s="52"/>
      <c r="AQ58" s="53">
        <f t="shared" si="38"/>
        <v>0</v>
      </c>
      <c r="AS58" s="122">
        <v>45882</v>
      </c>
      <c r="AT58" s="123">
        <v>3408.84</v>
      </c>
      <c r="AU58" s="125"/>
      <c r="AV58" s="128"/>
      <c r="AW58" s="27"/>
      <c r="AX58" s="51"/>
      <c r="AY58" s="52"/>
      <c r="AZ58" s="52"/>
      <c r="BA58" s="53">
        <f t="shared" si="39"/>
        <v>0</v>
      </c>
      <c r="BC58" s="122">
        <v>45882</v>
      </c>
      <c r="BD58" s="123">
        <v>3343.37</v>
      </c>
      <c r="BE58" s="125"/>
      <c r="BF58" s="128">
        <v>4.92</v>
      </c>
      <c r="BG58" s="27"/>
      <c r="BH58" s="51"/>
      <c r="BI58" s="52"/>
      <c r="BJ58" s="52"/>
      <c r="BK58" s="53">
        <f t="shared" si="40"/>
        <v>4.92</v>
      </c>
      <c r="BM58" s="122">
        <v>45882</v>
      </c>
      <c r="BN58" s="123">
        <v>14234.95</v>
      </c>
      <c r="BO58" s="123">
        <v>2879.78</v>
      </c>
      <c r="BP58" s="123">
        <v>8030.34</v>
      </c>
      <c r="BQ58" s="125"/>
      <c r="BR58" s="125"/>
      <c r="BS58" s="27"/>
      <c r="BT58" s="51"/>
      <c r="BU58" s="52"/>
      <c r="BV58" s="52"/>
      <c r="BW58" s="53">
        <f t="shared" si="41"/>
        <v>0</v>
      </c>
      <c r="BY58" s="122">
        <v>45882</v>
      </c>
      <c r="BZ58" s="256">
        <v>3450.75</v>
      </c>
      <c r="CA58" s="257">
        <v>595.54999999999995</v>
      </c>
      <c r="CB58" s="125"/>
      <c r="CC58" s="126"/>
      <c r="CD58" s="27"/>
      <c r="CE58" s="51"/>
      <c r="CF58" s="52"/>
      <c r="CG58" s="52"/>
      <c r="CH58" s="53">
        <f t="shared" si="42"/>
        <v>0</v>
      </c>
      <c r="CJ58" s="122">
        <v>45882</v>
      </c>
      <c r="CK58" s="123">
        <v>5283.1</v>
      </c>
      <c r="CL58" s="123">
        <v>584.09</v>
      </c>
      <c r="CM58" s="125"/>
      <c r="CN58" s="126">
        <v>26.49</v>
      </c>
      <c r="CO58" s="27"/>
      <c r="CP58" s="51"/>
      <c r="CQ58" s="52"/>
      <c r="CR58" s="52"/>
      <c r="CS58" s="53">
        <f t="shared" si="43"/>
        <v>26.49</v>
      </c>
      <c r="CU58" s="122">
        <v>45882</v>
      </c>
      <c r="CV58" s="123">
        <v>6988.49</v>
      </c>
      <c r="CW58" s="127">
        <v>1113.97</v>
      </c>
      <c r="CX58" s="125"/>
      <c r="CY58" s="128">
        <v>101.58</v>
      </c>
      <c r="CZ58" s="27"/>
      <c r="DA58" s="51"/>
      <c r="DB58" s="173"/>
      <c r="DC58" s="52"/>
      <c r="DD58" s="52"/>
      <c r="DE58" s="53">
        <f t="shared" si="44"/>
        <v>101.58</v>
      </c>
      <c r="DH58" s="122">
        <v>45882</v>
      </c>
      <c r="DI58" s="123">
        <v>1291.23</v>
      </c>
      <c r="DJ58" s="127">
        <v>341.11</v>
      </c>
      <c r="DK58" s="127"/>
      <c r="DL58" s="127"/>
      <c r="DM58" s="126">
        <v>4</v>
      </c>
      <c r="DN58" s="27"/>
      <c r="DO58" s="51"/>
      <c r="DP58" s="52"/>
      <c r="DQ58" s="52"/>
      <c r="DR58" s="53">
        <f t="shared" si="45"/>
        <v>4</v>
      </c>
      <c r="DT58" s="122">
        <v>45882</v>
      </c>
      <c r="DU58" s="123">
        <v>1049.8800000000001</v>
      </c>
      <c r="DV58" s="127">
        <v>1288.96</v>
      </c>
      <c r="DW58" s="127"/>
      <c r="DX58" s="126">
        <v>28.41</v>
      </c>
      <c r="DY58" s="27"/>
      <c r="DZ58" s="51"/>
      <c r="EA58" s="52"/>
      <c r="EB58" s="52"/>
      <c r="EC58" s="53">
        <f t="shared" si="46"/>
        <v>28.41</v>
      </c>
      <c r="EE58" s="122">
        <v>45882</v>
      </c>
      <c r="EF58" s="123">
        <v>975.7</v>
      </c>
      <c r="EG58" s="127">
        <v>1073.17</v>
      </c>
      <c r="EH58" s="127"/>
      <c r="EI58" s="126">
        <v>0</v>
      </c>
      <c r="EJ58" s="27"/>
      <c r="EK58" s="51"/>
      <c r="EL58" s="173"/>
      <c r="EM58" s="52"/>
      <c r="EN58" s="52"/>
      <c r="EO58" s="53">
        <f t="shared" si="47"/>
        <v>0</v>
      </c>
      <c r="EQ58" s="122">
        <v>45882</v>
      </c>
      <c r="ER58" s="123">
        <v>3044.16</v>
      </c>
      <c r="ES58" s="259">
        <v>240.07</v>
      </c>
      <c r="ET58" s="127"/>
      <c r="EU58" s="258">
        <v>138.22999999999999</v>
      </c>
      <c r="EV58" s="27"/>
      <c r="EW58" s="51"/>
      <c r="EX58" s="52"/>
      <c r="EY58" s="52"/>
      <c r="EZ58" s="53">
        <f t="shared" si="48"/>
        <v>138.22999999999999</v>
      </c>
      <c r="FB58" s="122">
        <v>45882</v>
      </c>
      <c r="FC58" s="123">
        <v>712.42</v>
      </c>
      <c r="FD58" s="123">
        <v>141.97999999999999</v>
      </c>
      <c r="FE58" s="125"/>
      <c r="FF58" s="126"/>
      <c r="FG58" s="27"/>
      <c r="FH58" s="51"/>
      <c r="FI58" s="52"/>
      <c r="FJ58" s="52"/>
      <c r="FK58" s="53">
        <f t="shared" si="49"/>
        <v>0</v>
      </c>
    </row>
    <row r="59" spans="2:167" hidden="1" x14ac:dyDescent="0.25">
      <c r="B59" s="122">
        <v>45883</v>
      </c>
      <c r="C59" s="123">
        <v>6779.17</v>
      </c>
      <c r="D59" s="125"/>
      <c r="E59" s="125"/>
      <c r="F59" s="123">
        <v>0</v>
      </c>
      <c r="G59" s="27"/>
      <c r="H59" s="51"/>
      <c r="I59" s="52"/>
      <c r="J59" s="52"/>
      <c r="K59" s="53">
        <f t="shared" si="35"/>
        <v>0</v>
      </c>
      <c r="M59" s="122">
        <v>45883</v>
      </c>
      <c r="N59" s="123">
        <v>2783.66</v>
      </c>
      <c r="O59" s="125"/>
      <c r="P59" s="126">
        <v>46.68</v>
      </c>
      <c r="Q59" s="27"/>
      <c r="R59" s="51"/>
      <c r="S59" s="52"/>
      <c r="T59" s="52"/>
      <c r="U59" s="53">
        <f t="shared" si="36"/>
        <v>46.68</v>
      </c>
      <c r="W59" s="122">
        <v>45883</v>
      </c>
      <c r="X59" s="123">
        <v>1971.61</v>
      </c>
      <c r="Y59" s="123">
        <v>93.04</v>
      </c>
      <c r="Z59" s="125"/>
      <c r="AA59" s="123"/>
      <c r="AB59" s="27"/>
      <c r="AC59" s="51"/>
      <c r="AD59" s="52"/>
      <c r="AE59" s="52"/>
      <c r="AF59" s="53">
        <f t="shared" si="37"/>
        <v>0</v>
      </c>
      <c r="AI59" s="122">
        <v>45883</v>
      </c>
      <c r="AJ59" s="123">
        <v>1491.14</v>
      </c>
      <c r="AK59" s="125"/>
      <c r="AL59" s="126"/>
      <c r="AM59" s="27"/>
      <c r="AN59" s="51"/>
      <c r="AO59" s="52"/>
      <c r="AP59" s="52"/>
      <c r="AQ59" s="53">
        <f t="shared" si="38"/>
        <v>0</v>
      </c>
      <c r="AS59" s="122">
        <v>45883</v>
      </c>
      <c r="AT59" s="123">
        <v>3528.43</v>
      </c>
      <c r="AU59" s="125"/>
      <c r="AV59" s="128"/>
      <c r="AW59" s="27"/>
      <c r="AX59" s="51"/>
      <c r="AY59" s="52"/>
      <c r="AZ59" s="52"/>
      <c r="BA59" s="53">
        <f t="shared" si="39"/>
        <v>0</v>
      </c>
      <c r="BC59" s="122">
        <v>45883</v>
      </c>
      <c r="BD59" s="123">
        <v>3276.5</v>
      </c>
      <c r="BE59" s="125"/>
      <c r="BF59" s="128">
        <v>14.33</v>
      </c>
      <c r="BG59" s="27"/>
      <c r="BH59" s="51"/>
      <c r="BI59" s="52"/>
      <c r="BJ59" s="52"/>
      <c r="BK59" s="53">
        <f t="shared" si="40"/>
        <v>14.33</v>
      </c>
      <c r="BM59" s="122">
        <v>45883</v>
      </c>
      <c r="BN59" s="123">
        <v>12431.7</v>
      </c>
      <c r="BO59" s="123">
        <v>2239.86</v>
      </c>
      <c r="BP59" s="123">
        <v>10139.19</v>
      </c>
      <c r="BQ59" s="125"/>
      <c r="BR59" s="125"/>
      <c r="BS59" s="27"/>
      <c r="BT59" s="51"/>
      <c r="BU59" s="52"/>
      <c r="BV59" s="52"/>
      <c r="BW59" s="53">
        <f t="shared" si="41"/>
        <v>0</v>
      </c>
      <c r="BY59" s="122">
        <v>45883</v>
      </c>
      <c r="BZ59" s="256">
        <v>2192.5300000000002</v>
      </c>
      <c r="CA59" s="257">
        <v>737.05</v>
      </c>
      <c r="CB59" s="125"/>
      <c r="CC59" s="126"/>
      <c r="CD59" s="27"/>
      <c r="CE59" s="51"/>
      <c r="CF59" s="52"/>
      <c r="CG59" s="52"/>
      <c r="CH59" s="53">
        <f t="shared" si="42"/>
        <v>0</v>
      </c>
      <c r="CJ59" s="122">
        <v>45883</v>
      </c>
      <c r="CK59" s="123">
        <v>4987.99</v>
      </c>
      <c r="CL59" s="123">
        <v>530.98</v>
      </c>
      <c r="CM59" s="125"/>
      <c r="CN59" s="126">
        <v>5.37</v>
      </c>
      <c r="CO59" s="27"/>
      <c r="CP59" s="51"/>
      <c r="CQ59" s="52"/>
      <c r="CR59" s="52"/>
      <c r="CS59" s="53">
        <f t="shared" si="43"/>
        <v>5.37</v>
      </c>
      <c r="CU59" s="122">
        <v>45883</v>
      </c>
      <c r="CV59" s="123">
        <v>15226.18</v>
      </c>
      <c r="CW59" s="127">
        <v>692.43</v>
      </c>
      <c r="CX59" s="125"/>
      <c r="CY59" s="128">
        <v>192.19</v>
      </c>
      <c r="CZ59" s="27"/>
      <c r="DA59" s="51"/>
      <c r="DB59" s="173"/>
      <c r="DC59" s="52"/>
      <c r="DD59" s="52"/>
      <c r="DE59" s="53">
        <f t="shared" si="44"/>
        <v>192.19</v>
      </c>
      <c r="DH59" s="122">
        <v>45883</v>
      </c>
      <c r="DI59" s="123">
        <v>1332.31</v>
      </c>
      <c r="DJ59" s="127">
        <v>337</v>
      </c>
      <c r="DK59" s="127"/>
      <c r="DL59" s="127"/>
      <c r="DM59" s="126">
        <v>65.17</v>
      </c>
      <c r="DN59" s="27"/>
      <c r="DO59" s="51"/>
      <c r="DP59" s="52"/>
      <c r="DQ59" s="52"/>
      <c r="DR59" s="53">
        <f t="shared" si="45"/>
        <v>65.17</v>
      </c>
      <c r="DT59" s="122">
        <v>45883</v>
      </c>
      <c r="DU59" s="123">
        <v>876.24</v>
      </c>
      <c r="DV59" s="127">
        <v>1064.8</v>
      </c>
      <c r="DW59" s="127"/>
      <c r="DX59" s="126">
        <v>7.77</v>
      </c>
      <c r="DY59" s="27"/>
      <c r="DZ59" s="51"/>
      <c r="EA59" s="52"/>
      <c r="EB59" s="52"/>
      <c r="EC59" s="53">
        <f t="shared" si="46"/>
        <v>7.77</v>
      </c>
      <c r="EE59" s="122">
        <v>45883</v>
      </c>
      <c r="EF59" s="123">
        <v>1382.72</v>
      </c>
      <c r="EG59" s="127">
        <v>915.99</v>
      </c>
      <c r="EH59" s="127"/>
      <c r="EI59" s="126">
        <v>0</v>
      </c>
      <c r="EJ59" s="27"/>
      <c r="EK59" s="51"/>
      <c r="EL59" s="173"/>
      <c r="EM59" s="52"/>
      <c r="EN59" s="52"/>
      <c r="EO59" s="53">
        <f t="shared" si="47"/>
        <v>0</v>
      </c>
      <c r="EQ59" s="122">
        <v>45883</v>
      </c>
      <c r="ER59" s="123">
        <v>3170.09</v>
      </c>
      <c r="ES59" s="259">
        <v>171.71</v>
      </c>
      <c r="ET59" s="127"/>
      <c r="EU59" s="258">
        <v>145.32</v>
      </c>
      <c r="EV59" s="27"/>
      <c r="EW59" s="51"/>
      <c r="EX59" s="52"/>
      <c r="EY59" s="52"/>
      <c r="EZ59" s="53">
        <f t="shared" si="48"/>
        <v>145.32</v>
      </c>
      <c r="FB59" s="122">
        <v>45883</v>
      </c>
      <c r="FC59" s="123">
        <v>1130.25</v>
      </c>
      <c r="FD59" s="123">
        <v>152.86000000000001</v>
      </c>
      <c r="FE59" s="125"/>
      <c r="FF59" s="126"/>
      <c r="FG59" s="27"/>
      <c r="FH59" s="51"/>
      <c r="FI59" s="52"/>
      <c r="FJ59" s="52"/>
      <c r="FK59" s="53">
        <f t="shared" si="49"/>
        <v>0</v>
      </c>
    </row>
    <row r="60" spans="2:167" hidden="1" x14ac:dyDescent="0.25">
      <c r="B60" s="122">
        <v>45884</v>
      </c>
      <c r="C60" s="123">
        <v>11920.84</v>
      </c>
      <c r="D60" s="126"/>
      <c r="E60" s="125"/>
      <c r="F60" s="126">
        <v>35.4</v>
      </c>
      <c r="G60" s="27"/>
      <c r="H60" s="51"/>
      <c r="I60" s="52"/>
      <c r="J60" s="52"/>
      <c r="K60" s="53">
        <f t="shared" si="35"/>
        <v>35.4</v>
      </c>
      <c r="M60" s="122">
        <v>45884</v>
      </c>
      <c r="N60" s="123">
        <v>3594.39</v>
      </c>
      <c r="O60" s="125"/>
      <c r="P60" s="126">
        <v>67.900000000000006</v>
      </c>
      <c r="Q60" s="27"/>
      <c r="R60" s="51"/>
      <c r="S60" s="52"/>
      <c r="T60" s="52"/>
      <c r="U60" s="53">
        <f t="shared" si="36"/>
        <v>67.900000000000006</v>
      </c>
      <c r="W60" s="122">
        <v>45884</v>
      </c>
      <c r="X60" s="123">
        <v>2622.3</v>
      </c>
      <c r="Y60" s="123">
        <v>239.5</v>
      </c>
      <c r="Z60" s="125"/>
      <c r="AA60" s="123"/>
      <c r="AB60" s="27"/>
      <c r="AC60" s="51"/>
      <c r="AD60" s="52"/>
      <c r="AE60" s="52"/>
      <c r="AF60" s="53">
        <f t="shared" si="37"/>
        <v>0</v>
      </c>
      <c r="AI60" s="122">
        <v>45884</v>
      </c>
      <c r="AJ60" s="123">
        <v>1218.8699999999999</v>
      </c>
      <c r="AK60" s="125"/>
      <c r="AL60" s="126"/>
      <c r="AM60" s="27"/>
      <c r="AN60" s="51"/>
      <c r="AO60" s="52"/>
      <c r="AP60" s="52"/>
      <c r="AQ60" s="53">
        <f t="shared" si="38"/>
        <v>0</v>
      </c>
      <c r="AS60" s="122">
        <v>45884</v>
      </c>
      <c r="AT60" s="123">
        <v>3516.64</v>
      </c>
      <c r="AU60" s="125"/>
      <c r="AV60" s="128"/>
      <c r="AW60" s="27"/>
      <c r="AX60" s="51"/>
      <c r="AY60" s="52"/>
      <c r="AZ60" s="52"/>
      <c r="BA60" s="53">
        <f t="shared" si="39"/>
        <v>0</v>
      </c>
      <c r="BC60" s="122">
        <v>45884</v>
      </c>
      <c r="BD60" s="123">
        <v>1562.57</v>
      </c>
      <c r="BE60" s="125"/>
      <c r="BF60" s="128">
        <v>5.65</v>
      </c>
      <c r="BG60" s="27"/>
      <c r="BH60" s="51"/>
      <c r="BI60" s="52"/>
      <c r="BJ60" s="52"/>
      <c r="BK60" s="53">
        <f t="shared" si="40"/>
        <v>5.65</v>
      </c>
      <c r="BM60" s="122">
        <v>45884</v>
      </c>
      <c r="BN60" s="123">
        <v>12752.99</v>
      </c>
      <c r="BO60" s="123">
        <v>3468.89</v>
      </c>
      <c r="BP60" s="123">
        <v>9505.4500000000007</v>
      </c>
      <c r="BQ60" s="125"/>
      <c r="BR60" s="125"/>
      <c r="BS60" s="27"/>
      <c r="BT60" s="51"/>
      <c r="BU60" s="52"/>
      <c r="BV60" s="52"/>
      <c r="BW60" s="53">
        <f t="shared" si="41"/>
        <v>0</v>
      </c>
      <c r="BY60" s="122">
        <v>45884</v>
      </c>
      <c r="BZ60" s="256">
        <v>1374.21</v>
      </c>
      <c r="CA60" s="257">
        <v>512.13</v>
      </c>
      <c r="CB60" s="125"/>
      <c r="CC60" s="126"/>
      <c r="CD60" s="27"/>
      <c r="CE60" s="51"/>
      <c r="CF60" s="52"/>
      <c r="CG60" s="52"/>
      <c r="CH60" s="53">
        <f t="shared" si="42"/>
        <v>0</v>
      </c>
      <c r="CJ60" s="122">
        <v>45884</v>
      </c>
      <c r="CK60" s="123">
        <v>3804.52</v>
      </c>
      <c r="CL60" s="123">
        <v>544.16999999999996</v>
      </c>
      <c r="CM60" s="125"/>
      <c r="CN60" s="126">
        <v>0</v>
      </c>
      <c r="CO60" s="27"/>
      <c r="CP60" s="51"/>
      <c r="CQ60" s="52"/>
      <c r="CR60" s="52"/>
      <c r="CS60" s="53">
        <f t="shared" si="43"/>
        <v>0</v>
      </c>
      <c r="CU60" s="122">
        <v>45884</v>
      </c>
      <c r="CV60" s="123">
        <v>10664.43</v>
      </c>
      <c r="CW60" s="127">
        <v>813.69</v>
      </c>
      <c r="CX60" s="125"/>
      <c r="CY60" s="128">
        <v>244.24</v>
      </c>
      <c r="CZ60" s="27"/>
      <c r="DA60" s="51"/>
      <c r="DB60" s="173"/>
      <c r="DC60" s="52"/>
      <c r="DD60" s="52"/>
      <c r="DE60" s="53">
        <f t="shared" si="44"/>
        <v>244.24</v>
      </c>
      <c r="DH60" s="122">
        <v>45884</v>
      </c>
      <c r="DI60" s="123">
        <v>1694.1</v>
      </c>
      <c r="DJ60" s="127">
        <v>625.86</v>
      </c>
      <c r="DK60" s="127"/>
      <c r="DL60" s="127"/>
      <c r="DM60" s="126">
        <v>4</v>
      </c>
      <c r="DN60" s="27"/>
      <c r="DO60" s="51"/>
      <c r="DP60" s="52"/>
      <c r="DQ60" s="52"/>
      <c r="DR60" s="53">
        <f t="shared" si="45"/>
        <v>4</v>
      </c>
      <c r="DT60" s="122">
        <v>45884</v>
      </c>
      <c r="DU60" s="123">
        <v>1151.22</v>
      </c>
      <c r="DV60" s="127">
        <v>1105.92</v>
      </c>
      <c r="DW60" s="127"/>
      <c r="DX60" s="126">
        <v>17.21</v>
      </c>
      <c r="DY60" s="27"/>
      <c r="DZ60" s="51"/>
      <c r="EA60" s="52"/>
      <c r="EB60" s="52"/>
      <c r="EC60" s="53">
        <f t="shared" si="46"/>
        <v>17.21</v>
      </c>
      <c r="EE60" s="122">
        <v>45884</v>
      </c>
      <c r="EF60" s="123">
        <v>1558.56</v>
      </c>
      <c r="EG60" s="127">
        <v>1266.6099999999999</v>
      </c>
      <c r="EH60" s="127"/>
      <c r="EI60" s="126">
        <v>0</v>
      </c>
      <c r="EJ60" s="27"/>
      <c r="EK60" s="51"/>
      <c r="EL60" s="173"/>
      <c r="EM60" s="52"/>
      <c r="EN60" s="52"/>
      <c r="EO60" s="53">
        <f t="shared" si="47"/>
        <v>0</v>
      </c>
      <c r="EQ60" s="122">
        <v>45884</v>
      </c>
      <c r="ER60" s="123">
        <v>5422.57</v>
      </c>
      <c r="ES60" s="259">
        <v>183.52</v>
      </c>
      <c r="ET60" s="127"/>
      <c r="EU60" s="258">
        <v>224.04</v>
      </c>
      <c r="EV60" s="27"/>
      <c r="EW60" s="51"/>
      <c r="EX60" s="52"/>
      <c r="EY60" s="52"/>
      <c r="EZ60" s="53">
        <f t="shared" si="48"/>
        <v>224.04</v>
      </c>
      <c r="FB60" s="122">
        <v>45884</v>
      </c>
      <c r="FC60" s="123">
        <v>445.27</v>
      </c>
      <c r="FD60" s="123">
        <v>152</v>
      </c>
      <c r="FE60" s="125"/>
      <c r="FF60" s="126"/>
      <c r="FG60" s="27"/>
      <c r="FH60" s="51"/>
      <c r="FI60" s="52"/>
      <c r="FJ60" s="52"/>
      <c r="FK60" s="53">
        <f t="shared" si="49"/>
        <v>0</v>
      </c>
    </row>
    <row r="61" spans="2:167" hidden="1" x14ac:dyDescent="0.25">
      <c r="B61" s="122">
        <v>45885</v>
      </c>
      <c r="C61" s="123">
        <v>12740.23</v>
      </c>
      <c r="D61" s="125"/>
      <c r="E61" s="125"/>
      <c r="F61" s="125">
        <v>10.11</v>
      </c>
      <c r="G61" s="27"/>
      <c r="H61" s="51"/>
      <c r="I61" s="52"/>
      <c r="J61" s="52"/>
      <c r="K61" s="53">
        <f t="shared" si="35"/>
        <v>10.11</v>
      </c>
      <c r="M61" s="122">
        <v>45885</v>
      </c>
      <c r="N61" s="123">
        <v>3784.76</v>
      </c>
      <c r="O61" s="125"/>
      <c r="P61" s="126">
        <v>7.75</v>
      </c>
      <c r="Q61" s="27"/>
      <c r="R61" s="51"/>
      <c r="S61" s="52"/>
      <c r="T61" s="52"/>
      <c r="U61" s="53">
        <f t="shared" si="36"/>
        <v>7.75</v>
      </c>
      <c r="W61" s="122">
        <v>45885</v>
      </c>
      <c r="X61" s="123">
        <v>1374.28</v>
      </c>
      <c r="Y61" s="123">
        <v>173.47</v>
      </c>
      <c r="Z61" s="125"/>
      <c r="AA61" s="123"/>
      <c r="AB61" s="27"/>
      <c r="AC61" s="51"/>
      <c r="AD61" s="52"/>
      <c r="AE61" s="52"/>
      <c r="AF61" s="53">
        <f t="shared" si="37"/>
        <v>0</v>
      </c>
      <c r="AI61" s="122">
        <v>45885</v>
      </c>
      <c r="AJ61" s="123">
        <v>2205.19</v>
      </c>
      <c r="AK61" s="125"/>
      <c r="AL61" s="126"/>
      <c r="AM61" s="27"/>
      <c r="AN61" s="51"/>
      <c r="AO61" s="52"/>
      <c r="AP61" s="52"/>
      <c r="AQ61" s="53">
        <f t="shared" si="38"/>
        <v>0</v>
      </c>
      <c r="AS61" s="122">
        <v>45885</v>
      </c>
      <c r="AT61" s="123">
        <v>3224.32</v>
      </c>
      <c r="AU61" s="125"/>
      <c r="AV61" s="128"/>
      <c r="AW61" s="27"/>
      <c r="AX61" s="51"/>
      <c r="AY61" s="52"/>
      <c r="AZ61" s="52"/>
      <c r="BA61" s="53">
        <f t="shared" si="39"/>
        <v>0</v>
      </c>
      <c r="BC61" s="122">
        <v>45885</v>
      </c>
      <c r="BD61" s="123">
        <v>3623.27</v>
      </c>
      <c r="BE61" s="125"/>
      <c r="BF61" s="128">
        <v>0</v>
      </c>
      <c r="BG61" s="27"/>
      <c r="BH61" s="51"/>
      <c r="BI61" s="52"/>
      <c r="BJ61" s="52"/>
      <c r="BK61" s="53">
        <f t="shared" si="40"/>
        <v>0</v>
      </c>
      <c r="BM61" s="122">
        <v>45885</v>
      </c>
      <c r="BN61" s="123">
        <v>13994.71</v>
      </c>
      <c r="BO61" s="123">
        <v>3268.58</v>
      </c>
      <c r="BP61" s="123">
        <v>8396.56</v>
      </c>
      <c r="BQ61" s="125"/>
      <c r="BR61" s="125"/>
      <c r="BS61" s="27"/>
      <c r="BT61" s="51"/>
      <c r="BU61" s="52"/>
      <c r="BV61" s="52"/>
      <c r="BW61" s="53">
        <f t="shared" si="41"/>
        <v>0</v>
      </c>
      <c r="BY61" s="122">
        <v>45885</v>
      </c>
      <c r="BZ61" s="256">
        <v>375.65</v>
      </c>
      <c r="CA61" s="257">
        <v>235.74</v>
      </c>
      <c r="CB61" s="125"/>
      <c r="CC61" s="126"/>
      <c r="CD61" s="27"/>
      <c r="CE61" s="51"/>
      <c r="CF61" s="52"/>
      <c r="CG61" s="52"/>
      <c r="CH61" s="53">
        <f t="shared" si="42"/>
        <v>0</v>
      </c>
      <c r="CJ61" s="122">
        <v>45885</v>
      </c>
      <c r="CK61" s="123">
        <v>3833.4</v>
      </c>
      <c r="CL61" s="123">
        <v>694.79</v>
      </c>
      <c r="CM61" s="125"/>
      <c r="CN61" s="126">
        <v>0</v>
      </c>
      <c r="CO61" s="27"/>
      <c r="CP61" s="51"/>
      <c r="CQ61" s="52"/>
      <c r="CR61" s="52"/>
      <c r="CS61" s="53">
        <f t="shared" si="43"/>
        <v>0</v>
      </c>
      <c r="CU61" s="122">
        <v>45885</v>
      </c>
      <c r="CV61" s="123">
        <v>10231.5</v>
      </c>
      <c r="CW61" s="127">
        <v>707.02</v>
      </c>
      <c r="CX61" s="125"/>
      <c r="CY61" s="128">
        <v>166.19</v>
      </c>
      <c r="CZ61" s="27"/>
      <c r="DA61" s="51"/>
      <c r="DB61" s="173"/>
      <c r="DC61" s="52"/>
      <c r="DD61" s="52"/>
      <c r="DE61" s="53">
        <f t="shared" si="44"/>
        <v>166.19</v>
      </c>
      <c r="DH61" s="122">
        <v>45885</v>
      </c>
      <c r="DI61" s="123">
        <v>792.06</v>
      </c>
      <c r="DJ61" s="259">
        <v>358.5</v>
      </c>
      <c r="DK61" s="259"/>
      <c r="DL61" s="127"/>
      <c r="DM61" s="126">
        <v>0</v>
      </c>
      <c r="DN61" s="27"/>
      <c r="DO61" s="51"/>
      <c r="DP61" s="52"/>
      <c r="DQ61" s="52"/>
      <c r="DR61" s="53">
        <f t="shared" si="45"/>
        <v>0</v>
      </c>
      <c r="DT61" s="122">
        <v>45885</v>
      </c>
      <c r="DU61" s="123">
        <v>1272.46</v>
      </c>
      <c r="DV61" s="259">
        <v>1280.81</v>
      </c>
      <c r="DW61" s="127"/>
      <c r="DX61" s="126">
        <v>6.9</v>
      </c>
      <c r="DY61" s="27"/>
      <c r="DZ61" s="51"/>
      <c r="EA61" s="52"/>
      <c r="EB61" s="52"/>
      <c r="EC61" s="53">
        <f t="shared" si="46"/>
        <v>6.9</v>
      </c>
      <c r="EE61" s="122">
        <v>45885</v>
      </c>
      <c r="EF61" s="123">
        <v>854.47</v>
      </c>
      <c r="EG61" s="127">
        <v>566.32000000000005</v>
      </c>
      <c r="EH61" s="127"/>
      <c r="EI61" s="126">
        <v>0</v>
      </c>
      <c r="EJ61" s="27"/>
      <c r="EK61" s="51"/>
      <c r="EL61" s="173"/>
      <c r="EM61" s="52"/>
      <c r="EN61" s="52"/>
      <c r="EO61" s="53">
        <f t="shared" si="47"/>
        <v>0</v>
      </c>
      <c r="EQ61" s="122">
        <v>45885</v>
      </c>
      <c r="ER61" s="123">
        <v>3574.49</v>
      </c>
      <c r="ES61" s="259">
        <v>421.13</v>
      </c>
      <c r="ET61" s="127"/>
      <c r="EU61" s="258">
        <v>93.98</v>
      </c>
      <c r="EV61" s="27"/>
      <c r="EW61" s="51"/>
      <c r="EX61" s="52"/>
      <c r="EY61" s="52"/>
      <c r="EZ61" s="53">
        <f t="shared" si="48"/>
        <v>93.98</v>
      </c>
      <c r="FB61" s="122">
        <v>45885</v>
      </c>
      <c r="FC61" s="123">
        <v>852.8</v>
      </c>
      <c r="FD61" s="123">
        <v>294.88</v>
      </c>
      <c r="FE61" s="125"/>
      <c r="FF61" s="126"/>
      <c r="FG61" s="27"/>
      <c r="FH61" s="51"/>
      <c r="FI61" s="52"/>
      <c r="FJ61" s="52"/>
      <c r="FK61" s="53">
        <f t="shared" si="49"/>
        <v>0</v>
      </c>
    </row>
    <row r="62" spans="2:167" hidden="1" x14ac:dyDescent="0.25">
      <c r="B62" s="122">
        <v>45886</v>
      </c>
      <c r="C62" s="123">
        <v>9354.5400000000009</v>
      </c>
      <c r="D62" s="125"/>
      <c r="E62" s="125"/>
      <c r="F62" s="125">
        <v>35.4</v>
      </c>
      <c r="G62" s="27"/>
      <c r="H62" s="51"/>
      <c r="I62" s="52"/>
      <c r="J62" s="52"/>
      <c r="K62" s="53">
        <f t="shared" si="35"/>
        <v>35.4</v>
      </c>
      <c r="M62" s="122">
        <v>45886</v>
      </c>
      <c r="N62" s="123">
        <v>3893.98</v>
      </c>
      <c r="O62" s="125"/>
      <c r="P62" s="126">
        <v>18.87</v>
      </c>
      <c r="Q62" s="27"/>
      <c r="R62" s="51"/>
      <c r="S62" s="52"/>
      <c r="T62" s="52"/>
      <c r="U62" s="53">
        <f t="shared" si="36"/>
        <v>18.87</v>
      </c>
      <c r="W62" s="122">
        <v>45886</v>
      </c>
      <c r="X62" s="123">
        <v>1583.27</v>
      </c>
      <c r="Y62" s="123">
        <v>201.83</v>
      </c>
      <c r="Z62" s="125"/>
      <c r="AA62" s="123"/>
      <c r="AB62" s="27"/>
      <c r="AC62" s="51"/>
      <c r="AD62" s="52"/>
      <c r="AE62" s="52"/>
      <c r="AF62" s="53">
        <f t="shared" si="37"/>
        <v>0</v>
      </c>
      <c r="AI62" s="122">
        <v>45886</v>
      </c>
      <c r="AJ62" s="123">
        <v>991.93</v>
      </c>
      <c r="AK62" s="125"/>
      <c r="AL62" s="126"/>
      <c r="AM62" s="27"/>
      <c r="AN62" s="51"/>
      <c r="AO62" s="52"/>
      <c r="AP62" s="52"/>
      <c r="AQ62" s="53">
        <f t="shared" si="38"/>
        <v>0</v>
      </c>
      <c r="AS62" s="122">
        <v>45886</v>
      </c>
      <c r="AT62" s="123">
        <v>3519.21</v>
      </c>
      <c r="AU62" s="125"/>
      <c r="AV62" s="128"/>
      <c r="AW62" s="27"/>
      <c r="AX62" s="51"/>
      <c r="AY62" s="52"/>
      <c r="AZ62" s="52"/>
      <c r="BA62" s="53">
        <f t="shared" si="39"/>
        <v>0</v>
      </c>
      <c r="BC62" s="122">
        <v>45886</v>
      </c>
      <c r="BD62" s="123">
        <v>2617.5300000000002</v>
      </c>
      <c r="BE62" s="125"/>
      <c r="BF62" s="128">
        <v>0</v>
      </c>
      <c r="BG62" s="27"/>
      <c r="BH62" s="51"/>
      <c r="BI62" s="52"/>
      <c r="BJ62" s="52"/>
      <c r="BK62" s="53">
        <f t="shared" si="40"/>
        <v>0</v>
      </c>
      <c r="BM62" s="122">
        <v>45886</v>
      </c>
      <c r="BN62" s="123">
        <v>11463.83</v>
      </c>
      <c r="BO62" s="123">
        <v>3172.58</v>
      </c>
      <c r="BP62" s="123">
        <v>5262.44</v>
      </c>
      <c r="BQ62" s="125"/>
      <c r="BR62" s="125"/>
      <c r="BS62" s="27"/>
      <c r="BT62" s="51"/>
      <c r="BU62" s="52"/>
      <c r="BV62" s="52"/>
      <c r="BW62" s="53">
        <f t="shared" si="41"/>
        <v>0</v>
      </c>
      <c r="BY62" s="122">
        <v>45886</v>
      </c>
      <c r="BZ62" s="256">
        <v>1347.47</v>
      </c>
      <c r="CA62" s="257">
        <v>694.8</v>
      </c>
      <c r="CB62" s="125"/>
      <c r="CC62" s="126"/>
      <c r="CD62" s="27"/>
      <c r="CE62" s="51"/>
      <c r="CF62" s="52"/>
      <c r="CG62" s="52"/>
      <c r="CH62" s="53">
        <f t="shared" si="42"/>
        <v>0</v>
      </c>
      <c r="CJ62" s="122">
        <v>45886</v>
      </c>
      <c r="CK62" s="123">
        <v>5136.37</v>
      </c>
      <c r="CL62" s="123">
        <v>664.13</v>
      </c>
      <c r="CM62" s="125"/>
      <c r="CN62" s="126">
        <v>15.68</v>
      </c>
      <c r="CO62" s="27"/>
      <c r="CP62" s="51"/>
      <c r="CQ62" s="52"/>
      <c r="CR62" s="52"/>
      <c r="CS62" s="53">
        <f t="shared" si="43"/>
        <v>15.68</v>
      </c>
      <c r="CU62" s="122">
        <v>45886</v>
      </c>
      <c r="CV62" s="123">
        <v>8072.14</v>
      </c>
      <c r="CW62" s="127">
        <v>888.38</v>
      </c>
      <c r="CX62" s="125"/>
      <c r="CY62" s="128">
        <v>147.12</v>
      </c>
      <c r="CZ62" s="27"/>
      <c r="DA62" s="51"/>
      <c r="DB62" s="173"/>
      <c r="DC62" s="52"/>
      <c r="DD62" s="52"/>
      <c r="DE62" s="53">
        <f t="shared" si="44"/>
        <v>147.12</v>
      </c>
      <c r="DH62" s="122">
        <v>45886</v>
      </c>
      <c r="DI62" s="123">
        <v>1825.84</v>
      </c>
      <c r="DJ62" s="127">
        <v>471.88</v>
      </c>
      <c r="DK62" s="127"/>
      <c r="DL62" s="127"/>
      <c r="DM62" s="126">
        <v>4</v>
      </c>
      <c r="DN62" s="27"/>
      <c r="DO62" s="51"/>
      <c r="DP62" s="52"/>
      <c r="DQ62" s="52"/>
      <c r="DR62" s="53">
        <f t="shared" si="45"/>
        <v>4</v>
      </c>
      <c r="DT62" s="122">
        <v>45886</v>
      </c>
      <c r="DU62" s="123">
        <v>912.45</v>
      </c>
      <c r="DV62" s="127">
        <v>1132.8599999999999</v>
      </c>
      <c r="DW62" s="127"/>
      <c r="DX62" s="126">
        <v>0</v>
      </c>
      <c r="DY62" s="27"/>
      <c r="DZ62" s="51"/>
      <c r="EA62" s="52"/>
      <c r="EB62" s="52"/>
      <c r="EC62" s="53">
        <f t="shared" si="46"/>
        <v>0</v>
      </c>
      <c r="EE62" s="122">
        <v>45886</v>
      </c>
      <c r="EF62" s="123">
        <v>781.55</v>
      </c>
      <c r="EG62" s="127">
        <v>715.86</v>
      </c>
      <c r="EH62" s="127"/>
      <c r="EI62" s="126">
        <v>0</v>
      </c>
      <c r="EJ62" s="27"/>
      <c r="EK62" s="51"/>
      <c r="EL62" s="173"/>
      <c r="EM62" s="52"/>
      <c r="EN62" s="52"/>
      <c r="EO62" s="53">
        <f t="shared" si="47"/>
        <v>0</v>
      </c>
      <c r="EQ62" s="122">
        <v>45886</v>
      </c>
      <c r="ER62" s="123">
        <v>3094.86</v>
      </c>
      <c r="ES62" s="259">
        <v>249.76</v>
      </c>
      <c r="ET62" s="127"/>
      <c r="EU62" s="258">
        <v>9.34</v>
      </c>
      <c r="EV62" s="27"/>
      <c r="EW62" s="51"/>
      <c r="EX62" s="52"/>
      <c r="EY62" s="52"/>
      <c r="EZ62" s="53">
        <f t="shared" si="48"/>
        <v>9.34</v>
      </c>
      <c r="FB62" s="122">
        <v>45886</v>
      </c>
      <c r="FC62" s="123">
        <v>411</v>
      </c>
      <c r="FD62" s="123">
        <v>148.97999999999999</v>
      </c>
      <c r="FE62" s="125"/>
      <c r="FF62" s="126"/>
      <c r="FG62" s="27"/>
      <c r="FH62" s="51"/>
      <c r="FI62" s="52"/>
      <c r="FJ62" s="52"/>
      <c r="FK62" s="53">
        <f t="shared" si="49"/>
        <v>0</v>
      </c>
    </row>
    <row r="63" spans="2:167" hidden="1" x14ac:dyDescent="0.25">
      <c r="B63" s="122">
        <v>45887</v>
      </c>
      <c r="C63" s="123">
        <v>14320.04</v>
      </c>
      <c r="D63" s="125"/>
      <c r="E63" s="125"/>
      <c r="F63" s="125">
        <v>91.6</v>
      </c>
      <c r="G63" s="27"/>
      <c r="H63" s="51"/>
      <c r="I63" s="52"/>
      <c r="J63" s="52"/>
      <c r="K63" s="53">
        <f t="shared" si="35"/>
        <v>91.6</v>
      </c>
      <c r="M63" s="122">
        <v>45887</v>
      </c>
      <c r="N63" s="123">
        <v>3130.09</v>
      </c>
      <c r="O63" s="125"/>
      <c r="P63" s="126">
        <v>22.16</v>
      </c>
      <c r="Q63" s="27"/>
      <c r="R63" s="51"/>
      <c r="S63" s="52"/>
      <c r="T63" s="52"/>
      <c r="U63" s="53">
        <f t="shared" si="36"/>
        <v>22.16</v>
      </c>
      <c r="W63" s="122">
        <v>45887</v>
      </c>
      <c r="X63" s="123">
        <v>1397.23</v>
      </c>
      <c r="Y63" s="123">
        <v>217.29</v>
      </c>
      <c r="Z63" s="125"/>
      <c r="AA63" s="123"/>
      <c r="AB63" s="27"/>
      <c r="AC63" s="51"/>
      <c r="AD63" s="52"/>
      <c r="AE63" s="52"/>
      <c r="AF63" s="53">
        <f t="shared" si="37"/>
        <v>0</v>
      </c>
      <c r="AI63" s="122">
        <v>45887</v>
      </c>
      <c r="AJ63" s="123">
        <v>2294.46</v>
      </c>
      <c r="AK63" s="125"/>
      <c r="AL63" s="126"/>
      <c r="AM63" s="27"/>
      <c r="AN63" s="51"/>
      <c r="AO63" s="52"/>
      <c r="AP63" s="52"/>
      <c r="AQ63" s="53">
        <f t="shared" si="38"/>
        <v>0</v>
      </c>
      <c r="AS63" s="122">
        <v>45887</v>
      </c>
      <c r="AT63" s="123">
        <v>3288.94</v>
      </c>
      <c r="AU63" s="125"/>
      <c r="AV63" s="128"/>
      <c r="AW63" s="27"/>
      <c r="AX63" s="51"/>
      <c r="AY63" s="52"/>
      <c r="AZ63" s="52"/>
      <c r="BA63" s="53">
        <f t="shared" si="39"/>
        <v>0</v>
      </c>
      <c r="BC63" s="122">
        <v>45887</v>
      </c>
      <c r="BD63" s="123">
        <v>3137.23</v>
      </c>
      <c r="BE63" s="125"/>
      <c r="BF63" s="128">
        <v>8.58</v>
      </c>
      <c r="BG63" s="27"/>
      <c r="BH63" s="51"/>
      <c r="BI63" s="52"/>
      <c r="BJ63" s="52"/>
      <c r="BK63" s="53">
        <f t="shared" si="40"/>
        <v>8.58</v>
      </c>
      <c r="BM63" s="122">
        <v>45887</v>
      </c>
      <c r="BN63" s="123">
        <v>11123.22</v>
      </c>
      <c r="BO63" s="123">
        <v>3120.65</v>
      </c>
      <c r="BP63" s="123">
        <v>8084.78</v>
      </c>
      <c r="BQ63" s="125"/>
      <c r="BR63" s="125"/>
      <c r="BS63" s="27"/>
      <c r="BT63" s="51"/>
      <c r="BU63" s="52"/>
      <c r="BV63" s="52"/>
      <c r="BW63" s="53">
        <f t="shared" si="41"/>
        <v>0</v>
      </c>
      <c r="BY63" s="122">
        <v>45887</v>
      </c>
      <c r="BZ63" s="256">
        <v>2275.38</v>
      </c>
      <c r="CA63" s="257">
        <v>570.80999999999995</v>
      </c>
      <c r="CB63" s="125"/>
      <c r="CC63" s="126"/>
      <c r="CD63" s="27"/>
      <c r="CE63" s="51"/>
      <c r="CF63" s="52"/>
      <c r="CG63" s="52"/>
      <c r="CH63" s="53">
        <f t="shared" si="42"/>
        <v>0</v>
      </c>
      <c r="CJ63" s="122">
        <v>45887</v>
      </c>
      <c r="CK63" s="123">
        <v>4827.95</v>
      </c>
      <c r="CL63" s="123">
        <v>732.57</v>
      </c>
      <c r="CM63" s="125"/>
      <c r="CN63" s="126">
        <v>0</v>
      </c>
      <c r="CO63" s="27"/>
      <c r="CP63" s="51"/>
      <c r="CQ63" s="52"/>
      <c r="CR63" s="52"/>
      <c r="CS63" s="53">
        <f t="shared" si="43"/>
        <v>0</v>
      </c>
      <c r="CU63" s="122">
        <v>45887</v>
      </c>
      <c r="CV63" s="123">
        <v>6020.09</v>
      </c>
      <c r="CW63" s="127">
        <v>791.67</v>
      </c>
      <c r="CX63" s="125"/>
      <c r="CY63" s="128">
        <v>221.59</v>
      </c>
      <c r="CZ63" s="27"/>
      <c r="DA63" s="51"/>
      <c r="DB63" s="173"/>
      <c r="DC63" s="52"/>
      <c r="DD63" s="52"/>
      <c r="DE63" s="53">
        <f t="shared" si="44"/>
        <v>221.59</v>
      </c>
      <c r="DH63" s="122">
        <v>45887</v>
      </c>
      <c r="DI63" s="123">
        <v>2263.89</v>
      </c>
      <c r="DJ63" s="127">
        <v>360.45</v>
      </c>
      <c r="DK63" s="127"/>
      <c r="DL63" s="127"/>
      <c r="DM63" s="126">
        <v>16.600000000000001</v>
      </c>
      <c r="DN63" s="27"/>
      <c r="DO63" s="51"/>
      <c r="DP63" s="52"/>
      <c r="DQ63" s="52"/>
      <c r="DR63" s="53">
        <f t="shared" si="45"/>
        <v>16.600000000000001</v>
      </c>
      <c r="DT63" s="122">
        <v>45887</v>
      </c>
      <c r="DU63" s="123">
        <v>1103.3399999999999</v>
      </c>
      <c r="DV63" s="127">
        <v>1239.94</v>
      </c>
      <c r="DW63" s="127"/>
      <c r="DX63" s="126">
        <v>37.909999999999997</v>
      </c>
      <c r="DY63" s="27"/>
      <c r="DZ63" s="51"/>
      <c r="EA63" s="52"/>
      <c r="EB63" s="52"/>
      <c r="EC63" s="53">
        <f t="shared" si="46"/>
        <v>37.909999999999997</v>
      </c>
      <c r="EE63" s="122">
        <v>45887</v>
      </c>
      <c r="EF63" s="123">
        <v>1250.45</v>
      </c>
      <c r="EG63" s="127">
        <v>762.65</v>
      </c>
      <c r="EH63" s="127"/>
      <c r="EI63" s="126">
        <v>0</v>
      </c>
      <c r="EJ63" s="27"/>
      <c r="EK63" s="51"/>
      <c r="EL63" s="173"/>
      <c r="EM63" s="52"/>
      <c r="EN63" s="52"/>
      <c r="EO63" s="53">
        <f t="shared" si="47"/>
        <v>0</v>
      </c>
      <c r="EQ63" s="122">
        <v>45887</v>
      </c>
      <c r="ER63" s="123">
        <v>2740.12</v>
      </c>
      <c r="ES63" s="259">
        <v>155.9</v>
      </c>
      <c r="ET63" s="127"/>
      <c r="EU63" s="258">
        <v>226.42</v>
      </c>
      <c r="EV63" s="27"/>
      <c r="EW63" s="51"/>
      <c r="EX63" s="52"/>
      <c r="EY63" s="52"/>
      <c r="EZ63" s="53">
        <f t="shared" si="48"/>
        <v>226.42</v>
      </c>
      <c r="FB63" s="122">
        <v>45887</v>
      </c>
      <c r="FC63" s="123">
        <v>483.9</v>
      </c>
      <c r="FD63" s="123">
        <v>227</v>
      </c>
      <c r="FE63" s="125"/>
      <c r="FF63" s="126"/>
      <c r="FG63" s="27"/>
      <c r="FH63" s="51"/>
      <c r="FI63" s="52"/>
      <c r="FJ63" s="52"/>
      <c r="FK63" s="53">
        <f t="shared" si="49"/>
        <v>0</v>
      </c>
    </row>
    <row r="64" spans="2:167" hidden="1" x14ac:dyDescent="0.25">
      <c r="B64" s="122">
        <v>45888</v>
      </c>
      <c r="C64" s="123">
        <v>7704.45</v>
      </c>
      <c r="D64" s="125"/>
      <c r="E64" s="125"/>
      <c r="F64" s="125">
        <v>38.72</v>
      </c>
      <c r="G64" s="27"/>
      <c r="H64" s="51"/>
      <c r="I64" s="52"/>
      <c r="J64" s="52"/>
      <c r="K64" s="53">
        <f t="shared" si="35"/>
        <v>38.72</v>
      </c>
      <c r="M64" s="122">
        <v>45888</v>
      </c>
      <c r="N64" s="123">
        <v>3502.48</v>
      </c>
      <c r="O64" s="125"/>
      <c r="P64" s="126">
        <v>54.92</v>
      </c>
      <c r="Q64" s="27"/>
      <c r="R64" s="51"/>
      <c r="S64" s="52"/>
      <c r="T64" s="52"/>
      <c r="U64" s="53">
        <f t="shared" si="36"/>
        <v>54.92</v>
      </c>
      <c r="W64" s="122">
        <v>45888</v>
      </c>
      <c r="X64" s="123">
        <v>2351.83</v>
      </c>
      <c r="Y64" s="123">
        <v>201.11</v>
      </c>
      <c r="Z64" s="125"/>
      <c r="AA64" s="123"/>
      <c r="AB64" s="27"/>
      <c r="AC64" s="51"/>
      <c r="AD64" s="52"/>
      <c r="AE64" s="52"/>
      <c r="AF64" s="53">
        <f t="shared" si="37"/>
        <v>0</v>
      </c>
      <c r="AI64" s="122">
        <v>45888</v>
      </c>
      <c r="AJ64" s="123">
        <v>1172.7</v>
      </c>
      <c r="AK64" s="125"/>
      <c r="AL64" s="126"/>
      <c r="AM64" s="27"/>
      <c r="AN64" s="51"/>
      <c r="AO64" s="52"/>
      <c r="AP64" s="52"/>
      <c r="AQ64" s="53">
        <f t="shared" si="38"/>
        <v>0</v>
      </c>
      <c r="AS64" s="122">
        <v>45888</v>
      </c>
      <c r="AT64" s="123">
        <v>2443</v>
      </c>
      <c r="AU64" s="125"/>
      <c r="AV64" s="128"/>
      <c r="AW64" s="27"/>
      <c r="AX64" s="51"/>
      <c r="AY64" s="52"/>
      <c r="AZ64" s="52"/>
      <c r="BA64" s="53">
        <f t="shared" si="39"/>
        <v>0</v>
      </c>
      <c r="BC64" s="122">
        <v>45888</v>
      </c>
      <c r="BD64" s="123">
        <v>3147.73</v>
      </c>
      <c r="BE64" s="125"/>
      <c r="BF64" s="128">
        <v>9.7799999999999994</v>
      </c>
      <c r="BG64" s="27"/>
      <c r="BH64" s="51"/>
      <c r="BI64" s="52"/>
      <c r="BJ64" s="52"/>
      <c r="BK64" s="53">
        <f t="shared" si="40"/>
        <v>9.7799999999999994</v>
      </c>
      <c r="BM64" s="122">
        <v>45888</v>
      </c>
      <c r="BN64" s="123">
        <v>13072.99</v>
      </c>
      <c r="BO64" s="123">
        <v>2905.37</v>
      </c>
      <c r="BP64" s="123">
        <v>8310.98</v>
      </c>
      <c r="BQ64" s="125"/>
      <c r="BR64" s="125"/>
      <c r="BS64" s="27"/>
      <c r="BT64" s="51"/>
      <c r="BU64" s="52"/>
      <c r="BV64" s="52"/>
      <c r="BW64" s="53">
        <f t="shared" si="41"/>
        <v>0</v>
      </c>
      <c r="BY64" s="122">
        <v>45888</v>
      </c>
      <c r="BZ64" s="256">
        <v>687.54</v>
      </c>
      <c r="CA64" s="260">
        <v>442.34</v>
      </c>
      <c r="CB64" s="125"/>
      <c r="CC64" s="126"/>
      <c r="CD64" s="27"/>
      <c r="CE64" s="51"/>
      <c r="CF64" s="52"/>
      <c r="CG64" s="52"/>
      <c r="CH64" s="53">
        <f t="shared" si="42"/>
        <v>0</v>
      </c>
      <c r="CJ64" s="122">
        <v>45888</v>
      </c>
      <c r="CK64" s="123">
        <v>6026.2</v>
      </c>
      <c r="CL64" s="123">
        <v>796.21</v>
      </c>
      <c r="CM64" s="125"/>
      <c r="CN64" s="126">
        <v>30.08</v>
      </c>
      <c r="CO64" s="27"/>
      <c r="CP64" s="51"/>
      <c r="CQ64" s="52"/>
      <c r="CR64" s="52"/>
      <c r="CS64" s="53">
        <f t="shared" si="43"/>
        <v>30.08</v>
      </c>
      <c r="CU64" s="122">
        <v>45888</v>
      </c>
      <c r="CV64" s="123">
        <v>6471.43</v>
      </c>
      <c r="CW64" s="127">
        <v>1138.3399999999999</v>
      </c>
      <c r="CX64" s="125"/>
      <c r="CY64" s="128">
        <v>145.76</v>
      </c>
      <c r="CZ64" s="27"/>
      <c r="DA64" s="51"/>
      <c r="DB64" s="173"/>
      <c r="DC64" s="52"/>
      <c r="DD64" s="52"/>
      <c r="DE64" s="53">
        <f t="shared" si="44"/>
        <v>145.76</v>
      </c>
      <c r="DH64" s="122">
        <v>45888</v>
      </c>
      <c r="DI64" s="123">
        <v>1902.21</v>
      </c>
      <c r="DJ64" s="127">
        <v>919.03</v>
      </c>
      <c r="DK64" s="127"/>
      <c r="DL64" s="127"/>
      <c r="DM64" s="126">
        <v>0</v>
      </c>
      <c r="DN64" s="27"/>
      <c r="DO64" s="51"/>
      <c r="DP64" s="52"/>
      <c r="DQ64" s="52"/>
      <c r="DR64" s="53">
        <f t="shared" si="45"/>
        <v>0</v>
      </c>
      <c r="DT64" s="122">
        <v>45888</v>
      </c>
      <c r="DU64" s="123">
        <v>929.78</v>
      </c>
      <c r="DV64" s="127">
        <v>745.05</v>
      </c>
      <c r="DW64" s="127"/>
      <c r="DX64" s="126">
        <v>15.17</v>
      </c>
      <c r="DY64" s="27"/>
      <c r="DZ64" s="51"/>
      <c r="EA64" s="52"/>
      <c r="EB64" s="52"/>
      <c r="EC64" s="53">
        <f t="shared" si="46"/>
        <v>15.17</v>
      </c>
      <c r="EE64" s="122">
        <v>45888</v>
      </c>
      <c r="EF64" s="123">
        <v>712.24</v>
      </c>
      <c r="EG64" s="127">
        <v>343.31</v>
      </c>
      <c r="EH64" s="127"/>
      <c r="EI64" s="126">
        <v>0</v>
      </c>
      <c r="EJ64" s="27"/>
      <c r="EK64" s="51"/>
      <c r="EL64" s="173"/>
      <c r="EM64" s="52"/>
      <c r="EN64" s="52"/>
      <c r="EO64" s="53">
        <f t="shared" si="47"/>
        <v>0</v>
      </c>
      <c r="EQ64" s="122">
        <v>45888</v>
      </c>
      <c r="ER64" s="123">
        <v>2834.98</v>
      </c>
      <c r="ES64" s="259">
        <v>155.4</v>
      </c>
      <c r="ET64" s="127"/>
      <c r="EU64" s="258">
        <v>92.25</v>
      </c>
      <c r="EV64" s="27"/>
      <c r="EW64" s="51"/>
      <c r="EX64" s="52"/>
      <c r="EY64" s="52"/>
      <c r="EZ64" s="53">
        <f t="shared" si="48"/>
        <v>92.25</v>
      </c>
      <c r="FB64" s="122">
        <v>45888</v>
      </c>
      <c r="FC64" s="123">
        <v>543.65</v>
      </c>
      <c r="FD64" s="123">
        <v>290.08</v>
      </c>
      <c r="FE64" s="125"/>
      <c r="FF64" s="126"/>
      <c r="FG64" s="27"/>
      <c r="FH64" s="51"/>
      <c r="FI64" s="52"/>
      <c r="FJ64" s="52"/>
      <c r="FK64" s="53">
        <f t="shared" si="49"/>
        <v>0</v>
      </c>
    </row>
    <row r="65" spans="2:167" hidden="1" x14ac:dyDescent="0.25">
      <c r="B65" s="122">
        <v>45889</v>
      </c>
      <c r="C65" s="123">
        <v>12213.6</v>
      </c>
      <c r="D65" s="126"/>
      <c r="E65" s="125"/>
      <c r="F65" s="126">
        <v>86.44</v>
      </c>
      <c r="G65" s="27"/>
      <c r="H65" s="51"/>
      <c r="I65" s="52"/>
      <c r="J65" s="52"/>
      <c r="K65" s="53">
        <f t="shared" si="35"/>
        <v>86.44</v>
      </c>
      <c r="M65" s="122">
        <v>45889</v>
      </c>
      <c r="N65" s="123">
        <v>2932.04</v>
      </c>
      <c r="O65" s="125"/>
      <c r="P65" s="126">
        <v>8.42</v>
      </c>
      <c r="Q65" s="27"/>
      <c r="R65" s="51"/>
      <c r="S65" s="52"/>
      <c r="T65" s="52"/>
      <c r="U65" s="53">
        <f t="shared" si="36"/>
        <v>8.42</v>
      </c>
      <c r="W65" s="122">
        <v>45889</v>
      </c>
      <c r="X65" s="123">
        <v>1600.09</v>
      </c>
      <c r="Y65" s="123">
        <v>68.95</v>
      </c>
      <c r="Z65" s="125"/>
      <c r="AA65" s="123"/>
      <c r="AB65" s="27"/>
      <c r="AC65" s="51"/>
      <c r="AD65" s="52"/>
      <c r="AE65" s="52"/>
      <c r="AF65" s="53">
        <f t="shared" si="37"/>
        <v>0</v>
      </c>
      <c r="AI65" s="122">
        <v>45889</v>
      </c>
      <c r="AJ65" s="123">
        <v>1546.03</v>
      </c>
      <c r="AK65" s="125"/>
      <c r="AL65" s="126"/>
      <c r="AM65" s="27"/>
      <c r="AN65" s="51"/>
      <c r="AO65" s="52"/>
      <c r="AP65" s="52"/>
      <c r="AQ65" s="53">
        <f t="shared" si="38"/>
        <v>0</v>
      </c>
      <c r="AS65" s="122">
        <v>45889</v>
      </c>
      <c r="AT65" s="123">
        <v>4401.84</v>
      </c>
      <c r="AU65" s="125"/>
      <c r="AV65" s="128"/>
      <c r="AW65" s="27"/>
      <c r="AX65" s="51"/>
      <c r="AY65" s="52"/>
      <c r="AZ65" s="52"/>
      <c r="BA65" s="53">
        <f t="shared" si="39"/>
        <v>0</v>
      </c>
      <c r="BC65" s="122">
        <v>45889</v>
      </c>
      <c r="BD65" s="123">
        <v>3201</v>
      </c>
      <c r="BE65" s="125"/>
      <c r="BF65" s="128">
        <v>27.77</v>
      </c>
      <c r="BG65" s="27"/>
      <c r="BH65" s="51"/>
      <c r="BI65" s="52"/>
      <c r="BJ65" s="52"/>
      <c r="BK65" s="53">
        <f t="shared" si="40"/>
        <v>27.77</v>
      </c>
      <c r="BM65" s="122">
        <v>45889</v>
      </c>
      <c r="BN65" s="123">
        <v>13207.67</v>
      </c>
      <c r="BO65" s="123">
        <v>2752.96</v>
      </c>
      <c r="BP65" s="123">
        <v>8207.7800000000007</v>
      </c>
      <c r="BQ65" s="125"/>
      <c r="BR65" s="125"/>
      <c r="BS65" s="27"/>
      <c r="BT65" s="51"/>
      <c r="BU65" s="52"/>
      <c r="BV65" s="52"/>
      <c r="BW65" s="53">
        <f t="shared" si="41"/>
        <v>0</v>
      </c>
      <c r="BY65" s="122">
        <v>45889</v>
      </c>
      <c r="BZ65" s="256">
        <v>2143.2600000000002</v>
      </c>
      <c r="CA65" s="260">
        <v>400.41</v>
      </c>
      <c r="CB65" s="125"/>
      <c r="CC65" s="126"/>
      <c r="CD65" s="27"/>
      <c r="CE65" s="51"/>
      <c r="CF65" s="52"/>
      <c r="CG65" s="52"/>
      <c r="CH65" s="53">
        <f t="shared" si="42"/>
        <v>0</v>
      </c>
      <c r="CJ65" s="122">
        <v>45889</v>
      </c>
      <c r="CK65" s="123">
        <v>4967.97</v>
      </c>
      <c r="CL65" s="123">
        <v>751.76</v>
      </c>
      <c r="CM65" s="125"/>
      <c r="CN65" s="126">
        <v>42.93</v>
      </c>
      <c r="CO65" s="27"/>
      <c r="CP65" s="51"/>
      <c r="CQ65" s="52"/>
      <c r="CR65" s="52"/>
      <c r="CS65" s="53">
        <f t="shared" si="43"/>
        <v>42.93</v>
      </c>
      <c r="CU65" s="122">
        <v>45889</v>
      </c>
      <c r="CV65" s="123">
        <v>4854.9399999999996</v>
      </c>
      <c r="CW65" s="127">
        <v>624.80999999999995</v>
      </c>
      <c r="CX65" s="125"/>
      <c r="CY65" s="128">
        <v>136.78</v>
      </c>
      <c r="CZ65" s="27"/>
      <c r="DA65" s="51"/>
      <c r="DB65" s="173"/>
      <c r="DC65" s="52"/>
      <c r="DD65" s="52"/>
      <c r="DE65" s="53">
        <f t="shared" si="44"/>
        <v>136.78</v>
      </c>
      <c r="DH65" s="122">
        <v>45889</v>
      </c>
      <c r="DI65" s="123">
        <v>978.41</v>
      </c>
      <c r="DJ65" s="127">
        <v>298.11</v>
      </c>
      <c r="DK65" s="127"/>
      <c r="DL65" s="127"/>
      <c r="DM65" s="126">
        <v>4</v>
      </c>
      <c r="DN65" s="27"/>
      <c r="DO65" s="51"/>
      <c r="DP65" s="52"/>
      <c r="DQ65" s="52"/>
      <c r="DR65" s="53">
        <f t="shared" si="45"/>
        <v>4</v>
      </c>
      <c r="DT65" s="122">
        <v>45889</v>
      </c>
      <c r="DU65" s="123">
        <v>1326.61</v>
      </c>
      <c r="DV65" s="127">
        <v>1174.92</v>
      </c>
      <c r="DW65" s="127"/>
      <c r="DX65" s="126">
        <v>28.52</v>
      </c>
      <c r="DY65" s="27"/>
      <c r="DZ65" s="51"/>
      <c r="EA65" s="52"/>
      <c r="EB65" s="52"/>
      <c r="EC65" s="53">
        <f t="shared" si="46"/>
        <v>28.52</v>
      </c>
      <c r="EE65" s="122">
        <v>45889</v>
      </c>
      <c r="EF65" s="123">
        <v>1197.26</v>
      </c>
      <c r="EG65" s="127">
        <v>655.95</v>
      </c>
      <c r="EH65" s="127"/>
      <c r="EI65" s="126">
        <v>0</v>
      </c>
      <c r="EJ65" s="27"/>
      <c r="EK65" s="51"/>
      <c r="EL65" s="173"/>
      <c r="EM65" s="52"/>
      <c r="EN65" s="52"/>
      <c r="EO65" s="53">
        <f t="shared" si="47"/>
        <v>0</v>
      </c>
      <c r="EQ65" s="122">
        <v>45889</v>
      </c>
      <c r="ER65" s="123">
        <v>3083.5</v>
      </c>
      <c r="ES65" s="259">
        <v>414.31</v>
      </c>
      <c r="ET65" s="127"/>
      <c r="EU65" s="258">
        <v>218.93</v>
      </c>
      <c r="EV65" s="27"/>
      <c r="EW65" s="51"/>
      <c r="EX65" s="52"/>
      <c r="EY65" s="52"/>
      <c r="EZ65" s="53">
        <f t="shared" si="48"/>
        <v>218.93</v>
      </c>
      <c r="FB65" s="122">
        <v>45889</v>
      </c>
      <c r="FC65" s="123">
        <v>863.23</v>
      </c>
      <c r="FD65" s="123">
        <v>125</v>
      </c>
      <c r="FE65" s="125"/>
      <c r="FF65" s="126"/>
      <c r="FG65" s="27"/>
      <c r="FH65" s="51"/>
      <c r="FI65" s="52"/>
      <c r="FJ65" s="52"/>
      <c r="FK65" s="53">
        <f t="shared" si="49"/>
        <v>0</v>
      </c>
    </row>
    <row r="66" spans="2:167" hidden="1" x14ac:dyDescent="0.25">
      <c r="B66" s="122">
        <v>45890</v>
      </c>
      <c r="C66" s="123">
        <v>10453.93</v>
      </c>
      <c r="D66" s="126"/>
      <c r="E66" s="125"/>
      <c r="F66" s="126">
        <v>3.5</v>
      </c>
      <c r="G66" s="27"/>
      <c r="H66" s="51"/>
      <c r="I66" s="52"/>
      <c r="J66" s="52"/>
      <c r="K66" s="53">
        <f t="shared" si="35"/>
        <v>3.5</v>
      </c>
      <c r="M66" s="122">
        <v>45890</v>
      </c>
      <c r="N66" s="123">
        <v>3455.44</v>
      </c>
      <c r="O66" s="125"/>
      <c r="P66" s="126">
        <v>37.369999999999997</v>
      </c>
      <c r="Q66" s="27"/>
      <c r="R66" s="51"/>
      <c r="S66" s="52"/>
      <c r="T66" s="52"/>
      <c r="U66" s="53">
        <f t="shared" si="36"/>
        <v>37.369999999999997</v>
      </c>
      <c r="W66" s="122">
        <v>45890</v>
      </c>
      <c r="X66" s="123">
        <v>1572.02</v>
      </c>
      <c r="Y66" s="123">
        <v>282.01</v>
      </c>
      <c r="Z66" s="125"/>
      <c r="AA66" s="123"/>
      <c r="AB66" s="27"/>
      <c r="AC66" s="51"/>
      <c r="AD66" s="52"/>
      <c r="AE66" s="52"/>
      <c r="AF66" s="53">
        <f t="shared" si="37"/>
        <v>0</v>
      </c>
      <c r="AI66" s="122">
        <v>45890</v>
      </c>
      <c r="AJ66" s="123">
        <v>1036.02</v>
      </c>
      <c r="AK66" s="125"/>
      <c r="AL66" s="126"/>
      <c r="AM66" s="27"/>
      <c r="AN66" s="51"/>
      <c r="AO66" s="52"/>
      <c r="AP66" s="52"/>
      <c r="AQ66" s="53">
        <f t="shared" si="38"/>
        <v>0</v>
      </c>
      <c r="AS66" s="122">
        <v>45890</v>
      </c>
      <c r="AT66" s="123">
        <v>3633.22</v>
      </c>
      <c r="AU66" s="125"/>
      <c r="AV66" s="128"/>
      <c r="AW66" s="27"/>
      <c r="AX66" s="51"/>
      <c r="AY66" s="52"/>
      <c r="AZ66" s="52"/>
      <c r="BA66" s="53">
        <f t="shared" si="39"/>
        <v>0</v>
      </c>
      <c r="BC66" s="122">
        <v>45890</v>
      </c>
      <c r="BD66" s="123">
        <v>2333.87</v>
      </c>
      <c r="BE66" s="125"/>
      <c r="BF66" s="128">
        <v>5.63</v>
      </c>
      <c r="BG66" s="27"/>
      <c r="BH66" s="51"/>
      <c r="BI66" s="52"/>
      <c r="BJ66" s="52"/>
      <c r="BK66" s="53">
        <f t="shared" si="40"/>
        <v>5.63</v>
      </c>
      <c r="BM66" s="122">
        <v>45890</v>
      </c>
      <c r="BN66" s="123">
        <v>11764.92</v>
      </c>
      <c r="BO66" s="123">
        <v>2972.6</v>
      </c>
      <c r="BP66" s="123">
        <v>8395.17</v>
      </c>
      <c r="BQ66" s="125"/>
      <c r="BR66" s="125"/>
      <c r="BS66" s="27"/>
      <c r="BT66" s="51"/>
      <c r="BU66" s="52"/>
      <c r="BV66" s="52"/>
      <c r="BW66" s="53">
        <f t="shared" si="41"/>
        <v>0</v>
      </c>
      <c r="BY66" s="122">
        <v>45890</v>
      </c>
      <c r="BZ66" s="256">
        <v>1393.42</v>
      </c>
      <c r="CA66" s="257">
        <v>564.74</v>
      </c>
      <c r="CB66" s="125"/>
      <c r="CC66" s="126"/>
      <c r="CD66" s="27"/>
      <c r="CE66" s="51"/>
      <c r="CF66" s="52"/>
      <c r="CG66" s="52"/>
      <c r="CH66" s="53">
        <f t="shared" si="42"/>
        <v>0</v>
      </c>
      <c r="CJ66" s="122">
        <v>45890</v>
      </c>
      <c r="CK66" s="123">
        <v>5090.7299999999996</v>
      </c>
      <c r="CL66" s="123">
        <v>813.38</v>
      </c>
      <c r="CM66" s="125"/>
      <c r="CN66" s="126">
        <v>0</v>
      </c>
      <c r="CO66" s="27"/>
      <c r="CP66" s="51"/>
      <c r="CQ66" s="52"/>
      <c r="CR66" s="52"/>
      <c r="CS66" s="53">
        <f t="shared" si="43"/>
        <v>0</v>
      </c>
      <c r="CU66" s="122">
        <v>45890</v>
      </c>
      <c r="CV66" s="123">
        <v>9513.31</v>
      </c>
      <c r="CW66" s="127">
        <v>1125</v>
      </c>
      <c r="CX66" s="125"/>
      <c r="CY66" s="128">
        <v>209.85</v>
      </c>
      <c r="CZ66" s="27"/>
      <c r="DA66" s="51"/>
      <c r="DB66" s="173"/>
      <c r="DC66" s="52"/>
      <c r="DD66" s="52"/>
      <c r="DE66" s="53">
        <f t="shared" si="44"/>
        <v>209.85</v>
      </c>
      <c r="DH66" s="122">
        <v>45890</v>
      </c>
      <c r="DI66" s="123">
        <v>1219.8699999999999</v>
      </c>
      <c r="DJ66" s="127">
        <v>455.72</v>
      </c>
      <c r="DK66" s="127"/>
      <c r="DL66" s="127"/>
      <c r="DM66" s="126">
        <v>4</v>
      </c>
      <c r="DN66" s="27"/>
      <c r="DO66" s="51"/>
      <c r="DP66" s="52"/>
      <c r="DQ66" s="52"/>
      <c r="DR66" s="53">
        <f t="shared" si="45"/>
        <v>4</v>
      </c>
      <c r="DT66" s="122">
        <v>45890</v>
      </c>
      <c r="DU66" s="123">
        <v>787.9</v>
      </c>
      <c r="DV66" s="127">
        <v>1200.5899999999999</v>
      </c>
      <c r="DW66" s="127"/>
      <c r="DX66" s="126">
        <v>21.97</v>
      </c>
      <c r="DY66" s="27"/>
      <c r="DZ66" s="51"/>
      <c r="EA66" s="52"/>
      <c r="EB66" s="52"/>
      <c r="EC66" s="53">
        <f t="shared" si="46"/>
        <v>21.97</v>
      </c>
      <c r="EE66" s="122">
        <v>45890</v>
      </c>
      <c r="EF66" s="123">
        <v>1052.25</v>
      </c>
      <c r="EG66" s="127">
        <v>916.28</v>
      </c>
      <c r="EH66" s="127"/>
      <c r="EI66" s="126">
        <v>0</v>
      </c>
      <c r="EJ66" s="27"/>
      <c r="EK66" s="51"/>
      <c r="EL66" s="173"/>
      <c r="EM66" s="52"/>
      <c r="EN66" s="52"/>
      <c r="EO66" s="53">
        <f t="shared" si="47"/>
        <v>0</v>
      </c>
      <c r="EQ66" s="122">
        <v>45890</v>
      </c>
      <c r="ER66" s="123">
        <v>3130.28</v>
      </c>
      <c r="ES66" s="259">
        <v>195.39</v>
      </c>
      <c r="ET66" s="127"/>
      <c r="EU66" s="258">
        <v>39.520000000000003</v>
      </c>
      <c r="EV66" s="27"/>
      <c r="EW66" s="51"/>
      <c r="EX66" s="52"/>
      <c r="EY66" s="52"/>
      <c r="EZ66" s="53">
        <f t="shared" si="48"/>
        <v>39.520000000000003</v>
      </c>
      <c r="FB66" s="122">
        <v>45890</v>
      </c>
      <c r="FC66" s="123">
        <v>1025.04</v>
      </c>
      <c r="FD66" s="126">
        <v>292.89999999999998</v>
      </c>
      <c r="FE66" s="125"/>
      <c r="FF66" s="126"/>
      <c r="FG66" s="27"/>
      <c r="FH66" s="51"/>
      <c r="FI66" s="52"/>
      <c r="FJ66" s="52"/>
      <c r="FK66" s="53">
        <f t="shared" si="49"/>
        <v>0</v>
      </c>
    </row>
    <row r="67" spans="2:167" hidden="1" x14ac:dyDescent="0.25">
      <c r="B67" s="122">
        <v>45891</v>
      </c>
      <c r="C67" s="123">
        <v>11038.95</v>
      </c>
      <c r="D67" s="125"/>
      <c r="E67" s="125"/>
      <c r="F67" s="123">
        <v>0</v>
      </c>
      <c r="G67" s="27"/>
      <c r="H67" s="51"/>
      <c r="I67" s="52"/>
      <c r="J67" s="52"/>
      <c r="K67" s="53">
        <f t="shared" si="35"/>
        <v>0</v>
      </c>
      <c r="M67" s="122">
        <v>45891</v>
      </c>
      <c r="N67" s="123">
        <v>3877.61</v>
      </c>
      <c r="O67" s="125"/>
      <c r="P67" s="126">
        <v>22.95</v>
      </c>
      <c r="Q67" s="27"/>
      <c r="R67" s="51"/>
      <c r="S67" s="52"/>
      <c r="T67" s="52"/>
      <c r="U67" s="53">
        <f t="shared" si="36"/>
        <v>22.95</v>
      </c>
      <c r="W67" s="122">
        <v>45891</v>
      </c>
      <c r="X67" s="123">
        <v>1404.18</v>
      </c>
      <c r="Y67" s="123">
        <v>229.74</v>
      </c>
      <c r="Z67" s="125"/>
      <c r="AA67" s="123"/>
      <c r="AB67" s="27"/>
      <c r="AC67" s="51"/>
      <c r="AD67" s="52"/>
      <c r="AE67" s="52"/>
      <c r="AF67" s="53">
        <f t="shared" si="37"/>
        <v>0</v>
      </c>
      <c r="AI67" s="122">
        <v>45891</v>
      </c>
      <c r="AJ67" s="123">
        <v>1856.05</v>
      </c>
      <c r="AK67" s="125"/>
      <c r="AL67" s="126"/>
      <c r="AM67" s="27"/>
      <c r="AN67" s="51"/>
      <c r="AO67" s="52"/>
      <c r="AP67" s="52"/>
      <c r="AQ67" s="53">
        <f t="shared" si="38"/>
        <v>0</v>
      </c>
      <c r="AS67" s="122">
        <v>45891</v>
      </c>
      <c r="AT67" s="123">
        <v>3557.79</v>
      </c>
      <c r="AU67" s="125"/>
      <c r="AV67" s="128"/>
      <c r="AW67" s="27"/>
      <c r="AX67" s="51"/>
      <c r="AY67" s="52"/>
      <c r="AZ67" s="52"/>
      <c r="BA67" s="53">
        <f t="shared" si="39"/>
        <v>0</v>
      </c>
      <c r="BC67" s="122">
        <v>45891</v>
      </c>
      <c r="BD67" s="123">
        <v>4330.55</v>
      </c>
      <c r="BE67" s="125"/>
      <c r="BF67" s="128">
        <v>9.1199999999999992</v>
      </c>
      <c r="BG67" s="27"/>
      <c r="BH67" s="51"/>
      <c r="BI67" s="52"/>
      <c r="BJ67" s="52"/>
      <c r="BK67" s="53">
        <f t="shared" si="40"/>
        <v>9.1199999999999992</v>
      </c>
      <c r="BM67" s="122">
        <v>45891</v>
      </c>
      <c r="BN67" s="123">
        <v>16409.060000000001</v>
      </c>
      <c r="BO67" s="123">
        <v>2998.7</v>
      </c>
      <c r="BP67" s="123">
        <v>9847.92</v>
      </c>
      <c r="BQ67" s="125"/>
      <c r="BR67" s="125"/>
      <c r="BS67" s="27"/>
      <c r="BT67" s="51"/>
      <c r="BU67" s="52"/>
      <c r="BV67" s="52"/>
      <c r="BW67" s="53">
        <f t="shared" si="41"/>
        <v>0</v>
      </c>
      <c r="BY67" s="122">
        <v>45891</v>
      </c>
      <c r="BZ67" s="256">
        <v>892.55</v>
      </c>
      <c r="CA67" s="257">
        <v>449.75</v>
      </c>
      <c r="CB67" s="125"/>
      <c r="CC67" s="126"/>
      <c r="CD67" s="27"/>
      <c r="CE67" s="51"/>
      <c r="CF67" s="52"/>
      <c r="CG67" s="52"/>
      <c r="CH67" s="53">
        <f t="shared" si="42"/>
        <v>0</v>
      </c>
      <c r="CJ67" s="122">
        <v>45891</v>
      </c>
      <c r="CK67" s="123">
        <v>3201.56</v>
      </c>
      <c r="CL67" s="123">
        <v>574.29999999999995</v>
      </c>
      <c r="CM67" s="125"/>
      <c r="CN67" s="126">
        <v>0</v>
      </c>
      <c r="CO67" s="27"/>
      <c r="CP67" s="51"/>
      <c r="CQ67" s="52"/>
      <c r="CR67" s="52"/>
      <c r="CS67" s="53">
        <f t="shared" si="43"/>
        <v>0</v>
      </c>
      <c r="CU67" s="122">
        <v>45891</v>
      </c>
      <c r="CV67" s="123">
        <v>3140.48</v>
      </c>
      <c r="CW67" s="127">
        <v>648.11</v>
      </c>
      <c r="CX67" s="125"/>
      <c r="CY67" s="126">
        <v>28</v>
      </c>
      <c r="CZ67" s="27"/>
      <c r="DA67" s="51"/>
      <c r="DB67" s="173"/>
      <c r="DC67" s="52"/>
      <c r="DD67" s="52"/>
      <c r="DE67" s="53">
        <f t="shared" si="44"/>
        <v>28</v>
      </c>
      <c r="DH67" s="122">
        <v>45891</v>
      </c>
      <c r="DI67" s="123">
        <v>1845.41</v>
      </c>
      <c r="DJ67" s="127">
        <v>576.47</v>
      </c>
      <c r="DK67" s="127"/>
      <c r="DL67" s="127"/>
      <c r="DM67" s="126">
        <v>4</v>
      </c>
      <c r="DN67" s="27"/>
      <c r="DO67" s="51"/>
      <c r="DP67" s="52"/>
      <c r="DQ67" s="52"/>
      <c r="DR67" s="53">
        <f t="shared" si="45"/>
        <v>4</v>
      </c>
      <c r="DT67" s="122">
        <v>45891</v>
      </c>
      <c r="DU67" s="123">
        <v>1275.29</v>
      </c>
      <c r="DV67" s="127">
        <v>1015.15</v>
      </c>
      <c r="DW67" s="127"/>
      <c r="DX67" s="126">
        <v>36.17</v>
      </c>
      <c r="DY67" s="27"/>
      <c r="DZ67" s="51"/>
      <c r="EA67" s="52"/>
      <c r="EB67" s="52"/>
      <c r="EC67" s="53">
        <f t="shared" si="46"/>
        <v>36.17</v>
      </c>
      <c r="EE67" s="122">
        <v>45891</v>
      </c>
      <c r="EF67" s="123">
        <v>957.6</v>
      </c>
      <c r="EG67" s="127">
        <v>1197.93</v>
      </c>
      <c r="EH67" s="127"/>
      <c r="EI67" s="126">
        <v>0</v>
      </c>
      <c r="EJ67" s="27"/>
      <c r="EK67" s="51"/>
      <c r="EL67" s="173"/>
      <c r="EM67" s="52"/>
      <c r="EN67" s="52"/>
      <c r="EO67" s="53">
        <f t="shared" si="47"/>
        <v>0</v>
      </c>
      <c r="EQ67" s="122">
        <v>45891</v>
      </c>
      <c r="ER67" s="123">
        <v>2481.63</v>
      </c>
      <c r="ES67" s="259">
        <v>226.67</v>
      </c>
      <c r="ET67" s="127"/>
      <c r="EU67" s="258">
        <v>157.77000000000001</v>
      </c>
      <c r="EV67" s="27"/>
      <c r="EW67" s="51"/>
      <c r="EX67" s="52"/>
      <c r="EY67" s="52"/>
      <c r="EZ67" s="53">
        <f t="shared" si="48"/>
        <v>157.77000000000001</v>
      </c>
      <c r="FB67" s="122">
        <v>45891</v>
      </c>
      <c r="FC67" s="123">
        <v>813.24</v>
      </c>
      <c r="FD67" s="123">
        <v>100</v>
      </c>
      <c r="FE67" s="125"/>
      <c r="FF67" s="126"/>
      <c r="FG67" s="27"/>
      <c r="FH67" s="51"/>
      <c r="FI67" s="52"/>
      <c r="FJ67" s="52"/>
      <c r="FK67" s="53">
        <f t="shared" si="49"/>
        <v>0</v>
      </c>
    </row>
    <row r="68" spans="2:167" hidden="1" x14ac:dyDescent="0.25">
      <c r="B68" s="122">
        <v>45892</v>
      </c>
      <c r="C68" s="123">
        <v>10703.74</v>
      </c>
      <c r="D68" s="125"/>
      <c r="E68" s="125"/>
      <c r="F68" s="125">
        <v>41.42</v>
      </c>
      <c r="G68" s="27"/>
      <c r="H68" s="51"/>
      <c r="I68" s="52"/>
      <c r="J68" s="52"/>
      <c r="K68" s="53">
        <f t="shared" si="35"/>
        <v>41.42</v>
      </c>
      <c r="M68" s="122">
        <v>45892</v>
      </c>
      <c r="N68" s="123">
        <v>3783.51</v>
      </c>
      <c r="O68" s="125"/>
      <c r="P68" s="126">
        <v>35.15</v>
      </c>
      <c r="Q68" s="27"/>
      <c r="R68" s="51"/>
      <c r="S68" s="52"/>
      <c r="T68" s="52"/>
      <c r="U68" s="53">
        <f t="shared" si="36"/>
        <v>35.15</v>
      </c>
      <c r="W68" s="122">
        <v>45892</v>
      </c>
      <c r="X68" s="123">
        <v>641.51</v>
      </c>
      <c r="Y68" s="123">
        <v>90</v>
      </c>
      <c r="Z68" s="125"/>
      <c r="AA68" s="123"/>
      <c r="AB68" s="27"/>
      <c r="AC68" s="51"/>
      <c r="AD68" s="52"/>
      <c r="AE68" s="52"/>
      <c r="AF68" s="53">
        <f t="shared" si="37"/>
        <v>0</v>
      </c>
      <c r="AI68" s="122">
        <v>45892</v>
      </c>
      <c r="AJ68" s="123">
        <v>1982.87</v>
      </c>
      <c r="AK68" s="125"/>
      <c r="AL68" s="126"/>
      <c r="AM68" s="27"/>
      <c r="AN68" s="51"/>
      <c r="AO68" s="52"/>
      <c r="AP68" s="52"/>
      <c r="AQ68" s="53">
        <f t="shared" si="38"/>
        <v>0</v>
      </c>
      <c r="AS68" s="122">
        <v>45892</v>
      </c>
      <c r="AT68" s="123">
        <v>4478.74</v>
      </c>
      <c r="AU68" s="125"/>
      <c r="AV68" s="128"/>
      <c r="AW68" s="27"/>
      <c r="AX68" s="51"/>
      <c r="AY68" s="52"/>
      <c r="AZ68" s="52"/>
      <c r="BA68" s="53">
        <f t="shared" si="39"/>
        <v>0</v>
      </c>
      <c r="BC68" s="122">
        <v>45892</v>
      </c>
      <c r="BD68" s="123">
        <v>1040.96</v>
      </c>
      <c r="BE68" s="125"/>
      <c r="BF68" s="128">
        <v>2.7</v>
      </c>
      <c r="BG68" s="27"/>
      <c r="BH68" s="51"/>
      <c r="BI68" s="52"/>
      <c r="BJ68" s="52"/>
      <c r="BK68" s="53">
        <f t="shared" si="40"/>
        <v>2.7</v>
      </c>
      <c r="BM68" s="122">
        <v>45892</v>
      </c>
      <c r="BN68" s="123">
        <v>13700.59</v>
      </c>
      <c r="BO68" s="123">
        <v>3423.57</v>
      </c>
      <c r="BP68" s="123">
        <v>8526.4</v>
      </c>
      <c r="BQ68" s="125"/>
      <c r="BR68" s="125"/>
      <c r="BS68" s="27"/>
      <c r="BT68" s="51"/>
      <c r="BU68" s="52"/>
      <c r="BV68" s="52"/>
      <c r="BW68" s="53">
        <f t="shared" si="41"/>
        <v>0</v>
      </c>
      <c r="BY68" s="122">
        <v>45892</v>
      </c>
      <c r="BZ68" s="256">
        <v>1385.38</v>
      </c>
      <c r="CA68" s="260">
        <v>534.54</v>
      </c>
      <c r="CB68" s="125"/>
      <c r="CC68" s="126"/>
      <c r="CD68" s="27"/>
      <c r="CE68" s="51"/>
      <c r="CF68" s="52"/>
      <c r="CG68" s="52"/>
      <c r="CH68" s="53">
        <f t="shared" si="42"/>
        <v>0</v>
      </c>
      <c r="CJ68" s="122">
        <v>45892</v>
      </c>
      <c r="CK68" s="123">
        <v>4733.84</v>
      </c>
      <c r="CL68" s="123">
        <v>545.64</v>
      </c>
      <c r="CM68" s="125"/>
      <c r="CN68" s="126">
        <v>8.6199999999999992</v>
      </c>
      <c r="CO68" s="27"/>
      <c r="CP68" s="51"/>
      <c r="CQ68" s="52"/>
      <c r="CR68" s="52"/>
      <c r="CS68" s="53">
        <f t="shared" si="43"/>
        <v>8.6199999999999992</v>
      </c>
      <c r="CU68" s="122">
        <v>45892</v>
      </c>
      <c r="CV68" s="123">
        <v>3696.15</v>
      </c>
      <c r="CW68" s="127">
        <v>462.88</v>
      </c>
      <c r="CX68" s="125"/>
      <c r="CY68" s="126">
        <v>137.36000000000001</v>
      </c>
      <c r="CZ68" s="27"/>
      <c r="DA68" s="51"/>
      <c r="DB68" s="173"/>
      <c r="DC68" s="52"/>
      <c r="DD68" s="52"/>
      <c r="DE68" s="53">
        <f t="shared" si="44"/>
        <v>137.36000000000001</v>
      </c>
      <c r="DH68" s="122">
        <v>45892</v>
      </c>
      <c r="DI68" s="123">
        <v>2050.77</v>
      </c>
      <c r="DJ68" s="127">
        <v>405.76</v>
      </c>
      <c r="DK68" s="127"/>
      <c r="DL68" s="127"/>
      <c r="DM68" s="126">
        <v>12.4</v>
      </c>
      <c r="DN68" s="27"/>
      <c r="DO68" s="51"/>
      <c r="DP68" s="52"/>
      <c r="DQ68" s="52"/>
      <c r="DR68" s="53">
        <f t="shared" si="45"/>
        <v>12.4</v>
      </c>
      <c r="DT68" s="122">
        <v>45892</v>
      </c>
      <c r="DU68" s="123">
        <v>645.04</v>
      </c>
      <c r="DV68" s="127">
        <v>1244.04</v>
      </c>
      <c r="DW68" s="127"/>
      <c r="DX68" s="126">
        <v>3.45</v>
      </c>
      <c r="DY68" s="27"/>
      <c r="DZ68" s="51"/>
      <c r="EA68" s="52"/>
      <c r="EB68" s="52"/>
      <c r="EC68" s="53">
        <f t="shared" si="46"/>
        <v>3.45</v>
      </c>
      <c r="EE68" s="122">
        <v>45892</v>
      </c>
      <c r="EF68" s="123">
        <v>690.47</v>
      </c>
      <c r="EG68" s="127">
        <v>820.88</v>
      </c>
      <c r="EH68" s="127"/>
      <c r="EI68" s="126">
        <v>0</v>
      </c>
      <c r="EJ68" s="27"/>
      <c r="EK68" s="51"/>
      <c r="EL68" s="173"/>
      <c r="EM68" s="52"/>
      <c r="EN68" s="52"/>
      <c r="EO68" s="53">
        <f t="shared" si="47"/>
        <v>0</v>
      </c>
      <c r="EQ68" s="122">
        <v>45892</v>
      </c>
      <c r="ER68" s="123">
        <v>2643.73</v>
      </c>
      <c r="ES68" s="259">
        <v>309.52</v>
      </c>
      <c r="ET68" s="127"/>
      <c r="EU68" s="258">
        <v>56.91</v>
      </c>
      <c r="EV68" s="27"/>
      <c r="EW68" s="51"/>
      <c r="EX68" s="52"/>
      <c r="EY68" s="52"/>
      <c r="EZ68" s="53">
        <f t="shared" si="48"/>
        <v>56.91</v>
      </c>
      <c r="FB68" s="122">
        <v>45892</v>
      </c>
      <c r="FC68" s="123">
        <v>361.59</v>
      </c>
      <c r="FD68" s="123">
        <v>231.03</v>
      </c>
      <c r="FE68" s="125"/>
      <c r="FF68" s="126"/>
      <c r="FG68" s="27"/>
      <c r="FH68" s="51"/>
      <c r="FI68" s="52"/>
      <c r="FJ68" s="52"/>
      <c r="FK68" s="53">
        <f t="shared" si="49"/>
        <v>0</v>
      </c>
    </row>
    <row r="69" spans="2:167" hidden="1" x14ac:dyDescent="0.25">
      <c r="B69" s="122">
        <v>45893</v>
      </c>
      <c r="C69" s="123">
        <v>10605.41</v>
      </c>
      <c r="D69" s="125"/>
      <c r="E69" s="125"/>
      <c r="F69" s="125">
        <v>82.97</v>
      </c>
      <c r="G69" s="27"/>
      <c r="H69" s="51"/>
      <c r="I69" s="52"/>
      <c r="J69" s="52"/>
      <c r="K69" s="53">
        <f t="shared" si="35"/>
        <v>82.97</v>
      </c>
      <c r="M69" s="122">
        <v>45893</v>
      </c>
      <c r="N69" s="123">
        <v>3565.31</v>
      </c>
      <c r="O69" s="125"/>
      <c r="P69" s="126">
        <v>22.55</v>
      </c>
      <c r="Q69" s="27"/>
      <c r="R69" s="51"/>
      <c r="S69" s="52"/>
      <c r="T69" s="52"/>
      <c r="U69" s="53">
        <f t="shared" si="36"/>
        <v>22.55</v>
      </c>
      <c r="W69" s="122">
        <v>45893</v>
      </c>
      <c r="X69" s="123">
        <v>1743.74</v>
      </c>
      <c r="Y69" s="123">
        <v>84.96</v>
      </c>
      <c r="Z69" s="125"/>
      <c r="AA69" s="123"/>
      <c r="AB69" s="27"/>
      <c r="AC69" s="51"/>
      <c r="AD69" s="52"/>
      <c r="AE69" s="52"/>
      <c r="AF69" s="53">
        <f t="shared" si="37"/>
        <v>0</v>
      </c>
      <c r="AI69" s="122">
        <v>45893</v>
      </c>
      <c r="AJ69" s="123">
        <v>1364.63</v>
      </c>
      <c r="AK69" s="125"/>
      <c r="AL69" s="126"/>
      <c r="AM69" s="27"/>
      <c r="AN69" s="51"/>
      <c r="AO69" s="52"/>
      <c r="AP69" s="52"/>
      <c r="AQ69" s="53">
        <f t="shared" si="38"/>
        <v>0</v>
      </c>
      <c r="AS69" s="122">
        <v>45893</v>
      </c>
      <c r="AT69" s="123">
        <v>2017.66</v>
      </c>
      <c r="AU69" s="125"/>
      <c r="AV69" s="128"/>
      <c r="AW69" s="27"/>
      <c r="AX69" s="51"/>
      <c r="AY69" s="52"/>
      <c r="AZ69" s="52"/>
      <c r="BA69" s="53">
        <f t="shared" si="39"/>
        <v>0</v>
      </c>
      <c r="BC69" s="122">
        <v>45893</v>
      </c>
      <c r="BD69" s="123">
        <v>2624.97</v>
      </c>
      <c r="BE69" s="125"/>
      <c r="BF69" s="128">
        <v>5.52</v>
      </c>
      <c r="BG69" s="27"/>
      <c r="BH69" s="51"/>
      <c r="BI69" s="52"/>
      <c r="BJ69" s="52"/>
      <c r="BK69" s="53">
        <f t="shared" si="40"/>
        <v>5.52</v>
      </c>
      <c r="BM69" s="122">
        <v>45893</v>
      </c>
      <c r="BN69" s="123">
        <v>11438.97</v>
      </c>
      <c r="BO69" s="123">
        <v>2136.2600000000002</v>
      </c>
      <c r="BP69" s="123">
        <v>5188.2700000000004</v>
      </c>
      <c r="BQ69" s="125"/>
      <c r="BR69" s="125"/>
      <c r="BS69" s="27"/>
      <c r="BT69" s="51"/>
      <c r="BU69" s="52"/>
      <c r="BV69" s="52"/>
      <c r="BW69" s="53">
        <f t="shared" si="41"/>
        <v>0</v>
      </c>
      <c r="BY69" s="122">
        <v>45893</v>
      </c>
      <c r="BZ69" s="256">
        <v>1746.89</v>
      </c>
      <c r="CA69" s="257">
        <v>784.21</v>
      </c>
      <c r="CB69" s="125"/>
      <c r="CC69" s="126"/>
      <c r="CD69" s="27"/>
      <c r="CE69" s="51"/>
      <c r="CF69" s="52"/>
      <c r="CG69" s="52"/>
      <c r="CH69" s="53">
        <f t="shared" si="42"/>
        <v>0</v>
      </c>
      <c r="CJ69" s="122">
        <v>45893</v>
      </c>
      <c r="CK69" s="123">
        <v>3092.15</v>
      </c>
      <c r="CL69" s="123">
        <v>728.91</v>
      </c>
      <c r="CM69" s="125"/>
      <c r="CN69" s="126">
        <v>0</v>
      </c>
      <c r="CO69" s="27"/>
      <c r="CP69" s="51"/>
      <c r="CQ69" s="52"/>
      <c r="CR69" s="52"/>
      <c r="CS69" s="53">
        <f t="shared" si="43"/>
        <v>0</v>
      </c>
      <c r="CU69" s="122">
        <v>45893</v>
      </c>
      <c r="CV69" s="123">
        <v>4980.03</v>
      </c>
      <c r="CW69" s="127">
        <v>830.15</v>
      </c>
      <c r="CX69" s="125"/>
      <c r="CY69" s="126">
        <v>133.38</v>
      </c>
      <c r="CZ69" s="27"/>
      <c r="DA69" s="51"/>
      <c r="DB69" s="173"/>
      <c r="DC69" s="52"/>
      <c r="DD69" s="52"/>
      <c r="DE69" s="53">
        <f t="shared" si="44"/>
        <v>133.38</v>
      </c>
      <c r="DH69" s="122">
        <v>45893</v>
      </c>
      <c r="DI69" s="123">
        <v>753.19</v>
      </c>
      <c r="DJ69" s="127">
        <v>380.17</v>
      </c>
      <c r="DK69" s="127"/>
      <c r="DL69" s="127"/>
      <c r="DM69" s="126">
        <v>4</v>
      </c>
      <c r="DN69" s="27"/>
      <c r="DO69" s="51"/>
      <c r="DP69" s="52"/>
      <c r="DQ69" s="52"/>
      <c r="DR69" s="53">
        <f t="shared" si="45"/>
        <v>4</v>
      </c>
      <c r="DT69" s="122">
        <v>45893</v>
      </c>
      <c r="DU69" s="123">
        <v>1047.26</v>
      </c>
      <c r="DV69" s="127">
        <v>969.99</v>
      </c>
      <c r="DW69" s="127"/>
      <c r="DX69" s="126">
        <v>13.32</v>
      </c>
      <c r="DY69" s="27"/>
      <c r="DZ69" s="51"/>
      <c r="EA69" s="52"/>
      <c r="EB69" s="52"/>
      <c r="EC69" s="53">
        <f t="shared" si="46"/>
        <v>13.32</v>
      </c>
      <c r="EE69" s="122">
        <v>45893</v>
      </c>
      <c r="EF69" s="123">
        <v>856.97</v>
      </c>
      <c r="EG69" s="127">
        <v>557.55999999999995</v>
      </c>
      <c r="EH69" s="127"/>
      <c r="EI69" s="126">
        <v>0</v>
      </c>
      <c r="EJ69" s="27"/>
      <c r="EK69" s="51"/>
      <c r="EL69" s="173"/>
      <c r="EM69" s="52"/>
      <c r="EN69" s="52"/>
      <c r="EO69" s="53">
        <f t="shared" si="47"/>
        <v>0</v>
      </c>
      <c r="EQ69" s="122">
        <v>45893</v>
      </c>
      <c r="ER69" s="123">
        <v>1843.68</v>
      </c>
      <c r="ES69" s="259">
        <v>138.66</v>
      </c>
      <c r="ET69" s="127"/>
      <c r="EU69" s="258">
        <v>57.41</v>
      </c>
      <c r="EV69" s="27"/>
      <c r="EW69" s="51"/>
      <c r="EX69" s="52"/>
      <c r="EY69" s="52"/>
      <c r="EZ69" s="53">
        <f t="shared" si="48"/>
        <v>57.41</v>
      </c>
      <c r="FB69" s="122">
        <v>45893</v>
      </c>
      <c r="FC69" s="123">
        <v>427.94</v>
      </c>
      <c r="FD69" s="123">
        <v>285.24</v>
      </c>
      <c r="FE69" s="125"/>
      <c r="FF69" s="126"/>
      <c r="FG69" s="27"/>
      <c r="FH69" s="51"/>
      <c r="FI69" s="52"/>
      <c r="FJ69" s="52"/>
      <c r="FK69" s="53">
        <f t="shared" si="49"/>
        <v>0</v>
      </c>
    </row>
    <row r="70" spans="2:167" hidden="1" x14ac:dyDescent="0.25">
      <c r="B70" s="122">
        <v>45894</v>
      </c>
      <c r="C70" s="123">
        <v>8783.58</v>
      </c>
      <c r="D70" s="125"/>
      <c r="E70" s="125"/>
      <c r="F70" s="125">
        <v>41.3</v>
      </c>
      <c r="G70" s="27"/>
      <c r="H70" s="51"/>
      <c r="I70" s="52"/>
      <c r="J70" s="52"/>
      <c r="K70" s="53">
        <f t="shared" si="35"/>
        <v>41.3</v>
      </c>
      <c r="M70" s="122">
        <v>45894</v>
      </c>
      <c r="N70" s="123">
        <v>2852.16</v>
      </c>
      <c r="O70" s="125"/>
      <c r="P70" s="126">
        <v>29.93</v>
      </c>
      <c r="Q70" s="27"/>
      <c r="R70" s="51"/>
      <c r="S70" s="52"/>
      <c r="T70" s="52"/>
      <c r="U70" s="53">
        <f t="shared" si="36"/>
        <v>29.93</v>
      </c>
      <c r="W70" s="122">
        <v>45894</v>
      </c>
      <c r="X70" s="123">
        <v>1465.03</v>
      </c>
      <c r="Y70" s="123">
        <v>274.67</v>
      </c>
      <c r="Z70" s="125"/>
      <c r="AA70" s="123"/>
      <c r="AB70" s="27"/>
      <c r="AC70" s="51"/>
      <c r="AD70" s="52"/>
      <c r="AE70" s="52"/>
      <c r="AF70" s="53">
        <f t="shared" si="37"/>
        <v>0</v>
      </c>
      <c r="AI70" s="122">
        <v>45894</v>
      </c>
      <c r="AJ70" s="123">
        <v>1775.08</v>
      </c>
      <c r="AK70" s="125"/>
      <c r="AL70" s="126"/>
      <c r="AM70" s="27"/>
      <c r="AN70" s="51"/>
      <c r="AO70" s="52"/>
      <c r="AP70" s="52"/>
      <c r="AQ70" s="53">
        <f t="shared" si="38"/>
        <v>0</v>
      </c>
      <c r="AS70" s="122">
        <v>45894</v>
      </c>
      <c r="AT70" s="123">
        <v>2581.5100000000002</v>
      </c>
      <c r="AU70" s="125"/>
      <c r="AV70" s="128"/>
      <c r="AW70" s="27"/>
      <c r="AX70" s="51"/>
      <c r="AY70" s="52"/>
      <c r="AZ70" s="52"/>
      <c r="BA70" s="53">
        <f t="shared" si="39"/>
        <v>0</v>
      </c>
      <c r="BC70" s="122">
        <v>45894</v>
      </c>
      <c r="BD70" s="123">
        <v>4231.1099999999997</v>
      </c>
      <c r="BE70" s="125"/>
      <c r="BF70" s="128">
        <v>16.920000000000002</v>
      </c>
      <c r="BG70" s="27"/>
      <c r="BH70" s="51"/>
      <c r="BI70" s="52"/>
      <c r="BJ70" s="52"/>
      <c r="BK70" s="53">
        <f t="shared" si="40"/>
        <v>16.920000000000002</v>
      </c>
      <c r="BM70" s="122">
        <v>45894</v>
      </c>
      <c r="BN70" s="123">
        <v>14697.8</v>
      </c>
      <c r="BO70" s="123">
        <v>3130.98</v>
      </c>
      <c r="BP70" s="123">
        <v>7548.6</v>
      </c>
      <c r="BQ70" s="125"/>
      <c r="BR70" s="125"/>
      <c r="BS70" s="27"/>
      <c r="BT70" s="51"/>
      <c r="BU70" s="52"/>
      <c r="BV70" s="52"/>
      <c r="BW70" s="53">
        <f t="shared" si="41"/>
        <v>0</v>
      </c>
      <c r="BY70" s="122">
        <v>45894</v>
      </c>
      <c r="BZ70" s="256">
        <v>1174.3499999999999</v>
      </c>
      <c r="CA70" s="257">
        <v>573.04999999999995</v>
      </c>
      <c r="CB70" s="125"/>
      <c r="CC70" s="126"/>
      <c r="CD70" s="27"/>
      <c r="CE70" s="51"/>
      <c r="CF70" s="52"/>
      <c r="CG70" s="52"/>
      <c r="CH70" s="53">
        <f t="shared" si="42"/>
        <v>0</v>
      </c>
      <c r="CJ70" s="122">
        <v>45894</v>
      </c>
      <c r="CK70" s="123">
        <v>7277.48</v>
      </c>
      <c r="CL70" s="123">
        <v>802.42</v>
      </c>
      <c r="CM70" s="125"/>
      <c r="CN70" s="126">
        <v>7.5</v>
      </c>
      <c r="CO70" s="27"/>
      <c r="CP70" s="51"/>
      <c r="CQ70" s="52"/>
      <c r="CR70" s="52"/>
      <c r="CS70" s="53">
        <f t="shared" si="43"/>
        <v>7.5</v>
      </c>
      <c r="CU70" s="122">
        <v>45894</v>
      </c>
      <c r="CV70" s="123">
        <v>10961.18</v>
      </c>
      <c r="CW70" s="127">
        <v>982.59</v>
      </c>
      <c r="CX70" s="125"/>
      <c r="CY70" s="126">
        <v>222.02</v>
      </c>
      <c r="CZ70" s="27"/>
      <c r="DA70" s="51"/>
      <c r="DB70" s="173"/>
      <c r="DC70" s="52"/>
      <c r="DD70" s="52"/>
      <c r="DE70" s="53">
        <f t="shared" si="44"/>
        <v>222.02</v>
      </c>
      <c r="DH70" s="122">
        <v>45894</v>
      </c>
      <c r="DI70" s="123">
        <v>916.04</v>
      </c>
      <c r="DJ70" s="127">
        <v>343.91</v>
      </c>
      <c r="DK70" s="127"/>
      <c r="DL70" s="127"/>
      <c r="DM70" s="126">
        <v>4</v>
      </c>
      <c r="DN70" s="27"/>
      <c r="DO70" s="51"/>
      <c r="DP70" s="52"/>
      <c r="DQ70" s="52"/>
      <c r="DR70" s="53">
        <f t="shared" si="45"/>
        <v>4</v>
      </c>
      <c r="DT70" s="122">
        <v>45894</v>
      </c>
      <c r="DU70" s="123">
        <v>959.01</v>
      </c>
      <c r="DV70" s="127">
        <v>1191.73</v>
      </c>
      <c r="DW70" s="127"/>
      <c r="DX70" s="126">
        <v>51.6</v>
      </c>
      <c r="DY70" s="27"/>
      <c r="DZ70" s="51"/>
      <c r="EA70" s="52"/>
      <c r="EB70" s="52"/>
      <c r="EC70" s="53">
        <f t="shared" si="46"/>
        <v>51.6</v>
      </c>
      <c r="EE70" s="122">
        <v>45894</v>
      </c>
      <c r="EF70" s="123">
        <v>972.75</v>
      </c>
      <c r="EG70" s="127">
        <v>1145.8599999999999</v>
      </c>
      <c r="EH70" s="127"/>
      <c r="EI70" s="126">
        <v>10.94</v>
      </c>
      <c r="EJ70" s="27"/>
      <c r="EK70" s="51"/>
      <c r="EL70" s="173"/>
      <c r="EM70" s="52"/>
      <c r="EN70" s="52"/>
      <c r="EO70" s="53">
        <f t="shared" si="47"/>
        <v>10.94</v>
      </c>
      <c r="EQ70" s="122">
        <v>45894</v>
      </c>
      <c r="ER70" s="123">
        <v>2956.72</v>
      </c>
      <c r="ES70" s="259">
        <v>528.91999999999996</v>
      </c>
      <c r="ET70" s="127"/>
      <c r="EU70" s="258">
        <v>95.64</v>
      </c>
      <c r="EV70" s="27"/>
      <c r="EW70" s="51"/>
      <c r="EX70" s="52"/>
      <c r="EY70" s="52"/>
      <c r="EZ70" s="53">
        <f t="shared" si="48"/>
        <v>95.64</v>
      </c>
      <c r="FB70" s="122">
        <v>45894</v>
      </c>
      <c r="FC70" s="123">
        <v>983.93</v>
      </c>
      <c r="FD70" s="123">
        <v>229.62</v>
      </c>
      <c r="FE70" s="125"/>
      <c r="FF70" s="126"/>
      <c r="FG70" s="27"/>
      <c r="FH70" s="51"/>
      <c r="FI70" s="52"/>
      <c r="FJ70" s="52"/>
      <c r="FK70" s="53">
        <f t="shared" si="49"/>
        <v>0</v>
      </c>
    </row>
    <row r="71" spans="2:167" hidden="1" x14ac:dyDescent="0.25">
      <c r="B71" s="122">
        <v>45895</v>
      </c>
      <c r="C71" s="123">
        <v>12676.97</v>
      </c>
      <c r="D71" s="126"/>
      <c r="E71" s="125"/>
      <c r="F71" s="126">
        <v>113.05</v>
      </c>
      <c r="G71" s="27"/>
      <c r="H71" s="51"/>
      <c r="I71" s="52"/>
      <c r="J71" s="52"/>
      <c r="K71" s="53">
        <f t="shared" si="35"/>
        <v>113.05</v>
      </c>
      <c r="M71" s="122">
        <v>45895</v>
      </c>
      <c r="N71" s="123">
        <v>2952.69</v>
      </c>
      <c r="O71" s="125"/>
      <c r="P71" s="126">
        <v>29.84</v>
      </c>
      <c r="Q71" s="27"/>
      <c r="R71" s="51"/>
      <c r="S71" s="52"/>
      <c r="T71" s="52"/>
      <c r="U71" s="53">
        <f t="shared" si="36"/>
        <v>29.84</v>
      </c>
      <c r="W71" s="122">
        <v>45895</v>
      </c>
      <c r="X71" s="123">
        <v>1408.47</v>
      </c>
      <c r="Y71" s="123">
        <v>261.13</v>
      </c>
      <c r="Z71" s="125"/>
      <c r="AA71" s="123"/>
      <c r="AB71" s="27"/>
      <c r="AC71" s="51"/>
      <c r="AD71" s="52"/>
      <c r="AE71" s="52"/>
      <c r="AF71" s="53">
        <f t="shared" si="37"/>
        <v>0</v>
      </c>
      <c r="AI71" s="122">
        <v>45895</v>
      </c>
      <c r="AJ71" s="123">
        <v>1339.72</v>
      </c>
      <c r="AK71" s="125"/>
      <c r="AL71" s="126"/>
      <c r="AM71" s="27"/>
      <c r="AN71" s="51"/>
      <c r="AO71" s="52"/>
      <c r="AP71" s="52"/>
      <c r="AQ71" s="53">
        <f t="shared" si="38"/>
        <v>0</v>
      </c>
      <c r="AS71" s="122">
        <v>45895</v>
      </c>
      <c r="AT71" s="123">
        <v>3731</v>
      </c>
      <c r="AU71" s="125"/>
      <c r="AV71" s="128"/>
      <c r="AW71" s="27"/>
      <c r="AX71" s="51"/>
      <c r="AY71" s="52"/>
      <c r="AZ71" s="52"/>
      <c r="BA71" s="53">
        <f t="shared" si="39"/>
        <v>0</v>
      </c>
      <c r="BC71" s="122">
        <v>45895</v>
      </c>
      <c r="BD71" s="123">
        <v>2375.42</v>
      </c>
      <c r="BE71" s="125"/>
      <c r="BF71" s="128">
        <v>15.94</v>
      </c>
      <c r="BG71" s="27"/>
      <c r="BH71" s="51"/>
      <c r="BI71" s="52"/>
      <c r="BJ71" s="52"/>
      <c r="BK71" s="53">
        <f t="shared" si="40"/>
        <v>15.94</v>
      </c>
      <c r="BM71" s="122">
        <v>45895</v>
      </c>
      <c r="BN71" s="123">
        <v>14674.84</v>
      </c>
      <c r="BO71" s="123">
        <v>2704.7</v>
      </c>
      <c r="BP71" s="123">
        <v>8364.33</v>
      </c>
      <c r="BQ71" s="125"/>
      <c r="BR71" s="125"/>
      <c r="BS71" s="27"/>
      <c r="BT71" s="51"/>
      <c r="BU71" s="52"/>
      <c r="BV71" s="52"/>
      <c r="BW71" s="53">
        <f t="shared" si="41"/>
        <v>0</v>
      </c>
      <c r="BY71" s="122">
        <v>45895</v>
      </c>
      <c r="BZ71" s="256">
        <v>1693.45</v>
      </c>
      <c r="CA71" s="257">
        <v>278.56</v>
      </c>
      <c r="CB71" s="125"/>
      <c r="CC71" s="126"/>
      <c r="CD71" s="27"/>
      <c r="CE71" s="51"/>
      <c r="CF71" s="52"/>
      <c r="CG71" s="52"/>
      <c r="CH71" s="53">
        <f t="shared" si="42"/>
        <v>0</v>
      </c>
      <c r="CJ71" s="122">
        <v>45895</v>
      </c>
      <c r="CK71" s="123">
        <v>6482.45</v>
      </c>
      <c r="CL71" s="123">
        <v>666.76</v>
      </c>
      <c r="CM71" s="125"/>
      <c r="CN71" s="126">
        <v>21.51</v>
      </c>
      <c r="CO71" s="27"/>
      <c r="CP71" s="51"/>
      <c r="CQ71" s="52"/>
      <c r="CR71" s="52"/>
      <c r="CS71" s="53">
        <f t="shared" si="43"/>
        <v>21.51</v>
      </c>
      <c r="CU71" s="122">
        <v>45895</v>
      </c>
      <c r="CV71" s="123">
        <v>9964.16</v>
      </c>
      <c r="CW71" s="127">
        <v>984.68</v>
      </c>
      <c r="CX71" s="125"/>
      <c r="CY71" s="126">
        <v>145.05000000000001</v>
      </c>
      <c r="CZ71" s="27"/>
      <c r="DA71" s="51"/>
      <c r="DB71" s="173"/>
      <c r="DC71" s="52"/>
      <c r="DD71" s="52"/>
      <c r="DE71" s="53">
        <f t="shared" si="44"/>
        <v>145.05000000000001</v>
      </c>
      <c r="DH71" s="122">
        <v>45895</v>
      </c>
      <c r="DI71" s="123">
        <v>1079.5999999999999</v>
      </c>
      <c r="DJ71" s="259">
        <v>328.22</v>
      </c>
      <c r="DK71" s="259"/>
      <c r="DL71" s="127"/>
      <c r="DM71" s="126">
        <v>4</v>
      </c>
      <c r="DN71" s="27"/>
      <c r="DO71" s="51"/>
      <c r="DP71" s="52"/>
      <c r="DQ71" s="52"/>
      <c r="DR71" s="53">
        <f t="shared" si="45"/>
        <v>4</v>
      </c>
      <c r="DT71" s="122">
        <v>45895</v>
      </c>
      <c r="DU71" s="123">
        <v>1291.0899999999999</v>
      </c>
      <c r="DV71" s="259">
        <v>1074.82</v>
      </c>
      <c r="DW71" s="127"/>
      <c r="DX71" s="126">
        <v>28.2</v>
      </c>
      <c r="DY71" s="27"/>
      <c r="DZ71" s="51"/>
      <c r="EA71" s="52"/>
      <c r="EB71" s="52"/>
      <c r="EC71" s="53">
        <f t="shared" si="46"/>
        <v>28.2</v>
      </c>
      <c r="EE71" s="122">
        <v>45895</v>
      </c>
      <c r="EF71" s="123">
        <v>885.7</v>
      </c>
      <c r="EG71" s="127">
        <v>741.87</v>
      </c>
      <c r="EH71" s="127"/>
      <c r="EI71" s="126">
        <v>24.98</v>
      </c>
      <c r="EJ71" s="27"/>
      <c r="EK71" s="51"/>
      <c r="EL71" s="173"/>
      <c r="EM71" s="52"/>
      <c r="EN71" s="52"/>
      <c r="EO71" s="53">
        <f t="shared" si="47"/>
        <v>24.98</v>
      </c>
      <c r="EQ71" s="122">
        <v>45895</v>
      </c>
      <c r="ER71" s="123">
        <v>3337.59</v>
      </c>
      <c r="ES71" s="259">
        <v>678.07</v>
      </c>
      <c r="ET71" s="127"/>
      <c r="EU71" s="258">
        <v>858.25</v>
      </c>
      <c r="EV71" s="27"/>
      <c r="EW71" s="51"/>
      <c r="EX71" s="52"/>
      <c r="EY71" s="52"/>
      <c r="EZ71" s="53">
        <f t="shared" si="48"/>
        <v>858.25</v>
      </c>
      <c r="FB71" s="122">
        <v>45895</v>
      </c>
      <c r="FC71" s="123">
        <v>748.14</v>
      </c>
      <c r="FD71" s="123">
        <v>257.60000000000002</v>
      </c>
      <c r="FE71" s="125"/>
      <c r="FF71" s="126"/>
      <c r="FG71" s="27"/>
      <c r="FH71" s="51"/>
      <c r="FI71" s="52"/>
      <c r="FJ71" s="52"/>
      <c r="FK71" s="53">
        <f t="shared" si="49"/>
        <v>0</v>
      </c>
    </row>
    <row r="72" spans="2:167" hidden="1" x14ac:dyDescent="0.25">
      <c r="B72" s="122">
        <v>45896</v>
      </c>
      <c r="C72" s="123">
        <v>11430.82</v>
      </c>
      <c r="D72" s="125"/>
      <c r="E72" s="125"/>
      <c r="F72" s="125">
        <v>64.900000000000006</v>
      </c>
      <c r="G72" s="27"/>
      <c r="H72" s="51"/>
      <c r="I72" s="52"/>
      <c r="J72" s="52"/>
      <c r="K72" s="53">
        <f t="shared" si="35"/>
        <v>64.900000000000006</v>
      </c>
      <c r="M72" s="122">
        <v>45896</v>
      </c>
      <c r="N72" s="123">
        <v>3216.11</v>
      </c>
      <c r="O72" s="125"/>
      <c r="P72" s="126">
        <v>46.95</v>
      </c>
      <c r="Q72" s="27"/>
      <c r="R72" s="51"/>
      <c r="S72" s="52"/>
      <c r="T72" s="52"/>
      <c r="U72" s="53">
        <f t="shared" si="36"/>
        <v>46.95</v>
      </c>
      <c r="W72" s="122">
        <v>45896</v>
      </c>
      <c r="X72" s="123">
        <v>1462.09</v>
      </c>
      <c r="Y72" s="123">
        <v>193.49</v>
      </c>
      <c r="Z72" s="125"/>
      <c r="AA72" s="123"/>
      <c r="AB72" s="27"/>
      <c r="AC72" s="51"/>
      <c r="AD72" s="52"/>
      <c r="AE72" s="52"/>
      <c r="AF72" s="53">
        <f t="shared" si="37"/>
        <v>0</v>
      </c>
      <c r="AI72" s="122">
        <v>45896</v>
      </c>
      <c r="AJ72" s="123">
        <v>1138.8499999999999</v>
      </c>
      <c r="AK72" s="125"/>
      <c r="AL72" s="126"/>
      <c r="AM72" s="27"/>
      <c r="AN72" s="51"/>
      <c r="AO72" s="52"/>
      <c r="AP72" s="52"/>
      <c r="AQ72" s="53">
        <f t="shared" si="38"/>
        <v>0</v>
      </c>
      <c r="AS72" s="122">
        <v>45896</v>
      </c>
      <c r="AT72" s="123">
        <v>2875.34</v>
      </c>
      <c r="AU72" s="125"/>
      <c r="AV72" s="128"/>
      <c r="AW72" s="27"/>
      <c r="AX72" s="51"/>
      <c r="AY72" s="52"/>
      <c r="AZ72" s="52"/>
      <c r="BA72" s="53">
        <f t="shared" si="39"/>
        <v>0</v>
      </c>
      <c r="BC72" s="122">
        <v>45896</v>
      </c>
      <c r="BD72" s="123">
        <v>3163.37</v>
      </c>
      <c r="BE72" s="125"/>
      <c r="BF72" s="128">
        <v>18.829999999999998</v>
      </c>
      <c r="BG72" s="27"/>
      <c r="BH72" s="51"/>
      <c r="BI72" s="52"/>
      <c r="BJ72" s="52"/>
      <c r="BK72" s="53">
        <f t="shared" si="40"/>
        <v>18.829999999999998</v>
      </c>
      <c r="BM72" s="122">
        <v>45896</v>
      </c>
      <c r="BN72" s="123">
        <v>13259.69</v>
      </c>
      <c r="BO72" s="123">
        <v>3157.94</v>
      </c>
      <c r="BP72" s="123">
        <v>8259.99</v>
      </c>
      <c r="BQ72" s="125"/>
      <c r="BR72" s="125"/>
      <c r="BS72" s="27"/>
      <c r="BT72" s="51"/>
      <c r="BU72" s="52"/>
      <c r="BV72" s="52"/>
      <c r="BW72" s="53">
        <f t="shared" si="41"/>
        <v>0</v>
      </c>
      <c r="BY72" s="122">
        <v>45896</v>
      </c>
      <c r="BZ72" s="256">
        <v>760.8</v>
      </c>
      <c r="CA72" s="260">
        <v>647.14</v>
      </c>
      <c r="CB72" s="125"/>
      <c r="CC72" s="126"/>
      <c r="CD72" s="27"/>
      <c r="CE72" s="51"/>
      <c r="CF72" s="52"/>
      <c r="CG72" s="52"/>
      <c r="CH72" s="53">
        <f t="shared" si="42"/>
        <v>0</v>
      </c>
      <c r="CJ72" s="122">
        <v>45896</v>
      </c>
      <c r="CK72" s="123">
        <v>7019.55</v>
      </c>
      <c r="CL72" s="123">
        <v>803.73</v>
      </c>
      <c r="CM72" s="125"/>
      <c r="CN72" s="126">
        <v>39.409999999999997</v>
      </c>
      <c r="CO72" s="27"/>
      <c r="CP72" s="51"/>
      <c r="CQ72" s="52"/>
      <c r="CR72" s="52"/>
      <c r="CS72" s="53">
        <f t="shared" si="43"/>
        <v>39.409999999999997</v>
      </c>
      <c r="CU72" s="122">
        <v>45896</v>
      </c>
      <c r="CV72" s="123">
        <v>8037.07</v>
      </c>
      <c r="CW72" s="127">
        <v>946.26</v>
      </c>
      <c r="CX72" s="125"/>
      <c r="CY72" s="126">
        <v>58.15</v>
      </c>
      <c r="CZ72" s="27"/>
      <c r="DA72" s="51"/>
      <c r="DB72" s="173"/>
      <c r="DC72" s="52"/>
      <c r="DD72" s="52"/>
      <c r="DE72" s="53">
        <f t="shared" si="44"/>
        <v>58.15</v>
      </c>
      <c r="DH72" s="122">
        <v>45896</v>
      </c>
      <c r="DI72" s="123">
        <v>861.75</v>
      </c>
      <c r="DJ72" s="127">
        <v>422.27</v>
      </c>
      <c r="DK72" s="127"/>
      <c r="DL72" s="127"/>
      <c r="DM72" s="126">
        <v>4</v>
      </c>
      <c r="DN72" s="27"/>
      <c r="DO72" s="51"/>
      <c r="DP72" s="52"/>
      <c r="DQ72" s="52"/>
      <c r="DR72" s="53">
        <f t="shared" si="45"/>
        <v>4</v>
      </c>
      <c r="DT72" s="122">
        <v>45896</v>
      </c>
      <c r="DU72" s="123">
        <v>1085.8900000000001</v>
      </c>
      <c r="DV72" s="127">
        <v>998.97</v>
      </c>
      <c r="DW72" s="127"/>
      <c r="DX72" s="126">
        <v>11.43</v>
      </c>
      <c r="DY72" s="27"/>
      <c r="DZ72" s="51"/>
      <c r="EA72" s="52"/>
      <c r="EB72" s="52"/>
      <c r="EC72" s="53">
        <f t="shared" si="46"/>
        <v>11.43</v>
      </c>
      <c r="EE72" s="122">
        <v>45896</v>
      </c>
      <c r="EF72" s="123">
        <v>795.59</v>
      </c>
      <c r="EG72" s="127">
        <v>976.09</v>
      </c>
      <c r="EH72" s="127"/>
      <c r="EI72" s="126">
        <v>16.88</v>
      </c>
      <c r="EJ72" s="27"/>
      <c r="EK72" s="51"/>
      <c r="EL72" s="173"/>
      <c r="EM72" s="52"/>
      <c r="EN72" s="52"/>
      <c r="EO72" s="53">
        <f t="shared" si="47"/>
        <v>16.88</v>
      </c>
      <c r="EQ72" s="122">
        <v>45896</v>
      </c>
      <c r="ER72" s="123">
        <v>4779.1099999999997</v>
      </c>
      <c r="ES72" s="259">
        <v>272.88</v>
      </c>
      <c r="ET72" s="127"/>
      <c r="EU72" s="258">
        <v>280.39</v>
      </c>
      <c r="EV72" s="27"/>
      <c r="EW72" s="51"/>
      <c r="EX72" s="52"/>
      <c r="EY72" s="52"/>
      <c r="EZ72" s="53">
        <f t="shared" si="48"/>
        <v>280.39</v>
      </c>
      <c r="FB72" s="122">
        <v>45896</v>
      </c>
      <c r="FC72" s="123">
        <v>792.99</v>
      </c>
      <c r="FD72" s="123">
        <v>348.65</v>
      </c>
      <c r="FE72" s="125"/>
      <c r="FF72" s="126"/>
      <c r="FG72" s="27"/>
      <c r="FH72" s="51"/>
      <c r="FI72" s="52"/>
      <c r="FJ72" s="52"/>
      <c r="FK72" s="53">
        <f t="shared" si="49"/>
        <v>0</v>
      </c>
    </row>
    <row r="73" spans="2:167" ht="16.5" hidden="1" customHeight="1" x14ac:dyDescent="0.25">
      <c r="B73" s="122">
        <v>45897</v>
      </c>
      <c r="C73" s="123">
        <v>9912.6299999999992</v>
      </c>
      <c r="D73" s="126"/>
      <c r="E73" s="125"/>
      <c r="F73" s="126">
        <v>49.57</v>
      </c>
      <c r="G73" s="27"/>
      <c r="H73" s="51"/>
      <c r="I73" s="52"/>
      <c r="J73" s="52"/>
      <c r="K73" s="53">
        <f t="shared" si="35"/>
        <v>49.57</v>
      </c>
      <c r="M73" s="122">
        <v>45897</v>
      </c>
      <c r="N73" s="123">
        <v>3182.2</v>
      </c>
      <c r="O73" s="125"/>
      <c r="P73" s="126">
        <v>52.58</v>
      </c>
      <c r="Q73" s="27"/>
      <c r="R73" s="51"/>
      <c r="S73" s="52"/>
      <c r="T73" s="52"/>
      <c r="U73" s="53">
        <f t="shared" si="36"/>
        <v>52.58</v>
      </c>
      <c r="W73" s="122">
        <v>45897</v>
      </c>
      <c r="X73" s="123">
        <v>1581.59</v>
      </c>
      <c r="Y73" s="123">
        <v>273.64</v>
      </c>
      <c r="Z73" s="125"/>
      <c r="AA73" s="123"/>
      <c r="AB73" s="27"/>
      <c r="AC73" s="51"/>
      <c r="AD73" s="52"/>
      <c r="AE73" s="52"/>
      <c r="AF73" s="53">
        <f t="shared" si="37"/>
        <v>0</v>
      </c>
      <c r="AI73" s="122">
        <v>45897</v>
      </c>
      <c r="AJ73" s="123">
        <v>1196.33</v>
      </c>
      <c r="AK73" s="125"/>
      <c r="AL73" s="126"/>
      <c r="AM73" s="27"/>
      <c r="AN73" s="51"/>
      <c r="AO73" s="52"/>
      <c r="AP73" s="52"/>
      <c r="AQ73" s="53">
        <f t="shared" si="38"/>
        <v>0</v>
      </c>
      <c r="AS73" s="122">
        <v>45897</v>
      </c>
      <c r="AT73" s="123">
        <v>3419.88</v>
      </c>
      <c r="AU73" s="125"/>
      <c r="AV73" s="128"/>
      <c r="AW73" s="27"/>
      <c r="AX73" s="51"/>
      <c r="AY73" s="52"/>
      <c r="AZ73" s="52"/>
      <c r="BA73" s="53">
        <f t="shared" si="39"/>
        <v>0</v>
      </c>
      <c r="BC73" s="122">
        <v>45897</v>
      </c>
      <c r="BD73" s="123">
        <v>3395.01</v>
      </c>
      <c r="BE73" s="125"/>
      <c r="BF73" s="128">
        <v>9.0399999999999991</v>
      </c>
      <c r="BG73" s="27"/>
      <c r="BH73" s="51"/>
      <c r="BI73" s="52"/>
      <c r="BJ73" s="52"/>
      <c r="BK73" s="53">
        <f t="shared" si="40"/>
        <v>9.0399999999999991</v>
      </c>
      <c r="BM73" s="122">
        <v>45897</v>
      </c>
      <c r="BN73" s="123">
        <v>16192.31</v>
      </c>
      <c r="BO73" s="123">
        <v>3048.17</v>
      </c>
      <c r="BP73" s="123">
        <v>8638.2999999999993</v>
      </c>
      <c r="BQ73" s="125"/>
      <c r="BR73" s="125"/>
      <c r="BS73" s="27"/>
      <c r="BT73" s="51"/>
      <c r="BU73" s="52"/>
      <c r="BV73" s="52"/>
      <c r="BW73" s="53">
        <f t="shared" si="41"/>
        <v>0</v>
      </c>
      <c r="BY73" s="122">
        <v>45897</v>
      </c>
      <c r="BZ73" s="256">
        <v>1424.96</v>
      </c>
      <c r="CA73" s="257">
        <v>508.99</v>
      </c>
      <c r="CB73" s="125"/>
      <c r="CC73" s="126"/>
      <c r="CD73" s="27"/>
      <c r="CE73" s="51"/>
      <c r="CF73" s="52"/>
      <c r="CG73" s="52"/>
      <c r="CH73" s="53">
        <f t="shared" si="42"/>
        <v>0</v>
      </c>
      <c r="CJ73" s="122">
        <v>45897</v>
      </c>
      <c r="CK73" s="123">
        <v>3985.41</v>
      </c>
      <c r="CL73" s="123">
        <v>718.59</v>
      </c>
      <c r="CM73" s="125"/>
      <c r="CN73" s="126">
        <v>8.61</v>
      </c>
      <c r="CO73" s="27"/>
      <c r="CP73" s="51"/>
      <c r="CQ73" s="52"/>
      <c r="CR73" s="52"/>
      <c r="CS73" s="53">
        <f t="shared" si="43"/>
        <v>8.61</v>
      </c>
      <c r="CU73" s="122">
        <v>45897</v>
      </c>
      <c r="CV73" s="123">
        <v>6171.16</v>
      </c>
      <c r="CW73" s="127">
        <v>1272.3699999999999</v>
      </c>
      <c r="CX73" s="125"/>
      <c r="CY73" s="126">
        <v>1696.84</v>
      </c>
      <c r="CZ73" s="27"/>
      <c r="DA73" s="51"/>
      <c r="DB73" s="173"/>
      <c r="DC73" s="52"/>
      <c r="DD73" s="52"/>
      <c r="DE73" s="53">
        <f t="shared" si="44"/>
        <v>1696.84</v>
      </c>
      <c r="DH73" s="122">
        <v>45897</v>
      </c>
      <c r="DI73" s="123">
        <v>794.55</v>
      </c>
      <c r="DJ73" s="127">
        <v>299.8</v>
      </c>
      <c r="DK73" s="127"/>
      <c r="DL73" s="127"/>
      <c r="DM73" s="126">
        <v>4</v>
      </c>
      <c r="DN73" s="27"/>
      <c r="DO73" s="51"/>
      <c r="DP73" s="52"/>
      <c r="DQ73" s="52"/>
      <c r="DR73" s="53">
        <f t="shared" si="45"/>
        <v>4</v>
      </c>
      <c r="DT73" s="122">
        <v>45897</v>
      </c>
      <c r="DU73" s="123">
        <v>1156.8800000000001</v>
      </c>
      <c r="DV73" s="127">
        <v>1114.9100000000001</v>
      </c>
      <c r="DW73" s="127"/>
      <c r="DX73" s="126">
        <v>31.28</v>
      </c>
      <c r="DY73" s="27"/>
      <c r="DZ73" s="51"/>
      <c r="EA73" s="52"/>
      <c r="EB73" s="52"/>
      <c r="EC73" s="53">
        <f t="shared" si="46"/>
        <v>31.28</v>
      </c>
      <c r="EE73" s="122">
        <v>45897</v>
      </c>
      <c r="EF73" s="123">
        <v>1208.8800000000001</v>
      </c>
      <c r="EG73" s="127">
        <v>715.4</v>
      </c>
      <c r="EH73" s="127"/>
      <c r="EI73" s="126">
        <v>21.88</v>
      </c>
      <c r="EJ73" s="27"/>
      <c r="EK73" s="51"/>
      <c r="EL73" s="173"/>
      <c r="EM73" s="52"/>
      <c r="EN73" s="52"/>
      <c r="EO73" s="53">
        <f t="shared" si="47"/>
        <v>21.88</v>
      </c>
      <c r="EQ73" s="122">
        <v>45897</v>
      </c>
      <c r="ER73" s="123">
        <v>4051.98</v>
      </c>
      <c r="ES73" s="259">
        <v>229.12</v>
      </c>
      <c r="ET73" s="127"/>
      <c r="EU73" s="258">
        <v>172.12</v>
      </c>
      <c r="EV73" s="27"/>
      <c r="EW73" s="51"/>
      <c r="EX73" s="52"/>
      <c r="EY73" s="52"/>
      <c r="EZ73" s="53">
        <f t="shared" si="48"/>
        <v>172.12</v>
      </c>
      <c r="FB73" s="122">
        <v>45897</v>
      </c>
      <c r="FC73" s="123">
        <v>555.47</v>
      </c>
      <c r="FD73" s="123">
        <v>192.31</v>
      </c>
      <c r="FE73" s="125"/>
      <c r="FF73" s="126"/>
      <c r="FG73" s="27"/>
      <c r="FH73" s="51"/>
      <c r="FI73" s="52"/>
      <c r="FJ73" s="52"/>
      <c r="FK73" s="53">
        <f t="shared" si="49"/>
        <v>0</v>
      </c>
    </row>
    <row r="74" spans="2:167" hidden="1" x14ac:dyDescent="0.25">
      <c r="B74" s="122">
        <v>45898</v>
      </c>
      <c r="C74" s="123">
        <v>12199.75</v>
      </c>
      <c r="D74" s="125"/>
      <c r="E74" s="125"/>
      <c r="F74" s="125">
        <v>59.56</v>
      </c>
      <c r="G74" s="27"/>
      <c r="H74" s="51"/>
      <c r="I74" s="52"/>
      <c r="J74" s="52"/>
      <c r="K74" s="53">
        <f t="shared" si="35"/>
        <v>59.56</v>
      </c>
      <c r="M74" s="122">
        <v>45898</v>
      </c>
      <c r="N74" s="123">
        <v>4419.3</v>
      </c>
      <c r="O74" s="127"/>
      <c r="P74" s="261">
        <v>46.95</v>
      </c>
      <c r="Q74" s="27"/>
      <c r="R74" s="51"/>
      <c r="S74" s="52"/>
      <c r="T74" s="52"/>
      <c r="U74" s="53">
        <f>SUM(P74:T74)</f>
        <v>46.95</v>
      </c>
      <c r="W74" s="122">
        <v>45898</v>
      </c>
      <c r="X74" s="123">
        <v>1359.89</v>
      </c>
      <c r="Y74" s="123">
        <v>298.04000000000002</v>
      </c>
      <c r="Z74" s="125"/>
      <c r="AA74" s="123"/>
      <c r="AB74" s="27"/>
      <c r="AC74" s="51"/>
      <c r="AD74" s="52"/>
      <c r="AE74" s="52"/>
      <c r="AF74" s="53">
        <f>SUM(AA74:AE74)</f>
        <v>0</v>
      </c>
      <c r="AI74" s="122">
        <v>45898</v>
      </c>
      <c r="AJ74" s="123">
        <v>1141.52</v>
      </c>
      <c r="AK74" s="127"/>
      <c r="AL74" s="262"/>
      <c r="AM74" s="27"/>
      <c r="AN74" s="51"/>
      <c r="AO74" s="52"/>
      <c r="AP74" s="52"/>
      <c r="AQ74" s="53">
        <f>SUM(AL74:AP74)</f>
        <v>0</v>
      </c>
      <c r="AS74" s="122">
        <v>45898</v>
      </c>
      <c r="AT74" s="123">
        <v>3044.59</v>
      </c>
      <c r="AU74" s="127"/>
      <c r="AV74" s="261"/>
      <c r="AW74" s="27"/>
      <c r="AX74" s="51"/>
      <c r="AY74" s="52"/>
      <c r="AZ74" s="52"/>
      <c r="BA74" s="53">
        <f>SUM(AV74:AZ74)</f>
        <v>0</v>
      </c>
      <c r="BC74" s="122">
        <v>45898</v>
      </c>
      <c r="BD74" s="123">
        <v>3308.07</v>
      </c>
      <c r="BE74" s="125"/>
      <c r="BF74" s="128">
        <v>9.14</v>
      </c>
      <c r="BG74" s="27"/>
      <c r="BH74" s="51"/>
      <c r="BI74" s="52"/>
      <c r="BJ74" s="52"/>
      <c r="BK74" s="53">
        <f>SUM(BF74:BJ74)</f>
        <v>9.14</v>
      </c>
      <c r="BM74" s="122">
        <v>45898</v>
      </c>
      <c r="BN74" s="123">
        <v>15119.68</v>
      </c>
      <c r="BO74" s="123">
        <v>2508.7800000000002</v>
      </c>
      <c r="BP74" s="123">
        <v>9336.69</v>
      </c>
      <c r="BQ74" s="125"/>
      <c r="BR74" s="125"/>
      <c r="BS74" s="27"/>
      <c r="BT74" s="51"/>
      <c r="BU74" s="52"/>
      <c r="BV74" s="52"/>
      <c r="BW74" s="53">
        <f t="shared" si="41"/>
        <v>0</v>
      </c>
      <c r="BY74" s="122">
        <v>45898</v>
      </c>
      <c r="BZ74" s="256">
        <v>1737.41</v>
      </c>
      <c r="CA74" s="257">
        <v>444.65</v>
      </c>
      <c r="CB74" s="125"/>
      <c r="CC74" s="126"/>
      <c r="CD74" s="27"/>
      <c r="CE74" s="51"/>
      <c r="CF74" s="52"/>
      <c r="CG74" s="52"/>
      <c r="CH74" s="53">
        <f t="shared" si="42"/>
        <v>0</v>
      </c>
      <c r="CJ74" s="122">
        <v>45898</v>
      </c>
      <c r="CK74" s="123">
        <v>3380.01</v>
      </c>
      <c r="CL74" s="123">
        <v>676.66</v>
      </c>
      <c r="CM74" s="125"/>
      <c r="CN74" s="126">
        <v>0</v>
      </c>
      <c r="CO74" s="27"/>
      <c r="CP74" s="51"/>
      <c r="CQ74" s="52"/>
      <c r="CR74" s="52"/>
      <c r="CS74" s="53">
        <f t="shared" si="43"/>
        <v>0</v>
      </c>
      <c r="CU74" s="122">
        <v>45898</v>
      </c>
      <c r="CV74" s="123">
        <v>14773.58</v>
      </c>
      <c r="CW74" s="127">
        <v>707.22</v>
      </c>
      <c r="CX74" s="125"/>
      <c r="CY74" s="126">
        <v>84.06</v>
      </c>
      <c r="CZ74" s="27"/>
      <c r="DA74" s="51"/>
      <c r="DB74" s="173"/>
      <c r="DC74" s="52"/>
      <c r="DD74" s="52"/>
      <c r="DE74" s="53">
        <f t="shared" si="44"/>
        <v>84.06</v>
      </c>
      <c r="DH74" s="122">
        <v>45898</v>
      </c>
      <c r="DI74" s="123">
        <v>2215.88</v>
      </c>
      <c r="DJ74" s="127">
        <v>457.5</v>
      </c>
      <c r="DK74" s="127"/>
      <c r="DL74" s="127"/>
      <c r="DM74" s="126">
        <v>35.18</v>
      </c>
      <c r="DN74" s="27"/>
      <c r="DO74" s="51"/>
      <c r="DP74" s="52"/>
      <c r="DQ74" s="52"/>
      <c r="DR74" s="53">
        <f t="shared" si="45"/>
        <v>35.18</v>
      </c>
      <c r="DT74" s="122">
        <v>45898</v>
      </c>
      <c r="DU74" s="123">
        <v>1889.61</v>
      </c>
      <c r="DV74" s="127">
        <v>1131.8399999999999</v>
      </c>
      <c r="DW74" s="127"/>
      <c r="DX74" s="126">
        <v>32.590000000000003</v>
      </c>
      <c r="DY74" s="27"/>
      <c r="DZ74" s="51"/>
      <c r="EA74" s="52"/>
      <c r="EB74" s="52"/>
      <c r="EC74" s="53">
        <f t="shared" si="46"/>
        <v>32.590000000000003</v>
      </c>
      <c r="EE74" s="122">
        <v>45898</v>
      </c>
      <c r="EF74" s="123">
        <v>817.37</v>
      </c>
      <c r="EG74" s="127">
        <v>890.33</v>
      </c>
      <c r="EH74" s="127"/>
      <c r="EI74" s="126">
        <v>158.63999999999999</v>
      </c>
      <c r="EJ74" s="27"/>
      <c r="EK74" s="51"/>
      <c r="EL74" s="173"/>
      <c r="EM74" s="52"/>
      <c r="EN74" s="52"/>
      <c r="EO74" s="53">
        <f t="shared" si="47"/>
        <v>158.63999999999999</v>
      </c>
      <c r="EQ74" s="122">
        <v>45898</v>
      </c>
      <c r="ER74" s="123">
        <v>3107.88</v>
      </c>
      <c r="ES74" s="259">
        <v>320.62</v>
      </c>
      <c r="ET74" s="127"/>
      <c r="EU74" s="258">
        <v>94.53</v>
      </c>
      <c r="EV74" s="27"/>
      <c r="EW74" s="51"/>
      <c r="EX74" s="52"/>
      <c r="EY74" s="52"/>
      <c r="EZ74" s="53">
        <f t="shared" si="48"/>
        <v>94.53</v>
      </c>
      <c r="FB74" s="122">
        <v>45898</v>
      </c>
      <c r="FC74" s="123">
        <v>1065.3800000000001</v>
      </c>
      <c r="FD74" s="123">
        <v>216.11</v>
      </c>
      <c r="FE74" s="125"/>
      <c r="FF74" s="126"/>
      <c r="FG74" s="27"/>
      <c r="FH74" s="51"/>
      <c r="FI74" s="52"/>
      <c r="FJ74" s="52"/>
      <c r="FK74" s="53">
        <f t="shared" si="49"/>
        <v>0</v>
      </c>
    </row>
    <row r="75" spans="2:167" ht="18.75" hidden="1" x14ac:dyDescent="0.3">
      <c r="B75" s="122">
        <v>45899</v>
      </c>
      <c r="C75" s="123">
        <v>15941.31</v>
      </c>
      <c r="D75" s="125"/>
      <c r="E75" s="125"/>
      <c r="F75" s="123">
        <v>0</v>
      </c>
      <c r="G75" s="205"/>
      <c r="H75" s="51"/>
      <c r="I75" s="52"/>
      <c r="J75" s="52"/>
      <c r="K75" s="53">
        <f t="shared" si="35"/>
        <v>0</v>
      </c>
      <c r="M75" s="122">
        <v>45899</v>
      </c>
      <c r="N75" s="123">
        <v>3229.31</v>
      </c>
      <c r="O75" s="127"/>
      <c r="P75" s="261">
        <v>0</v>
      </c>
      <c r="Q75" s="205"/>
      <c r="R75" s="51"/>
      <c r="S75" s="52"/>
      <c r="T75" s="52"/>
      <c r="U75" s="53">
        <f t="shared" si="36"/>
        <v>0</v>
      </c>
      <c r="W75" s="122">
        <v>45899</v>
      </c>
      <c r="X75" s="123">
        <v>1259.8499999999999</v>
      </c>
      <c r="Y75" s="123">
        <v>97.99</v>
      </c>
      <c r="Z75" s="125"/>
      <c r="AA75" s="123"/>
      <c r="AB75" s="205"/>
      <c r="AC75" s="51"/>
      <c r="AD75" s="52"/>
      <c r="AE75" s="52"/>
      <c r="AF75" s="53">
        <f t="shared" ref="AF75:AF76" si="50">SUM(AA75:AE75)</f>
        <v>0</v>
      </c>
      <c r="AI75" s="122">
        <v>45899</v>
      </c>
      <c r="AJ75" s="123">
        <v>1672.12</v>
      </c>
      <c r="AK75" s="127"/>
      <c r="AL75" s="262"/>
      <c r="AM75" s="205"/>
      <c r="AN75" s="51"/>
      <c r="AO75" s="52"/>
      <c r="AP75" s="52"/>
      <c r="AQ75" s="53">
        <f t="shared" ref="AQ75:AQ76" si="51">SUM(AL75:AP75)</f>
        <v>0</v>
      </c>
      <c r="AS75" s="122">
        <v>45899</v>
      </c>
      <c r="AT75" s="123">
        <v>4346.38</v>
      </c>
      <c r="AU75" s="127"/>
      <c r="AV75" s="261"/>
      <c r="AW75" s="205"/>
      <c r="AX75" s="51"/>
      <c r="AY75" s="52"/>
      <c r="AZ75" s="52"/>
      <c r="BA75" s="53">
        <f t="shared" ref="BA75:BA76" si="52">SUM(AV75:AZ75)</f>
        <v>0</v>
      </c>
      <c r="BC75" s="122">
        <v>45899</v>
      </c>
      <c r="BD75" s="123">
        <v>3387.07</v>
      </c>
      <c r="BE75" s="125"/>
      <c r="BF75" s="128">
        <v>0</v>
      </c>
      <c r="BG75" s="205"/>
      <c r="BH75" s="51"/>
      <c r="BI75" s="52"/>
      <c r="BJ75" s="52"/>
      <c r="BK75" s="53">
        <f t="shared" ref="BK75:BK76" si="53">SUM(BF75:BJ75)</f>
        <v>0</v>
      </c>
      <c r="BM75" s="122">
        <v>45899</v>
      </c>
      <c r="BN75" s="123">
        <v>12396.85</v>
      </c>
      <c r="BO75" s="123">
        <v>2962.39</v>
      </c>
      <c r="BP75" s="123">
        <v>7233.84</v>
      </c>
      <c r="BQ75" s="125"/>
      <c r="BR75" s="125"/>
      <c r="BS75" s="205"/>
      <c r="BT75" s="51"/>
      <c r="BU75" s="52"/>
      <c r="BV75" s="52"/>
      <c r="BW75" s="53">
        <f t="shared" si="41"/>
        <v>0</v>
      </c>
      <c r="BY75" s="122">
        <v>45899</v>
      </c>
      <c r="BZ75" s="256">
        <v>2214.75</v>
      </c>
      <c r="CA75" s="257">
        <v>858.16</v>
      </c>
      <c r="CB75" s="125"/>
      <c r="CC75" s="126"/>
      <c r="CD75" s="205"/>
      <c r="CE75" s="51"/>
      <c r="CF75" s="52"/>
      <c r="CG75" s="52"/>
      <c r="CH75" s="53">
        <f t="shared" si="42"/>
        <v>0</v>
      </c>
      <c r="CJ75" s="122">
        <v>45899</v>
      </c>
      <c r="CK75" s="123">
        <v>6339.65</v>
      </c>
      <c r="CL75" s="123">
        <v>770.74</v>
      </c>
      <c r="CM75" s="125"/>
      <c r="CN75" s="126">
        <v>41.95</v>
      </c>
      <c r="CO75" s="205"/>
      <c r="CP75" s="51"/>
      <c r="CQ75" s="52"/>
      <c r="CR75" s="52"/>
      <c r="CS75" s="53">
        <f t="shared" si="43"/>
        <v>41.95</v>
      </c>
      <c r="CU75" s="122">
        <v>45899</v>
      </c>
      <c r="CV75" s="123">
        <v>7306.14</v>
      </c>
      <c r="CW75" s="127">
        <v>747.9</v>
      </c>
      <c r="CX75" s="125"/>
      <c r="CY75" s="126">
        <v>143.25</v>
      </c>
      <c r="CZ75" s="205"/>
      <c r="DA75" s="51"/>
      <c r="DB75" s="173"/>
      <c r="DC75" s="52"/>
      <c r="DD75" s="52"/>
      <c r="DE75" s="53">
        <f t="shared" si="44"/>
        <v>143.25</v>
      </c>
      <c r="DH75" s="122">
        <v>45899</v>
      </c>
      <c r="DI75" s="123">
        <v>1960.33</v>
      </c>
      <c r="DJ75" s="127">
        <v>482.12</v>
      </c>
      <c r="DK75" s="127"/>
      <c r="DL75" s="127"/>
      <c r="DM75" s="126">
        <v>0</v>
      </c>
      <c r="DN75" s="205"/>
      <c r="DO75" s="51"/>
      <c r="DP75" s="52"/>
      <c r="DQ75" s="52"/>
      <c r="DR75" s="53">
        <f t="shared" si="45"/>
        <v>0</v>
      </c>
      <c r="DT75" s="122">
        <v>45899</v>
      </c>
      <c r="DU75" s="123">
        <v>1014.93</v>
      </c>
      <c r="DV75" s="127">
        <v>1483.39</v>
      </c>
      <c r="DW75" s="127"/>
      <c r="DX75" s="126">
        <v>4.5</v>
      </c>
      <c r="DY75" s="205"/>
      <c r="DZ75" s="51"/>
      <c r="EA75" s="52"/>
      <c r="EB75" s="52"/>
      <c r="EC75" s="53">
        <f t="shared" si="46"/>
        <v>4.5</v>
      </c>
      <c r="EE75" s="122">
        <v>45899</v>
      </c>
      <c r="EF75" s="123">
        <v>1240.3</v>
      </c>
      <c r="EG75" s="127">
        <v>1007.67</v>
      </c>
      <c r="EH75" s="127"/>
      <c r="EI75" s="126">
        <v>10.91</v>
      </c>
      <c r="EJ75" s="205"/>
      <c r="EK75" s="51"/>
      <c r="EL75" s="173"/>
      <c r="EM75" s="52"/>
      <c r="EN75" s="52"/>
      <c r="EO75" s="53">
        <f t="shared" si="47"/>
        <v>10.91</v>
      </c>
      <c r="EQ75" s="122">
        <v>45899</v>
      </c>
      <c r="ER75" s="123">
        <v>3769.5</v>
      </c>
      <c r="ES75" s="259">
        <v>559.38</v>
      </c>
      <c r="ET75" s="127"/>
      <c r="EU75" s="258">
        <v>62.96</v>
      </c>
      <c r="EV75" s="205"/>
      <c r="EW75" s="51"/>
      <c r="EX75" s="52"/>
      <c r="EY75" s="52"/>
      <c r="EZ75" s="53">
        <f t="shared" si="48"/>
        <v>62.96</v>
      </c>
      <c r="FB75" s="122">
        <v>45899</v>
      </c>
      <c r="FC75" s="123">
        <v>840.05</v>
      </c>
      <c r="FD75" s="123">
        <v>207.97</v>
      </c>
      <c r="FE75" s="125"/>
      <c r="FF75" s="126"/>
      <c r="FG75" s="205"/>
      <c r="FH75" s="51"/>
      <c r="FI75" s="52"/>
      <c r="FJ75" s="52"/>
      <c r="FK75" s="53">
        <f t="shared" si="49"/>
        <v>0</v>
      </c>
    </row>
    <row r="76" spans="2:167" hidden="1" x14ac:dyDescent="0.25">
      <c r="B76" s="122">
        <v>45900</v>
      </c>
      <c r="C76" s="123">
        <v>9144.0400000000009</v>
      </c>
      <c r="D76" s="125"/>
      <c r="E76" s="125"/>
      <c r="F76" s="125">
        <v>35.4</v>
      </c>
      <c r="H76" s="79"/>
      <c r="I76" s="80"/>
      <c r="J76" s="80"/>
      <c r="K76" s="81">
        <f t="shared" si="35"/>
        <v>35.4</v>
      </c>
      <c r="M76" s="122">
        <v>45900</v>
      </c>
      <c r="N76" s="123">
        <v>2934.02</v>
      </c>
      <c r="O76" s="127"/>
      <c r="P76" s="261">
        <v>11.63</v>
      </c>
      <c r="R76" s="79"/>
      <c r="S76" s="80"/>
      <c r="T76" s="80"/>
      <c r="U76" s="81">
        <f t="shared" si="36"/>
        <v>11.63</v>
      </c>
      <c r="W76" s="122">
        <v>45900</v>
      </c>
      <c r="X76" s="123">
        <v>684.04</v>
      </c>
      <c r="Y76" s="123">
        <v>150.38999999999999</v>
      </c>
      <c r="Z76" s="125"/>
      <c r="AA76" s="123"/>
      <c r="AC76" s="79"/>
      <c r="AD76" s="80"/>
      <c r="AE76" s="80"/>
      <c r="AF76" s="81">
        <f t="shared" si="50"/>
        <v>0</v>
      </c>
      <c r="AI76" s="122">
        <v>45900</v>
      </c>
      <c r="AJ76" s="123">
        <v>1253.23</v>
      </c>
      <c r="AK76" s="127"/>
      <c r="AL76" s="262"/>
      <c r="AN76" s="79"/>
      <c r="AO76" s="80"/>
      <c r="AP76" s="80"/>
      <c r="AQ76" s="81">
        <f t="shared" si="51"/>
        <v>0</v>
      </c>
      <c r="AS76" s="122">
        <v>45900</v>
      </c>
      <c r="AT76" s="123">
        <v>3357.13</v>
      </c>
      <c r="AU76" s="127"/>
      <c r="AV76" s="261"/>
      <c r="AX76" s="79"/>
      <c r="AY76" s="80"/>
      <c r="AZ76" s="80"/>
      <c r="BA76" s="81">
        <f t="shared" si="52"/>
        <v>0</v>
      </c>
      <c r="BC76" s="122">
        <v>45900</v>
      </c>
      <c r="BD76" s="123">
        <v>2782.92</v>
      </c>
      <c r="BE76" s="125"/>
      <c r="BF76" s="128">
        <v>0</v>
      </c>
      <c r="BH76" s="79"/>
      <c r="BI76" s="80"/>
      <c r="BJ76" s="80"/>
      <c r="BK76" s="81">
        <f t="shared" si="53"/>
        <v>0</v>
      </c>
      <c r="BM76" s="122">
        <v>45900</v>
      </c>
      <c r="BN76" s="123">
        <v>11514.09</v>
      </c>
      <c r="BO76" s="123">
        <v>1803.11</v>
      </c>
      <c r="BP76" s="123">
        <v>5068.2</v>
      </c>
      <c r="BQ76" s="125"/>
      <c r="BR76" s="125"/>
      <c r="BT76" s="79"/>
      <c r="BU76" s="80"/>
      <c r="BV76" s="80"/>
      <c r="BW76" s="81">
        <f t="shared" si="41"/>
        <v>0</v>
      </c>
      <c r="BY76" s="122">
        <v>45900</v>
      </c>
      <c r="BZ76" s="256">
        <v>605.07000000000005</v>
      </c>
      <c r="CA76" s="257">
        <v>159.04</v>
      </c>
      <c r="CB76" s="125"/>
      <c r="CC76" s="126"/>
      <c r="CE76" s="79"/>
      <c r="CF76" s="80"/>
      <c r="CG76" s="80"/>
      <c r="CH76" s="81">
        <f t="shared" si="42"/>
        <v>0</v>
      </c>
      <c r="CJ76" s="122">
        <v>45900</v>
      </c>
      <c r="CK76" s="123">
        <v>3566.14</v>
      </c>
      <c r="CL76" s="123">
        <v>630.55999999999995</v>
      </c>
      <c r="CM76" s="125"/>
      <c r="CN76" s="126">
        <v>0</v>
      </c>
      <c r="CP76" s="79"/>
      <c r="CQ76" s="80"/>
      <c r="CR76" s="80"/>
      <c r="CS76" s="81">
        <f t="shared" si="43"/>
        <v>0</v>
      </c>
      <c r="CU76" s="122">
        <v>45900</v>
      </c>
      <c r="CV76" s="123">
        <v>821.92</v>
      </c>
      <c r="CW76" s="127">
        <v>287.33</v>
      </c>
      <c r="CX76" s="125"/>
      <c r="CY76" s="126">
        <v>241.69</v>
      </c>
      <c r="DA76" s="79"/>
      <c r="DB76" s="188"/>
      <c r="DC76" s="80"/>
      <c r="DD76" s="80"/>
      <c r="DE76" s="81">
        <f t="shared" si="44"/>
        <v>241.69</v>
      </c>
      <c r="DH76" s="122">
        <v>45900</v>
      </c>
      <c r="DI76" s="123">
        <v>1810.43</v>
      </c>
      <c r="DJ76" s="127">
        <v>191.87</v>
      </c>
      <c r="DK76" s="127"/>
      <c r="DL76" s="127"/>
      <c r="DM76" s="126">
        <v>4</v>
      </c>
      <c r="DO76" s="79"/>
      <c r="DP76" s="80"/>
      <c r="DQ76" s="80"/>
      <c r="DR76" s="81">
        <f t="shared" si="45"/>
        <v>4</v>
      </c>
      <c r="DT76" s="122">
        <v>45900</v>
      </c>
      <c r="DU76" s="123">
        <v>988.16</v>
      </c>
      <c r="DV76" s="127">
        <v>1101.42</v>
      </c>
      <c r="DW76" s="127"/>
      <c r="DX76" s="126">
        <v>6</v>
      </c>
      <c r="DZ76" s="79"/>
      <c r="EA76" s="80"/>
      <c r="EB76" s="80"/>
      <c r="EC76" s="81">
        <f t="shared" si="46"/>
        <v>6</v>
      </c>
      <c r="EE76" s="122">
        <v>45900</v>
      </c>
      <c r="EF76" s="123">
        <v>1083.6600000000001</v>
      </c>
      <c r="EG76" s="127">
        <v>782.94</v>
      </c>
      <c r="EH76" s="127"/>
      <c r="EI76" s="126">
        <v>13.52</v>
      </c>
      <c r="EK76" s="79"/>
      <c r="EL76" s="188"/>
      <c r="EM76" s="80"/>
      <c r="EN76" s="80"/>
      <c r="EO76" s="81">
        <f t="shared" si="47"/>
        <v>13.52</v>
      </c>
      <c r="EQ76" s="122">
        <v>45900</v>
      </c>
      <c r="ER76" s="123">
        <v>1819.81</v>
      </c>
      <c r="ES76" s="263">
        <v>232.67</v>
      </c>
      <c r="ET76" s="127"/>
      <c r="EU76" s="258">
        <v>0</v>
      </c>
      <c r="EW76" s="79"/>
      <c r="EX76" s="80"/>
      <c r="EY76" s="80"/>
      <c r="EZ76" s="81">
        <f t="shared" si="48"/>
        <v>0</v>
      </c>
      <c r="FB76" s="122">
        <v>45900</v>
      </c>
      <c r="FC76" s="123">
        <v>474.1</v>
      </c>
      <c r="FD76" s="123">
        <v>197.42</v>
      </c>
      <c r="FE76" s="125"/>
      <c r="FF76" s="126"/>
      <c r="FH76" s="79"/>
      <c r="FI76" s="80"/>
      <c r="FJ76" s="80"/>
      <c r="FK76" s="81">
        <f t="shared" si="49"/>
        <v>0</v>
      </c>
    </row>
    <row r="77" spans="2:167" s="32" customFormat="1" ht="19.5" hidden="1" thickBot="1" x14ac:dyDescent="0.35">
      <c r="C77" s="129">
        <f>SUM(C46:C76)</f>
        <v>346994.86</v>
      </c>
      <c r="D77" s="129">
        <f>SUM(D46:D76)</f>
        <v>0</v>
      </c>
      <c r="F77" s="129">
        <f>SUM(F46:F76)</f>
        <v>1351.41</v>
      </c>
      <c r="G77" s="268"/>
      <c r="H77" s="107">
        <f>SUM(H46:H76)</f>
        <v>0</v>
      </c>
      <c r="I77" s="108">
        <f>SUM(I46:I76)</f>
        <v>0</v>
      </c>
      <c r="J77" s="108">
        <f>SUM(J46:J76)</f>
        <v>0</v>
      </c>
      <c r="K77" s="108">
        <f>SUM(K46:K76)</f>
        <v>1351.41</v>
      </c>
      <c r="N77" s="129">
        <f>SUM(N46:N76)</f>
        <v>105899.42000000001</v>
      </c>
      <c r="O77" s="129"/>
      <c r="P77" s="129">
        <f>SUM(P46:P76)</f>
        <v>787.83000000000015</v>
      </c>
      <c r="Q77" s="268"/>
      <c r="R77" s="107">
        <f>SUM(R46:R76)</f>
        <v>0</v>
      </c>
      <c r="S77" s="108">
        <f>SUM(S46:S76)</f>
        <v>0</v>
      </c>
      <c r="T77" s="108">
        <f>SUM(T46:T76)</f>
        <v>0</v>
      </c>
      <c r="U77" s="108">
        <f>SUM(U46:U76)</f>
        <v>787.83000000000015</v>
      </c>
      <c r="X77" s="129">
        <f>SUM(X46:X76)</f>
        <v>43721.44999999999</v>
      </c>
      <c r="Y77" s="129">
        <f>SUM(Y46:Y76)</f>
        <v>5016.59</v>
      </c>
      <c r="AA77" s="129">
        <f>SUM(AA46:AA75)</f>
        <v>0</v>
      </c>
      <c r="AB77" s="268"/>
      <c r="AC77" s="107">
        <f>SUM(AC46:AC76)</f>
        <v>0</v>
      </c>
      <c r="AD77" s="108">
        <f>SUM(AD46:AD76)</f>
        <v>0</v>
      </c>
      <c r="AE77" s="108">
        <f>SUM(AE46:AE76)</f>
        <v>0</v>
      </c>
      <c r="AF77" s="108">
        <f>SUM(AF46:AF76)</f>
        <v>0</v>
      </c>
      <c r="AJ77" s="129">
        <f>SUM(AJ46:AJ76)</f>
        <v>43840.62</v>
      </c>
      <c r="AM77" s="268"/>
      <c r="AN77" s="107">
        <f>SUM(AN46:AN76)</f>
        <v>0</v>
      </c>
      <c r="AO77" s="108">
        <f>SUM(AO46:AO76)</f>
        <v>0</v>
      </c>
      <c r="AP77" s="108">
        <f>SUM(AP46:AP76)</f>
        <v>0</v>
      </c>
      <c r="AQ77" s="108">
        <f>SUM(AQ46:AQ76)</f>
        <v>0</v>
      </c>
      <c r="AT77" s="129">
        <f>SUM(AT46:AT76)</f>
        <v>104396.72</v>
      </c>
      <c r="AV77" s="129">
        <f>SUM(AV46:AV76)</f>
        <v>0</v>
      </c>
      <c r="AW77" s="268"/>
      <c r="AX77" s="107">
        <f>SUM(AX46:AX76)</f>
        <v>0</v>
      </c>
      <c r="AY77" s="108">
        <f>SUM(AY46:AY76)</f>
        <v>0</v>
      </c>
      <c r="AZ77" s="108">
        <f>SUM(AZ46:AZ76)</f>
        <v>0</v>
      </c>
      <c r="BA77" s="108">
        <f>SUM(BA46:BA76)</f>
        <v>0</v>
      </c>
      <c r="BD77" s="129">
        <f>SUM(BD46:BD76)</f>
        <v>91932.310000000012</v>
      </c>
      <c r="BF77" s="129">
        <f>SUM(BF46:BF76)</f>
        <v>263.93</v>
      </c>
      <c r="BG77" s="268"/>
      <c r="BH77" s="107">
        <f>SUM(BH46:BH76)</f>
        <v>0</v>
      </c>
      <c r="BI77" s="108">
        <f>SUM(BI46:BI76)</f>
        <v>0</v>
      </c>
      <c r="BJ77" s="108">
        <f>SUM(BJ46:BJ76)</f>
        <v>0</v>
      </c>
      <c r="BK77" s="108">
        <f>SUM(BK46:BK76)</f>
        <v>263.93</v>
      </c>
      <c r="BN77" s="129">
        <f>SUM(BN46:BN76)</f>
        <v>393315.34</v>
      </c>
      <c r="BO77" s="129">
        <f>SUM(BO46:BO76)</f>
        <v>84236.409999999989</v>
      </c>
      <c r="BP77" s="129">
        <f>SUM(BP46:BP76)</f>
        <v>235737.78</v>
      </c>
      <c r="BQ77" s="129">
        <f>SUM(BQ46:BQ76)</f>
        <v>0</v>
      </c>
      <c r="BR77" s="129">
        <f>SUM(BR46:BR76)</f>
        <v>0</v>
      </c>
      <c r="BS77" s="268"/>
      <c r="BT77" s="107">
        <f>SUM(BT46:BT76)</f>
        <v>0</v>
      </c>
      <c r="BU77" s="108">
        <f>SUM(BU46:BU76)</f>
        <v>0</v>
      </c>
      <c r="BV77" s="108">
        <f>SUM(BV46:BV76)</f>
        <v>0</v>
      </c>
      <c r="BW77" s="108">
        <f>SUM(BW46:BW76)</f>
        <v>0</v>
      </c>
      <c r="BZ77" s="129">
        <f>SUM(BZ46:BZ76)</f>
        <v>48670.68</v>
      </c>
      <c r="CA77" s="129">
        <f>SUM(CA46:CA76)</f>
        <v>17209.349999999999</v>
      </c>
      <c r="CC77" s="129"/>
      <c r="CD77" s="268"/>
      <c r="CE77" s="107">
        <f>SUM(CE46:CE76)</f>
        <v>0</v>
      </c>
      <c r="CF77" s="108">
        <f>SUM(CF46:CF76)</f>
        <v>0</v>
      </c>
      <c r="CG77" s="108">
        <f>SUM(CG46:CG76)</f>
        <v>0</v>
      </c>
      <c r="CH77" s="108">
        <f>SUM(CH46:CH76)</f>
        <v>0</v>
      </c>
      <c r="CK77" s="129">
        <f>SUM(CK46:CK76)</f>
        <v>151769.32999999999</v>
      </c>
      <c r="CL77" s="129">
        <f>SUM(CL46:CL76)</f>
        <v>20676.529999999995</v>
      </c>
      <c r="CN77" s="129">
        <f>SUM(CN46:CN76)</f>
        <v>320.91000000000003</v>
      </c>
      <c r="CO77" s="268"/>
      <c r="CP77" s="107">
        <f>SUM(CP46:CP76)</f>
        <v>0</v>
      </c>
      <c r="CQ77" s="108">
        <f>SUM(CQ46:CQ76)</f>
        <v>0</v>
      </c>
      <c r="CR77" s="108">
        <f>SUM(CR46:CR76)</f>
        <v>0</v>
      </c>
      <c r="CS77" s="108">
        <f>SUM(CS46:CS76)</f>
        <v>320.91000000000003</v>
      </c>
      <c r="CV77" s="129">
        <f>SUM(CV46:CV76)</f>
        <v>234603.09000000003</v>
      </c>
      <c r="CW77" s="129">
        <f>SUM(CW46:CW76)</f>
        <v>24832.480000000003</v>
      </c>
      <c r="CY77" s="129">
        <f>SUM(CY46:CY76)</f>
        <v>6154.2300000000005</v>
      </c>
      <c r="CZ77" s="268"/>
      <c r="DA77" s="107">
        <f>SUM(DA46:DA76)</f>
        <v>0</v>
      </c>
      <c r="DB77" s="434"/>
      <c r="DC77" s="108">
        <f>SUM(DC46:DC76)</f>
        <v>0</v>
      </c>
      <c r="DD77" s="108">
        <f>SUM(DD46:DD76)</f>
        <v>0</v>
      </c>
      <c r="DE77" s="108">
        <f>SUM(DE46:DE76)</f>
        <v>6154.2300000000005</v>
      </c>
      <c r="DI77" s="129">
        <f>SUM(DI46:DI76)</f>
        <v>45806.590000000004</v>
      </c>
      <c r="DJ77" s="129">
        <f>SUM(DJ46:DJ76)</f>
        <v>12154.559999999998</v>
      </c>
      <c r="DK77" s="129"/>
      <c r="DM77" s="129">
        <f>SUM(DM46:DM76)</f>
        <v>239.01</v>
      </c>
      <c r="DN77" s="268"/>
      <c r="DO77" s="107">
        <f>SUM(DO46:DO76)</f>
        <v>0</v>
      </c>
      <c r="DP77" s="108">
        <f>SUM(DP46:DP76)</f>
        <v>0</v>
      </c>
      <c r="DQ77" s="108">
        <f>SUM(DQ46:DQ76)</f>
        <v>0</v>
      </c>
      <c r="DR77" s="108">
        <f>SUM(DR46:DR76)</f>
        <v>239.01</v>
      </c>
      <c r="DU77" s="264">
        <f>SUM(DU46:DU76)</f>
        <v>33399.96</v>
      </c>
      <c r="DV77" s="129">
        <f>SUM(DV46:DV76)</f>
        <v>32831.430000000008</v>
      </c>
      <c r="DX77" s="264">
        <f>SUM(DX46:DX76)</f>
        <v>745.37</v>
      </c>
      <c r="DY77" s="268"/>
      <c r="DZ77" s="107">
        <f>SUM(DZ46:DZ76)</f>
        <v>0</v>
      </c>
      <c r="EA77" s="108">
        <f>SUM(EA46:EA76)</f>
        <v>0</v>
      </c>
      <c r="EB77" s="108">
        <f>SUM(EB46:EB76)</f>
        <v>0</v>
      </c>
      <c r="EC77" s="108">
        <f>SUM(EC46:EC76)</f>
        <v>745.37</v>
      </c>
      <c r="EF77" s="129">
        <f>SUM(EF46:EF76)</f>
        <v>29653.51</v>
      </c>
      <c r="EG77" s="129">
        <f>SUM(EG46:EG76)</f>
        <v>24871.050000000003</v>
      </c>
      <c r="EI77" s="129">
        <f>SUM(EI46:EI76)</f>
        <v>257.75</v>
      </c>
      <c r="EJ77" s="268"/>
      <c r="EK77" s="107">
        <f>SUM(EK46:EK76)</f>
        <v>0</v>
      </c>
      <c r="EL77" s="434"/>
      <c r="EM77" s="108">
        <f>SUM(EM46:EM76)</f>
        <v>0</v>
      </c>
      <c r="EN77" s="108">
        <f>SUM(EN46:EN76)</f>
        <v>0</v>
      </c>
      <c r="EO77" s="108">
        <f>SUM(EO46:EO76)</f>
        <v>257.75</v>
      </c>
      <c r="EQ77" s="265"/>
      <c r="ER77" s="129">
        <f>SUM(ER46:ER76)</f>
        <v>104520.92</v>
      </c>
      <c r="ES77" s="129">
        <f>SUM(ES46:ES76)</f>
        <v>8533.67</v>
      </c>
      <c r="EU77" s="129">
        <f>SUM(EU46:EU76)</f>
        <v>4702.2099999999991</v>
      </c>
      <c r="EV77" s="268"/>
      <c r="EW77" s="107">
        <f>SUM(EW46:EW76)</f>
        <v>0</v>
      </c>
      <c r="EX77" s="108">
        <f>SUM(EX46:EX76)</f>
        <v>0</v>
      </c>
      <c r="EY77" s="108">
        <f>SUM(EY46:EY76)</f>
        <v>0</v>
      </c>
      <c r="EZ77" s="108">
        <f>SUM(EZ46:EZ76)</f>
        <v>4702.2099999999991</v>
      </c>
      <c r="FC77" s="129">
        <f>SUM(FC46:FC76)</f>
        <v>22505.279999999999</v>
      </c>
      <c r="FD77" s="129">
        <f>SUM(FD46:FD76)</f>
        <v>6324.0700000000006</v>
      </c>
      <c r="FF77" s="129">
        <f>SUM(FF46:FF76)</f>
        <v>0</v>
      </c>
      <c r="FG77" s="268"/>
      <c r="FH77" s="107">
        <f>SUM(FH46:FH76)</f>
        <v>0</v>
      </c>
      <c r="FI77" s="108">
        <f>SUM(FI46:FI76)</f>
        <v>0</v>
      </c>
      <c r="FJ77" s="108">
        <f>SUM(FJ46:FJ76)</f>
        <v>0</v>
      </c>
      <c r="FK77" s="108">
        <f>SUM(FK46:FK76)</f>
        <v>0</v>
      </c>
    </row>
    <row r="78" spans="2:167" hidden="1" x14ac:dyDescent="0.25">
      <c r="DU78" s="266"/>
      <c r="EQ78" s="267"/>
    </row>
    <row r="79" spans="2:167" hidden="1" x14ac:dyDescent="0.25">
      <c r="DU79" s="266"/>
      <c r="EQ79" s="267"/>
    </row>
    <row r="80" spans="2:167" hidden="1" x14ac:dyDescent="0.25">
      <c r="B80" s="119" t="s">
        <v>14</v>
      </c>
      <c r="C80" s="120" t="s">
        <v>15</v>
      </c>
      <c r="D80" s="120" t="s">
        <v>15</v>
      </c>
      <c r="E80" s="121" t="s">
        <v>16</v>
      </c>
      <c r="F80" s="121" t="s">
        <v>16</v>
      </c>
      <c r="M80" s="119" t="s">
        <v>14</v>
      </c>
      <c r="N80" s="120" t="s">
        <v>15</v>
      </c>
      <c r="O80" s="120" t="s">
        <v>15</v>
      </c>
      <c r="P80" s="121" t="s">
        <v>16</v>
      </c>
      <c r="W80" s="119" t="s">
        <v>14</v>
      </c>
      <c r="X80" s="120" t="s">
        <v>15</v>
      </c>
      <c r="Y80" s="120" t="s">
        <v>15</v>
      </c>
      <c r="Z80" s="121" t="s">
        <v>16</v>
      </c>
      <c r="AA80" s="121" t="s">
        <v>16</v>
      </c>
      <c r="AI80" s="119" t="s">
        <v>14</v>
      </c>
      <c r="AJ80" s="120" t="s">
        <v>15</v>
      </c>
      <c r="AK80" s="120" t="s">
        <v>15</v>
      </c>
      <c r="AL80" s="121" t="s">
        <v>16</v>
      </c>
      <c r="AS80" s="119" t="s">
        <v>14</v>
      </c>
      <c r="AT80" s="120" t="s">
        <v>15</v>
      </c>
      <c r="AU80" s="120" t="s">
        <v>15</v>
      </c>
      <c r="AV80" s="121" t="s">
        <v>16</v>
      </c>
      <c r="BC80" s="119" t="s">
        <v>14</v>
      </c>
      <c r="BD80" s="120" t="s">
        <v>15</v>
      </c>
      <c r="BE80" s="120" t="s">
        <v>15</v>
      </c>
      <c r="BF80" s="121" t="s">
        <v>16</v>
      </c>
      <c r="BM80" s="119" t="s">
        <v>14</v>
      </c>
      <c r="BN80" s="120" t="s">
        <v>15</v>
      </c>
      <c r="BO80" s="120" t="s">
        <v>15</v>
      </c>
      <c r="BP80" s="120" t="s">
        <v>15</v>
      </c>
      <c r="BQ80" s="121" t="s">
        <v>16</v>
      </c>
      <c r="BR80" s="121" t="s">
        <v>16</v>
      </c>
      <c r="BY80" s="119" t="s">
        <v>14</v>
      </c>
      <c r="BZ80" s="252" t="s">
        <v>15</v>
      </c>
      <c r="CA80" s="253" t="s">
        <v>15</v>
      </c>
      <c r="CB80" s="121" t="s">
        <v>16</v>
      </c>
      <c r="CC80" s="121" t="s">
        <v>16</v>
      </c>
      <c r="CJ80" s="119" t="s">
        <v>14</v>
      </c>
      <c r="CK80" s="120" t="s">
        <v>15</v>
      </c>
      <c r="CL80" s="120" t="s">
        <v>15</v>
      </c>
      <c r="CM80" s="121" t="s">
        <v>16</v>
      </c>
      <c r="CN80" s="121" t="s">
        <v>16</v>
      </c>
      <c r="CU80" s="119" t="s">
        <v>14</v>
      </c>
      <c r="CV80" s="120" t="s">
        <v>15</v>
      </c>
      <c r="CW80" s="120" t="s">
        <v>15</v>
      </c>
      <c r="CX80" s="121" t="s">
        <v>16</v>
      </c>
      <c r="CY80" s="121" t="s">
        <v>16</v>
      </c>
      <c r="DH80" s="119" t="s">
        <v>14</v>
      </c>
      <c r="DI80" s="120" t="s">
        <v>15</v>
      </c>
      <c r="DJ80" s="120" t="s">
        <v>15</v>
      </c>
      <c r="DK80" s="120"/>
      <c r="DL80" s="121" t="s">
        <v>16</v>
      </c>
      <c r="DM80" s="121" t="s">
        <v>16</v>
      </c>
      <c r="DT80" s="119" t="s">
        <v>14</v>
      </c>
      <c r="DU80" s="120" t="s">
        <v>15</v>
      </c>
      <c r="DV80" s="120" t="s">
        <v>15</v>
      </c>
      <c r="DW80" s="121" t="s">
        <v>16</v>
      </c>
      <c r="DX80" s="121" t="s">
        <v>16</v>
      </c>
      <c r="EE80" s="119" t="s">
        <v>14</v>
      </c>
      <c r="EF80" s="120" t="s">
        <v>15</v>
      </c>
      <c r="EG80" s="252" t="s">
        <v>15</v>
      </c>
      <c r="EH80" s="121" t="s">
        <v>16</v>
      </c>
      <c r="EI80" s="121" t="s">
        <v>16</v>
      </c>
      <c r="EQ80" s="119" t="s">
        <v>14</v>
      </c>
      <c r="ER80" s="120" t="s">
        <v>15</v>
      </c>
      <c r="ES80" s="120" t="s">
        <v>15</v>
      </c>
      <c r="ET80" s="121" t="s">
        <v>16</v>
      </c>
      <c r="EU80" s="121" t="s">
        <v>16</v>
      </c>
      <c r="FB80" s="119" t="s">
        <v>14</v>
      </c>
      <c r="FC80" s="120" t="s">
        <v>15</v>
      </c>
      <c r="FD80" s="120" t="s">
        <v>15</v>
      </c>
      <c r="FE80" s="121" t="s">
        <v>16</v>
      </c>
      <c r="FF80" s="121" t="s">
        <v>16</v>
      </c>
    </row>
    <row r="81" spans="2:162" hidden="1" x14ac:dyDescent="0.25">
      <c r="B81" s="119"/>
      <c r="C81" s="120" t="s">
        <v>18</v>
      </c>
      <c r="D81" s="120" t="s">
        <v>19</v>
      </c>
      <c r="E81" s="121" t="s">
        <v>19</v>
      </c>
      <c r="F81" s="121" t="s">
        <v>25</v>
      </c>
      <c r="M81" s="119"/>
      <c r="N81" s="120" t="s">
        <v>18</v>
      </c>
      <c r="O81" s="120" t="s">
        <v>19</v>
      </c>
      <c r="P81" s="121" t="s">
        <v>25</v>
      </c>
      <c r="W81" s="119"/>
      <c r="X81" s="120" t="s">
        <v>18</v>
      </c>
      <c r="Y81" s="120" t="s">
        <v>19</v>
      </c>
      <c r="Z81" s="121" t="s">
        <v>19</v>
      </c>
      <c r="AA81" s="121" t="s">
        <v>25</v>
      </c>
      <c r="AI81" s="119"/>
      <c r="AJ81" s="120" t="s">
        <v>18</v>
      </c>
      <c r="AK81" s="120" t="s">
        <v>19</v>
      </c>
      <c r="AL81" s="121" t="s">
        <v>25</v>
      </c>
      <c r="AS81" s="119"/>
      <c r="AT81" s="120" t="s">
        <v>18</v>
      </c>
      <c r="AU81" s="120" t="s">
        <v>19</v>
      </c>
      <c r="AV81" s="121" t="s">
        <v>25</v>
      </c>
      <c r="BC81" s="119"/>
      <c r="BD81" s="120" t="s">
        <v>18</v>
      </c>
      <c r="BE81" s="120" t="s">
        <v>19</v>
      </c>
      <c r="BF81" s="121" t="s">
        <v>25</v>
      </c>
      <c r="BM81" s="119"/>
      <c r="BN81" s="120" t="s">
        <v>18</v>
      </c>
      <c r="BO81" s="120" t="s">
        <v>19</v>
      </c>
      <c r="BP81" s="120" t="s">
        <v>20</v>
      </c>
      <c r="BQ81" s="121" t="s">
        <v>19</v>
      </c>
      <c r="BR81" s="121" t="s">
        <v>25</v>
      </c>
      <c r="BY81" s="119"/>
      <c r="BZ81" s="252" t="s">
        <v>18</v>
      </c>
      <c r="CA81" s="253" t="s">
        <v>19</v>
      </c>
      <c r="CB81" s="121" t="s">
        <v>19</v>
      </c>
      <c r="CC81" s="121" t="s">
        <v>25</v>
      </c>
      <c r="CJ81" s="119"/>
      <c r="CK81" s="120" t="s">
        <v>18</v>
      </c>
      <c r="CL81" s="120" t="s">
        <v>19</v>
      </c>
      <c r="CM81" s="121" t="s">
        <v>19</v>
      </c>
      <c r="CN81" s="121" t="s">
        <v>25</v>
      </c>
      <c r="CU81" s="119"/>
      <c r="CV81" s="120" t="s">
        <v>18</v>
      </c>
      <c r="CW81" s="120" t="s">
        <v>19</v>
      </c>
      <c r="CX81" s="121" t="s">
        <v>19</v>
      </c>
      <c r="CY81" s="121" t="s">
        <v>25</v>
      </c>
      <c r="DH81" s="119"/>
      <c r="DI81" s="120" t="s">
        <v>18</v>
      </c>
      <c r="DJ81" s="120" t="s">
        <v>19</v>
      </c>
      <c r="DK81" s="120"/>
      <c r="DL81" s="121" t="s">
        <v>19</v>
      </c>
      <c r="DM81" s="121" t="s">
        <v>25</v>
      </c>
      <c r="DT81" s="119"/>
      <c r="DU81" s="120" t="s">
        <v>18</v>
      </c>
      <c r="DV81" s="120" t="s">
        <v>19</v>
      </c>
      <c r="DW81" s="121" t="s">
        <v>19</v>
      </c>
      <c r="DX81" s="121" t="s">
        <v>25</v>
      </c>
      <c r="EE81" s="119"/>
      <c r="EF81" s="120" t="s">
        <v>18</v>
      </c>
      <c r="EG81" s="252" t="s">
        <v>19</v>
      </c>
      <c r="EH81" s="121" t="s">
        <v>19</v>
      </c>
      <c r="EI81" s="121" t="s">
        <v>25</v>
      </c>
      <c r="EQ81" s="119"/>
      <c r="ER81" s="120" t="s">
        <v>18</v>
      </c>
      <c r="ES81" s="120" t="s">
        <v>19</v>
      </c>
      <c r="ET81" s="121" t="s">
        <v>19</v>
      </c>
      <c r="EU81" s="121" t="s">
        <v>25</v>
      </c>
      <c r="FB81" s="119"/>
      <c r="FC81" s="254" t="s">
        <v>18</v>
      </c>
      <c r="FD81" s="254" t="s">
        <v>19</v>
      </c>
      <c r="FE81" s="255" t="s">
        <v>19</v>
      </c>
      <c r="FF81" s="255" t="s">
        <v>25</v>
      </c>
    </row>
    <row r="82" spans="2:162" hidden="1" x14ac:dyDescent="0.25">
      <c r="B82" s="122">
        <v>45901</v>
      </c>
      <c r="C82" s="123">
        <v>11855.63</v>
      </c>
      <c r="D82" s="126"/>
      <c r="E82" s="125"/>
      <c r="F82" s="126">
        <v>118.01</v>
      </c>
      <c r="M82" s="122">
        <v>45901</v>
      </c>
      <c r="N82" s="123">
        <v>3139.59</v>
      </c>
      <c r="O82" s="125"/>
      <c r="P82" s="126">
        <v>45</v>
      </c>
      <c r="W82" s="122">
        <v>45901</v>
      </c>
      <c r="X82" s="123">
        <v>601.03</v>
      </c>
      <c r="Y82" s="123">
        <v>20</v>
      </c>
      <c r="Z82" s="125"/>
      <c r="AA82" s="123">
        <v>0</v>
      </c>
      <c r="AI82" s="122">
        <v>45901</v>
      </c>
      <c r="AJ82" s="123">
        <v>1539.96</v>
      </c>
      <c r="AK82" s="125"/>
      <c r="AL82" s="126"/>
      <c r="AS82" s="122">
        <v>45901</v>
      </c>
      <c r="AT82" s="123">
        <v>4037.91</v>
      </c>
      <c r="AU82" s="125"/>
      <c r="AV82" s="128"/>
      <c r="BC82" s="122">
        <v>45901</v>
      </c>
      <c r="BD82" s="123">
        <v>3696.19</v>
      </c>
      <c r="BE82" s="125"/>
      <c r="BF82" s="128">
        <v>28.28</v>
      </c>
      <c r="BM82" s="122">
        <v>45901</v>
      </c>
      <c r="BN82" s="123">
        <v>13015.17</v>
      </c>
      <c r="BO82" s="123">
        <v>2839.8</v>
      </c>
      <c r="BP82" s="123">
        <v>7684.7</v>
      </c>
      <c r="BQ82" s="125"/>
      <c r="BR82" s="125"/>
      <c r="BY82" s="122">
        <v>45901</v>
      </c>
      <c r="BZ82" s="256">
        <v>907.67</v>
      </c>
      <c r="CA82" s="257">
        <v>338.03</v>
      </c>
      <c r="CB82" s="125"/>
      <c r="CC82" s="126"/>
      <c r="CJ82" s="122">
        <v>45901</v>
      </c>
      <c r="CK82" s="123">
        <v>5374.21</v>
      </c>
      <c r="CL82" s="123">
        <v>784.34</v>
      </c>
      <c r="CM82" s="125"/>
      <c r="CN82" s="125">
        <v>13</v>
      </c>
      <c r="CU82" s="122">
        <v>45901</v>
      </c>
      <c r="CV82" s="123">
        <v>7398.4</v>
      </c>
      <c r="CW82" s="269">
        <v>710.09</v>
      </c>
      <c r="CX82" s="125"/>
      <c r="CY82" s="126">
        <v>97.66</v>
      </c>
      <c r="DH82" s="122">
        <v>45901</v>
      </c>
      <c r="DI82" s="123">
        <v>849.03</v>
      </c>
      <c r="DJ82" s="127">
        <v>317.67</v>
      </c>
      <c r="DK82" s="127"/>
      <c r="DL82" s="127"/>
      <c r="DM82" s="126">
        <v>0</v>
      </c>
      <c r="DT82" s="122">
        <v>45901</v>
      </c>
      <c r="DU82" s="123">
        <v>1351.25</v>
      </c>
      <c r="DV82" s="269">
        <v>1566.11</v>
      </c>
      <c r="DW82" s="127"/>
      <c r="DX82" s="126">
        <v>40.65</v>
      </c>
      <c r="EE82" s="122">
        <v>45901</v>
      </c>
      <c r="EF82" s="123">
        <v>746.6</v>
      </c>
      <c r="EG82" s="269">
        <v>585.99</v>
      </c>
      <c r="EH82" s="127"/>
      <c r="EI82" s="126">
        <v>14.34</v>
      </c>
      <c r="EQ82" s="122">
        <v>45901</v>
      </c>
      <c r="ER82" s="123">
        <v>3901.37</v>
      </c>
      <c r="ES82" s="259">
        <v>299.64999999999998</v>
      </c>
      <c r="ET82" s="127"/>
      <c r="EU82" s="258">
        <v>131.28</v>
      </c>
      <c r="FB82" s="122">
        <v>45901</v>
      </c>
      <c r="FC82" s="123">
        <v>932.63</v>
      </c>
      <c r="FD82" s="123">
        <v>173</v>
      </c>
      <c r="FE82" s="125"/>
      <c r="FF82" s="126"/>
    </row>
    <row r="83" spans="2:162" hidden="1" x14ac:dyDescent="0.25">
      <c r="B83" s="122">
        <v>45902</v>
      </c>
      <c r="C83" s="123">
        <v>10406.64</v>
      </c>
      <c r="D83" s="125"/>
      <c r="E83" s="125"/>
      <c r="F83" s="125">
        <v>0</v>
      </c>
      <c r="M83" s="122">
        <v>45902</v>
      </c>
      <c r="N83" s="123">
        <v>3287.88</v>
      </c>
      <c r="O83" s="125"/>
      <c r="P83" s="126">
        <v>21.34</v>
      </c>
      <c r="W83" s="122">
        <v>45902</v>
      </c>
      <c r="X83" s="123">
        <v>2985.28</v>
      </c>
      <c r="Y83" s="123">
        <v>306.68</v>
      </c>
      <c r="Z83" s="125"/>
      <c r="AA83" s="123">
        <v>59.51</v>
      </c>
      <c r="AI83" s="122">
        <v>45902</v>
      </c>
      <c r="AJ83" s="123">
        <v>1350.87</v>
      </c>
      <c r="AK83" s="125"/>
      <c r="AL83" s="126"/>
      <c r="AS83" s="122">
        <v>45902</v>
      </c>
      <c r="AT83" s="123">
        <v>4255.9399999999996</v>
      </c>
      <c r="AU83" s="125"/>
      <c r="AV83" s="128"/>
      <c r="BC83" s="122">
        <v>45902</v>
      </c>
      <c r="BD83" s="123">
        <v>2788.17</v>
      </c>
      <c r="BE83" s="125"/>
      <c r="BF83" s="128">
        <v>15.16</v>
      </c>
      <c r="BM83" s="122">
        <v>45902</v>
      </c>
      <c r="BN83" s="123">
        <v>14152.77</v>
      </c>
      <c r="BO83" s="123">
        <v>2982.96</v>
      </c>
      <c r="BP83" s="123">
        <v>9106.15</v>
      </c>
      <c r="BQ83" s="125"/>
      <c r="BR83" s="125"/>
      <c r="BY83" s="122">
        <v>45902</v>
      </c>
      <c r="BZ83" s="256">
        <v>1010.98</v>
      </c>
      <c r="CA83" s="257">
        <v>546</v>
      </c>
      <c r="CB83" s="125"/>
      <c r="CC83" s="126"/>
      <c r="CJ83" s="122">
        <v>45902</v>
      </c>
      <c r="CK83" s="123">
        <v>4030.48</v>
      </c>
      <c r="CL83" s="123">
        <v>426.64</v>
      </c>
      <c r="CM83" s="125"/>
      <c r="CN83" s="125">
        <v>18.02</v>
      </c>
      <c r="CU83" s="122">
        <v>45902</v>
      </c>
      <c r="CV83" s="123">
        <v>6088.19</v>
      </c>
      <c r="CW83" s="125">
        <v>856.03</v>
      </c>
      <c r="CX83" s="125"/>
      <c r="CY83" s="128">
        <v>105.17</v>
      </c>
      <c r="DH83" s="122">
        <v>45902</v>
      </c>
      <c r="DI83" s="123">
        <v>748.88</v>
      </c>
      <c r="DJ83" s="127">
        <v>366.19</v>
      </c>
      <c r="DK83" s="127"/>
      <c r="DL83" s="127"/>
      <c r="DM83" s="126">
        <v>4</v>
      </c>
      <c r="DT83" s="122">
        <v>45902</v>
      </c>
      <c r="DU83" s="123">
        <v>1388.62</v>
      </c>
      <c r="DV83" s="269">
        <v>1211.58</v>
      </c>
      <c r="DW83" s="127"/>
      <c r="DX83" s="126">
        <v>22.46</v>
      </c>
      <c r="EE83" s="122">
        <v>45902</v>
      </c>
      <c r="EF83" s="123">
        <v>840.67</v>
      </c>
      <c r="EG83" s="269">
        <v>810.88</v>
      </c>
      <c r="EH83" s="127"/>
      <c r="EI83" s="126">
        <v>10.95</v>
      </c>
      <c r="EQ83" s="122">
        <v>45902</v>
      </c>
      <c r="ER83" s="123">
        <v>3043.19</v>
      </c>
      <c r="ES83" s="259">
        <v>331.8</v>
      </c>
      <c r="ET83" s="127"/>
      <c r="EU83" s="258">
        <v>347.74</v>
      </c>
      <c r="FB83" s="122">
        <v>45902</v>
      </c>
      <c r="FC83" s="123">
        <v>409.25</v>
      </c>
      <c r="FD83" s="123">
        <v>120.4</v>
      </c>
      <c r="FE83" s="125"/>
      <c r="FF83" s="126"/>
    </row>
    <row r="84" spans="2:162" hidden="1" x14ac:dyDescent="0.25">
      <c r="B84" s="122">
        <v>45903</v>
      </c>
      <c r="C84" s="123">
        <v>11112.16</v>
      </c>
      <c r="D84" s="125"/>
      <c r="E84" s="125"/>
      <c r="F84" s="123">
        <v>0</v>
      </c>
      <c r="M84" s="122">
        <v>45903</v>
      </c>
      <c r="N84" s="123">
        <v>2816.58</v>
      </c>
      <c r="O84" s="125"/>
      <c r="P84" s="126">
        <v>30.4</v>
      </c>
      <c r="W84" s="122">
        <v>45903</v>
      </c>
      <c r="X84" s="123">
        <v>2893.18</v>
      </c>
      <c r="Y84" s="123">
        <v>105</v>
      </c>
      <c r="Z84" s="125"/>
      <c r="AA84" s="123">
        <v>41.58</v>
      </c>
      <c r="AI84" s="122">
        <v>45903</v>
      </c>
      <c r="AJ84" s="123">
        <v>1102.01</v>
      </c>
      <c r="AK84" s="125"/>
      <c r="AL84" s="126"/>
      <c r="AS84" s="122">
        <v>45903</v>
      </c>
      <c r="AT84" s="123">
        <v>3686.07</v>
      </c>
      <c r="AU84" s="125"/>
      <c r="AV84" s="128"/>
      <c r="BC84" s="122">
        <v>45903</v>
      </c>
      <c r="BD84" s="123">
        <v>1646.52</v>
      </c>
      <c r="BE84" s="125"/>
      <c r="BF84" s="128">
        <v>3.65</v>
      </c>
      <c r="BM84" s="122">
        <v>45903</v>
      </c>
      <c r="BN84" s="123">
        <v>13838.3</v>
      </c>
      <c r="BO84" s="123">
        <v>3752.25</v>
      </c>
      <c r="BP84" s="123">
        <v>8798.8700000000008</v>
      </c>
      <c r="BQ84" s="125"/>
      <c r="BR84" s="125"/>
      <c r="BY84" s="122">
        <v>45903</v>
      </c>
      <c r="BZ84" s="256">
        <v>966.52</v>
      </c>
      <c r="CA84" s="257">
        <v>582.82000000000005</v>
      </c>
      <c r="CB84" s="125"/>
      <c r="CC84" s="126"/>
      <c r="CJ84" s="122">
        <v>45903</v>
      </c>
      <c r="CK84" s="123">
        <v>4487.45</v>
      </c>
      <c r="CL84" s="123">
        <v>530.47</v>
      </c>
      <c r="CM84" s="125"/>
      <c r="CN84" s="125">
        <v>5.18</v>
      </c>
      <c r="CU84" s="122">
        <v>45903</v>
      </c>
      <c r="CV84" s="123">
        <v>6662</v>
      </c>
      <c r="CW84" s="125">
        <v>992.67</v>
      </c>
      <c r="CX84" s="125"/>
      <c r="CY84" s="126">
        <v>94.23</v>
      </c>
      <c r="DH84" s="122">
        <v>45903</v>
      </c>
      <c r="DI84" s="123">
        <v>1080.73</v>
      </c>
      <c r="DJ84" s="126">
        <v>120.5</v>
      </c>
      <c r="DK84" s="126"/>
      <c r="DL84" s="127"/>
      <c r="DM84" s="126">
        <v>4</v>
      </c>
      <c r="DT84" s="122">
        <v>45903</v>
      </c>
      <c r="DU84" s="123">
        <v>1622.01</v>
      </c>
      <c r="DV84" s="269">
        <v>1148.5999999999999</v>
      </c>
      <c r="DW84" s="127"/>
      <c r="DX84" s="126">
        <v>12</v>
      </c>
      <c r="EE84" s="122">
        <v>45903</v>
      </c>
      <c r="EF84" s="123">
        <v>1014.54</v>
      </c>
      <c r="EG84" s="269">
        <v>793.51</v>
      </c>
      <c r="EH84" s="127"/>
      <c r="EI84" s="126">
        <v>19.66</v>
      </c>
      <c r="EQ84" s="122">
        <v>45903</v>
      </c>
      <c r="ER84" s="123">
        <v>2261.6999999999998</v>
      </c>
      <c r="ES84" s="259">
        <v>479.81</v>
      </c>
      <c r="ET84" s="127"/>
      <c r="EU84" s="258">
        <v>31.22</v>
      </c>
      <c r="FB84" s="122">
        <v>45903</v>
      </c>
      <c r="FC84" s="123">
        <v>584.12</v>
      </c>
      <c r="FD84" s="123">
        <v>217.25</v>
      </c>
      <c r="FE84" s="125"/>
      <c r="FF84" s="126"/>
    </row>
    <row r="85" spans="2:162" hidden="1" x14ac:dyDescent="0.25">
      <c r="B85" s="122">
        <v>45904</v>
      </c>
      <c r="C85" s="123">
        <v>9274.18</v>
      </c>
      <c r="D85" s="125"/>
      <c r="E85" s="125"/>
      <c r="F85" s="125">
        <v>106.21</v>
      </c>
      <c r="M85" s="122">
        <v>45904</v>
      </c>
      <c r="N85" s="123">
        <v>3939.92</v>
      </c>
      <c r="O85" s="125"/>
      <c r="P85" s="126">
        <v>30.9</v>
      </c>
      <c r="W85" s="122">
        <v>45904</v>
      </c>
      <c r="X85" s="123">
        <v>1174.51</v>
      </c>
      <c r="Y85" s="123">
        <v>119.01</v>
      </c>
      <c r="Z85" s="125"/>
      <c r="AA85" s="123">
        <v>28.74</v>
      </c>
      <c r="AI85" s="122">
        <v>45904</v>
      </c>
      <c r="AJ85" s="123">
        <v>1402.39</v>
      </c>
      <c r="AK85" s="125"/>
      <c r="AL85" s="126"/>
      <c r="AS85" s="122">
        <v>45904</v>
      </c>
      <c r="AT85" s="123">
        <v>3308.64</v>
      </c>
      <c r="AU85" s="125"/>
      <c r="AV85" s="128"/>
      <c r="BC85" s="122">
        <v>45904</v>
      </c>
      <c r="BD85" s="123">
        <v>3536.42</v>
      </c>
      <c r="BE85" s="125"/>
      <c r="BF85" s="128">
        <v>32.07</v>
      </c>
      <c r="BM85" s="122">
        <v>45904</v>
      </c>
      <c r="BN85" s="123">
        <v>12742.62</v>
      </c>
      <c r="BO85" s="123">
        <v>2311.63</v>
      </c>
      <c r="BP85" s="123">
        <v>8294.19</v>
      </c>
      <c r="BQ85" s="125"/>
      <c r="BR85" s="125"/>
      <c r="BY85" s="122">
        <v>45904</v>
      </c>
      <c r="BZ85" s="256">
        <v>1150.08</v>
      </c>
      <c r="CA85" s="257">
        <v>490.1</v>
      </c>
      <c r="CB85" s="126"/>
      <c r="CC85" s="126"/>
      <c r="CJ85" s="122">
        <v>45904</v>
      </c>
      <c r="CK85" s="123">
        <v>5799.93</v>
      </c>
      <c r="CL85" s="123">
        <v>556.94000000000005</v>
      </c>
      <c r="CM85" s="125"/>
      <c r="CN85" s="125">
        <v>17.5</v>
      </c>
      <c r="CU85" s="122">
        <v>45904</v>
      </c>
      <c r="CV85" s="123">
        <v>6644.01</v>
      </c>
      <c r="CW85" s="125">
        <v>986.28</v>
      </c>
      <c r="CX85" s="125"/>
      <c r="CY85" s="126">
        <v>195.61</v>
      </c>
      <c r="DH85" s="122">
        <v>45904</v>
      </c>
      <c r="DI85" s="123">
        <v>1647.66</v>
      </c>
      <c r="DJ85" s="127">
        <v>637.69000000000005</v>
      </c>
      <c r="DK85" s="127"/>
      <c r="DL85" s="127"/>
      <c r="DM85" s="126">
        <v>4</v>
      </c>
      <c r="DT85" s="122">
        <v>45904</v>
      </c>
      <c r="DU85" s="123">
        <v>761.57</v>
      </c>
      <c r="DV85" s="269">
        <v>1053.72</v>
      </c>
      <c r="DW85" s="127"/>
      <c r="DX85" s="126">
        <v>19.16</v>
      </c>
      <c r="EE85" s="122">
        <v>45904</v>
      </c>
      <c r="EF85" s="123">
        <v>1258.26</v>
      </c>
      <c r="EG85" s="269">
        <v>1040.6400000000001</v>
      </c>
      <c r="EH85" s="127"/>
      <c r="EI85" s="126">
        <v>9.64</v>
      </c>
      <c r="EQ85" s="122">
        <v>45904</v>
      </c>
      <c r="ER85" s="123">
        <v>1899.42</v>
      </c>
      <c r="ES85" s="259">
        <v>313.61</v>
      </c>
      <c r="ET85" s="127"/>
      <c r="EU85" s="258">
        <v>72.98</v>
      </c>
      <c r="FB85" s="122">
        <v>45904</v>
      </c>
      <c r="FC85" s="123">
        <v>592.48</v>
      </c>
      <c r="FD85" s="123">
        <v>206.84</v>
      </c>
      <c r="FE85" s="125"/>
      <c r="FF85" s="126"/>
    </row>
    <row r="86" spans="2:162" hidden="1" x14ac:dyDescent="0.25">
      <c r="B86" s="122">
        <v>45905</v>
      </c>
      <c r="C86" s="123">
        <v>13619.96</v>
      </c>
      <c r="D86" s="125"/>
      <c r="E86" s="125"/>
      <c r="F86" s="125">
        <v>41.3</v>
      </c>
      <c r="M86" s="122">
        <v>45905</v>
      </c>
      <c r="N86" s="123">
        <v>3528.11</v>
      </c>
      <c r="O86" s="125"/>
      <c r="P86" s="126">
        <v>24.53</v>
      </c>
      <c r="W86" s="122">
        <v>45905</v>
      </c>
      <c r="X86" s="123">
        <v>1832.54</v>
      </c>
      <c r="Y86" s="123">
        <v>239.83</v>
      </c>
      <c r="Z86" s="125"/>
      <c r="AA86" s="123">
        <v>13.14</v>
      </c>
      <c r="AI86" s="122">
        <v>45905</v>
      </c>
      <c r="AJ86" s="123">
        <v>1212.57</v>
      </c>
      <c r="AK86" s="125"/>
      <c r="AL86" s="126"/>
      <c r="AS86" s="122">
        <v>45905</v>
      </c>
      <c r="AT86" s="123">
        <v>3455.84</v>
      </c>
      <c r="AU86" s="125"/>
      <c r="AV86" s="128"/>
      <c r="BC86" s="122">
        <v>45905</v>
      </c>
      <c r="BD86" s="123">
        <v>3066.44</v>
      </c>
      <c r="BE86" s="125"/>
      <c r="BF86" s="128">
        <v>8.27</v>
      </c>
      <c r="BM86" s="122">
        <v>45905</v>
      </c>
      <c r="BN86" s="123">
        <v>12693.87</v>
      </c>
      <c r="BO86" s="123">
        <v>2398.66</v>
      </c>
      <c r="BP86" s="123">
        <v>9059.4500000000007</v>
      </c>
      <c r="BQ86" s="125"/>
      <c r="BR86" s="125"/>
      <c r="BY86" s="122">
        <v>45905</v>
      </c>
      <c r="BZ86" s="256">
        <v>1486.26</v>
      </c>
      <c r="CA86" s="257">
        <v>553.55999999999995</v>
      </c>
      <c r="CB86" s="125"/>
      <c r="CC86" s="126"/>
      <c r="CJ86" s="122">
        <v>45905</v>
      </c>
      <c r="CK86" s="123">
        <v>5491.58</v>
      </c>
      <c r="CL86" s="123">
        <v>451.14</v>
      </c>
      <c r="CM86" s="125"/>
      <c r="CN86" s="125">
        <v>11.11</v>
      </c>
      <c r="CU86" s="122">
        <v>45905</v>
      </c>
      <c r="CV86" s="123">
        <v>6833.49</v>
      </c>
      <c r="CW86" s="125">
        <v>1060.67</v>
      </c>
      <c r="CX86" s="125"/>
      <c r="CY86" s="126">
        <v>231.27</v>
      </c>
      <c r="DH86" s="122">
        <v>45905</v>
      </c>
      <c r="DI86" s="123">
        <v>850.18</v>
      </c>
      <c r="DJ86" s="127">
        <v>301.05</v>
      </c>
      <c r="DK86" s="127"/>
      <c r="DL86" s="127"/>
      <c r="DM86" s="126">
        <v>0</v>
      </c>
      <c r="DT86" s="122">
        <v>45905</v>
      </c>
      <c r="DU86" s="123">
        <v>1266.78</v>
      </c>
      <c r="DV86" s="269">
        <v>1197.97</v>
      </c>
      <c r="DW86" s="127"/>
      <c r="DX86" s="126">
        <v>24</v>
      </c>
      <c r="EE86" s="122">
        <v>45905</v>
      </c>
      <c r="EF86" s="123">
        <v>1713.4</v>
      </c>
      <c r="EG86" s="269">
        <v>1062.68</v>
      </c>
      <c r="EH86" s="127"/>
      <c r="EI86" s="126">
        <v>14.93</v>
      </c>
      <c r="EQ86" s="122">
        <v>45905</v>
      </c>
      <c r="ER86" s="123">
        <v>2829.57</v>
      </c>
      <c r="ES86" s="259">
        <v>498</v>
      </c>
      <c r="ET86" s="127"/>
      <c r="EU86" s="258">
        <v>158.04</v>
      </c>
      <c r="FB86" s="122">
        <v>45905</v>
      </c>
      <c r="FC86" s="123">
        <v>853.52</v>
      </c>
      <c r="FD86" s="123">
        <v>55</v>
      </c>
      <c r="FE86" s="125"/>
      <c r="FF86" s="126"/>
    </row>
    <row r="87" spans="2:162" hidden="1" x14ac:dyDescent="0.25">
      <c r="B87" s="122">
        <v>45906</v>
      </c>
      <c r="C87" s="123">
        <v>11951.85</v>
      </c>
      <c r="D87" s="125"/>
      <c r="E87" s="125"/>
      <c r="F87" s="125">
        <v>91.36</v>
      </c>
      <c r="M87" s="122">
        <v>45906</v>
      </c>
      <c r="N87" s="123">
        <v>3333.69</v>
      </c>
      <c r="O87" s="125"/>
      <c r="P87" s="126">
        <v>0</v>
      </c>
      <c r="W87" s="122">
        <v>45906</v>
      </c>
      <c r="X87" s="123">
        <v>2568.6</v>
      </c>
      <c r="Y87" s="123">
        <v>245.58</v>
      </c>
      <c r="Z87" s="125"/>
      <c r="AA87" s="123">
        <v>21.33</v>
      </c>
      <c r="AI87" s="122">
        <v>45906</v>
      </c>
      <c r="AJ87" s="123">
        <v>1612.55</v>
      </c>
      <c r="AK87" s="125"/>
      <c r="AL87" s="126"/>
      <c r="AS87" s="122">
        <v>45906</v>
      </c>
      <c r="AT87" s="123">
        <v>4103.66</v>
      </c>
      <c r="AU87" s="125"/>
      <c r="AV87" s="128"/>
      <c r="BC87" s="122">
        <v>45906</v>
      </c>
      <c r="BD87" s="123">
        <v>4291.92</v>
      </c>
      <c r="BE87" s="125"/>
      <c r="BF87" s="128">
        <v>4.66</v>
      </c>
      <c r="BM87" s="122">
        <v>45906</v>
      </c>
      <c r="BN87" s="123">
        <v>11956.28</v>
      </c>
      <c r="BO87" s="123">
        <v>3433.39</v>
      </c>
      <c r="BP87" s="123">
        <v>8263.36</v>
      </c>
      <c r="BQ87" s="125"/>
      <c r="BR87" s="125"/>
      <c r="BY87" s="122">
        <v>45906</v>
      </c>
      <c r="BZ87" s="256">
        <v>1098.6199999999999</v>
      </c>
      <c r="CA87" s="257">
        <v>555.30999999999995</v>
      </c>
      <c r="CB87" s="125"/>
      <c r="CC87" s="126"/>
      <c r="CJ87" s="122">
        <v>45906</v>
      </c>
      <c r="CK87" s="123">
        <v>3891.86</v>
      </c>
      <c r="CL87" s="123">
        <v>828.22</v>
      </c>
      <c r="CM87" s="125"/>
      <c r="CN87" s="125">
        <v>0</v>
      </c>
      <c r="CU87" s="122">
        <v>45906</v>
      </c>
      <c r="CV87" s="123">
        <v>6607.48</v>
      </c>
      <c r="CW87" s="125">
        <v>659.18</v>
      </c>
      <c r="CX87" s="125"/>
      <c r="CY87" s="126">
        <v>185.57</v>
      </c>
      <c r="DH87" s="122">
        <v>45906</v>
      </c>
      <c r="DI87" s="123">
        <v>1827.95</v>
      </c>
      <c r="DJ87" s="259">
        <v>205.01</v>
      </c>
      <c r="DK87" s="259"/>
      <c r="DL87" s="127"/>
      <c r="DM87" s="126">
        <v>4</v>
      </c>
      <c r="DT87" s="122">
        <v>45906</v>
      </c>
      <c r="DU87" s="123">
        <v>936.09</v>
      </c>
      <c r="DV87" s="269">
        <v>1020.24</v>
      </c>
      <c r="DW87" s="127"/>
      <c r="DX87" s="126">
        <v>19.66</v>
      </c>
      <c r="EE87" s="122">
        <v>45906</v>
      </c>
      <c r="EF87" s="123">
        <v>816.52</v>
      </c>
      <c r="EG87" s="269">
        <v>872.63</v>
      </c>
      <c r="EH87" s="127"/>
      <c r="EI87" s="126">
        <v>19.329999999999998</v>
      </c>
      <c r="EQ87" s="122">
        <v>45906</v>
      </c>
      <c r="ER87" s="123">
        <v>2581.41</v>
      </c>
      <c r="ES87" s="259">
        <v>329.19</v>
      </c>
      <c r="ET87" s="127"/>
      <c r="EU87" s="258">
        <v>62.04</v>
      </c>
      <c r="FB87" s="122">
        <v>45906</v>
      </c>
      <c r="FC87" s="123">
        <v>902.72</v>
      </c>
      <c r="FD87" s="123">
        <v>168.51</v>
      </c>
      <c r="FE87" s="125"/>
      <c r="FF87" s="126"/>
    </row>
    <row r="88" spans="2:162" hidden="1" x14ac:dyDescent="0.25">
      <c r="B88" s="122">
        <v>45907</v>
      </c>
      <c r="C88" s="123">
        <v>9763.76</v>
      </c>
      <c r="D88" s="125"/>
      <c r="E88" s="125"/>
      <c r="F88" s="125">
        <v>7.64</v>
      </c>
      <c r="M88" s="122">
        <v>45907</v>
      </c>
      <c r="N88" s="123">
        <v>3733.26</v>
      </c>
      <c r="O88" s="125"/>
      <c r="P88" s="126">
        <v>0</v>
      </c>
      <c r="W88" s="122">
        <v>45907</v>
      </c>
      <c r="X88" s="123">
        <v>0</v>
      </c>
      <c r="Y88" s="123">
        <v>0</v>
      </c>
      <c r="Z88" s="125"/>
      <c r="AA88" s="123">
        <v>0</v>
      </c>
      <c r="AI88" s="122">
        <v>45907</v>
      </c>
      <c r="AJ88" s="123">
        <v>1783.66</v>
      </c>
      <c r="AK88" s="125"/>
      <c r="AL88" s="126"/>
      <c r="AS88" s="122">
        <v>45907</v>
      </c>
      <c r="AT88" s="123">
        <v>3329.35</v>
      </c>
      <c r="AU88" s="125"/>
      <c r="AV88" s="128"/>
      <c r="BC88" s="122">
        <v>45907</v>
      </c>
      <c r="BD88" s="123">
        <v>1758.75</v>
      </c>
      <c r="BE88" s="125"/>
      <c r="BF88" s="128">
        <v>0</v>
      </c>
      <c r="BM88" s="122">
        <v>45907</v>
      </c>
      <c r="BN88" s="123">
        <v>11798.72</v>
      </c>
      <c r="BO88" s="123">
        <v>1897.29</v>
      </c>
      <c r="BP88" s="123">
        <v>4887.4399999999996</v>
      </c>
      <c r="BQ88" s="125"/>
      <c r="BR88" s="125"/>
      <c r="BY88" s="122">
        <v>45907</v>
      </c>
      <c r="BZ88" s="256">
        <v>1406.36</v>
      </c>
      <c r="CA88" s="257">
        <v>319.95999999999998</v>
      </c>
      <c r="CB88" s="125"/>
      <c r="CC88" s="126"/>
      <c r="CJ88" s="122">
        <v>45907</v>
      </c>
      <c r="CK88" s="123">
        <v>4338.2299999999996</v>
      </c>
      <c r="CL88" s="123">
        <v>687.24</v>
      </c>
      <c r="CM88" s="125"/>
      <c r="CN88" s="125">
        <v>15.19</v>
      </c>
      <c r="CU88" s="122">
        <v>45907</v>
      </c>
      <c r="CV88" s="123">
        <v>4729.5</v>
      </c>
      <c r="CW88" s="125">
        <v>545.46</v>
      </c>
      <c r="CX88" s="125"/>
      <c r="CY88" s="126">
        <v>94.46</v>
      </c>
      <c r="DH88" s="122">
        <v>45907</v>
      </c>
      <c r="DI88" s="123">
        <v>1791.67</v>
      </c>
      <c r="DJ88" s="127">
        <v>332.52</v>
      </c>
      <c r="DK88" s="127"/>
      <c r="DL88" s="127"/>
      <c r="DM88" s="126">
        <v>8</v>
      </c>
      <c r="DT88" s="122">
        <v>45907</v>
      </c>
      <c r="DU88" s="123">
        <v>1016.64</v>
      </c>
      <c r="DV88" s="269">
        <v>856.27</v>
      </c>
      <c r="DW88" s="127"/>
      <c r="DX88" s="126">
        <v>4.8</v>
      </c>
      <c r="EE88" s="122">
        <v>45907</v>
      </c>
      <c r="EF88" s="123">
        <v>642.14</v>
      </c>
      <c r="EG88" s="269">
        <v>0</v>
      </c>
      <c r="EH88" s="127"/>
      <c r="EI88" s="126">
        <v>0.39</v>
      </c>
      <c r="EQ88" s="122">
        <v>45907</v>
      </c>
      <c r="ER88" s="123">
        <v>2343.63</v>
      </c>
      <c r="ES88" s="259">
        <v>182.87</v>
      </c>
      <c r="ET88" s="127"/>
      <c r="EU88" s="258">
        <v>0</v>
      </c>
      <c r="FB88" s="122">
        <v>45907</v>
      </c>
      <c r="FC88" s="123">
        <v>505.22</v>
      </c>
      <c r="FD88" s="123">
        <v>125.76</v>
      </c>
      <c r="FE88" s="125"/>
      <c r="FF88" s="126"/>
    </row>
    <row r="89" spans="2:162" hidden="1" x14ac:dyDescent="0.25">
      <c r="B89" s="122">
        <v>45908</v>
      </c>
      <c r="C89" s="123">
        <v>13896.35</v>
      </c>
      <c r="D89" s="125"/>
      <c r="E89" s="125"/>
      <c r="F89" s="125">
        <v>83.88</v>
      </c>
      <c r="M89" s="122">
        <v>45908</v>
      </c>
      <c r="N89" s="123">
        <v>2674.36</v>
      </c>
      <c r="O89" s="125"/>
      <c r="P89" s="126">
        <v>23.51</v>
      </c>
      <c r="W89" s="122">
        <v>45908</v>
      </c>
      <c r="X89" s="123">
        <v>150</v>
      </c>
      <c r="Y89" s="123">
        <v>54.47</v>
      </c>
      <c r="Z89" s="125"/>
      <c r="AA89" s="123">
        <v>169.78</v>
      </c>
      <c r="AI89" s="122">
        <v>45908</v>
      </c>
      <c r="AJ89" s="123">
        <v>1673.01</v>
      </c>
      <c r="AK89" s="125"/>
      <c r="AL89" s="126"/>
      <c r="AS89" s="122">
        <v>45908</v>
      </c>
      <c r="AT89" s="123">
        <v>4126.24</v>
      </c>
      <c r="AU89" s="125"/>
      <c r="AV89" s="128"/>
      <c r="BC89" s="122">
        <v>45908</v>
      </c>
      <c r="BD89" s="123">
        <v>2275.33</v>
      </c>
      <c r="BE89" s="125"/>
      <c r="BF89" s="128">
        <v>0</v>
      </c>
      <c r="BM89" s="122">
        <v>45908</v>
      </c>
      <c r="BN89" s="123">
        <v>12189.89</v>
      </c>
      <c r="BO89" s="123">
        <v>2064.04</v>
      </c>
      <c r="BP89" s="123">
        <v>7587.12</v>
      </c>
      <c r="BQ89" s="125"/>
      <c r="BR89" s="125"/>
      <c r="BY89" s="122">
        <v>45908</v>
      </c>
      <c r="BZ89" s="256">
        <v>1711.51</v>
      </c>
      <c r="CA89" s="257">
        <v>447.56</v>
      </c>
      <c r="CB89" s="125"/>
      <c r="CC89" s="126"/>
      <c r="CJ89" s="122">
        <v>45908</v>
      </c>
      <c r="CK89" s="123">
        <v>7971.77</v>
      </c>
      <c r="CL89" s="123">
        <v>530.25</v>
      </c>
      <c r="CM89" s="125"/>
      <c r="CN89" s="125">
        <v>35.94</v>
      </c>
      <c r="CU89" s="122">
        <v>45908</v>
      </c>
      <c r="CV89" s="123">
        <v>17760.95</v>
      </c>
      <c r="CW89" s="125">
        <v>812.08</v>
      </c>
      <c r="CX89" s="125"/>
      <c r="CY89" s="126">
        <v>210.78</v>
      </c>
      <c r="DH89" s="122">
        <v>45908</v>
      </c>
      <c r="DI89" s="123">
        <v>1795.76</v>
      </c>
      <c r="DJ89" s="127">
        <v>303.52999999999997</v>
      </c>
      <c r="DK89" s="127"/>
      <c r="DL89" s="127"/>
      <c r="DM89" s="126">
        <v>4</v>
      </c>
      <c r="DT89" s="122">
        <v>45908</v>
      </c>
      <c r="DU89" s="123">
        <v>1188.21</v>
      </c>
      <c r="DV89" s="269">
        <v>1097.48</v>
      </c>
      <c r="DW89" s="127"/>
      <c r="DX89" s="126">
        <v>55.39</v>
      </c>
      <c r="EE89" s="122">
        <v>45908</v>
      </c>
      <c r="EF89" s="123">
        <v>1123.99</v>
      </c>
      <c r="EG89" s="269">
        <v>0</v>
      </c>
      <c r="EH89" s="127"/>
      <c r="EI89" s="126">
        <v>0.39</v>
      </c>
      <c r="EQ89" s="122">
        <v>45908</v>
      </c>
      <c r="ER89" s="123">
        <v>2657.22</v>
      </c>
      <c r="ES89" s="259">
        <v>363.8</v>
      </c>
      <c r="ET89" s="127"/>
      <c r="EU89" s="258">
        <v>126.44</v>
      </c>
      <c r="FB89" s="122">
        <v>45908</v>
      </c>
      <c r="FC89" s="123">
        <v>530.08000000000004</v>
      </c>
      <c r="FD89" s="123">
        <v>77.290000000000006</v>
      </c>
      <c r="FE89" s="125"/>
      <c r="FF89" s="126"/>
    </row>
    <row r="90" spans="2:162" hidden="1" x14ac:dyDescent="0.25">
      <c r="B90" s="122">
        <v>45909</v>
      </c>
      <c r="C90" s="123">
        <v>11624.37</v>
      </c>
      <c r="D90" s="125"/>
      <c r="E90" s="125"/>
      <c r="F90" s="125">
        <v>99.68</v>
      </c>
      <c r="M90" s="122">
        <v>45909</v>
      </c>
      <c r="N90" s="126">
        <v>3745.93</v>
      </c>
      <c r="O90" s="125"/>
      <c r="P90" s="126">
        <v>15.72</v>
      </c>
      <c r="W90" s="122">
        <v>45909</v>
      </c>
      <c r="X90" s="123">
        <v>1142.48</v>
      </c>
      <c r="Y90" s="123">
        <v>90</v>
      </c>
      <c r="Z90" s="125"/>
      <c r="AA90" s="123">
        <v>49.55</v>
      </c>
      <c r="AI90" s="122">
        <v>45909</v>
      </c>
      <c r="AJ90" s="123">
        <v>2019.99</v>
      </c>
      <c r="AK90" s="125"/>
      <c r="AL90" s="126"/>
      <c r="AS90" s="122">
        <v>45909</v>
      </c>
      <c r="AT90" s="123">
        <v>3234.65</v>
      </c>
      <c r="AU90" s="125"/>
      <c r="AV90" s="128"/>
      <c r="BC90" s="122">
        <v>45909</v>
      </c>
      <c r="BD90" s="123">
        <v>3450.34</v>
      </c>
      <c r="BE90" s="125"/>
      <c r="BF90" s="128">
        <v>0</v>
      </c>
      <c r="BM90" s="122">
        <v>45909</v>
      </c>
      <c r="BN90" s="123">
        <v>13292.99</v>
      </c>
      <c r="BO90" s="123">
        <v>2466.34</v>
      </c>
      <c r="BP90" s="123">
        <v>8394.0400000000009</v>
      </c>
      <c r="BQ90" s="125"/>
      <c r="BR90" s="125"/>
      <c r="BY90" s="122">
        <v>45909</v>
      </c>
      <c r="BZ90" s="256">
        <v>424.91</v>
      </c>
      <c r="CA90" s="257">
        <v>519.32000000000005</v>
      </c>
      <c r="CB90" s="125"/>
      <c r="CC90" s="126"/>
      <c r="CJ90" s="122">
        <v>45909</v>
      </c>
      <c r="CK90" s="123">
        <v>6860.42</v>
      </c>
      <c r="CL90" s="123">
        <v>544.76</v>
      </c>
      <c r="CM90" s="125"/>
      <c r="CN90" s="125">
        <v>8.9499999999999993</v>
      </c>
      <c r="CU90" s="122">
        <v>45909</v>
      </c>
      <c r="CV90" s="123">
        <v>10348.49</v>
      </c>
      <c r="CW90" s="125">
        <v>715.82</v>
      </c>
      <c r="CX90" s="125"/>
      <c r="CY90" s="128">
        <v>141.53</v>
      </c>
      <c r="DH90" s="122">
        <v>45909</v>
      </c>
      <c r="DI90" s="123">
        <v>1129.17</v>
      </c>
      <c r="DJ90" s="127">
        <v>459.92</v>
      </c>
      <c r="DK90" s="127"/>
      <c r="DL90" s="127"/>
      <c r="DM90" s="126">
        <v>0</v>
      </c>
      <c r="DT90" s="122">
        <v>45909</v>
      </c>
      <c r="DU90" s="123">
        <v>1025.17</v>
      </c>
      <c r="DV90" s="269">
        <v>1262.73</v>
      </c>
      <c r="DW90" s="127"/>
      <c r="DX90" s="126">
        <v>57.4</v>
      </c>
      <c r="EE90" s="122">
        <v>45909</v>
      </c>
      <c r="EF90" s="123">
        <v>605.28</v>
      </c>
      <c r="EG90" s="269">
        <v>55</v>
      </c>
      <c r="EH90" s="127"/>
      <c r="EI90" s="126">
        <v>0</v>
      </c>
      <c r="EQ90" s="122">
        <v>45909</v>
      </c>
      <c r="ER90" s="123">
        <v>3282.43</v>
      </c>
      <c r="ES90" s="259">
        <v>284.61</v>
      </c>
      <c r="ET90" s="127"/>
      <c r="EU90" s="258">
        <v>198.88</v>
      </c>
      <c r="FB90" s="122">
        <v>45909</v>
      </c>
      <c r="FC90" s="123">
        <v>1001.5</v>
      </c>
      <c r="FD90" s="123">
        <v>161.22999999999999</v>
      </c>
      <c r="FE90" s="125"/>
      <c r="FF90" s="126"/>
    </row>
    <row r="91" spans="2:162" hidden="1" x14ac:dyDescent="0.25">
      <c r="B91" s="122">
        <v>45910</v>
      </c>
      <c r="C91" s="123">
        <v>12113.42</v>
      </c>
      <c r="D91" s="125"/>
      <c r="E91" s="125"/>
      <c r="F91" s="125">
        <v>41.3</v>
      </c>
      <c r="M91" s="122">
        <v>45910</v>
      </c>
      <c r="N91" s="123">
        <v>3360.12</v>
      </c>
      <c r="O91" s="125"/>
      <c r="P91" s="126">
        <v>13.2</v>
      </c>
      <c r="W91" s="122">
        <v>45910</v>
      </c>
      <c r="X91" s="123">
        <v>1157.17</v>
      </c>
      <c r="Y91" s="123">
        <v>352.88</v>
      </c>
      <c r="Z91" s="125"/>
      <c r="AA91" s="123">
        <v>42.69</v>
      </c>
      <c r="AI91" s="122">
        <v>45910</v>
      </c>
      <c r="AJ91" s="123">
        <v>1642.62</v>
      </c>
      <c r="AK91" s="125"/>
      <c r="AL91" s="126"/>
      <c r="AS91" s="122">
        <v>45910</v>
      </c>
      <c r="AT91" s="123">
        <v>3424.06</v>
      </c>
      <c r="AU91" s="125"/>
      <c r="AV91" s="128"/>
      <c r="BC91" s="122">
        <v>45910</v>
      </c>
      <c r="BD91" s="123">
        <v>3673.16</v>
      </c>
      <c r="BE91" s="125"/>
      <c r="BF91" s="128">
        <v>0</v>
      </c>
      <c r="BM91" s="122">
        <v>45910</v>
      </c>
      <c r="BN91" s="123">
        <v>13617.28</v>
      </c>
      <c r="BO91" s="123">
        <v>2445.38</v>
      </c>
      <c r="BP91" s="123">
        <v>8674.7000000000007</v>
      </c>
      <c r="BQ91" s="125"/>
      <c r="BR91" s="125"/>
      <c r="BY91" s="122">
        <v>45910</v>
      </c>
      <c r="BZ91" s="256">
        <v>1558.81</v>
      </c>
      <c r="CA91" s="257">
        <v>603.97</v>
      </c>
      <c r="CB91" s="125"/>
      <c r="CC91" s="126"/>
      <c r="CJ91" s="122">
        <v>45910</v>
      </c>
      <c r="CK91" s="123">
        <v>4306.1400000000003</v>
      </c>
      <c r="CL91" s="123">
        <v>490.85</v>
      </c>
      <c r="CM91" s="125"/>
      <c r="CN91" s="125">
        <v>12.5</v>
      </c>
      <c r="CU91" s="122">
        <v>45910</v>
      </c>
      <c r="CV91" s="123">
        <v>10296.23</v>
      </c>
      <c r="CW91" s="125">
        <v>959.21</v>
      </c>
      <c r="CX91" s="125"/>
      <c r="CY91" s="128">
        <v>125.25</v>
      </c>
      <c r="DH91" s="122">
        <v>45910</v>
      </c>
      <c r="DI91" s="123">
        <v>1461.31</v>
      </c>
      <c r="DJ91" s="127">
        <v>490.5</v>
      </c>
      <c r="DK91" s="127"/>
      <c r="DL91" s="127"/>
      <c r="DM91" s="126">
        <v>4</v>
      </c>
      <c r="DT91" s="122">
        <v>45910</v>
      </c>
      <c r="DU91" s="123">
        <v>1311.63</v>
      </c>
      <c r="DV91" s="269">
        <v>1413.23</v>
      </c>
      <c r="DW91" s="127"/>
      <c r="DX91" s="126">
        <v>20.41</v>
      </c>
      <c r="EE91" s="122">
        <v>45910</v>
      </c>
      <c r="EF91" s="123">
        <v>855.69</v>
      </c>
      <c r="EG91" s="269">
        <v>752.63</v>
      </c>
      <c r="EH91" s="127"/>
      <c r="EI91" s="126">
        <v>14.45</v>
      </c>
      <c r="EQ91" s="122">
        <v>45910</v>
      </c>
      <c r="ER91" s="123">
        <v>5038.6899999999996</v>
      </c>
      <c r="ES91" s="259">
        <v>249.12</v>
      </c>
      <c r="ET91" s="127"/>
      <c r="EU91" s="258">
        <v>261.17</v>
      </c>
      <c r="FB91" s="122">
        <v>45910</v>
      </c>
      <c r="FC91" s="123">
        <v>490</v>
      </c>
      <c r="FD91" s="123">
        <v>128</v>
      </c>
      <c r="FE91" s="125"/>
      <c r="FF91" s="126"/>
    </row>
    <row r="92" spans="2:162" hidden="1" x14ac:dyDescent="0.25">
      <c r="B92" s="122">
        <v>45911</v>
      </c>
      <c r="C92" s="123">
        <v>10101.870000000001</v>
      </c>
      <c r="D92" s="126"/>
      <c r="E92" s="125"/>
      <c r="F92" s="126">
        <v>8.65</v>
      </c>
      <c r="M92" s="122">
        <v>45911</v>
      </c>
      <c r="N92" s="123">
        <v>3351.46</v>
      </c>
      <c r="O92" s="125"/>
      <c r="P92" s="126">
        <v>14.84</v>
      </c>
      <c r="W92" s="122">
        <v>45911</v>
      </c>
      <c r="X92" s="123">
        <v>2716.76</v>
      </c>
      <c r="Y92" s="123">
        <v>90</v>
      </c>
      <c r="Z92" s="125"/>
      <c r="AA92" s="123">
        <v>70.06</v>
      </c>
      <c r="AI92" s="122">
        <v>45911</v>
      </c>
      <c r="AJ92" s="123">
        <v>1738.15</v>
      </c>
      <c r="AK92" s="125"/>
      <c r="AL92" s="126"/>
      <c r="AS92" s="122">
        <v>45911</v>
      </c>
      <c r="AT92" s="123">
        <v>4465.3</v>
      </c>
      <c r="AU92" s="125"/>
      <c r="AV92" s="128"/>
      <c r="BC92" s="122">
        <v>45911</v>
      </c>
      <c r="BD92" s="123">
        <v>3410.16</v>
      </c>
      <c r="BE92" s="125"/>
      <c r="BF92" s="128">
        <v>0</v>
      </c>
      <c r="BM92" s="122">
        <v>45911</v>
      </c>
      <c r="BN92" s="123">
        <v>13831.25</v>
      </c>
      <c r="BO92" s="123">
        <v>3016.95</v>
      </c>
      <c r="BP92" s="123">
        <v>9109.64</v>
      </c>
      <c r="BQ92" s="125"/>
      <c r="BR92" s="125"/>
      <c r="BY92" s="122">
        <v>45911</v>
      </c>
      <c r="BZ92" s="256">
        <v>1316.08</v>
      </c>
      <c r="CA92" s="257">
        <v>691.84</v>
      </c>
      <c r="CB92" s="125"/>
      <c r="CC92" s="126"/>
      <c r="CJ92" s="122">
        <v>45911</v>
      </c>
      <c r="CK92" s="123">
        <v>5101.5</v>
      </c>
      <c r="CL92" s="123">
        <v>537.66</v>
      </c>
      <c r="CM92" s="125"/>
      <c r="CN92" s="125">
        <v>10</v>
      </c>
      <c r="CU92" s="122">
        <v>45911</v>
      </c>
      <c r="CV92" s="123">
        <v>5894.05</v>
      </c>
      <c r="CW92" s="125">
        <v>1146.94</v>
      </c>
      <c r="CX92" s="125"/>
      <c r="CY92" s="128">
        <v>133.15</v>
      </c>
      <c r="DH92" s="122">
        <v>45911</v>
      </c>
      <c r="DI92" s="123">
        <v>1656.51</v>
      </c>
      <c r="DJ92" s="127">
        <v>644.1</v>
      </c>
      <c r="DK92" s="127"/>
      <c r="DL92" s="127"/>
      <c r="DM92" s="126">
        <v>4</v>
      </c>
      <c r="DT92" s="122">
        <v>45911</v>
      </c>
      <c r="DU92" s="123">
        <v>1248.03</v>
      </c>
      <c r="DV92" s="269">
        <v>1164.78</v>
      </c>
      <c r="DW92" s="127"/>
      <c r="DX92" s="126">
        <v>67.58</v>
      </c>
      <c r="EE92" s="122">
        <v>45911</v>
      </c>
      <c r="EF92" s="123">
        <v>1204.93</v>
      </c>
      <c r="EG92" s="269">
        <v>1110.74</v>
      </c>
      <c r="EH92" s="127"/>
      <c r="EI92" s="126">
        <v>15.11</v>
      </c>
      <c r="EQ92" s="122">
        <v>45911</v>
      </c>
      <c r="ER92" s="123">
        <v>2791.43</v>
      </c>
      <c r="ES92" s="259">
        <v>189.32</v>
      </c>
      <c r="ET92" s="127"/>
      <c r="EU92" s="258">
        <v>137.01</v>
      </c>
      <c r="FB92" s="122">
        <v>45911</v>
      </c>
      <c r="FC92" s="123">
        <v>759.62</v>
      </c>
      <c r="FD92" s="123">
        <v>174.4</v>
      </c>
      <c r="FE92" s="125"/>
      <c r="FF92" s="126"/>
    </row>
    <row r="93" spans="2:162" hidden="1" x14ac:dyDescent="0.25">
      <c r="B93" s="122">
        <v>45912</v>
      </c>
      <c r="C93" s="123">
        <v>12946.69</v>
      </c>
      <c r="D93" s="125"/>
      <c r="E93" s="125"/>
      <c r="F93" s="125">
        <v>41.3</v>
      </c>
      <c r="M93" s="122">
        <v>45912</v>
      </c>
      <c r="N93" s="123">
        <v>3526.5</v>
      </c>
      <c r="O93" s="125"/>
      <c r="P93" s="126">
        <v>14.2</v>
      </c>
      <c r="W93" s="122">
        <v>45912</v>
      </c>
      <c r="X93" s="123">
        <v>978.47</v>
      </c>
      <c r="Y93" s="123">
        <v>180.67</v>
      </c>
      <c r="Z93" s="125"/>
      <c r="AA93" s="123">
        <v>20.260000000000002</v>
      </c>
      <c r="AI93" s="122">
        <v>45912</v>
      </c>
      <c r="AJ93" s="123">
        <v>953.64</v>
      </c>
      <c r="AK93" s="125"/>
      <c r="AL93" s="126"/>
      <c r="AS93" s="122">
        <v>45912</v>
      </c>
      <c r="AT93" s="123">
        <v>3609.58</v>
      </c>
      <c r="AU93" s="125"/>
      <c r="AV93" s="128"/>
      <c r="BC93" s="122">
        <v>45912</v>
      </c>
      <c r="BD93" s="123">
        <v>5196.9799999999996</v>
      </c>
      <c r="BE93" s="125"/>
      <c r="BF93" s="128">
        <v>0</v>
      </c>
      <c r="BM93" s="122">
        <v>45912</v>
      </c>
      <c r="BN93" s="123">
        <v>15720.1</v>
      </c>
      <c r="BO93" s="123">
        <v>2743.8</v>
      </c>
      <c r="BP93" s="123">
        <v>9848.61</v>
      </c>
      <c r="BQ93" s="125"/>
      <c r="BR93" s="125"/>
      <c r="BY93" s="122">
        <v>45912</v>
      </c>
      <c r="BZ93" s="256">
        <v>708.93</v>
      </c>
      <c r="CA93" s="257">
        <v>575.04999999999995</v>
      </c>
      <c r="CB93" s="125"/>
      <c r="CC93" s="126"/>
      <c r="CJ93" s="122">
        <v>45912</v>
      </c>
      <c r="CK93" s="123">
        <v>3895.99</v>
      </c>
      <c r="CL93" s="123">
        <v>642.59</v>
      </c>
      <c r="CM93" s="125"/>
      <c r="CN93" s="125">
        <v>11.25</v>
      </c>
      <c r="CU93" s="122">
        <v>45912</v>
      </c>
      <c r="CV93" s="123">
        <v>9712.07</v>
      </c>
      <c r="CW93" s="125">
        <v>1065.72</v>
      </c>
      <c r="CX93" s="125"/>
      <c r="CY93" s="128">
        <v>120.81</v>
      </c>
      <c r="DH93" s="122">
        <v>45912</v>
      </c>
      <c r="DI93" s="123">
        <v>1746.39</v>
      </c>
      <c r="DJ93" s="127">
        <v>568.64</v>
      </c>
      <c r="DK93" s="127"/>
      <c r="DL93" s="127"/>
      <c r="DM93" s="126">
        <v>4</v>
      </c>
      <c r="DT93" s="122">
        <v>45912</v>
      </c>
      <c r="DU93" s="123">
        <v>1883.85</v>
      </c>
      <c r="DV93" s="269">
        <v>1657.21</v>
      </c>
      <c r="DW93" s="127"/>
      <c r="DX93" s="126">
        <v>28.2</v>
      </c>
      <c r="EE93" s="122">
        <v>45912</v>
      </c>
      <c r="EF93" s="123">
        <v>848.69</v>
      </c>
      <c r="EG93" s="269">
        <v>963.84</v>
      </c>
      <c r="EH93" s="127"/>
      <c r="EI93" s="126">
        <v>15.68</v>
      </c>
      <c r="EQ93" s="122">
        <v>45912</v>
      </c>
      <c r="ER93" s="123">
        <v>6099.97</v>
      </c>
      <c r="ES93" s="259">
        <v>417.28</v>
      </c>
      <c r="ET93" s="127"/>
      <c r="EU93" s="258">
        <v>129.88999999999999</v>
      </c>
      <c r="FB93" s="122">
        <v>45912</v>
      </c>
      <c r="FC93" s="123">
        <v>590.20000000000005</v>
      </c>
      <c r="FD93" s="123">
        <v>191.96</v>
      </c>
      <c r="FE93" s="125"/>
      <c r="FF93" s="126"/>
    </row>
    <row r="94" spans="2:162" hidden="1" x14ac:dyDescent="0.25">
      <c r="B94" s="122">
        <v>45913</v>
      </c>
      <c r="C94" s="123">
        <v>20056.29</v>
      </c>
      <c r="D94" s="125"/>
      <c r="E94" s="125"/>
      <c r="F94" s="125">
        <v>173.61</v>
      </c>
      <c r="M94" s="122">
        <v>45913</v>
      </c>
      <c r="N94" s="123">
        <v>3171.59</v>
      </c>
      <c r="O94" s="125"/>
      <c r="P94" s="126">
        <v>14.71</v>
      </c>
      <c r="W94" s="122">
        <v>45913</v>
      </c>
      <c r="X94" s="123">
        <v>1313.91</v>
      </c>
      <c r="Y94" s="123">
        <v>96.61</v>
      </c>
      <c r="Z94" s="125"/>
      <c r="AA94" s="123">
        <v>113.34</v>
      </c>
      <c r="AI94" s="122">
        <v>45913</v>
      </c>
      <c r="AJ94" s="123">
        <v>2050.84</v>
      </c>
      <c r="AK94" s="125"/>
      <c r="AL94" s="126"/>
      <c r="AS94" s="122">
        <v>45913</v>
      </c>
      <c r="AT94" s="123">
        <v>4804.8</v>
      </c>
      <c r="AU94" s="125"/>
      <c r="AV94" s="128"/>
      <c r="BC94" s="122">
        <v>45913</v>
      </c>
      <c r="BD94" s="123">
        <v>4655.32</v>
      </c>
      <c r="BE94" s="125"/>
      <c r="BF94" s="128">
        <v>2.67</v>
      </c>
      <c r="BM94" s="122">
        <v>45913</v>
      </c>
      <c r="BN94" s="123">
        <v>14689.82</v>
      </c>
      <c r="BO94" s="123">
        <v>2599.4499999999998</v>
      </c>
      <c r="BP94" s="123">
        <v>8469.42</v>
      </c>
      <c r="BQ94" s="125"/>
      <c r="BR94" s="125"/>
      <c r="BY94" s="122">
        <v>45913</v>
      </c>
      <c r="BZ94" s="256">
        <v>2048.7800000000002</v>
      </c>
      <c r="CA94" s="257">
        <v>600.14</v>
      </c>
      <c r="CB94" s="125"/>
      <c r="CC94" s="126"/>
      <c r="CJ94" s="122">
        <v>45913</v>
      </c>
      <c r="CK94" s="123">
        <v>7702.42</v>
      </c>
      <c r="CL94" s="123">
        <v>624.57000000000005</v>
      </c>
      <c r="CM94" s="125"/>
      <c r="CN94" s="125">
        <v>40</v>
      </c>
      <c r="CU94" s="122">
        <v>45913</v>
      </c>
      <c r="CV94" s="123">
        <v>3383.53</v>
      </c>
      <c r="CW94" s="125">
        <v>778.04</v>
      </c>
      <c r="CX94" s="125"/>
      <c r="CY94" s="128">
        <v>19.420000000000002</v>
      </c>
      <c r="DH94" s="122">
        <v>45913</v>
      </c>
      <c r="DI94" s="123">
        <v>2476.14</v>
      </c>
      <c r="DJ94" s="127">
        <v>348.59</v>
      </c>
      <c r="DK94" s="127"/>
      <c r="DL94" s="127"/>
      <c r="DM94" s="126">
        <v>4</v>
      </c>
      <c r="DT94" s="122">
        <v>45913</v>
      </c>
      <c r="DU94" s="123">
        <v>1042.6600000000001</v>
      </c>
      <c r="DV94" s="269">
        <v>1363.56</v>
      </c>
      <c r="DW94" s="127"/>
      <c r="DX94" s="126">
        <v>17.96</v>
      </c>
      <c r="EE94" s="122">
        <v>45913</v>
      </c>
      <c r="EF94" s="123">
        <v>1083.5999999999999</v>
      </c>
      <c r="EG94" s="269">
        <v>581.17999999999995</v>
      </c>
      <c r="EH94" s="127"/>
      <c r="EI94" s="126">
        <v>13.85</v>
      </c>
      <c r="EQ94" s="122">
        <v>45913</v>
      </c>
      <c r="ER94" s="123">
        <v>3552.56</v>
      </c>
      <c r="ES94" s="259">
        <v>219.6</v>
      </c>
      <c r="ET94" s="127"/>
      <c r="EU94" s="258">
        <v>27.9</v>
      </c>
      <c r="FB94" s="122">
        <v>45913</v>
      </c>
      <c r="FC94" s="123">
        <v>1205.5</v>
      </c>
      <c r="FD94" s="123">
        <v>255.79</v>
      </c>
      <c r="FE94" s="125"/>
      <c r="FF94" s="126"/>
    </row>
    <row r="95" spans="2:162" hidden="1" x14ac:dyDescent="0.25">
      <c r="B95" s="122">
        <v>45914</v>
      </c>
      <c r="C95" s="123">
        <v>9273.15</v>
      </c>
      <c r="D95" s="125"/>
      <c r="E95" s="125"/>
      <c r="F95" s="123">
        <v>0</v>
      </c>
      <c r="M95" s="122">
        <v>45914</v>
      </c>
      <c r="N95" s="123">
        <v>2899.65</v>
      </c>
      <c r="O95" s="125"/>
      <c r="P95" s="126">
        <v>0</v>
      </c>
      <c r="W95" s="122">
        <v>45914</v>
      </c>
      <c r="X95" s="123">
        <v>349.5</v>
      </c>
      <c r="Y95" s="123">
        <v>11.5</v>
      </c>
      <c r="Z95" s="125"/>
      <c r="AA95" s="123">
        <v>8.85</v>
      </c>
      <c r="AI95" s="122">
        <v>45914</v>
      </c>
      <c r="AJ95" s="123">
        <v>1335.09</v>
      </c>
      <c r="AK95" s="125"/>
      <c r="AL95" s="126"/>
      <c r="AS95" s="122">
        <v>45914</v>
      </c>
      <c r="AT95" s="123">
        <v>3375.43</v>
      </c>
      <c r="AU95" s="125"/>
      <c r="AV95" s="128"/>
      <c r="BC95" s="122">
        <v>45914</v>
      </c>
      <c r="BD95" s="123">
        <v>4011.42</v>
      </c>
      <c r="BE95" s="125"/>
      <c r="BF95" s="128">
        <v>0</v>
      </c>
      <c r="BM95" s="122">
        <v>45914</v>
      </c>
      <c r="BN95" s="123">
        <v>11418.44</v>
      </c>
      <c r="BO95" s="123">
        <v>1061.7</v>
      </c>
      <c r="BP95" s="123">
        <v>4904.9799999999996</v>
      </c>
      <c r="BQ95" s="125"/>
      <c r="BR95" s="125"/>
      <c r="BY95" s="122">
        <v>45914</v>
      </c>
      <c r="BZ95" s="256">
        <v>315</v>
      </c>
      <c r="CA95" s="257">
        <v>273.52999999999997</v>
      </c>
      <c r="CB95" s="125"/>
      <c r="CC95" s="126"/>
      <c r="CJ95" s="122">
        <v>45914</v>
      </c>
      <c r="CK95" s="123">
        <v>2994.74</v>
      </c>
      <c r="CL95" s="123">
        <v>401.65</v>
      </c>
      <c r="CM95" s="125"/>
      <c r="CN95" s="125">
        <v>0</v>
      </c>
      <c r="CU95" s="122">
        <v>45914</v>
      </c>
      <c r="CV95" s="123">
        <v>8410.2000000000007</v>
      </c>
      <c r="CW95" s="125">
        <v>629.64</v>
      </c>
      <c r="CX95" s="125"/>
      <c r="CY95" s="128">
        <v>198.15</v>
      </c>
      <c r="DH95" s="122">
        <v>45914</v>
      </c>
      <c r="DI95" s="123">
        <v>1605.94</v>
      </c>
      <c r="DJ95" s="127">
        <v>286.85000000000002</v>
      </c>
      <c r="DK95" s="127"/>
      <c r="DL95" s="127"/>
      <c r="DM95" s="126">
        <v>4</v>
      </c>
      <c r="DT95" s="122">
        <v>45914</v>
      </c>
      <c r="DU95" s="123">
        <v>1237.42</v>
      </c>
      <c r="DV95" s="269">
        <v>1054.32</v>
      </c>
      <c r="DW95" s="127"/>
      <c r="DX95" s="126">
        <v>14.12</v>
      </c>
      <c r="EE95" s="122">
        <v>45914</v>
      </c>
      <c r="EF95" s="123">
        <v>389.38</v>
      </c>
      <c r="EG95" s="269">
        <v>419.94</v>
      </c>
      <c r="EH95" s="127"/>
      <c r="EI95" s="126">
        <v>4.22</v>
      </c>
      <c r="EQ95" s="122">
        <v>45914</v>
      </c>
      <c r="ER95" s="123">
        <v>3238.52</v>
      </c>
      <c r="ES95" s="259">
        <v>339</v>
      </c>
      <c r="ET95" s="127"/>
      <c r="EU95" s="258">
        <v>0</v>
      </c>
      <c r="FB95" s="122">
        <v>45914</v>
      </c>
      <c r="FC95" s="123">
        <v>884.32</v>
      </c>
      <c r="FD95" s="123">
        <v>176</v>
      </c>
      <c r="FE95" s="125"/>
      <c r="FF95" s="126"/>
    </row>
    <row r="96" spans="2:162" hidden="1" x14ac:dyDescent="0.25">
      <c r="B96" s="122">
        <v>45915</v>
      </c>
      <c r="C96" s="123">
        <v>8840.4</v>
      </c>
      <c r="D96" s="126"/>
      <c r="E96" s="125"/>
      <c r="F96" s="126">
        <v>0</v>
      </c>
      <c r="M96" s="122">
        <v>45915</v>
      </c>
      <c r="N96" s="123">
        <v>2640.83</v>
      </c>
      <c r="O96" s="125"/>
      <c r="P96" s="126">
        <v>19.13</v>
      </c>
      <c r="W96" s="122">
        <v>45915</v>
      </c>
      <c r="X96" s="123">
        <v>1165.3399999999999</v>
      </c>
      <c r="Y96" s="123">
        <v>35.03</v>
      </c>
      <c r="Z96" s="125"/>
      <c r="AA96" s="123">
        <v>27.81</v>
      </c>
      <c r="AI96" s="122">
        <v>45915</v>
      </c>
      <c r="AJ96" s="123">
        <v>1519.73</v>
      </c>
      <c r="AK96" s="125"/>
      <c r="AL96" s="126"/>
      <c r="AS96" s="122">
        <v>45915</v>
      </c>
      <c r="AT96" s="123">
        <v>3769.61</v>
      </c>
      <c r="AU96" s="125"/>
      <c r="AV96" s="128"/>
      <c r="BC96" s="122">
        <v>45915</v>
      </c>
      <c r="BD96" s="123">
        <v>2522.0500000000002</v>
      </c>
      <c r="BE96" s="125"/>
      <c r="BF96" s="128">
        <v>2.85</v>
      </c>
      <c r="BM96" s="122">
        <v>45915</v>
      </c>
      <c r="BN96" s="123">
        <v>13969.24</v>
      </c>
      <c r="BO96" s="123">
        <v>3517.44</v>
      </c>
      <c r="BP96" s="123">
        <v>7541.51</v>
      </c>
      <c r="BQ96" s="125"/>
      <c r="BR96" s="125"/>
      <c r="BY96" s="122">
        <v>45915</v>
      </c>
      <c r="BZ96" s="256">
        <v>793.26</v>
      </c>
      <c r="CA96" s="257">
        <v>752.14</v>
      </c>
      <c r="CB96" s="125"/>
      <c r="CC96" s="126"/>
      <c r="CJ96" s="122">
        <v>45915</v>
      </c>
      <c r="CK96" s="123">
        <v>8144.59</v>
      </c>
      <c r="CL96" s="123">
        <v>655.42</v>
      </c>
      <c r="CM96" s="125"/>
      <c r="CN96" s="125">
        <v>33.049999999999997</v>
      </c>
      <c r="CU96" s="122">
        <v>45915</v>
      </c>
      <c r="CV96" s="123">
        <v>10742.85</v>
      </c>
      <c r="CW96" s="125">
        <v>902.71</v>
      </c>
      <c r="CX96" s="125"/>
      <c r="CY96" s="128">
        <v>370.62</v>
      </c>
      <c r="DH96" s="122">
        <v>45915</v>
      </c>
      <c r="DI96" s="123">
        <v>1141.08</v>
      </c>
      <c r="DJ96" s="127">
        <v>402.92</v>
      </c>
      <c r="DK96" s="127"/>
      <c r="DL96" s="127"/>
      <c r="DM96" s="126">
        <v>4</v>
      </c>
      <c r="DT96" s="122">
        <v>45915</v>
      </c>
      <c r="DU96" s="123">
        <v>1298.22</v>
      </c>
      <c r="DV96" s="269">
        <v>1291.6199999999999</v>
      </c>
      <c r="DW96" s="127"/>
      <c r="DX96" s="126">
        <v>35.81</v>
      </c>
      <c r="EE96" s="122">
        <v>45915</v>
      </c>
      <c r="EF96" s="123">
        <v>1395.17</v>
      </c>
      <c r="EG96" s="269">
        <v>918.94</v>
      </c>
      <c r="EH96" s="127"/>
      <c r="EI96" s="126">
        <v>17.649999999999999</v>
      </c>
      <c r="EQ96" s="122">
        <v>45915</v>
      </c>
      <c r="ER96" s="123">
        <v>3730.45</v>
      </c>
      <c r="ES96" s="259">
        <v>216.28</v>
      </c>
      <c r="ET96" s="127"/>
      <c r="EU96" s="258">
        <v>119.87</v>
      </c>
      <c r="FB96" s="122">
        <v>45915</v>
      </c>
      <c r="FC96" s="123">
        <v>762.42</v>
      </c>
      <c r="FD96" s="123">
        <v>330.78</v>
      </c>
      <c r="FE96" s="125"/>
      <c r="FF96" s="126"/>
    </row>
    <row r="97" spans="2:162" hidden="1" x14ac:dyDescent="0.25">
      <c r="B97" s="122">
        <v>45916</v>
      </c>
      <c r="C97" s="123">
        <v>10152.67</v>
      </c>
      <c r="D97" s="125"/>
      <c r="E97" s="125"/>
      <c r="F97" s="125">
        <v>76.7</v>
      </c>
      <c r="M97" s="122">
        <v>45916</v>
      </c>
      <c r="N97" s="123">
        <v>2716.04</v>
      </c>
      <c r="O97" s="125"/>
      <c r="P97" s="126">
        <v>28.82</v>
      </c>
      <c r="W97" s="122">
        <v>45916</v>
      </c>
      <c r="X97" s="123">
        <v>2452.1</v>
      </c>
      <c r="Y97" s="123">
        <v>180.57</v>
      </c>
      <c r="Z97" s="125"/>
      <c r="AA97" s="123">
        <v>22.6</v>
      </c>
      <c r="AI97" s="122">
        <v>45916</v>
      </c>
      <c r="AJ97" s="123">
        <v>1155.6400000000001</v>
      </c>
      <c r="AK97" s="125"/>
      <c r="AL97" s="126"/>
      <c r="AS97" s="122">
        <v>45916</v>
      </c>
      <c r="AT97" s="123">
        <v>4069.53</v>
      </c>
      <c r="AU97" s="125"/>
      <c r="AV97" s="128"/>
      <c r="BC97" s="122">
        <v>45916</v>
      </c>
      <c r="BD97" s="123">
        <v>2634.4</v>
      </c>
      <c r="BE97" s="125"/>
      <c r="BF97" s="128">
        <v>0</v>
      </c>
      <c r="BM97" s="122">
        <v>45916</v>
      </c>
      <c r="BN97" s="123">
        <v>14309.61</v>
      </c>
      <c r="BO97" s="123">
        <v>2895.58</v>
      </c>
      <c r="BP97" s="123">
        <v>8956.2999999999993</v>
      </c>
      <c r="BQ97" s="125"/>
      <c r="BR97" s="125"/>
      <c r="BY97" s="122">
        <v>45916</v>
      </c>
      <c r="BZ97" s="256">
        <v>1666.42</v>
      </c>
      <c r="CA97" s="257">
        <v>802.85</v>
      </c>
      <c r="CB97" s="125"/>
      <c r="CC97" s="126"/>
      <c r="CJ97" s="122">
        <v>45916</v>
      </c>
      <c r="CK97" s="123">
        <v>5116.9399999999996</v>
      </c>
      <c r="CL97" s="123">
        <v>467.88</v>
      </c>
      <c r="CM97" s="125"/>
      <c r="CN97" s="125">
        <v>14.56</v>
      </c>
      <c r="CU97" s="122">
        <v>45916</v>
      </c>
      <c r="CV97" s="123">
        <v>10477.030000000001</v>
      </c>
      <c r="CW97" s="125">
        <v>1088.3399999999999</v>
      </c>
      <c r="CX97" s="125"/>
      <c r="CY97" s="128">
        <v>158.84</v>
      </c>
      <c r="DH97" s="122">
        <v>45916</v>
      </c>
      <c r="DI97" s="123">
        <v>1198.03</v>
      </c>
      <c r="DJ97" s="259">
        <v>347.12</v>
      </c>
      <c r="DK97" s="259"/>
      <c r="DL97" s="127"/>
      <c r="DM97" s="126">
        <v>0</v>
      </c>
      <c r="DT97" s="122">
        <v>45916</v>
      </c>
      <c r="DU97" s="123">
        <v>1926.96</v>
      </c>
      <c r="DV97" s="269">
        <v>994.7</v>
      </c>
      <c r="DW97" s="127"/>
      <c r="DX97" s="126">
        <v>20.7</v>
      </c>
      <c r="EE97" s="122">
        <v>45916</v>
      </c>
      <c r="EF97" s="123">
        <v>785.31</v>
      </c>
      <c r="EG97" s="269">
        <v>979.11</v>
      </c>
      <c r="EH97" s="127"/>
      <c r="EI97" s="126">
        <v>14.58</v>
      </c>
      <c r="EQ97" s="122">
        <v>45916</v>
      </c>
      <c r="ER97" s="123">
        <v>2176.37</v>
      </c>
      <c r="ES97" s="259">
        <v>261.49</v>
      </c>
      <c r="ET97" s="127"/>
      <c r="EU97" s="258">
        <v>137.32</v>
      </c>
      <c r="FB97" s="122">
        <v>45916</v>
      </c>
      <c r="FC97" s="123">
        <v>908.9</v>
      </c>
      <c r="FD97" s="123">
        <v>287</v>
      </c>
      <c r="FE97" s="125"/>
      <c r="FF97" s="126"/>
    </row>
    <row r="98" spans="2:162" hidden="1" x14ac:dyDescent="0.25">
      <c r="B98" s="122">
        <v>45917</v>
      </c>
      <c r="C98" s="123">
        <v>10155.68</v>
      </c>
      <c r="D98" s="125"/>
      <c r="E98" s="125"/>
      <c r="F98" s="125">
        <v>0</v>
      </c>
      <c r="M98" s="122">
        <v>45917</v>
      </c>
      <c r="N98" s="123">
        <v>3053.54</v>
      </c>
      <c r="O98" s="125"/>
      <c r="P98" s="126">
        <v>35.97</v>
      </c>
      <c r="W98" s="122">
        <v>45917</v>
      </c>
      <c r="X98" s="123">
        <v>1027.57</v>
      </c>
      <c r="Y98" s="123">
        <v>133.97</v>
      </c>
      <c r="Z98" s="125"/>
      <c r="AA98" s="123">
        <v>15.19</v>
      </c>
      <c r="AI98" s="122">
        <v>45917</v>
      </c>
      <c r="AJ98" s="123">
        <v>792.14</v>
      </c>
      <c r="AK98" s="125"/>
      <c r="AL98" s="126"/>
      <c r="AS98" s="122">
        <v>45917</v>
      </c>
      <c r="AT98" s="123">
        <v>3132.26</v>
      </c>
      <c r="AU98" s="125"/>
      <c r="AV98" s="128"/>
      <c r="BC98" s="122">
        <v>45917</v>
      </c>
      <c r="BD98" s="123">
        <v>3569.59</v>
      </c>
      <c r="BE98" s="125"/>
      <c r="BF98" s="128">
        <v>0</v>
      </c>
      <c r="BM98" s="122">
        <v>45917</v>
      </c>
      <c r="BN98" s="123">
        <v>14199.25</v>
      </c>
      <c r="BO98" s="123">
        <v>1900.7</v>
      </c>
      <c r="BP98" s="123">
        <v>9180.9500000000007</v>
      </c>
      <c r="BQ98" s="125"/>
      <c r="BR98" s="125"/>
      <c r="BY98" s="122">
        <v>45917</v>
      </c>
      <c r="BZ98" s="256">
        <v>3288.49</v>
      </c>
      <c r="CA98" s="257">
        <v>669.85</v>
      </c>
      <c r="CB98" s="125"/>
      <c r="CC98" s="126"/>
      <c r="CJ98" s="122">
        <v>45917</v>
      </c>
      <c r="CK98" s="123">
        <v>5574.82</v>
      </c>
      <c r="CL98" s="123">
        <v>599.98</v>
      </c>
      <c r="CM98" s="125"/>
      <c r="CN98" s="125">
        <v>0</v>
      </c>
      <c r="CU98" s="122">
        <v>45917</v>
      </c>
      <c r="CV98" s="123">
        <v>8278.57</v>
      </c>
      <c r="CW98" s="125">
        <v>1011.45</v>
      </c>
      <c r="CX98" s="125"/>
      <c r="CY98" s="128">
        <v>136.19999999999999</v>
      </c>
      <c r="DH98" s="122">
        <v>45917</v>
      </c>
      <c r="DI98" s="123">
        <v>1706.51</v>
      </c>
      <c r="DJ98" s="127">
        <v>470.03</v>
      </c>
      <c r="DK98" s="127"/>
      <c r="DL98" s="127"/>
      <c r="DM98" s="126">
        <v>4</v>
      </c>
      <c r="DT98" s="122">
        <v>45917</v>
      </c>
      <c r="DU98" s="123">
        <v>1153.54</v>
      </c>
      <c r="DV98" s="269">
        <v>1061.68</v>
      </c>
      <c r="DW98" s="127"/>
      <c r="DX98" s="126">
        <v>17.66</v>
      </c>
      <c r="EE98" s="122">
        <v>45917</v>
      </c>
      <c r="EF98" s="123">
        <v>1029.95</v>
      </c>
      <c r="EG98" s="269">
        <v>1063.9100000000001</v>
      </c>
      <c r="EH98" s="127"/>
      <c r="EI98" s="126">
        <v>24.95</v>
      </c>
      <c r="EQ98" s="122">
        <v>45917</v>
      </c>
      <c r="ER98" s="123">
        <v>4948.8100000000004</v>
      </c>
      <c r="ES98" s="259">
        <v>291.87</v>
      </c>
      <c r="ET98" s="127"/>
      <c r="EU98" s="258">
        <v>187.53</v>
      </c>
      <c r="FB98" s="122">
        <v>45917</v>
      </c>
      <c r="FC98" s="123">
        <v>857.38</v>
      </c>
      <c r="FD98" s="123">
        <v>143</v>
      </c>
      <c r="FE98" s="125"/>
      <c r="FF98" s="126"/>
    </row>
    <row r="99" spans="2:162" hidden="1" x14ac:dyDescent="0.25">
      <c r="B99" s="122">
        <v>45918</v>
      </c>
      <c r="C99" s="123">
        <v>13167.94</v>
      </c>
      <c r="D99" s="125"/>
      <c r="E99" s="125"/>
      <c r="F99" s="125">
        <v>91.93</v>
      </c>
      <c r="M99" s="122">
        <v>45918</v>
      </c>
      <c r="N99" s="123">
        <v>2696</v>
      </c>
      <c r="O99" s="125"/>
      <c r="P99" s="126">
        <v>0</v>
      </c>
      <c r="W99" s="122">
        <v>45918</v>
      </c>
      <c r="X99" s="123">
        <v>1241.5999999999999</v>
      </c>
      <c r="Y99" s="123">
        <v>111.71</v>
      </c>
      <c r="Z99" s="125"/>
      <c r="AA99" s="123">
        <v>0.4</v>
      </c>
      <c r="AI99" s="122">
        <v>45918</v>
      </c>
      <c r="AJ99" s="123">
        <v>1439.7</v>
      </c>
      <c r="AK99" s="125"/>
      <c r="AL99" s="126"/>
      <c r="AS99" s="122">
        <v>45918</v>
      </c>
      <c r="AT99" s="123">
        <v>3133.71</v>
      </c>
      <c r="AU99" s="125"/>
      <c r="AV99" s="128"/>
      <c r="BC99" s="122">
        <v>45918</v>
      </c>
      <c r="BD99" s="123">
        <v>3593.68</v>
      </c>
      <c r="BE99" s="125"/>
      <c r="BF99" s="128">
        <v>0</v>
      </c>
      <c r="BM99" s="122">
        <v>45918</v>
      </c>
      <c r="BN99" s="123">
        <v>14703.38</v>
      </c>
      <c r="BO99" s="123">
        <v>3258.18</v>
      </c>
      <c r="BP99" s="123">
        <v>9054.0400000000009</v>
      </c>
      <c r="BQ99" s="125"/>
      <c r="BR99" s="125"/>
      <c r="BY99" s="122">
        <v>45918</v>
      </c>
      <c r="BZ99" s="256">
        <v>974.97</v>
      </c>
      <c r="CA99" s="257">
        <v>837.32</v>
      </c>
      <c r="CB99" s="125"/>
      <c r="CC99" s="126"/>
      <c r="CJ99" s="122">
        <v>45918</v>
      </c>
      <c r="CK99" s="123">
        <v>5270.05</v>
      </c>
      <c r="CL99" s="123">
        <v>631.16</v>
      </c>
      <c r="CM99" s="125"/>
      <c r="CN99" s="125">
        <v>20.34</v>
      </c>
      <c r="CU99" s="122">
        <v>45918</v>
      </c>
      <c r="CV99" s="123">
        <v>6888.55</v>
      </c>
      <c r="CW99" s="125">
        <v>804.21</v>
      </c>
      <c r="CX99" s="125"/>
      <c r="CY99" s="128">
        <v>69.989999999999995</v>
      </c>
      <c r="DH99" s="122">
        <v>45918</v>
      </c>
      <c r="DI99" s="123">
        <v>1328.16</v>
      </c>
      <c r="DJ99" s="127">
        <v>402.11</v>
      </c>
      <c r="DK99" s="127"/>
      <c r="DL99" s="127"/>
      <c r="DM99" s="126">
        <v>8</v>
      </c>
      <c r="DT99" s="122">
        <v>45918</v>
      </c>
      <c r="DU99" s="123">
        <v>1910.85</v>
      </c>
      <c r="DV99" s="269">
        <v>1466.69</v>
      </c>
      <c r="DW99" s="127"/>
      <c r="DX99" s="126">
        <v>50.64</v>
      </c>
      <c r="EE99" s="122">
        <v>45918</v>
      </c>
      <c r="EF99" s="123">
        <v>1017.59</v>
      </c>
      <c r="EG99" s="269">
        <v>1164.18</v>
      </c>
      <c r="EH99" s="127"/>
      <c r="EI99" s="126">
        <v>21.28</v>
      </c>
      <c r="EQ99" s="122">
        <v>45918</v>
      </c>
      <c r="ER99" s="123">
        <v>3294.73</v>
      </c>
      <c r="ES99" s="259">
        <v>14</v>
      </c>
      <c r="ET99" s="127"/>
      <c r="EU99" s="258">
        <v>37.340000000000003</v>
      </c>
      <c r="FB99" s="122">
        <v>45918</v>
      </c>
      <c r="FC99" s="123">
        <v>747.8</v>
      </c>
      <c r="FD99" s="123">
        <v>178.15</v>
      </c>
      <c r="FE99" s="125"/>
      <c r="FF99" s="126"/>
    </row>
    <row r="100" spans="2:162" hidden="1" x14ac:dyDescent="0.25">
      <c r="B100" s="122">
        <v>45919</v>
      </c>
      <c r="C100" s="123">
        <v>11068.41</v>
      </c>
      <c r="D100" s="125"/>
      <c r="E100" s="125"/>
      <c r="F100" s="125">
        <v>0</v>
      </c>
      <c r="M100" s="122">
        <v>45919</v>
      </c>
      <c r="N100" s="123">
        <v>3546.39</v>
      </c>
      <c r="O100" s="125"/>
      <c r="P100" s="126">
        <v>30.28</v>
      </c>
      <c r="W100" s="122">
        <v>45919</v>
      </c>
      <c r="X100" s="123">
        <v>1379.78</v>
      </c>
      <c r="Y100" s="123">
        <v>20</v>
      </c>
      <c r="Z100" s="125"/>
      <c r="AA100" s="123">
        <v>5.27</v>
      </c>
      <c r="AI100" s="122">
        <v>45919</v>
      </c>
      <c r="AJ100" s="123">
        <v>1691.38</v>
      </c>
      <c r="AK100" s="125"/>
      <c r="AL100" s="126"/>
      <c r="AS100" s="122">
        <v>45919</v>
      </c>
      <c r="AT100" s="123">
        <v>3899.49</v>
      </c>
      <c r="AU100" s="125"/>
      <c r="AV100" s="128"/>
      <c r="BC100" s="122">
        <v>45919</v>
      </c>
      <c r="BD100" s="123">
        <v>2851.99</v>
      </c>
      <c r="BE100" s="125"/>
      <c r="BF100" s="128">
        <v>3.21</v>
      </c>
      <c r="BM100" s="122">
        <v>45919</v>
      </c>
      <c r="BN100" s="123">
        <v>15123.15</v>
      </c>
      <c r="BO100" s="123">
        <v>3434.88</v>
      </c>
      <c r="BP100" s="123">
        <v>9133.5</v>
      </c>
      <c r="BQ100" s="125"/>
      <c r="BR100" s="125"/>
      <c r="BY100" s="122">
        <v>45919</v>
      </c>
      <c r="BZ100" s="256">
        <v>1290.1099999999999</v>
      </c>
      <c r="CA100" s="260">
        <v>542.85</v>
      </c>
      <c r="CB100" s="125"/>
      <c r="CC100" s="126"/>
      <c r="CJ100" s="122">
        <v>45919</v>
      </c>
      <c r="CK100" s="123">
        <v>4919.6099999999997</v>
      </c>
      <c r="CL100" s="123">
        <v>662.47</v>
      </c>
      <c r="CM100" s="125"/>
      <c r="CN100" s="125">
        <v>10</v>
      </c>
      <c r="CU100" s="122">
        <v>45919</v>
      </c>
      <c r="CV100" s="123">
        <v>12503.84</v>
      </c>
      <c r="CW100" s="125">
        <v>617.37</v>
      </c>
      <c r="CX100" s="125"/>
      <c r="CY100" s="128">
        <v>89.58</v>
      </c>
      <c r="DH100" s="122">
        <v>45919</v>
      </c>
      <c r="DI100" s="123">
        <v>2345.59</v>
      </c>
      <c r="DJ100" s="127">
        <v>484.18</v>
      </c>
      <c r="DK100" s="127"/>
      <c r="DL100" s="127"/>
      <c r="DM100" s="126">
        <v>0</v>
      </c>
      <c r="DT100" s="122">
        <v>45919</v>
      </c>
      <c r="DU100" s="123">
        <v>2125.2399999999998</v>
      </c>
      <c r="DV100" s="269">
        <v>1304.9000000000001</v>
      </c>
      <c r="DW100" s="127"/>
      <c r="DX100" s="126">
        <v>37.880000000000003</v>
      </c>
      <c r="EE100" s="122">
        <v>45919</v>
      </c>
      <c r="EF100" s="123">
        <v>912.19</v>
      </c>
      <c r="EG100" s="269">
        <v>961.17</v>
      </c>
      <c r="EH100" s="127"/>
      <c r="EI100" s="126">
        <v>68.099999999999994</v>
      </c>
      <c r="EQ100" s="122">
        <v>45919</v>
      </c>
      <c r="ER100" s="123">
        <v>3840.45</v>
      </c>
      <c r="ES100" s="259">
        <v>564.57000000000005</v>
      </c>
      <c r="ET100" s="127"/>
      <c r="EU100" s="258">
        <v>26.06</v>
      </c>
      <c r="FB100" s="122">
        <v>45919</v>
      </c>
      <c r="FC100" s="123">
        <v>734</v>
      </c>
      <c r="FD100" s="123">
        <v>115.96</v>
      </c>
      <c r="FE100" s="125"/>
      <c r="FF100" s="126"/>
    </row>
    <row r="101" spans="2:162" hidden="1" x14ac:dyDescent="0.25">
      <c r="B101" s="122">
        <v>45920</v>
      </c>
      <c r="C101" s="123">
        <v>12919.12</v>
      </c>
      <c r="D101" s="126"/>
      <c r="E101" s="125"/>
      <c r="F101" s="126">
        <v>0</v>
      </c>
      <c r="M101" s="122">
        <v>45920</v>
      </c>
      <c r="N101" s="123">
        <v>3018.27</v>
      </c>
      <c r="O101" s="125"/>
      <c r="P101" s="126">
        <v>0</v>
      </c>
      <c r="W101" s="122">
        <v>45920</v>
      </c>
      <c r="X101" s="123">
        <v>706.15</v>
      </c>
      <c r="Y101" s="123">
        <v>195.61</v>
      </c>
      <c r="Z101" s="125"/>
      <c r="AA101" s="123">
        <v>26.84</v>
      </c>
      <c r="AI101" s="122">
        <v>45920</v>
      </c>
      <c r="AJ101" s="123">
        <v>2009.37</v>
      </c>
      <c r="AK101" s="125"/>
      <c r="AL101" s="126"/>
      <c r="AS101" s="122">
        <v>45920</v>
      </c>
      <c r="AT101" s="123">
        <v>4286.62</v>
      </c>
      <c r="AU101" s="125"/>
      <c r="AV101" s="128"/>
      <c r="BC101" s="122">
        <v>45920</v>
      </c>
      <c r="BD101" s="123">
        <v>3181.52</v>
      </c>
      <c r="BE101" s="125"/>
      <c r="BF101" s="128">
        <v>4.3600000000000003</v>
      </c>
      <c r="BM101" s="122">
        <v>45920</v>
      </c>
      <c r="BN101" s="123">
        <v>13225.05</v>
      </c>
      <c r="BO101" s="123">
        <v>3105.32</v>
      </c>
      <c r="BP101" s="123">
        <v>9078.7800000000007</v>
      </c>
      <c r="BQ101" s="125"/>
      <c r="BR101" s="125"/>
      <c r="BY101" s="122">
        <v>45920</v>
      </c>
      <c r="BZ101" s="256">
        <v>1770</v>
      </c>
      <c r="CA101" s="260">
        <v>908.48</v>
      </c>
      <c r="CB101" s="125"/>
      <c r="CC101" s="126"/>
      <c r="CJ101" s="122">
        <v>45920</v>
      </c>
      <c r="CK101" s="123">
        <v>4323.79</v>
      </c>
      <c r="CL101" s="123">
        <v>474.94</v>
      </c>
      <c r="CM101" s="125"/>
      <c r="CN101" s="125">
        <v>0</v>
      </c>
      <c r="CU101" s="122">
        <v>45920</v>
      </c>
      <c r="CV101" s="123">
        <v>6663.59</v>
      </c>
      <c r="CW101" s="125">
        <v>701.79</v>
      </c>
      <c r="CX101" s="125"/>
      <c r="CY101" s="128">
        <v>241.52</v>
      </c>
      <c r="DH101" s="122">
        <v>45920</v>
      </c>
      <c r="DI101" s="123">
        <v>2541.88</v>
      </c>
      <c r="DJ101" s="127">
        <v>354.82</v>
      </c>
      <c r="DK101" s="127"/>
      <c r="DL101" s="127"/>
      <c r="DM101" s="126">
        <v>0</v>
      </c>
      <c r="DT101" s="122">
        <v>45920</v>
      </c>
      <c r="DU101" s="123">
        <v>1636.29</v>
      </c>
      <c r="DV101" s="269">
        <v>1283.23</v>
      </c>
      <c r="DW101" s="127"/>
      <c r="DX101" s="126">
        <v>31.41</v>
      </c>
      <c r="EE101" s="122">
        <v>45920</v>
      </c>
      <c r="EF101" s="123">
        <v>1562.68</v>
      </c>
      <c r="EG101" s="269">
        <v>640.23</v>
      </c>
      <c r="EH101" s="127"/>
      <c r="EI101" s="126">
        <v>16.190000000000001</v>
      </c>
      <c r="EQ101" s="122">
        <v>45920</v>
      </c>
      <c r="ER101" s="123">
        <v>3754.15</v>
      </c>
      <c r="ES101" s="259">
        <v>394.71</v>
      </c>
      <c r="ET101" s="127"/>
      <c r="EU101" s="258">
        <v>50.88</v>
      </c>
      <c r="FB101" s="122">
        <v>45920</v>
      </c>
      <c r="FC101" s="123">
        <v>683</v>
      </c>
      <c r="FD101" s="123">
        <v>336</v>
      </c>
      <c r="FE101" s="125"/>
      <c r="FF101" s="126"/>
    </row>
    <row r="102" spans="2:162" hidden="1" x14ac:dyDescent="0.25">
      <c r="B102" s="122">
        <v>45921</v>
      </c>
      <c r="C102" s="123">
        <v>9463.67</v>
      </c>
      <c r="D102" s="126"/>
      <c r="E102" s="125"/>
      <c r="F102" s="126">
        <v>0</v>
      </c>
      <c r="M102" s="122">
        <v>45921</v>
      </c>
      <c r="N102" s="123">
        <v>3084.38</v>
      </c>
      <c r="O102" s="125"/>
      <c r="P102" s="126">
        <v>0</v>
      </c>
      <c r="W102" s="122">
        <v>45921</v>
      </c>
      <c r="X102" s="123">
        <v>690.19</v>
      </c>
      <c r="Y102" s="123">
        <v>303.39</v>
      </c>
      <c r="Z102" s="125"/>
      <c r="AA102" s="123">
        <v>4.09</v>
      </c>
      <c r="AI102" s="122">
        <v>45921</v>
      </c>
      <c r="AJ102" s="123">
        <v>1096</v>
      </c>
      <c r="AK102" s="125"/>
      <c r="AL102" s="126"/>
      <c r="AS102" s="122">
        <v>45921</v>
      </c>
      <c r="AT102" s="123">
        <v>3952.53</v>
      </c>
      <c r="AU102" s="125"/>
      <c r="AV102" s="128"/>
      <c r="BC102" s="122">
        <v>45921</v>
      </c>
      <c r="BD102" s="123">
        <v>2828.08</v>
      </c>
      <c r="BE102" s="125"/>
      <c r="BF102" s="128">
        <v>0</v>
      </c>
      <c r="BM102" s="122">
        <v>45921</v>
      </c>
      <c r="BN102" s="123">
        <v>10525</v>
      </c>
      <c r="BO102" s="123">
        <v>2208.5100000000002</v>
      </c>
      <c r="BP102" s="123">
        <v>4708.7700000000004</v>
      </c>
      <c r="BQ102" s="125"/>
      <c r="BR102" s="125"/>
      <c r="BY102" s="122">
        <v>45921</v>
      </c>
      <c r="BZ102" s="256">
        <v>788.35</v>
      </c>
      <c r="CA102" s="257">
        <v>681.79</v>
      </c>
      <c r="CB102" s="125"/>
      <c r="CC102" s="126"/>
      <c r="CJ102" s="122">
        <v>45921</v>
      </c>
      <c r="CK102" s="123">
        <v>8915.58</v>
      </c>
      <c r="CL102" s="123">
        <v>606.75</v>
      </c>
      <c r="CM102" s="125"/>
      <c r="CN102" s="125">
        <v>56.11</v>
      </c>
      <c r="CU102" s="122">
        <v>45921</v>
      </c>
      <c r="CV102" s="123">
        <v>2499.91</v>
      </c>
      <c r="CW102" s="125">
        <v>464.68</v>
      </c>
      <c r="CX102" s="125"/>
      <c r="CY102" s="128">
        <v>111.12</v>
      </c>
      <c r="DH102" s="122">
        <v>45921</v>
      </c>
      <c r="DI102" s="123">
        <v>1084.7</v>
      </c>
      <c r="DJ102" s="127">
        <v>397.07</v>
      </c>
      <c r="DK102" s="127"/>
      <c r="DL102" s="127"/>
      <c r="DM102" s="126">
        <v>0</v>
      </c>
      <c r="DT102" s="122">
        <v>45921</v>
      </c>
      <c r="DU102" s="123">
        <v>1291.24</v>
      </c>
      <c r="DV102" s="269">
        <v>1061.76</v>
      </c>
      <c r="DW102" s="127"/>
      <c r="DX102" s="126">
        <v>0</v>
      </c>
      <c r="EE102" s="122">
        <v>45921</v>
      </c>
      <c r="EF102" s="123">
        <v>1054.0899999999999</v>
      </c>
      <c r="EG102" s="269">
        <v>425.85</v>
      </c>
      <c r="EH102" s="127"/>
      <c r="EI102" s="126">
        <v>9.09</v>
      </c>
      <c r="EQ102" s="122">
        <v>45921</v>
      </c>
      <c r="ER102" s="123">
        <v>3433.07</v>
      </c>
      <c r="ES102" s="259">
        <v>461.03</v>
      </c>
      <c r="ET102" s="127"/>
      <c r="EU102" s="258">
        <v>68.23</v>
      </c>
      <c r="FB102" s="122">
        <v>45921</v>
      </c>
      <c r="FC102" s="123">
        <v>441.6</v>
      </c>
      <c r="FD102" s="126">
        <v>355.5</v>
      </c>
      <c r="FE102" s="125"/>
      <c r="FF102" s="126"/>
    </row>
    <row r="103" spans="2:162" hidden="1" x14ac:dyDescent="0.25">
      <c r="B103" s="122">
        <v>45922</v>
      </c>
      <c r="C103" s="123">
        <v>10274.620000000001</v>
      </c>
      <c r="D103" s="125"/>
      <c r="E103" s="125"/>
      <c r="F103" s="123">
        <v>12.29</v>
      </c>
      <c r="M103" s="122">
        <v>45922</v>
      </c>
      <c r="N103" s="123">
        <v>2656.08</v>
      </c>
      <c r="O103" s="125"/>
      <c r="P103" s="126">
        <v>8.3699999999999992</v>
      </c>
      <c r="W103" s="122">
        <v>45922</v>
      </c>
      <c r="X103" s="123">
        <v>1333.43</v>
      </c>
      <c r="Y103" s="123">
        <v>268.16000000000003</v>
      </c>
      <c r="Z103" s="125"/>
      <c r="AA103" s="123">
        <v>15.89</v>
      </c>
      <c r="AI103" s="122">
        <v>45922</v>
      </c>
      <c r="AJ103" s="123">
        <v>1575.07</v>
      </c>
      <c r="AK103" s="125"/>
      <c r="AL103" s="126"/>
      <c r="AS103" s="122">
        <v>45922</v>
      </c>
      <c r="AT103" s="123">
        <v>3380.49</v>
      </c>
      <c r="AU103" s="125"/>
      <c r="AV103" s="128"/>
      <c r="BC103" s="122">
        <v>45922</v>
      </c>
      <c r="BD103" s="123">
        <v>3047.92</v>
      </c>
      <c r="BE103" s="125"/>
      <c r="BF103" s="128">
        <v>0</v>
      </c>
      <c r="BM103" s="122">
        <v>45922</v>
      </c>
      <c r="BN103" s="123">
        <v>14607.9</v>
      </c>
      <c r="BO103" s="123">
        <v>2576.37</v>
      </c>
      <c r="BP103" s="123">
        <v>8167.74</v>
      </c>
      <c r="BQ103" s="125"/>
      <c r="BR103" s="125"/>
      <c r="BY103" s="122">
        <v>45922</v>
      </c>
      <c r="BZ103" s="256">
        <v>1145.1099999999999</v>
      </c>
      <c r="CA103" s="257">
        <v>853.43</v>
      </c>
      <c r="CB103" s="125"/>
      <c r="CC103" s="126"/>
      <c r="CJ103" s="122">
        <v>45922</v>
      </c>
      <c r="CK103" s="123">
        <v>7547.2</v>
      </c>
      <c r="CL103" s="123">
        <v>686.55</v>
      </c>
      <c r="CM103" s="125"/>
      <c r="CN103" s="125">
        <v>42.63</v>
      </c>
      <c r="CU103" s="122">
        <v>45922</v>
      </c>
      <c r="CV103" s="123">
        <v>9573.25</v>
      </c>
      <c r="CW103" s="125">
        <v>1190.29</v>
      </c>
      <c r="CX103" s="125"/>
      <c r="CY103" s="126">
        <v>134.74</v>
      </c>
      <c r="DH103" s="122">
        <v>45922</v>
      </c>
      <c r="DI103" s="123">
        <v>1068.98</v>
      </c>
      <c r="DJ103" s="127">
        <v>203.14</v>
      </c>
      <c r="DK103" s="127"/>
      <c r="DL103" s="127"/>
      <c r="DM103" s="126">
        <v>4</v>
      </c>
      <c r="DT103" s="122">
        <v>45922</v>
      </c>
      <c r="DU103" s="123">
        <v>1577.31</v>
      </c>
      <c r="DV103" s="269">
        <v>977.42</v>
      </c>
      <c r="DW103" s="127"/>
      <c r="DX103" s="126">
        <v>55.26</v>
      </c>
      <c r="EE103" s="122">
        <v>45922</v>
      </c>
      <c r="EF103" s="123">
        <v>961</v>
      </c>
      <c r="EG103" s="269">
        <v>934.74</v>
      </c>
      <c r="EH103" s="127"/>
      <c r="EI103" s="126">
        <v>7.32</v>
      </c>
      <c r="EQ103" s="122">
        <v>45922</v>
      </c>
      <c r="ER103" s="123">
        <v>3232.06</v>
      </c>
      <c r="ES103" s="259">
        <v>288.77999999999997</v>
      </c>
      <c r="ET103" s="127"/>
      <c r="EU103" s="258">
        <v>111.69</v>
      </c>
      <c r="FB103" s="122">
        <v>45922</v>
      </c>
      <c r="FC103" s="123">
        <v>623.52</v>
      </c>
      <c r="FD103" s="123">
        <v>187.6</v>
      </c>
      <c r="FE103" s="125"/>
      <c r="FF103" s="126"/>
    </row>
    <row r="104" spans="2:162" hidden="1" x14ac:dyDescent="0.25">
      <c r="B104" s="122">
        <v>45923</v>
      </c>
      <c r="C104" s="123">
        <v>17593.86</v>
      </c>
      <c r="D104" s="125"/>
      <c r="E104" s="125"/>
      <c r="F104" s="125">
        <v>100.3</v>
      </c>
      <c r="M104" s="122">
        <v>45923</v>
      </c>
      <c r="N104" s="123">
        <v>2443.06</v>
      </c>
      <c r="O104" s="125"/>
      <c r="P104" s="126">
        <v>94.76</v>
      </c>
      <c r="W104" s="122">
        <v>45923</v>
      </c>
      <c r="X104" s="123">
        <v>1838.1</v>
      </c>
      <c r="Y104" s="123">
        <v>143.94999999999999</v>
      </c>
      <c r="Z104" s="125"/>
      <c r="AA104" s="123">
        <v>2.2000000000000002</v>
      </c>
      <c r="AI104" s="122">
        <v>45923</v>
      </c>
      <c r="AJ104" s="123">
        <v>1347.06</v>
      </c>
      <c r="AK104" s="125"/>
      <c r="AL104" s="126"/>
      <c r="AS104" s="122">
        <v>45923</v>
      </c>
      <c r="AT104" s="123">
        <v>3501.32</v>
      </c>
      <c r="AU104" s="125"/>
      <c r="AV104" s="128"/>
      <c r="BC104" s="122">
        <v>45923</v>
      </c>
      <c r="BD104" s="123">
        <v>2032.57</v>
      </c>
      <c r="BE104" s="125"/>
      <c r="BF104" s="128">
        <v>0</v>
      </c>
      <c r="BM104" s="122">
        <v>45923</v>
      </c>
      <c r="BN104" s="123">
        <v>12793.49</v>
      </c>
      <c r="BO104" s="123">
        <v>2468.9699999999998</v>
      </c>
      <c r="BP104" s="123">
        <v>8974.6299999999992</v>
      </c>
      <c r="BQ104" s="125"/>
      <c r="BR104" s="125"/>
      <c r="BY104" s="122">
        <v>45923</v>
      </c>
      <c r="BZ104" s="256">
        <v>1116.18</v>
      </c>
      <c r="CA104" s="260">
        <v>537.54999999999995</v>
      </c>
      <c r="CB104" s="125"/>
      <c r="CC104" s="126"/>
      <c r="CJ104" s="122">
        <v>45923</v>
      </c>
      <c r="CK104" s="123">
        <v>6948.56</v>
      </c>
      <c r="CL104" s="123">
        <v>576.77</v>
      </c>
      <c r="CM104" s="125"/>
      <c r="CN104" s="125">
        <v>20.84</v>
      </c>
      <c r="CU104" s="122">
        <v>45923</v>
      </c>
      <c r="CV104" s="123">
        <v>7830.09</v>
      </c>
      <c r="CW104" s="125">
        <v>791.71</v>
      </c>
      <c r="CX104" s="125"/>
      <c r="CY104" s="126">
        <v>143.47999999999999</v>
      </c>
      <c r="DH104" s="122">
        <v>45923</v>
      </c>
      <c r="DI104" s="123">
        <v>884.29</v>
      </c>
      <c r="DJ104" s="127">
        <v>228.02</v>
      </c>
      <c r="DK104" s="127"/>
      <c r="DL104" s="127"/>
      <c r="DM104" s="126">
        <v>0</v>
      </c>
      <c r="DT104" s="122">
        <v>45923</v>
      </c>
      <c r="DU104" s="123">
        <v>2133.23</v>
      </c>
      <c r="DV104" s="269">
        <v>1300.78</v>
      </c>
      <c r="DW104" s="127"/>
      <c r="DX104" s="126">
        <v>26.25</v>
      </c>
      <c r="EE104" s="122">
        <v>45923</v>
      </c>
      <c r="EF104" s="123">
        <v>784.92</v>
      </c>
      <c r="EG104" s="269">
        <v>673.06</v>
      </c>
      <c r="EH104" s="127"/>
      <c r="EI104" s="126">
        <v>16.57</v>
      </c>
      <c r="EQ104" s="122">
        <v>45923</v>
      </c>
      <c r="ER104" s="123">
        <v>3496.3</v>
      </c>
      <c r="ES104" s="259">
        <v>204.69</v>
      </c>
      <c r="ET104" s="127"/>
      <c r="EU104" s="258">
        <v>47.81</v>
      </c>
      <c r="FB104" s="122">
        <v>45923</v>
      </c>
      <c r="FC104" s="123">
        <v>790.24</v>
      </c>
      <c r="FD104" s="123">
        <v>374.83</v>
      </c>
      <c r="FE104" s="125"/>
      <c r="FF104" s="126"/>
    </row>
    <row r="105" spans="2:162" hidden="1" x14ac:dyDescent="0.25">
      <c r="B105" s="122">
        <v>45924</v>
      </c>
      <c r="C105" s="123">
        <v>17368.27</v>
      </c>
      <c r="D105" s="125"/>
      <c r="E105" s="125"/>
      <c r="F105" s="125">
        <v>194.02</v>
      </c>
      <c r="M105" s="122">
        <v>45924</v>
      </c>
      <c r="N105" s="123">
        <v>3464</v>
      </c>
      <c r="O105" s="125"/>
      <c r="P105" s="126">
        <v>12.6</v>
      </c>
      <c r="W105" s="122">
        <v>45924</v>
      </c>
      <c r="X105" s="123">
        <v>2185.9499999999998</v>
      </c>
      <c r="Y105" s="123">
        <v>3.36</v>
      </c>
      <c r="Z105" s="125"/>
      <c r="AA105" s="123">
        <v>0</v>
      </c>
      <c r="AI105" s="122">
        <v>45924</v>
      </c>
      <c r="AJ105" s="123">
        <v>1550.29</v>
      </c>
      <c r="AK105" s="125"/>
      <c r="AL105" s="126"/>
      <c r="AS105" s="122">
        <v>45924</v>
      </c>
      <c r="AT105" s="123">
        <v>3836.57</v>
      </c>
      <c r="AU105" s="125"/>
      <c r="AV105" s="128"/>
      <c r="BC105" s="122">
        <v>45924</v>
      </c>
      <c r="BD105" s="123">
        <v>2511.0300000000002</v>
      </c>
      <c r="BE105" s="125"/>
      <c r="BF105" s="128">
        <v>0</v>
      </c>
      <c r="BM105" s="122">
        <v>45924</v>
      </c>
      <c r="BN105" s="123">
        <v>13012.48</v>
      </c>
      <c r="BO105" s="123">
        <v>2713.13</v>
      </c>
      <c r="BP105" s="123">
        <v>8656.5300000000007</v>
      </c>
      <c r="BQ105" s="125"/>
      <c r="BR105" s="125"/>
      <c r="BY105" s="122">
        <v>45924</v>
      </c>
      <c r="BZ105" s="256">
        <v>1470.69</v>
      </c>
      <c r="CA105" s="257">
        <v>673.27</v>
      </c>
      <c r="CB105" s="125"/>
      <c r="CC105" s="126"/>
      <c r="CJ105" s="122">
        <v>45924</v>
      </c>
      <c r="CK105" s="123">
        <v>6707.48</v>
      </c>
      <c r="CL105" s="123">
        <v>478.47</v>
      </c>
      <c r="CM105" s="125"/>
      <c r="CN105" s="125">
        <v>24.33</v>
      </c>
      <c r="CU105" s="122">
        <v>45924</v>
      </c>
      <c r="CV105" s="123">
        <v>17587.5</v>
      </c>
      <c r="CW105" s="125">
        <v>1167.33</v>
      </c>
      <c r="CX105" s="125"/>
      <c r="CY105" s="126">
        <v>82.5</v>
      </c>
      <c r="DH105" s="122">
        <v>45924</v>
      </c>
      <c r="DI105" s="123">
        <v>1685.25</v>
      </c>
      <c r="DJ105" s="127">
        <v>271.33999999999997</v>
      </c>
      <c r="DK105" s="127"/>
      <c r="DL105" s="127"/>
      <c r="DM105" s="126">
        <v>0</v>
      </c>
      <c r="DT105" s="122">
        <v>45924</v>
      </c>
      <c r="DU105" s="123">
        <v>1232.78</v>
      </c>
      <c r="DV105" s="269">
        <v>1010.26</v>
      </c>
      <c r="DW105" s="127"/>
      <c r="DX105" s="126">
        <v>26.61</v>
      </c>
      <c r="EE105" s="122">
        <v>45924</v>
      </c>
      <c r="EF105" s="123">
        <v>766.79</v>
      </c>
      <c r="EG105" s="269">
        <v>907.87</v>
      </c>
      <c r="EH105" s="127"/>
      <c r="EI105" s="126">
        <v>17.63</v>
      </c>
      <c r="EQ105" s="122">
        <v>45924</v>
      </c>
      <c r="ER105" s="123">
        <v>2954.47</v>
      </c>
      <c r="ES105" s="259">
        <v>400.87</v>
      </c>
      <c r="ET105" s="127"/>
      <c r="EU105" s="258">
        <v>197.15</v>
      </c>
      <c r="FB105" s="122">
        <v>45924</v>
      </c>
      <c r="FC105" s="123">
        <v>586.42999999999995</v>
      </c>
      <c r="FD105" s="123">
        <v>191.97</v>
      </c>
      <c r="FE105" s="125"/>
      <c r="FF105" s="126"/>
    </row>
    <row r="106" spans="2:162" hidden="1" x14ac:dyDescent="0.25">
      <c r="B106" s="122">
        <v>45925</v>
      </c>
      <c r="C106" s="123">
        <v>12833.15</v>
      </c>
      <c r="D106" s="125"/>
      <c r="E106" s="125"/>
      <c r="F106" s="125">
        <v>0</v>
      </c>
      <c r="M106" s="122">
        <v>45925</v>
      </c>
      <c r="N106" s="123">
        <v>3078.81</v>
      </c>
      <c r="O106" s="125"/>
      <c r="P106" s="126">
        <v>19.399999999999999</v>
      </c>
      <c r="W106" s="122">
        <v>45925</v>
      </c>
      <c r="X106" s="123">
        <v>1241.49</v>
      </c>
      <c r="Y106" s="123">
        <v>243.66</v>
      </c>
      <c r="Z106" s="125"/>
      <c r="AA106" s="123">
        <v>5.24</v>
      </c>
      <c r="AI106" s="122">
        <v>45925</v>
      </c>
      <c r="AJ106" s="123">
        <v>1266.5899999999999</v>
      </c>
      <c r="AK106" s="125"/>
      <c r="AL106" s="126"/>
      <c r="AS106" s="122">
        <v>45925</v>
      </c>
      <c r="AT106" s="123">
        <v>3471.35</v>
      </c>
      <c r="AU106" s="125"/>
      <c r="AV106" s="128"/>
      <c r="BC106" s="122">
        <v>45925</v>
      </c>
      <c r="BD106" s="123">
        <v>3029.48</v>
      </c>
      <c r="BE106" s="125"/>
      <c r="BF106" s="128">
        <v>0</v>
      </c>
      <c r="BM106" s="122">
        <v>45925</v>
      </c>
      <c r="BN106" s="123">
        <v>12201.41</v>
      </c>
      <c r="BO106" s="123">
        <v>2834.07</v>
      </c>
      <c r="BP106" s="123">
        <v>9698.76</v>
      </c>
      <c r="BQ106" s="125"/>
      <c r="BR106" s="125"/>
      <c r="BY106" s="122">
        <v>45925</v>
      </c>
      <c r="BZ106" s="256">
        <v>1895.33</v>
      </c>
      <c r="CA106" s="257">
        <v>745.51</v>
      </c>
      <c r="CB106" s="125"/>
      <c r="CC106" s="126"/>
      <c r="CJ106" s="122">
        <v>45925</v>
      </c>
      <c r="CK106" s="123">
        <v>8056.63</v>
      </c>
      <c r="CL106" s="123">
        <v>745.47</v>
      </c>
      <c r="CM106" s="125"/>
      <c r="CN106" s="125">
        <v>17.2</v>
      </c>
      <c r="CU106" s="122">
        <v>45925</v>
      </c>
      <c r="CV106" s="123">
        <v>8828.9599999999991</v>
      </c>
      <c r="CW106" s="125">
        <v>944.81</v>
      </c>
      <c r="CX106" s="125"/>
      <c r="CY106" s="126">
        <v>138.72</v>
      </c>
      <c r="DH106" s="122">
        <v>45925</v>
      </c>
      <c r="DI106" s="123">
        <v>2351.77</v>
      </c>
      <c r="DJ106" s="127">
        <v>255.06</v>
      </c>
      <c r="DK106" s="127"/>
      <c r="DL106" s="127"/>
      <c r="DM106" s="126">
        <v>4</v>
      </c>
      <c r="DT106" s="122">
        <v>45925</v>
      </c>
      <c r="DU106" s="123">
        <v>1564.21</v>
      </c>
      <c r="DV106" s="269">
        <v>1179.3699999999999</v>
      </c>
      <c r="DW106" s="127"/>
      <c r="DX106" s="126">
        <v>26.7</v>
      </c>
      <c r="EE106" s="122">
        <v>45925</v>
      </c>
      <c r="EF106" s="123">
        <v>894.54</v>
      </c>
      <c r="EG106" s="269">
        <v>704.25</v>
      </c>
      <c r="EH106" s="127"/>
      <c r="EI106" s="126">
        <v>26.98</v>
      </c>
      <c r="EQ106" s="122">
        <v>45925</v>
      </c>
      <c r="ER106" s="123">
        <v>4270.3999999999996</v>
      </c>
      <c r="ES106" s="259">
        <v>405.78</v>
      </c>
      <c r="ET106" s="127"/>
      <c r="EU106" s="258">
        <v>231.01</v>
      </c>
      <c r="FB106" s="122">
        <v>45925</v>
      </c>
      <c r="FC106" s="123">
        <v>515.19000000000005</v>
      </c>
      <c r="FD106" s="123">
        <v>150</v>
      </c>
      <c r="FE106" s="125"/>
      <c r="FF106" s="126"/>
    </row>
    <row r="107" spans="2:162" hidden="1" x14ac:dyDescent="0.25">
      <c r="B107" s="122">
        <v>45926</v>
      </c>
      <c r="C107" s="123">
        <v>10781.21</v>
      </c>
      <c r="D107" s="126"/>
      <c r="E107" s="125"/>
      <c r="F107" s="126">
        <v>11.22</v>
      </c>
      <c r="M107" s="122">
        <v>45926</v>
      </c>
      <c r="N107" s="123">
        <v>2828.3</v>
      </c>
      <c r="O107" s="125"/>
      <c r="P107" s="126">
        <v>0</v>
      </c>
      <c r="W107" s="122">
        <v>45926</v>
      </c>
      <c r="X107" s="123">
        <v>1684.52</v>
      </c>
      <c r="Y107" s="123">
        <v>220.91</v>
      </c>
      <c r="Z107" s="125"/>
      <c r="AA107" s="123">
        <v>15.57</v>
      </c>
      <c r="AI107" s="122">
        <v>45926</v>
      </c>
      <c r="AJ107" s="123">
        <v>2398.23</v>
      </c>
      <c r="AK107" s="125"/>
      <c r="AL107" s="126"/>
      <c r="AS107" s="122">
        <v>45926</v>
      </c>
      <c r="AT107" s="123">
        <v>3510.04</v>
      </c>
      <c r="AU107" s="125"/>
      <c r="AV107" s="128"/>
      <c r="BC107" s="122">
        <v>45926</v>
      </c>
      <c r="BD107" s="123">
        <v>2783.9</v>
      </c>
      <c r="BE107" s="125"/>
      <c r="BF107" s="128">
        <v>0</v>
      </c>
      <c r="BM107" s="122">
        <v>45926</v>
      </c>
      <c r="BN107" s="123">
        <v>15345.92</v>
      </c>
      <c r="BO107" s="123">
        <v>2797.62</v>
      </c>
      <c r="BP107" s="123">
        <v>10317.49</v>
      </c>
      <c r="BQ107" s="125"/>
      <c r="BR107" s="125"/>
      <c r="BY107" s="122">
        <v>45926</v>
      </c>
      <c r="BZ107" s="256">
        <v>1558.37</v>
      </c>
      <c r="CA107" s="257">
        <v>825.18</v>
      </c>
      <c r="CB107" s="125"/>
      <c r="CC107" s="126"/>
      <c r="CJ107" s="122">
        <v>45926</v>
      </c>
      <c r="CK107" s="123">
        <v>5290.82</v>
      </c>
      <c r="CL107" s="123">
        <v>775.13</v>
      </c>
      <c r="CM107" s="125"/>
      <c r="CN107" s="125">
        <v>19.21</v>
      </c>
      <c r="CU107" s="122">
        <v>45926</v>
      </c>
      <c r="CV107" s="123">
        <v>11183.75</v>
      </c>
      <c r="CW107" s="125">
        <v>1006.05</v>
      </c>
      <c r="CX107" s="125"/>
      <c r="CY107" s="126">
        <v>288.39</v>
      </c>
      <c r="DH107" s="122">
        <v>45926</v>
      </c>
      <c r="DI107" s="123">
        <v>3187.94</v>
      </c>
      <c r="DJ107" s="259">
        <v>413.74</v>
      </c>
      <c r="DK107" s="259"/>
      <c r="DL107" s="127"/>
      <c r="DM107" s="126">
        <v>8</v>
      </c>
      <c r="DT107" s="122">
        <v>45926</v>
      </c>
      <c r="DU107" s="123">
        <v>1564.21</v>
      </c>
      <c r="DV107" s="269">
        <v>1179.3699999999999</v>
      </c>
      <c r="DW107" s="127"/>
      <c r="DX107" s="126">
        <v>26.7</v>
      </c>
      <c r="EE107" s="122">
        <v>45926</v>
      </c>
      <c r="EF107" s="123">
        <v>1074.3</v>
      </c>
      <c r="EG107" s="269">
        <v>1014.4</v>
      </c>
      <c r="EH107" s="127"/>
      <c r="EI107" s="126">
        <v>16</v>
      </c>
      <c r="EQ107" s="122">
        <v>45926</v>
      </c>
      <c r="ER107" s="123">
        <v>2870.1</v>
      </c>
      <c r="ES107" s="259">
        <v>512.47</v>
      </c>
      <c r="ET107" s="127"/>
      <c r="EU107" s="258">
        <v>36.9</v>
      </c>
      <c r="FB107" s="122">
        <v>45926</v>
      </c>
      <c r="FC107" s="123">
        <v>447.72</v>
      </c>
      <c r="FD107" s="123">
        <v>253.96</v>
      </c>
      <c r="FE107" s="125"/>
      <c r="FF107" s="126"/>
    </row>
    <row r="108" spans="2:162" hidden="1" x14ac:dyDescent="0.25">
      <c r="B108" s="122">
        <v>45927</v>
      </c>
      <c r="C108" s="123">
        <v>12113.01</v>
      </c>
      <c r="D108" s="125"/>
      <c r="E108" s="125"/>
      <c r="F108" s="125">
        <v>0</v>
      </c>
      <c r="M108" s="122">
        <v>45927</v>
      </c>
      <c r="N108" s="123">
        <v>3531.93</v>
      </c>
      <c r="O108" s="125"/>
      <c r="P108" s="126">
        <v>0</v>
      </c>
      <c r="W108" s="122">
        <v>45927</v>
      </c>
      <c r="X108" s="123">
        <v>1561.51</v>
      </c>
      <c r="Y108" s="123">
        <v>183.19</v>
      </c>
      <c r="Z108" s="125"/>
      <c r="AA108" s="123">
        <v>6.33</v>
      </c>
      <c r="AI108" s="122">
        <v>45927</v>
      </c>
      <c r="AJ108" s="123">
        <v>1126.94</v>
      </c>
      <c r="AK108" s="125"/>
      <c r="AL108" s="126"/>
      <c r="AS108" s="122">
        <v>45927</v>
      </c>
      <c r="AT108" s="123">
        <v>4565.67</v>
      </c>
      <c r="AU108" s="125"/>
      <c r="AV108" s="128"/>
      <c r="BC108" s="122">
        <v>45927</v>
      </c>
      <c r="BD108" s="123">
        <v>3284.58</v>
      </c>
      <c r="BE108" s="125"/>
      <c r="BF108" s="128">
        <v>0</v>
      </c>
      <c r="BM108" s="122">
        <v>45927</v>
      </c>
      <c r="BN108" s="123">
        <v>13081.06</v>
      </c>
      <c r="BO108" s="123">
        <v>2616.2800000000002</v>
      </c>
      <c r="BP108" s="123">
        <v>8064.43</v>
      </c>
      <c r="BQ108" s="125"/>
      <c r="BR108" s="125"/>
      <c r="BY108" s="122">
        <v>45927</v>
      </c>
      <c r="BZ108" s="256">
        <v>1053</v>
      </c>
      <c r="CA108" s="260">
        <v>675.03</v>
      </c>
      <c r="CB108" s="125"/>
      <c r="CC108" s="126"/>
      <c r="CJ108" s="122">
        <v>45927</v>
      </c>
      <c r="CK108" s="123">
        <v>5314.29</v>
      </c>
      <c r="CL108" s="123">
        <v>942.99</v>
      </c>
      <c r="CM108" s="125"/>
      <c r="CN108" s="125">
        <v>13.81</v>
      </c>
      <c r="CU108" s="122">
        <v>45927</v>
      </c>
      <c r="CV108" s="123">
        <v>10347.39</v>
      </c>
      <c r="CW108" s="125">
        <v>727.46</v>
      </c>
      <c r="CX108" s="125"/>
      <c r="CY108" s="126">
        <v>162.71</v>
      </c>
      <c r="DH108" s="122">
        <v>45927</v>
      </c>
      <c r="DI108" s="123">
        <v>2210.69</v>
      </c>
      <c r="DJ108" s="127">
        <v>479.52</v>
      </c>
      <c r="DK108" s="127"/>
      <c r="DL108" s="127"/>
      <c r="DM108" s="126">
        <v>4.72</v>
      </c>
      <c r="DT108" s="122">
        <v>45927</v>
      </c>
      <c r="DU108" s="123">
        <v>2602.8000000000002</v>
      </c>
      <c r="DV108" s="269">
        <v>1313.06</v>
      </c>
      <c r="DW108" s="127"/>
      <c r="DX108" s="126">
        <v>55.03</v>
      </c>
      <c r="EE108" s="122">
        <v>45927</v>
      </c>
      <c r="EF108" s="123">
        <v>1249.17</v>
      </c>
      <c r="EG108" s="269">
        <v>748.1</v>
      </c>
      <c r="EH108" s="127"/>
      <c r="EI108" s="126">
        <v>20.02</v>
      </c>
      <c r="EQ108" s="122">
        <v>45927</v>
      </c>
      <c r="ER108" s="123">
        <v>2919.6</v>
      </c>
      <c r="ES108" s="259">
        <v>413.08</v>
      </c>
      <c r="ET108" s="127"/>
      <c r="EU108" s="258">
        <v>552.15</v>
      </c>
      <c r="FB108" s="122">
        <v>45927</v>
      </c>
      <c r="FC108" s="123">
        <v>857.22</v>
      </c>
      <c r="FD108" s="123">
        <v>232</v>
      </c>
      <c r="FE108" s="125"/>
      <c r="FF108" s="126"/>
    </row>
    <row r="109" spans="2:162" hidden="1" x14ac:dyDescent="0.25">
      <c r="B109" s="122">
        <v>45928</v>
      </c>
      <c r="C109" s="123">
        <v>10019.35</v>
      </c>
      <c r="D109" s="126"/>
      <c r="E109" s="125"/>
      <c r="F109" s="126">
        <v>0</v>
      </c>
      <c r="M109" s="122">
        <v>45928</v>
      </c>
      <c r="N109" s="123">
        <v>3470.13</v>
      </c>
      <c r="O109" s="125"/>
      <c r="P109" s="126">
        <v>0</v>
      </c>
      <c r="W109" s="122">
        <v>45928</v>
      </c>
      <c r="X109" s="123">
        <v>1625.16</v>
      </c>
      <c r="Y109" s="123">
        <v>204.49</v>
      </c>
      <c r="Z109" s="125"/>
      <c r="AA109" s="123">
        <v>2.2000000000000002</v>
      </c>
      <c r="AI109" s="122">
        <v>45928</v>
      </c>
      <c r="AJ109" s="123">
        <v>1528.23</v>
      </c>
      <c r="AK109" s="125"/>
      <c r="AL109" s="126"/>
      <c r="AS109" s="122">
        <v>45928</v>
      </c>
      <c r="AT109" s="123">
        <v>3646.69</v>
      </c>
      <c r="AU109" s="125"/>
      <c r="AV109" s="128"/>
      <c r="BC109" s="122">
        <v>45928</v>
      </c>
      <c r="BD109" s="123">
        <v>1028.8900000000001</v>
      </c>
      <c r="BE109" s="125"/>
      <c r="BF109" s="128">
        <v>0</v>
      </c>
      <c r="BM109" s="122">
        <v>45928</v>
      </c>
      <c r="BN109" s="123">
        <v>10206.23</v>
      </c>
      <c r="BO109" s="123">
        <v>1612.3</v>
      </c>
      <c r="BP109" s="123">
        <v>5105.9399999999996</v>
      </c>
      <c r="BQ109" s="125"/>
      <c r="BR109" s="125"/>
      <c r="BY109" s="122">
        <v>45928</v>
      </c>
      <c r="BZ109" s="256">
        <v>1549.56</v>
      </c>
      <c r="CA109" s="257">
        <v>624.08000000000004</v>
      </c>
      <c r="CB109" s="125"/>
      <c r="CC109" s="126"/>
      <c r="CJ109" s="122">
        <v>45928</v>
      </c>
      <c r="CK109" s="123">
        <v>2450.3000000000002</v>
      </c>
      <c r="CL109" s="123">
        <v>735.18</v>
      </c>
      <c r="CM109" s="125"/>
      <c r="CN109" s="125">
        <v>0</v>
      </c>
      <c r="CU109" s="122">
        <v>45928</v>
      </c>
      <c r="CV109" s="123">
        <v>2977.76</v>
      </c>
      <c r="CW109" s="125">
        <v>346.29</v>
      </c>
      <c r="CX109" s="125"/>
      <c r="CY109" s="126">
        <v>133.19</v>
      </c>
      <c r="DH109" s="122">
        <v>45928</v>
      </c>
      <c r="DI109" s="123">
        <v>1884.16</v>
      </c>
      <c r="DJ109" s="127">
        <v>336.03</v>
      </c>
      <c r="DK109" s="127"/>
      <c r="DL109" s="127"/>
      <c r="DM109" s="126">
        <v>4</v>
      </c>
      <c r="DT109" s="122">
        <v>45928</v>
      </c>
      <c r="DU109" s="123">
        <v>2020.44</v>
      </c>
      <c r="DV109" s="269">
        <v>1196.78</v>
      </c>
      <c r="DW109" s="127"/>
      <c r="DX109" s="126">
        <v>21.26</v>
      </c>
      <c r="EE109" s="122">
        <v>45928</v>
      </c>
      <c r="EF109" s="123">
        <v>635.47</v>
      </c>
      <c r="EG109" s="269">
        <v>365.04</v>
      </c>
      <c r="EH109" s="127"/>
      <c r="EI109" s="126">
        <v>9.76</v>
      </c>
      <c r="EQ109" s="122">
        <v>45928</v>
      </c>
      <c r="ER109" s="123">
        <v>3313.28</v>
      </c>
      <c r="ES109" s="259">
        <v>605.26</v>
      </c>
      <c r="ET109" s="127"/>
      <c r="EU109" s="258">
        <v>135.84</v>
      </c>
      <c r="FB109" s="122">
        <v>45928</v>
      </c>
      <c r="FC109" s="123">
        <v>744.03</v>
      </c>
      <c r="FD109" s="123">
        <v>148</v>
      </c>
      <c r="FE109" s="125"/>
      <c r="FF109" s="126"/>
    </row>
    <row r="110" spans="2:162" hidden="1" x14ac:dyDescent="0.25">
      <c r="B110" s="122">
        <v>45929</v>
      </c>
      <c r="C110" s="123">
        <v>10907.47</v>
      </c>
      <c r="D110" s="125"/>
      <c r="E110" s="125"/>
      <c r="F110" s="125">
        <v>0</v>
      </c>
      <c r="M110" s="122">
        <v>45929</v>
      </c>
      <c r="N110" s="123">
        <v>2924.14</v>
      </c>
      <c r="O110" s="127"/>
      <c r="P110" s="261">
        <v>8.33</v>
      </c>
      <c r="W110" s="122">
        <v>45929</v>
      </c>
      <c r="X110" s="123">
        <v>1162.6400000000001</v>
      </c>
      <c r="Y110" s="123">
        <v>242.08</v>
      </c>
      <c r="Z110" s="125"/>
      <c r="AA110" s="123">
        <v>10.27</v>
      </c>
      <c r="AI110" s="122">
        <v>45929</v>
      </c>
      <c r="AJ110" s="123">
        <v>1216.02</v>
      </c>
      <c r="AK110" s="127"/>
      <c r="AL110" s="262"/>
      <c r="AS110" s="122">
        <v>45929</v>
      </c>
      <c r="AT110" s="123">
        <v>3314.34</v>
      </c>
      <c r="AU110" s="127"/>
      <c r="AV110" s="261"/>
      <c r="BC110" s="122">
        <v>45929</v>
      </c>
      <c r="BD110" s="123">
        <v>2853.18</v>
      </c>
      <c r="BE110" s="125"/>
      <c r="BF110" s="128">
        <v>2.78</v>
      </c>
      <c r="BM110" s="122">
        <v>45929</v>
      </c>
      <c r="BN110" s="123">
        <v>10297.950000000001</v>
      </c>
      <c r="BO110" s="123">
        <v>2416.54</v>
      </c>
      <c r="BP110" s="123">
        <v>8005.12</v>
      </c>
      <c r="BQ110" s="125"/>
      <c r="BR110" s="125"/>
      <c r="BY110" s="122">
        <v>45929</v>
      </c>
      <c r="BZ110" s="256">
        <v>1812.06</v>
      </c>
      <c r="CA110" s="257">
        <v>479.54</v>
      </c>
      <c r="CB110" s="125"/>
      <c r="CC110" s="126"/>
      <c r="CJ110" s="122">
        <v>45929</v>
      </c>
      <c r="CK110" s="123">
        <v>9389.7099999999991</v>
      </c>
      <c r="CL110" s="123">
        <v>552.88</v>
      </c>
      <c r="CM110" s="125"/>
      <c r="CN110" s="125">
        <v>36.33</v>
      </c>
      <c r="CU110" s="122">
        <v>45929</v>
      </c>
      <c r="CV110" s="123">
        <v>7370.86</v>
      </c>
      <c r="CW110" s="125">
        <v>592.99</v>
      </c>
      <c r="CX110" s="125"/>
      <c r="CY110" s="126">
        <v>103.66</v>
      </c>
      <c r="DH110" s="122">
        <v>45929</v>
      </c>
      <c r="DI110" s="123">
        <v>3243.61</v>
      </c>
      <c r="DJ110" s="127">
        <v>113.71</v>
      </c>
      <c r="DK110" s="127"/>
      <c r="DL110" s="127"/>
      <c r="DM110" s="126">
        <v>9.15</v>
      </c>
      <c r="DT110" s="122">
        <v>45929</v>
      </c>
      <c r="DU110" s="123">
        <v>971.45</v>
      </c>
      <c r="DV110" s="269">
        <v>1259.3499999999999</v>
      </c>
      <c r="DW110" s="127"/>
      <c r="DX110" s="126">
        <v>13.5</v>
      </c>
      <c r="EE110" s="122">
        <v>45929</v>
      </c>
      <c r="EF110" s="123">
        <v>747.28</v>
      </c>
      <c r="EG110" s="269">
        <v>593.11</v>
      </c>
      <c r="EH110" s="127"/>
      <c r="EI110" s="126">
        <v>18.989999999999998</v>
      </c>
      <c r="EQ110" s="122">
        <v>45929</v>
      </c>
      <c r="ER110" s="123">
        <v>2506.67</v>
      </c>
      <c r="ES110" s="259">
        <v>417.19</v>
      </c>
      <c r="ET110" s="127"/>
      <c r="EU110" s="258">
        <v>28.69</v>
      </c>
      <c r="FB110" s="122">
        <v>45929</v>
      </c>
      <c r="FC110" s="123">
        <v>663.35</v>
      </c>
      <c r="FD110" s="123">
        <v>433.51</v>
      </c>
      <c r="FE110" s="125"/>
      <c r="FF110" s="126"/>
    </row>
    <row r="111" spans="2:162" hidden="1" x14ac:dyDescent="0.25">
      <c r="B111" s="122">
        <v>45930</v>
      </c>
      <c r="C111" s="123">
        <v>15606.72</v>
      </c>
      <c r="D111" s="125"/>
      <c r="E111" s="125"/>
      <c r="F111" s="123">
        <v>96.21</v>
      </c>
      <c r="M111" s="122">
        <v>45930</v>
      </c>
      <c r="N111" s="123">
        <v>3186.74</v>
      </c>
      <c r="O111" s="127"/>
      <c r="P111" s="261">
        <v>0</v>
      </c>
      <c r="W111" s="122">
        <v>45930</v>
      </c>
      <c r="X111" s="123">
        <v>1078.54</v>
      </c>
      <c r="Y111" s="123">
        <v>176.72</v>
      </c>
      <c r="Z111" s="125"/>
      <c r="AA111" s="123">
        <v>4.68</v>
      </c>
      <c r="AI111" s="122">
        <v>45930</v>
      </c>
      <c r="AJ111" s="123">
        <v>1371.13</v>
      </c>
      <c r="AK111" s="127"/>
      <c r="AL111" s="262"/>
      <c r="AS111" s="122">
        <v>45930</v>
      </c>
      <c r="AT111" s="123">
        <v>3071.94</v>
      </c>
      <c r="AU111" s="127"/>
      <c r="AV111" s="261"/>
      <c r="BC111" s="122">
        <v>45930</v>
      </c>
      <c r="BD111" s="123">
        <v>3153.14</v>
      </c>
      <c r="BE111" s="125"/>
      <c r="BF111" s="128">
        <v>0</v>
      </c>
      <c r="BM111" s="122">
        <v>45930</v>
      </c>
      <c r="BN111" s="123">
        <v>13974.06</v>
      </c>
      <c r="BO111" s="123">
        <v>2475.63</v>
      </c>
      <c r="BP111" s="123">
        <v>10248.35</v>
      </c>
      <c r="BQ111" s="125"/>
      <c r="BR111" s="125"/>
      <c r="BY111" s="122">
        <v>45930</v>
      </c>
      <c r="BZ111" s="256">
        <v>1595.93</v>
      </c>
      <c r="CA111" s="257">
        <v>624.53</v>
      </c>
      <c r="CB111" s="125"/>
      <c r="CC111" s="126"/>
      <c r="CJ111" s="122">
        <v>45930</v>
      </c>
      <c r="CK111" s="123">
        <v>6221.19</v>
      </c>
      <c r="CL111" s="123">
        <v>516.04</v>
      </c>
      <c r="CM111" s="125"/>
      <c r="CN111" s="125">
        <v>31.51</v>
      </c>
      <c r="CU111" s="122">
        <v>45930</v>
      </c>
      <c r="CV111" s="123">
        <v>8441.84</v>
      </c>
      <c r="CW111" s="125">
        <v>900.76</v>
      </c>
      <c r="CX111" s="125"/>
      <c r="CY111" s="126">
        <v>127.44</v>
      </c>
      <c r="DH111" s="122">
        <v>45930</v>
      </c>
      <c r="DI111" s="123">
        <v>1656.16</v>
      </c>
      <c r="DJ111" s="127">
        <v>293.62</v>
      </c>
      <c r="DK111" s="127"/>
      <c r="DL111" s="127"/>
      <c r="DM111" s="126">
        <v>4</v>
      </c>
      <c r="DT111" s="122">
        <v>45930</v>
      </c>
      <c r="DU111" s="123">
        <v>1745.57</v>
      </c>
      <c r="DV111" s="269">
        <v>1219.8599999999999</v>
      </c>
      <c r="DW111" s="127"/>
      <c r="DX111" s="126">
        <v>65.2</v>
      </c>
      <c r="EE111" s="122">
        <v>45930</v>
      </c>
      <c r="EF111" s="123">
        <v>1054.24</v>
      </c>
      <c r="EG111" s="269">
        <v>646.98</v>
      </c>
      <c r="EH111" s="127"/>
      <c r="EI111" s="126">
        <v>14.46</v>
      </c>
      <c r="EQ111" s="122">
        <v>45930</v>
      </c>
      <c r="ER111" s="123">
        <v>3704.54</v>
      </c>
      <c r="ES111" s="259">
        <v>410.29</v>
      </c>
      <c r="ET111" s="127"/>
      <c r="EU111" s="258">
        <v>66.209999999999994</v>
      </c>
      <c r="FB111" s="122">
        <v>45930</v>
      </c>
      <c r="FC111" s="123">
        <v>501</v>
      </c>
      <c r="FD111" s="123">
        <v>82</v>
      </c>
      <c r="FE111" s="125"/>
      <c r="FF111" s="126"/>
    </row>
    <row r="112" spans="2:162" hidden="1" x14ac:dyDescent="0.25">
      <c r="B112" s="32"/>
      <c r="C112" s="129">
        <f>SUM(C82:C111)</f>
        <v>361261.87</v>
      </c>
      <c r="D112" s="129">
        <f>SUM(D82:D111)</f>
        <v>0</v>
      </c>
      <c r="E112" s="32"/>
      <c r="F112" s="129">
        <f>SUM(F82:F111)</f>
        <v>1395.61</v>
      </c>
      <c r="M112" s="32"/>
      <c r="N112" s="129">
        <f>SUM(N82:N111)</f>
        <v>94847.280000000013</v>
      </c>
      <c r="O112" s="129"/>
      <c r="P112" s="129">
        <f>SUM(P82:P111)</f>
        <v>506.00999999999993</v>
      </c>
      <c r="W112" s="32"/>
      <c r="X112" s="129">
        <f>SUM(X82:X111)</f>
        <v>42237.5</v>
      </c>
      <c r="Y112" s="129">
        <f>SUM(Y82:Y111)</f>
        <v>4579.03</v>
      </c>
      <c r="Z112" s="32"/>
      <c r="AA112" s="129">
        <f>SUM(AA82:AA111)</f>
        <v>803.41000000000031</v>
      </c>
      <c r="AI112" s="32"/>
      <c r="AJ112" s="129">
        <f>SUM(AJ82:AJ111)</f>
        <v>44500.87</v>
      </c>
      <c r="AK112" s="32"/>
      <c r="AL112" s="32"/>
      <c r="AS112" s="32"/>
      <c r="AT112" s="129">
        <f>SUM(AT82:AT111)</f>
        <v>111759.63000000002</v>
      </c>
      <c r="AU112" s="32"/>
      <c r="AV112" s="129">
        <f>SUM(AV82:AV111)</f>
        <v>0</v>
      </c>
      <c r="BC112" s="32"/>
      <c r="BD112" s="129">
        <f>SUM(BD82:BD111)</f>
        <v>92363.12</v>
      </c>
      <c r="BE112" s="32"/>
      <c r="BF112" s="129">
        <f>SUM(BF82:BF111)</f>
        <v>107.95999999999998</v>
      </c>
      <c r="BM112" s="32"/>
      <c r="BN112" s="129">
        <f>SUM(BN82:BN111)</f>
        <v>396532.68</v>
      </c>
      <c r="BO112" s="129">
        <f>SUM(BO82:BO111)</f>
        <v>78845.16</v>
      </c>
      <c r="BP112" s="129">
        <f>SUM(BP82:BP111)</f>
        <v>247975.50999999998</v>
      </c>
      <c r="BQ112" s="129">
        <f>SUM(BQ82:BQ111)</f>
        <v>0</v>
      </c>
      <c r="BR112" s="129">
        <f>SUM(BR82:BR111)</f>
        <v>0</v>
      </c>
      <c r="BY112" s="32"/>
      <c r="BZ112" s="129">
        <f>SUM(BZ82:BZ111)</f>
        <v>39878.339999999997</v>
      </c>
      <c r="CA112" s="129">
        <f>SUM(CA82:CA111)</f>
        <v>18330.590000000004</v>
      </c>
      <c r="CB112" s="32"/>
      <c r="CC112" s="129"/>
      <c r="CJ112" s="32"/>
      <c r="CK112" s="129">
        <f>SUM(CK82:CK111)</f>
        <v>172438.28</v>
      </c>
      <c r="CL112" s="129">
        <f>SUM(CL82:CL111)</f>
        <v>18145.399999999998</v>
      </c>
      <c r="CM112" s="32"/>
      <c r="CN112" s="129">
        <f>SUM(CN82:CN111)</f>
        <v>538.55999999999995</v>
      </c>
      <c r="CU112" s="32"/>
      <c r="CV112" s="129">
        <f>SUM(CV82:CV111)</f>
        <v>252964.33</v>
      </c>
      <c r="CW112" s="129">
        <f>SUM(CW82:CW111)</f>
        <v>25176.07</v>
      </c>
      <c r="CX112" s="32"/>
      <c r="CY112" s="129">
        <f>SUM(CY82:CY111)</f>
        <v>4445.7599999999993</v>
      </c>
      <c r="DH112" s="32"/>
      <c r="DI112" s="129">
        <f>SUM(DI82:DI111)</f>
        <v>50186.12000000001</v>
      </c>
      <c r="DJ112" s="129">
        <f>SUM(DJ82:DJ111)</f>
        <v>10835.19</v>
      </c>
      <c r="DK112" s="129"/>
      <c r="DL112" s="32"/>
      <c r="DM112" s="129">
        <f>SUM(DM82:DM111)</f>
        <v>101.87</v>
      </c>
      <c r="DT112" s="32"/>
      <c r="DU112" s="264">
        <f>SUM(DU82:DU111)</f>
        <v>44034.270000000004</v>
      </c>
      <c r="DV112" s="129">
        <f>SUM(DV82:DV111)</f>
        <v>36168.62999999999</v>
      </c>
      <c r="DW112" s="32"/>
      <c r="DX112" s="264">
        <f>SUM(DX82:DX111)</f>
        <v>914.40000000000009</v>
      </c>
      <c r="EE112" s="32"/>
      <c r="EF112" s="129">
        <f>SUM(EF82:EF111)</f>
        <v>29068.38</v>
      </c>
      <c r="EG112" s="129">
        <f>SUM(EG82:EG111)</f>
        <v>21790.600000000002</v>
      </c>
      <c r="EH112" s="32"/>
      <c r="EI112" s="129">
        <f>SUM(EI82:EI111)</f>
        <v>472.50999999999993</v>
      </c>
      <c r="EQ112" s="265"/>
      <c r="ER112" s="129">
        <f>SUM(ER82:ER111)</f>
        <v>99966.56</v>
      </c>
      <c r="ES112" s="129">
        <f>SUM(ES82:ES111)</f>
        <v>10360.02</v>
      </c>
      <c r="ET112" s="32"/>
      <c r="EU112" s="129">
        <f>SUM(EU82:EU111)</f>
        <v>3719.2700000000009</v>
      </c>
      <c r="FB112" s="32"/>
      <c r="FC112" s="129">
        <f>SUM(FC82:FC111)</f>
        <v>21104.959999999999</v>
      </c>
      <c r="FD112" s="129">
        <f>SUM(FD82:FD111)</f>
        <v>6031.6900000000005</v>
      </c>
      <c r="FE112" s="32"/>
      <c r="FF112" s="129">
        <f>SUM(FF82:FF111)</f>
        <v>0</v>
      </c>
    </row>
    <row r="113" spans="2:162" hidden="1" x14ac:dyDescent="0.25"/>
    <row r="114" spans="2:162" hidden="1" x14ac:dyDescent="0.25"/>
    <row r="115" spans="2:162" hidden="1" x14ac:dyDescent="0.25">
      <c r="B115" s="119" t="s">
        <v>14</v>
      </c>
      <c r="C115" s="120" t="s">
        <v>15</v>
      </c>
      <c r="D115" s="120" t="s">
        <v>15</v>
      </c>
      <c r="E115" s="121" t="s">
        <v>16</v>
      </c>
      <c r="F115" s="121" t="s">
        <v>16</v>
      </c>
      <c r="M115" s="119" t="s">
        <v>14</v>
      </c>
      <c r="N115" s="120" t="s">
        <v>15</v>
      </c>
      <c r="O115" s="120" t="s">
        <v>15</v>
      </c>
      <c r="P115" s="121" t="s">
        <v>16</v>
      </c>
      <c r="W115" s="119" t="s">
        <v>14</v>
      </c>
      <c r="X115" s="120" t="s">
        <v>15</v>
      </c>
      <c r="Y115" s="120" t="s">
        <v>15</v>
      </c>
      <c r="Z115" s="121" t="s">
        <v>16</v>
      </c>
      <c r="AA115" s="121" t="s">
        <v>16</v>
      </c>
      <c r="AI115" s="119" t="s">
        <v>14</v>
      </c>
      <c r="AJ115" s="120" t="s">
        <v>15</v>
      </c>
      <c r="AK115" s="120" t="s">
        <v>15</v>
      </c>
      <c r="AL115" s="121" t="s">
        <v>16</v>
      </c>
      <c r="AS115" s="119" t="s">
        <v>14</v>
      </c>
      <c r="AT115" s="120" t="s">
        <v>15</v>
      </c>
      <c r="AU115" s="120" t="s">
        <v>15</v>
      </c>
      <c r="AV115" s="121" t="s">
        <v>16</v>
      </c>
      <c r="BC115" s="119" t="s">
        <v>14</v>
      </c>
      <c r="BD115" s="120" t="s">
        <v>15</v>
      </c>
      <c r="BE115" s="120" t="s">
        <v>15</v>
      </c>
      <c r="BF115" s="121" t="s">
        <v>16</v>
      </c>
      <c r="BM115" s="119" t="s">
        <v>14</v>
      </c>
      <c r="BN115" s="120" t="s">
        <v>15</v>
      </c>
      <c r="BO115" s="120" t="s">
        <v>15</v>
      </c>
      <c r="BP115" s="120" t="s">
        <v>15</v>
      </c>
      <c r="BQ115" s="121" t="s">
        <v>16</v>
      </c>
      <c r="BR115" s="121" t="s">
        <v>16</v>
      </c>
      <c r="BY115" s="119" t="s">
        <v>14</v>
      </c>
      <c r="BZ115" s="252" t="s">
        <v>15</v>
      </c>
      <c r="CA115" s="253" t="s">
        <v>15</v>
      </c>
      <c r="CB115" s="121" t="s">
        <v>16</v>
      </c>
      <c r="CC115" s="121" t="s">
        <v>16</v>
      </c>
      <c r="CJ115" s="119" t="s">
        <v>14</v>
      </c>
      <c r="CK115" s="120" t="s">
        <v>15</v>
      </c>
      <c r="CL115" s="120" t="s">
        <v>15</v>
      </c>
      <c r="CM115" s="121" t="s">
        <v>16</v>
      </c>
      <c r="CN115" s="121" t="s">
        <v>16</v>
      </c>
      <c r="CU115" s="119" t="s">
        <v>14</v>
      </c>
      <c r="CV115" s="120" t="s">
        <v>15</v>
      </c>
      <c r="CW115" s="120" t="s">
        <v>15</v>
      </c>
      <c r="CX115" s="121" t="s">
        <v>16</v>
      </c>
      <c r="CY115" s="121" t="s">
        <v>16</v>
      </c>
      <c r="DH115" s="119" t="s">
        <v>14</v>
      </c>
      <c r="DI115" s="120" t="s">
        <v>15</v>
      </c>
      <c r="DJ115" s="120" t="s">
        <v>15</v>
      </c>
      <c r="DK115" s="120"/>
      <c r="DL115" s="121" t="s">
        <v>16</v>
      </c>
      <c r="DM115" s="121" t="s">
        <v>16</v>
      </c>
      <c r="DT115" s="119" t="s">
        <v>14</v>
      </c>
      <c r="DU115" s="120" t="s">
        <v>15</v>
      </c>
      <c r="DV115" s="120" t="s">
        <v>15</v>
      </c>
      <c r="DW115" s="121" t="s">
        <v>16</v>
      </c>
      <c r="DX115" s="121" t="s">
        <v>16</v>
      </c>
      <c r="EE115" s="119" t="s">
        <v>14</v>
      </c>
      <c r="EF115" s="120" t="s">
        <v>15</v>
      </c>
      <c r="EG115" s="252" t="s">
        <v>15</v>
      </c>
      <c r="EH115" s="121" t="s">
        <v>16</v>
      </c>
      <c r="EI115" s="121" t="s">
        <v>16</v>
      </c>
      <c r="EQ115" s="119" t="s">
        <v>14</v>
      </c>
      <c r="ER115" s="120" t="s">
        <v>15</v>
      </c>
      <c r="ES115" s="120" t="s">
        <v>15</v>
      </c>
      <c r="ET115" s="121" t="s">
        <v>16</v>
      </c>
      <c r="EU115" s="121" t="s">
        <v>16</v>
      </c>
      <c r="FB115" s="119" t="s">
        <v>14</v>
      </c>
      <c r="FC115" s="120" t="s">
        <v>15</v>
      </c>
      <c r="FD115" s="120" t="s">
        <v>15</v>
      </c>
      <c r="FE115" s="121" t="s">
        <v>16</v>
      </c>
      <c r="FF115" s="121" t="s">
        <v>16</v>
      </c>
    </row>
    <row r="116" spans="2:162" hidden="1" x14ac:dyDescent="0.25">
      <c r="B116" s="119"/>
      <c r="C116" s="120" t="s">
        <v>18</v>
      </c>
      <c r="D116" s="120" t="s">
        <v>19</v>
      </c>
      <c r="E116" s="121" t="s">
        <v>19</v>
      </c>
      <c r="F116" s="121" t="s">
        <v>25</v>
      </c>
      <c r="M116" s="119"/>
      <c r="N116" s="120" t="s">
        <v>18</v>
      </c>
      <c r="O116" s="120" t="s">
        <v>19</v>
      </c>
      <c r="P116" s="121" t="s">
        <v>25</v>
      </c>
      <c r="W116" s="119"/>
      <c r="X116" s="120" t="s">
        <v>18</v>
      </c>
      <c r="Y116" s="120" t="s">
        <v>19</v>
      </c>
      <c r="Z116" s="121" t="s">
        <v>19</v>
      </c>
      <c r="AA116" s="121" t="s">
        <v>25</v>
      </c>
      <c r="AI116" s="119"/>
      <c r="AJ116" s="120" t="s">
        <v>18</v>
      </c>
      <c r="AK116" s="120" t="s">
        <v>19</v>
      </c>
      <c r="AL116" s="121" t="s">
        <v>25</v>
      </c>
      <c r="AS116" s="119"/>
      <c r="AT116" s="120" t="s">
        <v>18</v>
      </c>
      <c r="AU116" s="120" t="s">
        <v>19</v>
      </c>
      <c r="AV116" s="121" t="s">
        <v>25</v>
      </c>
      <c r="BC116" s="119"/>
      <c r="BD116" s="120" t="s">
        <v>18</v>
      </c>
      <c r="BE116" s="120" t="s">
        <v>19</v>
      </c>
      <c r="BF116" s="121" t="s">
        <v>25</v>
      </c>
      <c r="BM116" s="119"/>
      <c r="BN116" s="120" t="s">
        <v>18</v>
      </c>
      <c r="BO116" s="120" t="s">
        <v>19</v>
      </c>
      <c r="BP116" s="120" t="s">
        <v>20</v>
      </c>
      <c r="BQ116" s="121" t="s">
        <v>19</v>
      </c>
      <c r="BR116" s="121" t="s">
        <v>25</v>
      </c>
      <c r="BY116" s="119"/>
      <c r="BZ116" s="252" t="s">
        <v>18</v>
      </c>
      <c r="CA116" s="253" t="s">
        <v>19</v>
      </c>
      <c r="CB116" s="121" t="s">
        <v>19</v>
      </c>
      <c r="CC116" s="121" t="s">
        <v>25</v>
      </c>
      <c r="CJ116" s="119"/>
      <c r="CK116" s="120" t="s">
        <v>18</v>
      </c>
      <c r="CL116" s="120" t="s">
        <v>19</v>
      </c>
      <c r="CM116" s="121" t="s">
        <v>19</v>
      </c>
      <c r="CN116" s="121" t="s">
        <v>25</v>
      </c>
      <c r="CU116" s="119"/>
      <c r="CV116" s="120" t="s">
        <v>18</v>
      </c>
      <c r="CW116" s="120" t="s">
        <v>19</v>
      </c>
      <c r="CX116" s="121" t="s">
        <v>19</v>
      </c>
      <c r="CY116" s="121" t="s">
        <v>25</v>
      </c>
      <c r="DH116" s="119"/>
      <c r="DI116" s="120" t="s">
        <v>18</v>
      </c>
      <c r="DJ116" s="120" t="s">
        <v>19</v>
      </c>
      <c r="DK116" s="120"/>
      <c r="DL116" s="121" t="s">
        <v>19</v>
      </c>
      <c r="DM116" s="121" t="s">
        <v>25</v>
      </c>
      <c r="DT116" s="119"/>
      <c r="DU116" s="120" t="s">
        <v>18</v>
      </c>
      <c r="DV116" s="120" t="s">
        <v>19</v>
      </c>
      <c r="DW116" s="121" t="s">
        <v>19</v>
      </c>
      <c r="DX116" s="121" t="s">
        <v>25</v>
      </c>
      <c r="EE116" s="119"/>
      <c r="EF116" s="120" t="s">
        <v>18</v>
      </c>
      <c r="EG116" s="252" t="s">
        <v>19</v>
      </c>
      <c r="EH116" s="121" t="s">
        <v>19</v>
      </c>
      <c r="EI116" s="121" t="s">
        <v>25</v>
      </c>
      <c r="EQ116" s="119"/>
      <c r="ER116" s="120" t="s">
        <v>18</v>
      </c>
      <c r="ES116" s="120" t="s">
        <v>19</v>
      </c>
      <c r="ET116" s="121" t="s">
        <v>19</v>
      </c>
      <c r="EU116" s="121" t="s">
        <v>25</v>
      </c>
      <c r="FB116" s="119"/>
      <c r="FC116" s="254" t="s">
        <v>18</v>
      </c>
      <c r="FD116" s="254" t="s">
        <v>19</v>
      </c>
      <c r="FE116" s="255" t="s">
        <v>19</v>
      </c>
      <c r="FF116" s="255" t="s">
        <v>25</v>
      </c>
    </row>
    <row r="117" spans="2:162" hidden="1" x14ac:dyDescent="0.25">
      <c r="B117" s="122">
        <v>45931</v>
      </c>
      <c r="C117" s="123">
        <v>9565.3799999999992</v>
      </c>
      <c r="D117" s="126"/>
      <c r="E117" s="125"/>
      <c r="F117" s="126">
        <v>6.98</v>
      </c>
      <c r="M117" s="122">
        <v>45931</v>
      </c>
      <c r="N117" s="123">
        <v>2590.2600000000002</v>
      </c>
      <c r="O117" s="125"/>
      <c r="P117" s="126">
        <v>23.53</v>
      </c>
      <c r="W117" s="122">
        <v>45931</v>
      </c>
      <c r="X117" s="123">
        <v>975.22</v>
      </c>
      <c r="Y117" s="123">
        <v>202.88</v>
      </c>
      <c r="Z117" s="125"/>
      <c r="AA117" s="123">
        <v>23.95</v>
      </c>
      <c r="AI117" s="122">
        <v>45931</v>
      </c>
      <c r="AJ117" s="123">
        <v>2292</v>
      </c>
      <c r="AK117" s="125"/>
      <c r="AL117" s="126"/>
      <c r="AS117" s="122">
        <v>45931</v>
      </c>
      <c r="AT117" s="123">
        <v>3438.02</v>
      </c>
      <c r="AU117" s="125"/>
      <c r="AV117" s="128"/>
      <c r="BC117" s="122">
        <v>45931</v>
      </c>
      <c r="BD117" s="123">
        <v>2165.3000000000002</v>
      </c>
      <c r="BE117" s="125"/>
      <c r="BF117" s="128">
        <v>0</v>
      </c>
      <c r="BM117" s="122">
        <v>45931</v>
      </c>
      <c r="BN117" s="123">
        <v>13028.82</v>
      </c>
      <c r="BO117" s="123">
        <v>2703</v>
      </c>
      <c r="BP117" s="123">
        <v>8421.69</v>
      </c>
      <c r="BQ117" s="125"/>
      <c r="BR117" s="125"/>
      <c r="BY117" s="122">
        <v>45931</v>
      </c>
      <c r="BZ117" s="256">
        <v>5210.99</v>
      </c>
      <c r="CA117" s="257">
        <v>294.91000000000003</v>
      </c>
      <c r="CB117" s="125"/>
      <c r="CC117" s="126"/>
      <c r="CJ117" s="122">
        <v>45931</v>
      </c>
      <c r="CK117" s="123">
        <v>6156.92</v>
      </c>
      <c r="CL117" s="123">
        <v>754.94</v>
      </c>
      <c r="CM117" s="125"/>
      <c r="CN117" s="126">
        <v>32.799999999999997</v>
      </c>
      <c r="CU117" s="122">
        <v>45931</v>
      </c>
      <c r="CV117" s="123">
        <v>9918.5</v>
      </c>
      <c r="CW117" s="124">
        <v>1387.51</v>
      </c>
      <c r="CX117" s="125"/>
      <c r="CY117" s="126">
        <v>100.17</v>
      </c>
      <c r="DH117" s="122">
        <v>45931</v>
      </c>
      <c r="DI117" s="123">
        <v>3078.65</v>
      </c>
      <c r="DJ117" s="127">
        <v>378.33</v>
      </c>
      <c r="DK117" s="127"/>
      <c r="DL117" s="127"/>
      <c r="DM117" s="126">
        <v>4</v>
      </c>
      <c r="DT117" s="122">
        <v>45931</v>
      </c>
      <c r="DU117" s="123">
        <v>2026.77</v>
      </c>
      <c r="DV117" s="127">
        <v>1263.01</v>
      </c>
      <c r="DW117" s="127"/>
      <c r="DX117" s="126">
        <v>3.6</v>
      </c>
      <c r="EE117" s="122">
        <v>45931</v>
      </c>
      <c r="EF117" s="123">
        <v>887</v>
      </c>
      <c r="EG117" s="127">
        <v>557.33000000000004</v>
      </c>
      <c r="EH117" s="127"/>
      <c r="EI117" s="126">
        <v>23.5</v>
      </c>
      <c r="EQ117" s="122">
        <v>45931</v>
      </c>
      <c r="ER117" s="123">
        <v>3055.33</v>
      </c>
      <c r="ES117" s="259">
        <v>285.89</v>
      </c>
      <c r="ET117" s="127"/>
      <c r="EU117" s="258">
        <v>106.58</v>
      </c>
      <c r="FB117" s="122">
        <v>45931</v>
      </c>
      <c r="FC117" s="123">
        <v>810</v>
      </c>
      <c r="FD117" s="123">
        <v>365.9</v>
      </c>
      <c r="FE117" s="125"/>
      <c r="FF117" s="126"/>
    </row>
    <row r="118" spans="2:162" hidden="1" x14ac:dyDescent="0.25">
      <c r="B118" s="122">
        <v>45932</v>
      </c>
      <c r="C118" s="123">
        <v>9080.99</v>
      </c>
      <c r="D118" s="125"/>
      <c r="E118" s="125"/>
      <c r="F118" s="125">
        <v>0</v>
      </c>
      <c r="M118" s="122">
        <v>45932</v>
      </c>
      <c r="N118" s="123">
        <v>3133.31</v>
      </c>
      <c r="O118" s="125"/>
      <c r="P118" s="126">
        <v>5.92</v>
      </c>
      <c r="W118" s="122">
        <v>45932</v>
      </c>
      <c r="X118" s="123">
        <v>1705.84</v>
      </c>
      <c r="Y118" s="123">
        <v>234.97</v>
      </c>
      <c r="Z118" s="125"/>
      <c r="AA118" s="123">
        <v>9.27</v>
      </c>
      <c r="AI118" s="122">
        <v>45932</v>
      </c>
      <c r="AJ118" s="123">
        <v>1730.33</v>
      </c>
      <c r="AK118" s="125"/>
      <c r="AL118" s="126"/>
      <c r="AS118" s="122">
        <v>45932</v>
      </c>
      <c r="AT118" s="123">
        <v>2934.58</v>
      </c>
      <c r="AU118" s="125"/>
      <c r="AV118" s="128"/>
      <c r="BC118" s="122">
        <v>45932</v>
      </c>
      <c r="BD118" s="123">
        <v>2175.9299999999998</v>
      </c>
      <c r="BE118" s="125"/>
      <c r="BF118" s="128">
        <v>0</v>
      </c>
      <c r="BM118" s="122">
        <v>45932</v>
      </c>
      <c r="BN118" s="123">
        <v>13442.07</v>
      </c>
      <c r="BO118" s="123">
        <v>2779.39</v>
      </c>
      <c r="BP118" s="123">
        <v>8721.2800000000007</v>
      </c>
      <c r="BQ118" s="125"/>
      <c r="BR118" s="125"/>
      <c r="BY118" s="122">
        <v>45932</v>
      </c>
      <c r="BZ118" s="256">
        <v>2017.37</v>
      </c>
      <c r="CA118" s="257">
        <v>538.03</v>
      </c>
      <c r="CB118" s="125"/>
      <c r="CC118" s="126"/>
      <c r="CJ118" s="122">
        <v>45932</v>
      </c>
      <c r="CK118" s="123">
        <v>7118.45</v>
      </c>
      <c r="CL118" s="123">
        <v>848.44</v>
      </c>
      <c r="CM118" s="125"/>
      <c r="CN118" s="126">
        <v>45.75</v>
      </c>
      <c r="CU118" s="122">
        <v>45932</v>
      </c>
      <c r="CV118" s="123">
        <v>13499.88</v>
      </c>
      <c r="CW118" s="127">
        <v>534.52</v>
      </c>
      <c r="CX118" s="125"/>
      <c r="CY118" s="128">
        <v>380.48</v>
      </c>
      <c r="DH118" s="122">
        <v>45932</v>
      </c>
      <c r="DI118" s="123">
        <v>1584.58</v>
      </c>
      <c r="DJ118" s="127">
        <v>403.37</v>
      </c>
      <c r="DK118" s="127"/>
      <c r="DL118" s="127"/>
      <c r="DM118" s="126">
        <v>8.1999999999999993</v>
      </c>
      <c r="DT118" s="122">
        <v>45932</v>
      </c>
      <c r="DU118" s="123">
        <v>1569.6</v>
      </c>
      <c r="DV118" s="127">
        <v>1278.1500000000001</v>
      </c>
      <c r="DW118" s="127"/>
      <c r="DX118" s="126">
        <v>15.9</v>
      </c>
      <c r="EE118" s="122">
        <v>45932</v>
      </c>
      <c r="EF118" s="123">
        <v>778.59</v>
      </c>
      <c r="EG118" s="127">
        <v>428.58</v>
      </c>
      <c r="EH118" s="127"/>
      <c r="EI118" s="126">
        <v>16.72</v>
      </c>
      <c r="EQ118" s="122">
        <v>45932</v>
      </c>
      <c r="ER118" s="123">
        <v>3560.7</v>
      </c>
      <c r="ES118" s="259">
        <v>402.66</v>
      </c>
      <c r="ET118" s="127"/>
      <c r="EU118" s="258">
        <v>71.59</v>
      </c>
      <c r="FB118" s="122">
        <v>45932</v>
      </c>
      <c r="FC118" s="123">
        <v>783.2</v>
      </c>
      <c r="FD118" s="123">
        <v>300.14999999999998</v>
      </c>
      <c r="FE118" s="125"/>
      <c r="FF118" s="126"/>
    </row>
    <row r="119" spans="2:162" hidden="1" x14ac:dyDescent="0.25">
      <c r="B119" s="122">
        <v>45933</v>
      </c>
      <c r="C119" s="123">
        <v>12352.97</v>
      </c>
      <c r="D119" s="125"/>
      <c r="E119" s="125"/>
      <c r="F119" s="123">
        <v>0</v>
      </c>
      <c r="M119" s="122">
        <v>45933</v>
      </c>
      <c r="N119" s="123">
        <v>2275.2600000000002</v>
      </c>
      <c r="O119" s="125"/>
      <c r="P119" s="126">
        <v>8.43</v>
      </c>
      <c r="W119" s="122">
        <v>45933</v>
      </c>
      <c r="X119" s="123">
        <v>1538.29</v>
      </c>
      <c r="Y119" s="123">
        <v>88.46</v>
      </c>
      <c r="Z119" s="125"/>
      <c r="AA119" s="123">
        <v>2.2999999999999998</v>
      </c>
      <c r="AI119" s="122">
        <v>45933</v>
      </c>
      <c r="AJ119" s="123">
        <v>2229.39</v>
      </c>
      <c r="AK119" s="125"/>
      <c r="AL119" s="126"/>
      <c r="AS119" s="122">
        <v>45933</v>
      </c>
      <c r="AT119" s="123">
        <v>4483.67</v>
      </c>
      <c r="AU119" s="125"/>
      <c r="AV119" s="128"/>
      <c r="BC119" s="122">
        <v>45933</v>
      </c>
      <c r="BD119" s="123">
        <v>2165.9899999999998</v>
      </c>
      <c r="BE119" s="125"/>
      <c r="BF119" s="128">
        <v>6.86</v>
      </c>
      <c r="BM119" s="122">
        <v>45933</v>
      </c>
      <c r="BN119" s="123">
        <v>16652.28</v>
      </c>
      <c r="BO119" s="123">
        <v>2035.73</v>
      </c>
      <c r="BP119" s="123">
        <v>9340.49</v>
      </c>
      <c r="BQ119" s="125"/>
      <c r="BR119" s="125"/>
      <c r="BY119" s="122">
        <v>45933</v>
      </c>
      <c r="BZ119" s="256">
        <v>840.02</v>
      </c>
      <c r="CA119" s="257">
        <v>724.69</v>
      </c>
      <c r="CB119" s="125"/>
      <c r="CC119" s="126"/>
      <c r="CJ119" s="122">
        <v>45933</v>
      </c>
      <c r="CK119" s="123">
        <v>9409.7999999999993</v>
      </c>
      <c r="CL119" s="123">
        <v>832.57</v>
      </c>
      <c r="CM119" s="125"/>
      <c r="CN119" s="126">
        <v>68</v>
      </c>
      <c r="CU119" s="122">
        <v>45933</v>
      </c>
      <c r="CV119" s="123">
        <v>7477.81</v>
      </c>
      <c r="CW119" s="127">
        <v>1117.28</v>
      </c>
      <c r="CX119" s="125"/>
      <c r="CY119" s="126">
        <v>163.07</v>
      </c>
      <c r="DH119" s="122">
        <v>45933</v>
      </c>
      <c r="DI119" s="123">
        <v>1841.6</v>
      </c>
      <c r="DJ119" s="126">
        <v>276.05</v>
      </c>
      <c r="DK119" s="126"/>
      <c r="DL119" s="127"/>
      <c r="DM119" s="126">
        <v>0</v>
      </c>
      <c r="DT119" s="122">
        <v>45933</v>
      </c>
      <c r="DU119" s="123">
        <v>952.4</v>
      </c>
      <c r="DV119" s="127">
        <v>1164.8399999999999</v>
      </c>
      <c r="DW119" s="127"/>
      <c r="DX119" s="126">
        <v>26.7</v>
      </c>
      <c r="EE119" s="122">
        <v>45933</v>
      </c>
      <c r="EF119" s="123">
        <v>726.17</v>
      </c>
      <c r="EG119" s="127">
        <v>942.65</v>
      </c>
      <c r="EH119" s="127"/>
      <c r="EI119" s="126">
        <v>11.2</v>
      </c>
      <c r="EQ119" s="122">
        <v>45933</v>
      </c>
      <c r="ER119" s="123">
        <v>3650.99</v>
      </c>
      <c r="ES119" s="259">
        <v>287.41000000000003</v>
      </c>
      <c r="ET119" s="127"/>
      <c r="EU119" s="258">
        <v>99.01</v>
      </c>
      <c r="FB119" s="122">
        <v>45933</v>
      </c>
      <c r="FC119" s="123">
        <v>607</v>
      </c>
      <c r="FD119" s="123">
        <v>182</v>
      </c>
      <c r="FE119" s="125"/>
      <c r="FF119" s="126"/>
    </row>
    <row r="120" spans="2:162" hidden="1" x14ac:dyDescent="0.25">
      <c r="B120" s="122">
        <v>45934</v>
      </c>
      <c r="C120" s="123">
        <v>13971.73</v>
      </c>
      <c r="D120" s="125"/>
      <c r="E120" s="125"/>
      <c r="F120" s="125">
        <v>193.76</v>
      </c>
      <c r="M120" s="122">
        <v>45934</v>
      </c>
      <c r="N120" s="123">
        <v>3983.78</v>
      </c>
      <c r="O120" s="125"/>
      <c r="P120" s="126">
        <v>11.04</v>
      </c>
      <c r="W120" s="122">
        <v>45934</v>
      </c>
      <c r="X120" s="123">
        <v>1227.92</v>
      </c>
      <c r="Y120" s="123">
        <v>291.86</v>
      </c>
      <c r="Z120" s="125"/>
      <c r="AA120" s="123">
        <v>5.9</v>
      </c>
      <c r="AI120" s="122">
        <v>45934</v>
      </c>
      <c r="AJ120" s="123">
        <v>1210.3699999999999</v>
      </c>
      <c r="AK120" s="125"/>
      <c r="AL120" s="126"/>
      <c r="AS120" s="122">
        <v>45934</v>
      </c>
      <c r="AT120" s="123">
        <v>4162.92</v>
      </c>
      <c r="AU120" s="125"/>
      <c r="AV120" s="128"/>
      <c r="BC120" s="122">
        <v>45934</v>
      </c>
      <c r="BD120" s="123">
        <v>2173.87</v>
      </c>
      <c r="BE120" s="125"/>
      <c r="BF120" s="128">
        <v>0</v>
      </c>
      <c r="BM120" s="122">
        <v>45934</v>
      </c>
      <c r="BN120" s="123">
        <v>14803.31</v>
      </c>
      <c r="BO120" s="123">
        <v>3109.52</v>
      </c>
      <c r="BP120" s="123">
        <v>9598</v>
      </c>
      <c r="BQ120" s="125"/>
      <c r="BR120" s="125"/>
      <c r="BY120" s="122">
        <v>45934</v>
      </c>
      <c r="BZ120" s="256">
        <v>1286.76</v>
      </c>
      <c r="CA120" s="257">
        <v>721.31</v>
      </c>
      <c r="CB120" s="126"/>
      <c r="CC120" s="126"/>
      <c r="CJ120" s="122">
        <v>45934</v>
      </c>
      <c r="CK120" s="123">
        <v>6407.61</v>
      </c>
      <c r="CL120" s="123">
        <v>776.71</v>
      </c>
      <c r="CM120" s="125"/>
      <c r="CN120" s="126">
        <v>30.89</v>
      </c>
      <c r="CU120" s="122">
        <v>45934</v>
      </c>
      <c r="CV120" s="123">
        <v>5727.59</v>
      </c>
      <c r="CW120" s="127">
        <v>854.11</v>
      </c>
      <c r="CX120" s="125"/>
      <c r="CY120" s="126">
        <v>197.71</v>
      </c>
      <c r="DH120" s="122">
        <v>45934</v>
      </c>
      <c r="DI120" s="123">
        <v>2353.1999999999998</v>
      </c>
      <c r="DJ120" s="127">
        <v>233.54</v>
      </c>
      <c r="DK120" s="127"/>
      <c r="DL120" s="127"/>
      <c r="DM120" s="126">
        <v>9.4</v>
      </c>
      <c r="DT120" s="122">
        <v>45934</v>
      </c>
      <c r="DU120" s="123">
        <v>1316.32</v>
      </c>
      <c r="DV120" s="127">
        <v>1347.03</v>
      </c>
      <c r="DW120" s="127"/>
      <c r="DX120" s="126">
        <v>26.43</v>
      </c>
      <c r="EE120" s="122">
        <v>45934</v>
      </c>
      <c r="EF120" s="123">
        <v>711.33</v>
      </c>
      <c r="EG120" s="127">
        <v>1076.0999999999999</v>
      </c>
      <c r="EH120" s="127"/>
      <c r="EI120" s="126">
        <v>18.66</v>
      </c>
      <c r="EQ120" s="122">
        <v>45934</v>
      </c>
      <c r="ER120" s="123">
        <v>4418.1400000000003</v>
      </c>
      <c r="ES120" s="259">
        <v>322.63</v>
      </c>
      <c r="ET120" s="127"/>
      <c r="EU120" s="258">
        <v>50.34</v>
      </c>
      <c r="FB120" s="122">
        <v>45934</v>
      </c>
      <c r="FC120" s="123">
        <v>528.89</v>
      </c>
      <c r="FD120" s="123">
        <v>248.9</v>
      </c>
      <c r="FE120" s="125"/>
      <c r="FF120" s="126"/>
    </row>
    <row r="121" spans="2:162" hidden="1" x14ac:dyDescent="0.25">
      <c r="B121" s="122">
        <v>45935</v>
      </c>
      <c r="C121" s="123">
        <v>11464.92</v>
      </c>
      <c r="D121" s="125"/>
      <c r="E121" s="125"/>
      <c r="F121" s="125">
        <v>0</v>
      </c>
      <c r="M121" s="122">
        <v>45935</v>
      </c>
      <c r="N121" s="123">
        <v>3061.39</v>
      </c>
      <c r="O121" s="125"/>
      <c r="P121" s="126">
        <v>0</v>
      </c>
      <c r="W121" s="122">
        <v>45935</v>
      </c>
      <c r="X121" s="123">
        <v>1131.0999999999999</v>
      </c>
      <c r="Y121" s="123">
        <v>60</v>
      </c>
      <c r="Z121" s="125"/>
      <c r="AA121" s="123">
        <v>0.46</v>
      </c>
      <c r="AI121" s="122">
        <v>45935</v>
      </c>
      <c r="AJ121" s="123">
        <v>1420.87</v>
      </c>
      <c r="AK121" s="125"/>
      <c r="AL121" s="126"/>
      <c r="AS121" s="122">
        <v>45935</v>
      </c>
      <c r="AT121" s="123">
        <v>2345.79</v>
      </c>
      <c r="AU121" s="125"/>
      <c r="AV121" s="128"/>
      <c r="BC121" s="122">
        <v>45935</v>
      </c>
      <c r="BD121" s="123">
        <v>1460.86</v>
      </c>
      <c r="BE121" s="125"/>
      <c r="BF121" s="128">
        <v>3.03</v>
      </c>
      <c r="BM121" s="122">
        <v>45935</v>
      </c>
      <c r="BN121" s="123">
        <v>8056.57</v>
      </c>
      <c r="BO121" s="123">
        <v>1827.49</v>
      </c>
      <c r="BP121" s="123">
        <v>5165.3900000000003</v>
      </c>
      <c r="BQ121" s="125"/>
      <c r="BR121" s="125"/>
      <c r="BY121" s="122">
        <v>45935</v>
      </c>
      <c r="BZ121" s="256">
        <v>407.87</v>
      </c>
      <c r="CA121" s="257">
        <v>857.71</v>
      </c>
      <c r="CB121" s="125"/>
      <c r="CC121" s="126"/>
      <c r="CJ121" s="122">
        <v>45935</v>
      </c>
      <c r="CK121" s="123">
        <v>3798.24</v>
      </c>
      <c r="CL121" s="123">
        <v>729.91</v>
      </c>
      <c r="CM121" s="125"/>
      <c r="CN121" s="126">
        <v>7.35</v>
      </c>
      <c r="CU121" s="122">
        <v>45935</v>
      </c>
      <c r="CV121" s="123">
        <v>1874.98</v>
      </c>
      <c r="CW121" s="127">
        <v>792.71</v>
      </c>
      <c r="CX121" s="125"/>
      <c r="CY121" s="126">
        <v>96.84</v>
      </c>
      <c r="DH121" s="122">
        <v>45935</v>
      </c>
      <c r="DI121" s="123">
        <v>711.58</v>
      </c>
      <c r="DJ121" s="127">
        <v>422.7</v>
      </c>
      <c r="DK121" s="127"/>
      <c r="DL121" s="127"/>
      <c r="DM121" s="126">
        <v>4</v>
      </c>
      <c r="DT121" s="122">
        <v>45935</v>
      </c>
      <c r="DU121" s="123">
        <v>750.52</v>
      </c>
      <c r="DV121" s="127">
        <v>946.28</v>
      </c>
      <c r="DW121" s="127"/>
      <c r="DX121" s="126">
        <v>3.08</v>
      </c>
      <c r="EE121" s="122">
        <v>45935</v>
      </c>
      <c r="EF121" s="123">
        <v>681.45</v>
      </c>
      <c r="EG121" s="127">
        <v>462.25</v>
      </c>
      <c r="EH121" s="127"/>
      <c r="EI121" s="126">
        <v>11.82</v>
      </c>
      <c r="EQ121" s="122">
        <v>45935</v>
      </c>
      <c r="ER121" s="123">
        <v>2707.99</v>
      </c>
      <c r="ES121" s="259">
        <v>251.73</v>
      </c>
      <c r="ET121" s="127"/>
      <c r="EU121" s="258">
        <v>61.7</v>
      </c>
      <c r="FB121" s="122">
        <v>45935</v>
      </c>
      <c r="FC121" s="123">
        <v>687.4</v>
      </c>
      <c r="FD121" s="123">
        <v>75.599999999999994</v>
      </c>
      <c r="FE121" s="125"/>
      <c r="FF121" s="126"/>
    </row>
    <row r="122" spans="2:162" hidden="1" x14ac:dyDescent="0.25">
      <c r="B122" s="122">
        <v>45936</v>
      </c>
      <c r="C122" s="123">
        <v>9156.24</v>
      </c>
      <c r="D122" s="125"/>
      <c r="E122" s="125"/>
      <c r="F122" s="125">
        <v>0</v>
      </c>
      <c r="M122" s="122">
        <v>45936</v>
      </c>
      <c r="N122" s="123">
        <v>3602.26</v>
      </c>
      <c r="O122" s="125"/>
      <c r="P122" s="126">
        <v>24.33</v>
      </c>
      <c r="W122" s="122">
        <v>45936</v>
      </c>
      <c r="X122" s="123">
        <v>1395.21</v>
      </c>
      <c r="Y122" s="123">
        <v>231.89</v>
      </c>
      <c r="Z122" s="125"/>
      <c r="AA122" s="123">
        <v>21.18</v>
      </c>
      <c r="AI122" s="122">
        <v>45936</v>
      </c>
      <c r="AJ122" s="123">
        <v>1614.99</v>
      </c>
      <c r="AK122" s="125"/>
      <c r="AL122" s="126"/>
      <c r="AS122" s="122">
        <v>45936</v>
      </c>
      <c r="AT122" s="123">
        <v>2943.34</v>
      </c>
      <c r="AU122" s="125"/>
      <c r="AV122" s="128"/>
      <c r="BC122" s="122">
        <v>45936</v>
      </c>
      <c r="BD122" s="123">
        <v>2222.02</v>
      </c>
      <c r="BE122" s="125"/>
      <c r="BF122" s="128">
        <v>2.14</v>
      </c>
      <c r="BM122" s="122">
        <v>45936</v>
      </c>
      <c r="BN122" s="123">
        <v>13704.47</v>
      </c>
      <c r="BO122" s="123">
        <v>2183.29</v>
      </c>
      <c r="BP122" s="123">
        <v>7095.3</v>
      </c>
      <c r="BQ122" s="125"/>
      <c r="BR122" s="125"/>
      <c r="BY122" s="122">
        <v>45936</v>
      </c>
      <c r="BZ122" s="256">
        <v>1019.98</v>
      </c>
      <c r="CA122" s="257">
        <v>972.95</v>
      </c>
      <c r="CB122" s="125"/>
      <c r="CC122" s="126"/>
      <c r="CJ122" s="122">
        <v>45936</v>
      </c>
      <c r="CK122" s="123">
        <v>7451.76</v>
      </c>
      <c r="CL122" s="123">
        <v>808.66</v>
      </c>
      <c r="CM122" s="125"/>
      <c r="CN122" s="126">
        <v>54.41</v>
      </c>
      <c r="CU122" s="122">
        <v>45936</v>
      </c>
      <c r="CV122" s="123">
        <v>9004.81</v>
      </c>
      <c r="CW122" s="127">
        <v>702.58</v>
      </c>
      <c r="CX122" s="125"/>
      <c r="CY122" s="126">
        <v>92.96</v>
      </c>
      <c r="DH122" s="122">
        <v>45936</v>
      </c>
      <c r="DI122" s="123">
        <v>2029.73</v>
      </c>
      <c r="DJ122" s="259">
        <v>381.46</v>
      </c>
      <c r="DK122" s="259"/>
      <c r="DL122" s="127"/>
      <c r="DM122" s="126">
        <v>12.4</v>
      </c>
      <c r="DT122" s="122">
        <v>45936</v>
      </c>
      <c r="DU122" s="123">
        <v>1548.06</v>
      </c>
      <c r="DV122" s="259">
        <v>1198.5</v>
      </c>
      <c r="DW122" s="127"/>
      <c r="DX122" s="126">
        <v>39.06</v>
      </c>
      <c r="EE122" s="122">
        <v>45936</v>
      </c>
      <c r="EF122" s="123">
        <v>839.89</v>
      </c>
      <c r="EG122" s="127">
        <v>738.29</v>
      </c>
      <c r="EH122" s="127"/>
      <c r="EI122" s="126">
        <v>14.87</v>
      </c>
      <c r="EQ122" s="122">
        <v>45936</v>
      </c>
      <c r="ER122" s="123">
        <v>3119.46</v>
      </c>
      <c r="ES122" s="259">
        <v>36.049999999999997</v>
      </c>
      <c r="ET122" s="127"/>
      <c r="EU122" s="258">
        <v>36.049999999999997</v>
      </c>
      <c r="FB122" s="122">
        <v>45936</v>
      </c>
      <c r="FC122" s="123">
        <v>621.02</v>
      </c>
      <c r="FD122" s="123">
        <v>101</v>
      </c>
      <c r="FE122" s="125"/>
      <c r="FF122" s="126"/>
    </row>
    <row r="123" spans="2:162" hidden="1" x14ac:dyDescent="0.25">
      <c r="B123" s="122">
        <v>45937</v>
      </c>
      <c r="C123" s="123">
        <v>11944.24</v>
      </c>
      <c r="D123" s="125"/>
      <c r="E123" s="125"/>
      <c r="F123" s="125">
        <v>7.88</v>
      </c>
      <c r="M123" s="122">
        <v>45937</v>
      </c>
      <c r="N123" s="123">
        <v>2791.09</v>
      </c>
      <c r="O123" s="125"/>
      <c r="P123" s="126">
        <v>3.6</v>
      </c>
      <c r="W123" s="122">
        <v>45937</v>
      </c>
      <c r="X123" s="123">
        <v>1523.33</v>
      </c>
      <c r="Y123" s="123">
        <v>294.89</v>
      </c>
      <c r="Z123" s="125"/>
      <c r="AA123" s="123">
        <v>15.72</v>
      </c>
      <c r="AI123" s="122">
        <v>45937</v>
      </c>
      <c r="AJ123" s="123">
        <v>1231.0999999999999</v>
      </c>
      <c r="AK123" s="125"/>
      <c r="AL123" s="126"/>
      <c r="AS123" s="122">
        <v>45937</v>
      </c>
      <c r="AT123" s="123">
        <v>3770.04</v>
      </c>
      <c r="AU123" s="125"/>
      <c r="AV123" s="128"/>
      <c r="BC123" s="122">
        <v>45937</v>
      </c>
      <c r="BD123" s="123">
        <v>2053.41</v>
      </c>
      <c r="BE123" s="125"/>
      <c r="BF123" s="128">
        <v>0</v>
      </c>
      <c r="BM123" s="122">
        <v>45937</v>
      </c>
      <c r="BN123" s="123">
        <v>9107.4500000000007</v>
      </c>
      <c r="BO123" s="123">
        <v>2271.48</v>
      </c>
      <c r="BP123" s="123">
        <v>8379.99</v>
      </c>
      <c r="BQ123" s="125"/>
      <c r="BR123" s="125"/>
      <c r="BY123" s="122">
        <v>45937</v>
      </c>
      <c r="BZ123" s="256">
        <v>834.45</v>
      </c>
      <c r="CA123" s="257">
        <v>719.29</v>
      </c>
      <c r="CB123" s="125"/>
      <c r="CC123" s="126"/>
      <c r="CJ123" s="122">
        <v>45937</v>
      </c>
      <c r="CK123" s="123">
        <v>7025.76</v>
      </c>
      <c r="CL123" s="123">
        <v>549.52</v>
      </c>
      <c r="CM123" s="125"/>
      <c r="CN123" s="126">
        <v>36.159999999999997</v>
      </c>
      <c r="CU123" s="122">
        <v>45937</v>
      </c>
      <c r="CV123" s="123">
        <v>9891.59</v>
      </c>
      <c r="CW123" s="127">
        <v>957.21</v>
      </c>
      <c r="CX123" s="125"/>
      <c r="CY123" s="126">
        <v>123.81</v>
      </c>
      <c r="DH123" s="122">
        <v>45937</v>
      </c>
      <c r="DI123" s="123">
        <v>2380.79</v>
      </c>
      <c r="DJ123" s="127">
        <v>189.7</v>
      </c>
      <c r="DK123" s="127"/>
      <c r="DL123" s="127"/>
      <c r="DM123" s="126">
        <v>4</v>
      </c>
      <c r="DT123" s="122">
        <v>45937</v>
      </c>
      <c r="DU123" s="123">
        <v>1940.34</v>
      </c>
      <c r="DV123" s="127">
        <v>1124.24</v>
      </c>
      <c r="DW123" s="127"/>
      <c r="DX123" s="126">
        <v>14.29</v>
      </c>
      <c r="EE123" s="122">
        <v>45937</v>
      </c>
      <c r="EF123" s="123">
        <v>617.22</v>
      </c>
      <c r="EG123" s="127">
        <v>777.19</v>
      </c>
      <c r="EH123" s="127"/>
      <c r="EI123" s="126">
        <v>14.59</v>
      </c>
      <c r="EQ123" s="122">
        <v>45937</v>
      </c>
      <c r="ER123" s="123">
        <v>5435.25</v>
      </c>
      <c r="ES123" s="259">
        <v>459.97</v>
      </c>
      <c r="ET123" s="127"/>
      <c r="EU123" s="258">
        <v>146.06</v>
      </c>
      <c r="FB123" s="122">
        <v>45937</v>
      </c>
      <c r="FC123" s="123">
        <v>841.62</v>
      </c>
      <c r="FD123" s="123">
        <v>68.5</v>
      </c>
      <c r="FE123" s="125"/>
      <c r="FF123" s="126"/>
    </row>
    <row r="124" spans="2:162" hidden="1" x14ac:dyDescent="0.25">
      <c r="B124" s="122">
        <v>45938</v>
      </c>
      <c r="C124" s="123">
        <v>12572.25</v>
      </c>
      <c r="D124" s="125"/>
      <c r="E124" s="125"/>
      <c r="F124" s="125">
        <v>0</v>
      </c>
      <c r="M124" s="122">
        <v>45938</v>
      </c>
      <c r="N124" s="123">
        <v>2159.06</v>
      </c>
      <c r="O124" s="125"/>
      <c r="P124" s="126">
        <v>0</v>
      </c>
      <c r="W124" s="122">
        <v>45938</v>
      </c>
      <c r="X124" s="123">
        <v>817.68</v>
      </c>
      <c r="Y124" s="123">
        <v>378.34</v>
      </c>
      <c r="Z124" s="125"/>
      <c r="AA124" s="123">
        <v>1.1100000000000001</v>
      </c>
      <c r="AI124" s="122">
        <v>45938</v>
      </c>
      <c r="AJ124" s="123">
        <v>901.26</v>
      </c>
      <c r="AK124" s="125"/>
      <c r="AL124" s="126"/>
      <c r="AS124" s="122">
        <v>45938</v>
      </c>
      <c r="AT124" s="123">
        <v>2999.74</v>
      </c>
      <c r="AU124" s="125"/>
      <c r="AV124" s="128"/>
      <c r="BC124" s="122">
        <v>45938</v>
      </c>
      <c r="BD124" s="123">
        <v>2565.79</v>
      </c>
      <c r="BE124" s="125"/>
      <c r="BF124" s="128">
        <v>0</v>
      </c>
      <c r="BM124" s="122">
        <v>45938</v>
      </c>
      <c r="BN124" s="123">
        <v>11629.48</v>
      </c>
      <c r="BO124" s="123">
        <v>1764.52</v>
      </c>
      <c r="BP124" s="123">
        <v>4930.17</v>
      </c>
      <c r="BQ124" s="125"/>
      <c r="BR124" s="125"/>
      <c r="BY124" s="122">
        <v>45938</v>
      </c>
      <c r="BZ124" s="256">
        <v>1575.17</v>
      </c>
      <c r="CA124" s="257">
        <v>613.19000000000005</v>
      </c>
      <c r="CB124" s="125"/>
      <c r="CC124" s="126"/>
      <c r="CJ124" s="122">
        <v>45938</v>
      </c>
      <c r="CK124" s="123">
        <v>7621.8</v>
      </c>
      <c r="CL124" s="123">
        <v>565.96</v>
      </c>
      <c r="CM124" s="125"/>
      <c r="CN124" s="126">
        <v>29.84</v>
      </c>
      <c r="CU124" s="122">
        <v>45938</v>
      </c>
      <c r="CV124" s="123">
        <v>6609.7</v>
      </c>
      <c r="CW124" s="127">
        <v>408.87</v>
      </c>
      <c r="CX124" s="125"/>
      <c r="CY124" s="126">
        <v>60.24</v>
      </c>
      <c r="DH124" s="122">
        <v>45938</v>
      </c>
      <c r="DI124" s="123">
        <v>1698.42</v>
      </c>
      <c r="DJ124" s="127">
        <v>193.03</v>
      </c>
      <c r="DK124" s="127"/>
      <c r="DL124" s="127"/>
      <c r="DM124" s="126">
        <v>8</v>
      </c>
      <c r="DT124" s="122">
        <v>45938</v>
      </c>
      <c r="DU124" s="123">
        <v>959.02</v>
      </c>
      <c r="DV124" s="127">
        <v>1147.25</v>
      </c>
      <c r="DW124" s="127"/>
      <c r="DX124" s="126">
        <v>16.7</v>
      </c>
      <c r="EE124" s="122">
        <v>45938</v>
      </c>
      <c r="EF124" s="123">
        <v>666.07</v>
      </c>
      <c r="EG124" s="127">
        <v>501.6</v>
      </c>
      <c r="EH124" s="127"/>
      <c r="EI124" s="126">
        <v>8.18</v>
      </c>
      <c r="EQ124" s="122">
        <v>45938</v>
      </c>
      <c r="ER124" s="123">
        <v>3092.34</v>
      </c>
      <c r="ES124" s="259">
        <v>386.07</v>
      </c>
      <c r="ET124" s="127"/>
      <c r="EU124" s="258">
        <v>200.4</v>
      </c>
      <c r="FB124" s="122">
        <v>45938</v>
      </c>
      <c r="FC124" s="123">
        <v>537.39</v>
      </c>
      <c r="FD124" s="123">
        <v>100</v>
      </c>
      <c r="FE124" s="125"/>
      <c r="FF124" s="126"/>
    </row>
    <row r="125" spans="2:162" hidden="1" x14ac:dyDescent="0.25">
      <c r="B125" s="122">
        <v>45939</v>
      </c>
      <c r="C125" s="123">
        <v>11777.96</v>
      </c>
      <c r="D125" s="125"/>
      <c r="E125" s="125"/>
      <c r="F125" s="125">
        <v>0</v>
      </c>
      <c r="M125" s="122">
        <v>45939</v>
      </c>
      <c r="N125" s="126">
        <v>3587.11</v>
      </c>
      <c r="O125" s="125"/>
      <c r="P125" s="126">
        <v>39.53</v>
      </c>
      <c r="W125" s="122">
        <v>45939</v>
      </c>
      <c r="X125" s="123">
        <v>1070.52</v>
      </c>
      <c r="Y125" s="123">
        <v>240.38</v>
      </c>
      <c r="Z125" s="125"/>
      <c r="AA125" s="123">
        <v>7.75</v>
      </c>
      <c r="AI125" s="122">
        <v>45939</v>
      </c>
      <c r="AJ125" s="123">
        <v>1337.36</v>
      </c>
      <c r="AK125" s="125"/>
      <c r="AL125" s="126"/>
      <c r="AS125" s="122">
        <v>45939</v>
      </c>
      <c r="AT125" s="123">
        <v>4087.42</v>
      </c>
      <c r="AU125" s="125"/>
      <c r="AV125" s="128"/>
      <c r="BC125" s="122">
        <v>45939</v>
      </c>
      <c r="BD125" s="123">
        <v>2298.27</v>
      </c>
      <c r="BE125" s="125"/>
      <c r="BF125" s="128">
        <v>0</v>
      </c>
      <c r="BM125" s="122">
        <v>45939</v>
      </c>
      <c r="BN125" s="123">
        <v>12079.58</v>
      </c>
      <c r="BO125" s="123">
        <v>2806.7</v>
      </c>
      <c r="BP125" s="123">
        <v>8661.16</v>
      </c>
      <c r="BQ125" s="125"/>
      <c r="BR125" s="125"/>
      <c r="BY125" s="122">
        <v>45939</v>
      </c>
      <c r="BZ125" s="256">
        <v>885.03</v>
      </c>
      <c r="CA125" s="257">
        <v>649.76</v>
      </c>
      <c r="CB125" s="125"/>
      <c r="CC125" s="126"/>
      <c r="CJ125" s="122">
        <v>45939</v>
      </c>
      <c r="CK125" s="123">
        <v>5765.82</v>
      </c>
      <c r="CL125" s="123">
        <v>877.04</v>
      </c>
      <c r="CM125" s="125"/>
      <c r="CN125" s="126">
        <v>33.36</v>
      </c>
      <c r="CU125" s="122">
        <v>45939</v>
      </c>
      <c r="CV125" s="123">
        <v>9965.24</v>
      </c>
      <c r="CW125" s="127">
        <v>1382.44</v>
      </c>
      <c r="CX125" s="125"/>
      <c r="CY125" s="128">
        <v>90.16</v>
      </c>
      <c r="DH125" s="122">
        <v>45939</v>
      </c>
      <c r="DI125" s="123">
        <v>1695.22</v>
      </c>
      <c r="DJ125" s="127">
        <v>417.14</v>
      </c>
      <c r="DK125" s="127"/>
      <c r="DL125" s="127"/>
      <c r="DM125" s="126">
        <v>4</v>
      </c>
      <c r="DT125" s="122">
        <v>45939</v>
      </c>
      <c r="DU125" s="123">
        <v>1086.3800000000001</v>
      </c>
      <c r="DV125" s="127">
        <v>1404.11</v>
      </c>
      <c r="DW125" s="127"/>
      <c r="DX125" s="126">
        <v>22.95</v>
      </c>
      <c r="EE125" s="122">
        <v>45939</v>
      </c>
      <c r="EF125" s="123">
        <v>1107.8599999999999</v>
      </c>
      <c r="EG125" s="127">
        <v>897.96</v>
      </c>
      <c r="EH125" s="127"/>
      <c r="EI125" s="126">
        <v>19.91</v>
      </c>
      <c r="EQ125" s="122">
        <v>45939</v>
      </c>
      <c r="ER125" s="123">
        <v>2838.39</v>
      </c>
      <c r="ES125" s="259">
        <v>293.29000000000002</v>
      </c>
      <c r="ET125" s="127"/>
      <c r="EU125" s="258">
        <v>78.69</v>
      </c>
      <c r="FB125" s="122">
        <v>45939</v>
      </c>
      <c r="FC125" s="123">
        <v>484.2</v>
      </c>
      <c r="FD125" s="123">
        <v>169.2</v>
      </c>
      <c r="FE125" s="125"/>
      <c r="FF125" s="126"/>
    </row>
    <row r="126" spans="2:162" hidden="1" x14ac:dyDescent="0.25">
      <c r="B126" s="122">
        <v>45940</v>
      </c>
      <c r="C126" s="123">
        <v>9483.4599999999991</v>
      </c>
      <c r="D126" s="125"/>
      <c r="E126" s="125"/>
      <c r="F126" s="125">
        <v>0</v>
      </c>
      <c r="M126" s="122">
        <v>45940</v>
      </c>
      <c r="N126" s="123">
        <v>2375.37</v>
      </c>
      <c r="O126" s="125"/>
      <c r="P126" s="126">
        <v>30.15</v>
      </c>
      <c r="W126" s="122">
        <v>45940</v>
      </c>
      <c r="X126" s="123">
        <v>1717.23</v>
      </c>
      <c r="Y126" s="123">
        <v>235.83</v>
      </c>
      <c r="Z126" s="125"/>
      <c r="AA126" s="123">
        <v>9.85</v>
      </c>
      <c r="AI126" s="122">
        <v>45940</v>
      </c>
      <c r="AJ126" s="123">
        <v>1617.21</v>
      </c>
      <c r="AK126" s="125"/>
      <c r="AL126" s="126"/>
      <c r="AS126" s="122">
        <v>45940</v>
      </c>
      <c r="AT126" s="123">
        <v>3717.93</v>
      </c>
      <c r="AU126" s="125"/>
      <c r="AV126" s="128"/>
      <c r="BC126" s="122">
        <v>45940</v>
      </c>
      <c r="BD126" s="123">
        <v>1872.05</v>
      </c>
      <c r="BE126" s="125"/>
      <c r="BF126" s="128">
        <v>0</v>
      </c>
      <c r="BM126" s="122">
        <v>45940</v>
      </c>
      <c r="BN126" s="123">
        <v>12676.85</v>
      </c>
      <c r="BO126" s="123">
        <v>2203.3200000000002</v>
      </c>
      <c r="BP126" s="123">
        <v>9808.5300000000007</v>
      </c>
      <c r="BQ126" s="125"/>
      <c r="BR126" s="125"/>
      <c r="BY126" s="122">
        <v>45940</v>
      </c>
      <c r="BZ126" s="256">
        <v>1355.08</v>
      </c>
      <c r="CA126" s="257">
        <v>687.16</v>
      </c>
      <c r="CB126" s="125"/>
      <c r="CC126" s="126"/>
      <c r="CJ126" s="122">
        <v>45940</v>
      </c>
      <c r="CK126" s="123">
        <v>6453.29</v>
      </c>
      <c r="CL126" s="123">
        <v>851.88</v>
      </c>
      <c r="CM126" s="125"/>
      <c r="CN126" s="126">
        <v>32.51</v>
      </c>
      <c r="CU126" s="122">
        <v>45940</v>
      </c>
      <c r="CV126" s="123">
        <v>10422.18</v>
      </c>
      <c r="CW126" s="127">
        <v>998.23</v>
      </c>
      <c r="CX126" s="125"/>
      <c r="CY126" s="128">
        <v>208.57</v>
      </c>
      <c r="DH126" s="122">
        <v>45940</v>
      </c>
      <c r="DI126" s="123">
        <v>1498</v>
      </c>
      <c r="DJ126" s="127">
        <v>358.3</v>
      </c>
      <c r="DK126" s="127"/>
      <c r="DL126" s="127"/>
      <c r="DM126" s="126">
        <v>8.1999999999999993</v>
      </c>
      <c r="DT126" s="122">
        <v>45940</v>
      </c>
      <c r="DU126" s="123">
        <v>1787.03</v>
      </c>
      <c r="DV126" s="127">
        <v>1520.19</v>
      </c>
      <c r="DW126" s="127"/>
      <c r="DX126" s="126">
        <v>32.520000000000003</v>
      </c>
      <c r="EE126" s="122">
        <v>45940</v>
      </c>
      <c r="EF126" s="123">
        <v>1067.42</v>
      </c>
      <c r="EG126" s="127">
        <v>814.45</v>
      </c>
      <c r="EH126" s="127"/>
      <c r="EI126" s="126">
        <v>24.54</v>
      </c>
      <c r="EQ126" s="122">
        <v>45940</v>
      </c>
      <c r="ER126" s="123">
        <v>3100.42</v>
      </c>
      <c r="ES126" s="259">
        <v>151</v>
      </c>
      <c r="ET126" s="127"/>
      <c r="EU126" s="258">
        <v>60.38</v>
      </c>
      <c r="FB126" s="122">
        <v>45940</v>
      </c>
      <c r="FC126" s="123">
        <v>1149.5999999999999</v>
      </c>
      <c r="FD126" s="123">
        <v>94.32</v>
      </c>
      <c r="FE126" s="125"/>
      <c r="FF126" s="126"/>
    </row>
    <row r="127" spans="2:162" hidden="1" x14ac:dyDescent="0.25">
      <c r="B127" s="122">
        <v>45941</v>
      </c>
      <c r="C127" s="123">
        <v>14836.42</v>
      </c>
      <c r="D127" s="126"/>
      <c r="E127" s="125"/>
      <c r="F127" s="126">
        <v>0</v>
      </c>
      <c r="M127" s="122">
        <v>45941</v>
      </c>
      <c r="N127" s="123">
        <v>1859.2</v>
      </c>
      <c r="O127" s="125"/>
      <c r="P127" s="126">
        <v>0</v>
      </c>
      <c r="W127" s="122">
        <v>45941</v>
      </c>
      <c r="X127" s="123">
        <v>1346.07</v>
      </c>
      <c r="Y127" s="123">
        <v>160.43</v>
      </c>
      <c r="Z127" s="125"/>
      <c r="AA127" s="123">
        <v>10.15</v>
      </c>
      <c r="AI127" s="122">
        <v>45941</v>
      </c>
      <c r="AJ127" s="123">
        <v>1518.13</v>
      </c>
      <c r="AK127" s="125"/>
      <c r="AL127" s="126"/>
      <c r="AS127" s="122">
        <v>45941</v>
      </c>
      <c r="AT127" s="123">
        <v>2866.96</v>
      </c>
      <c r="AU127" s="125"/>
      <c r="AV127" s="128"/>
      <c r="BC127" s="122">
        <v>45941</v>
      </c>
      <c r="BD127" s="123">
        <v>2716.77</v>
      </c>
      <c r="BE127" s="125"/>
      <c r="BF127" s="128">
        <v>7.15</v>
      </c>
      <c r="BM127" s="122">
        <v>45941</v>
      </c>
      <c r="BN127" s="123">
        <v>12149.86</v>
      </c>
      <c r="BO127" s="123">
        <v>2583.5</v>
      </c>
      <c r="BP127" s="123">
        <v>8818.2099999999991</v>
      </c>
      <c r="BQ127" s="125"/>
      <c r="BR127" s="125"/>
      <c r="BY127" s="122">
        <v>45941</v>
      </c>
      <c r="BZ127" s="256">
        <v>656.75</v>
      </c>
      <c r="CA127" s="257">
        <v>730.25</v>
      </c>
      <c r="CB127" s="125"/>
      <c r="CC127" s="126"/>
      <c r="CJ127" s="122">
        <v>45941</v>
      </c>
      <c r="CK127" s="123">
        <v>5525.63</v>
      </c>
      <c r="CL127" s="123">
        <v>899.9</v>
      </c>
      <c r="CM127" s="125"/>
      <c r="CN127" s="126">
        <v>34.72</v>
      </c>
      <c r="CU127" s="122">
        <v>45941</v>
      </c>
      <c r="CV127" s="123">
        <v>7188.9</v>
      </c>
      <c r="CW127" s="127">
        <v>1067.77</v>
      </c>
      <c r="CX127" s="125"/>
      <c r="CY127" s="128">
        <v>199.03</v>
      </c>
      <c r="DH127" s="122">
        <v>45941</v>
      </c>
      <c r="DI127" s="123">
        <v>2130.5300000000002</v>
      </c>
      <c r="DJ127" s="127">
        <v>342.08</v>
      </c>
      <c r="DK127" s="127"/>
      <c r="DL127" s="127"/>
      <c r="DM127" s="126">
        <v>4</v>
      </c>
      <c r="DT127" s="122">
        <v>45941</v>
      </c>
      <c r="DU127" s="123">
        <v>1027.98</v>
      </c>
      <c r="DV127" s="127">
        <v>944.5</v>
      </c>
      <c r="DW127" s="127"/>
      <c r="DX127" s="126">
        <v>45.56</v>
      </c>
      <c r="EE127" s="122">
        <v>45941</v>
      </c>
      <c r="EF127" s="123">
        <v>1398.81</v>
      </c>
      <c r="EG127" s="127">
        <v>590.36</v>
      </c>
      <c r="EH127" s="127"/>
      <c r="EI127" s="126">
        <v>22.02</v>
      </c>
      <c r="EQ127" s="122">
        <v>45941</v>
      </c>
      <c r="ER127" s="123">
        <v>3592.9</v>
      </c>
      <c r="ES127" s="259">
        <v>240.71</v>
      </c>
      <c r="ET127" s="127"/>
      <c r="EU127" s="258">
        <v>28.83</v>
      </c>
      <c r="FB127" s="122">
        <v>45941</v>
      </c>
      <c r="FC127" s="123">
        <v>930.45</v>
      </c>
      <c r="FD127" s="123">
        <v>206.05</v>
      </c>
      <c r="FE127" s="125"/>
      <c r="FF127" s="126"/>
    </row>
    <row r="128" spans="2:162" hidden="1" x14ac:dyDescent="0.25">
      <c r="B128" s="122">
        <v>45942</v>
      </c>
      <c r="C128" s="123">
        <v>9323.73</v>
      </c>
      <c r="D128" s="125"/>
      <c r="E128" s="125"/>
      <c r="F128" s="125">
        <v>104.09</v>
      </c>
      <c r="M128" s="122">
        <v>45942</v>
      </c>
      <c r="N128" s="123">
        <v>2694.2</v>
      </c>
      <c r="O128" s="125"/>
      <c r="P128" s="126">
        <v>17.66</v>
      </c>
      <c r="W128" s="122">
        <v>45942</v>
      </c>
      <c r="X128" s="123">
        <v>988.46</v>
      </c>
      <c r="Y128" s="123">
        <v>411.82</v>
      </c>
      <c r="Z128" s="125"/>
      <c r="AA128" s="123">
        <v>3.97</v>
      </c>
      <c r="AI128" s="122">
        <v>45942</v>
      </c>
      <c r="AJ128" s="123">
        <v>1821.02</v>
      </c>
      <c r="AK128" s="125"/>
      <c r="AL128" s="126"/>
      <c r="AS128" s="122">
        <v>45942</v>
      </c>
      <c r="AT128" s="123">
        <v>2961.55</v>
      </c>
      <c r="AU128" s="125"/>
      <c r="AV128" s="128"/>
      <c r="BC128" s="122">
        <v>45942</v>
      </c>
      <c r="BD128" s="123">
        <v>2045.73</v>
      </c>
      <c r="BE128" s="125"/>
      <c r="BF128" s="128">
        <v>0</v>
      </c>
      <c r="BM128" s="122">
        <v>45942</v>
      </c>
      <c r="BN128" s="123">
        <v>7572.71</v>
      </c>
      <c r="BO128" s="123">
        <v>1901.86</v>
      </c>
      <c r="BP128" s="123">
        <v>4942.5</v>
      </c>
      <c r="BQ128" s="125"/>
      <c r="BR128" s="125"/>
      <c r="BY128" s="122">
        <v>45942</v>
      </c>
      <c r="BZ128" s="256">
        <v>1269.21</v>
      </c>
      <c r="CA128" s="257">
        <v>828.77</v>
      </c>
      <c r="CB128" s="125"/>
      <c r="CC128" s="126"/>
      <c r="CJ128" s="122">
        <v>45942</v>
      </c>
      <c r="CK128" s="123">
        <v>3790.39</v>
      </c>
      <c r="CL128" s="123">
        <v>892.32</v>
      </c>
      <c r="CM128" s="125"/>
      <c r="CN128" s="126">
        <v>9.26</v>
      </c>
      <c r="CU128" s="122">
        <v>45942</v>
      </c>
      <c r="CV128" s="123">
        <v>3777.5</v>
      </c>
      <c r="CW128" s="127">
        <v>570.13</v>
      </c>
      <c r="CX128" s="125"/>
      <c r="CY128" s="128">
        <v>123.45</v>
      </c>
      <c r="DH128" s="122">
        <v>45942</v>
      </c>
      <c r="DI128" s="123">
        <v>1585.39</v>
      </c>
      <c r="DJ128" s="127">
        <v>724.9</v>
      </c>
      <c r="DK128" s="127"/>
      <c r="DL128" s="127"/>
      <c r="DM128" s="126">
        <v>0</v>
      </c>
      <c r="DT128" s="122">
        <v>45942</v>
      </c>
      <c r="DU128" s="123">
        <v>1242.93</v>
      </c>
      <c r="DV128" s="127">
        <v>1130.8699999999999</v>
      </c>
      <c r="DW128" s="127"/>
      <c r="DX128" s="126">
        <v>2.4700000000000002</v>
      </c>
      <c r="EE128" s="122">
        <v>45942</v>
      </c>
      <c r="EF128" s="123">
        <v>569.14</v>
      </c>
      <c r="EG128" s="127">
        <v>491.65</v>
      </c>
      <c r="EH128" s="127"/>
      <c r="EI128" s="126">
        <v>8.44</v>
      </c>
      <c r="EQ128" s="122">
        <v>45942</v>
      </c>
      <c r="ER128" s="123">
        <v>3115.85</v>
      </c>
      <c r="ES128" s="259">
        <v>424.86</v>
      </c>
      <c r="ET128" s="127"/>
      <c r="EU128" s="258">
        <v>0</v>
      </c>
      <c r="FB128" s="122">
        <v>45942</v>
      </c>
      <c r="FC128" s="123">
        <v>592.17999999999995</v>
      </c>
      <c r="FD128" s="123">
        <v>110.15</v>
      </c>
      <c r="FE128" s="125"/>
      <c r="FF128" s="126"/>
    </row>
    <row r="129" spans="2:162" hidden="1" x14ac:dyDescent="0.25">
      <c r="B129" s="122">
        <v>45943</v>
      </c>
      <c r="C129" s="123">
        <v>13830.82</v>
      </c>
      <c r="D129" s="125"/>
      <c r="E129" s="125"/>
      <c r="F129" s="125">
        <v>54.72</v>
      </c>
      <c r="M129" s="122">
        <v>45943</v>
      </c>
      <c r="N129" s="123">
        <v>3421.65</v>
      </c>
      <c r="O129" s="125"/>
      <c r="P129" s="126">
        <v>16.36</v>
      </c>
      <c r="W129" s="122">
        <v>45943</v>
      </c>
      <c r="X129" s="123">
        <v>702.74</v>
      </c>
      <c r="Y129" s="123">
        <v>153.5</v>
      </c>
      <c r="Z129" s="125"/>
      <c r="AA129" s="123">
        <v>11.05</v>
      </c>
      <c r="AI129" s="122">
        <v>45943</v>
      </c>
      <c r="AJ129" s="123">
        <v>1713.51</v>
      </c>
      <c r="AK129" s="125"/>
      <c r="AL129" s="126"/>
      <c r="AS129" s="122">
        <v>45943</v>
      </c>
      <c r="AT129" s="123">
        <v>2472.7399999999998</v>
      </c>
      <c r="AU129" s="125"/>
      <c r="AV129" s="128"/>
      <c r="BC129" s="122">
        <v>45943</v>
      </c>
      <c r="BD129" s="123">
        <v>2472.27</v>
      </c>
      <c r="BE129" s="125"/>
      <c r="BF129" s="128">
        <v>2.72</v>
      </c>
      <c r="BM129" s="122">
        <v>45943</v>
      </c>
      <c r="BN129" s="123">
        <v>9451.5400000000009</v>
      </c>
      <c r="BO129" s="123">
        <v>2539.7800000000002</v>
      </c>
      <c r="BP129" s="123">
        <v>8291.73</v>
      </c>
      <c r="BQ129" s="125"/>
      <c r="BR129" s="125"/>
      <c r="BY129" s="122">
        <v>45943</v>
      </c>
      <c r="BZ129" s="256">
        <v>1540.75</v>
      </c>
      <c r="CA129" s="257">
        <v>545.11</v>
      </c>
      <c r="CB129" s="125"/>
      <c r="CC129" s="126"/>
      <c r="CJ129" s="122">
        <v>45943</v>
      </c>
      <c r="CK129" s="123">
        <v>12138.1</v>
      </c>
      <c r="CL129" s="123">
        <v>887.54</v>
      </c>
      <c r="CM129" s="125"/>
      <c r="CN129" s="126">
        <v>57.43</v>
      </c>
      <c r="CU129" s="122">
        <v>45943</v>
      </c>
      <c r="CV129" s="123">
        <v>6529.1</v>
      </c>
      <c r="CW129" s="127">
        <v>629.16</v>
      </c>
      <c r="CX129" s="125"/>
      <c r="CY129" s="128">
        <v>161.01</v>
      </c>
      <c r="DH129" s="122">
        <v>45943</v>
      </c>
      <c r="DI129" s="123">
        <v>1377.19</v>
      </c>
      <c r="DJ129" s="127">
        <v>337.71</v>
      </c>
      <c r="DK129" s="127"/>
      <c r="DL129" s="127"/>
      <c r="DM129" s="126">
        <v>5.2</v>
      </c>
      <c r="DT129" s="122">
        <v>45943</v>
      </c>
      <c r="DU129" s="123">
        <v>1640.64</v>
      </c>
      <c r="DV129" s="127">
        <v>963.92</v>
      </c>
      <c r="DW129" s="127"/>
      <c r="DX129" s="126">
        <v>56.15</v>
      </c>
      <c r="EE129" s="122">
        <v>45943</v>
      </c>
      <c r="EF129" s="123">
        <v>975.22</v>
      </c>
      <c r="EG129" s="127">
        <v>610.55999999999995</v>
      </c>
      <c r="EH129" s="127"/>
      <c r="EI129" s="126">
        <v>18.46</v>
      </c>
      <c r="EQ129" s="122">
        <v>45943</v>
      </c>
      <c r="ER129" s="123">
        <v>3370.74</v>
      </c>
      <c r="ES129" s="259">
        <v>172.07</v>
      </c>
      <c r="ET129" s="127"/>
      <c r="EU129" s="258">
        <v>76.09</v>
      </c>
      <c r="FB129" s="122">
        <v>45943</v>
      </c>
      <c r="FC129" s="123">
        <v>693.91</v>
      </c>
      <c r="FD129" s="123">
        <v>173</v>
      </c>
      <c r="FE129" s="125"/>
      <c r="FF129" s="126"/>
    </row>
    <row r="130" spans="2:162" hidden="1" x14ac:dyDescent="0.25">
      <c r="B130" s="122">
        <v>45944</v>
      </c>
      <c r="C130" s="123">
        <v>11152.42</v>
      </c>
      <c r="D130" s="125"/>
      <c r="E130" s="125"/>
      <c r="F130" s="123">
        <v>0</v>
      </c>
      <c r="M130" s="122">
        <v>45944</v>
      </c>
      <c r="N130" s="123">
        <v>2916.75</v>
      </c>
      <c r="O130" s="125"/>
      <c r="P130" s="126">
        <v>20.059999999999999</v>
      </c>
      <c r="W130" s="122">
        <v>45944</v>
      </c>
      <c r="X130" s="123">
        <v>1058.73</v>
      </c>
      <c r="Y130" s="123">
        <v>287.16000000000003</v>
      </c>
      <c r="Z130" s="125"/>
      <c r="AA130" s="123">
        <v>1.01</v>
      </c>
      <c r="AI130" s="122">
        <v>45944</v>
      </c>
      <c r="AJ130" s="123">
        <v>1408.59</v>
      </c>
      <c r="AK130" s="125"/>
      <c r="AL130" s="126"/>
      <c r="AS130" s="122">
        <v>45944</v>
      </c>
      <c r="AT130" s="123">
        <v>2917.38</v>
      </c>
      <c r="AU130" s="125"/>
      <c r="AV130" s="128"/>
      <c r="BC130" s="122">
        <v>45944</v>
      </c>
      <c r="BD130" s="123">
        <v>2879.19</v>
      </c>
      <c r="BE130" s="125"/>
      <c r="BF130" s="128">
        <v>0</v>
      </c>
      <c r="BM130" s="122">
        <v>45944</v>
      </c>
      <c r="BN130" s="123">
        <v>11651.02</v>
      </c>
      <c r="BO130" s="123">
        <v>2492.1999999999998</v>
      </c>
      <c r="BP130" s="123">
        <v>9638.66</v>
      </c>
      <c r="BQ130" s="125"/>
      <c r="BR130" s="125"/>
      <c r="BY130" s="122">
        <v>45944</v>
      </c>
      <c r="BZ130" s="256">
        <v>1600.81</v>
      </c>
      <c r="CA130" s="257">
        <v>655.04999999999995</v>
      </c>
      <c r="CB130" s="125"/>
      <c r="CC130" s="126"/>
      <c r="CJ130" s="122">
        <v>45944</v>
      </c>
      <c r="CK130" s="123">
        <v>8349.4699999999993</v>
      </c>
      <c r="CL130" s="123">
        <v>574.91</v>
      </c>
      <c r="CM130" s="125"/>
      <c r="CN130" s="126">
        <v>39.200000000000003</v>
      </c>
      <c r="CU130" s="122">
        <v>45944</v>
      </c>
      <c r="CV130" s="123">
        <v>8068.27</v>
      </c>
      <c r="CW130" s="127">
        <v>675.75</v>
      </c>
      <c r="CX130" s="125"/>
      <c r="CY130" s="128">
        <v>187.12</v>
      </c>
      <c r="DH130" s="122">
        <v>45944</v>
      </c>
      <c r="DI130" s="123">
        <v>1710.71</v>
      </c>
      <c r="DJ130" s="127">
        <v>449.14</v>
      </c>
      <c r="DK130" s="127"/>
      <c r="DL130" s="127"/>
      <c r="DM130" s="126">
        <v>8</v>
      </c>
      <c r="DT130" s="122">
        <v>45944</v>
      </c>
      <c r="DU130" s="123">
        <v>1026.52</v>
      </c>
      <c r="DV130" s="127">
        <v>1208.3599999999999</v>
      </c>
      <c r="DW130" s="127"/>
      <c r="DX130" s="126">
        <v>26.96</v>
      </c>
      <c r="EE130" s="122">
        <v>45944</v>
      </c>
      <c r="EF130" s="123">
        <v>738.89</v>
      </c>
      <c r="EG130" s="127">
        <v>736.8</v>
      </c>
      <c r="EH130" s="127"/>
      <c r="EI130" s="126">
        <v>14.43</v>
      </c>
      <c r="EQ130" s="122">
        <v>45944</v>
      </c>
      <c r="ER130" s="123">
        <v>2062.16</v>
      </c>
      <c r="ES130" s="259">
        <v>298.13</v>
      </c>
      <c r="ET130" s="127"/>
      <c r="EU130" s="258">
        <v>84.56</v>
      </c>
      <c r="FB130" s="122">
        <v>45944</v>
      </c>
      <c r="FC130" s="123">
        <v>889.03</v>
      </c>
      <c r="FD130" s="123">
        <v>103</v>
      </c>
      <c r="FE130" s="125"/>
      <c r="FF130" s="126"/>
    </row>
    <row r="131" spans="2:162" hidden="1" x14ac:dyDescent="0.25">
      <c r="B131" s="122">
        <v>45945</v>
      </c>
      <c r="C131" s="123">
        <v>11873.69</v>
      </c>
      <c r="D131" s="126"/>
      <c r="E131" s="125"/>
      <c r="F131" s="126">
        <v>85.55</v>
      </c>
      <c r="M131" s="122">
        <v>45945</v>
      </c>
      <c r="N131" s="123">
        <v>2586.06</v>
      </c>
      <c r="O131" s="125"/>
      <c r="P131" s="126">
        <v>21.21</v>
      </c>
      <c r="W131" s="122">
        <v>45945</v>
      </c>
      <c r="X131" s="123">
        <v>1100.22</v>
      </c>
      <c r="Y131" s="123">
        <v>90</v>
      </c>
      <c r="Z131" s="125"/>
      <c r="AA131" s="123">
        <v>9.84</v>
      </c>
      <c r="AI131" s="122">
        <v>45945</v>
      </c>
      <c r="AJ131" s="123">
        <v>2089.25</v>
      </c>
      <c r="AK131" s="125"/>
      <c r="AL131" s="126"/>
      <c r="AS131" s="122">
        <v>45945</v>
      </c>
      <c r="AT131" s="123">
        <v>3187.5</v>
      </c>
      <c r="AU131" s="125"/>
      <c r="AV131" s="128"/>
      <c r="BC131" s="122">
        <v>45945</v>
      </c>
      <c r="BD131" s="123">
        <v>2374.5</v>
      </c>
      <c r="BE131" s="125"/>
      <c r="BF131" s="128">
        <v>0</v>
      </c>
      <c r="BM131" s="122">
        <v>45945</v>
      </c>
      <c r="BN131" s="123">
        <v>13176.32</v>
      </c>
      <c r="BO131" s="123">
        <v>2677.77</v>
      </c>
      <c r="BP131" s="123">
        <v>8094.64</v>
      </c>
      <c r="BQ131" s="125"/>
      <c r="BR131" s="125"/>
      <c r="BY131" s="122">
        <v>45945</v>
      </c>
      <c r="BZ131" s="256">
        <v>1386.97</v>
      </c>
      <c r="CA131" s="257">
        <v>472.36</v>
      </c>
      <c r="CB131" s="125"/>
      <c r="CC131" s="126"/>
      <c r="CJ131" s="122">
        <v>45945</v>
      </c>
      <c r="CK131" s="123">
        <v>7408.72</v>
      </c>
      <c r="CL131" s="123">
        <v>625.9</v>
      </c>
      <c r="CM131" s="125"/>
      <c r="CN131" s="126">
        <v>45.28</v>
      </c>
      <c r="CU131" s="122">
        <v>45945</v>
      </c>
      <c r="CV131" s="123">
        <v>8235.6299999999992</v>
      </c>
      <c r="CW131" s="127">
        <v>1131.78</v>
      </c>
      <c r="CX131" s="125"/>
      <c r="CY131" s="128">
        <v>291.83999999999997</v>
      </c>
      <c r="DH131" s="122">
        <v>45945</v>
      </c>
      <c r="DI131" s="123">
        <v>1025.3</v>
      </c>
      <c r="DJ131" s="127">
        <v>355.5</v>
      </c>
      <c r="DK131" s="127"/>
      <c r="DL131" s="127"/>
      <c r="DM131" s="126">
        <v>4</v>
      </c>
      <c r="DT131" s="122">
        <v>45945</v>
      </c>
      <c r="DU131" s="123">
        <v>1270.4000000000001</v>
      </c>
      <c r="DV131" s="127">
        <v>1135.94</v>
      </c>
      <c r="DW131" s="127"/>
      <c r="DX131" s="126">
        <v>21.7</v>
      </c>
      <c r="EE131" s="122">
        <v>45945</v>
      </c>
      <c r="EF131" s="123">
        <v>706.5</v>
      </c>
      <c r="EG131" s="127">
        <v>742.66</v>
      </c>
      <c r="EH131" s="127"/>
      <c r="EI131" s="126">
        <v>12.91</v>
      </c>
      <c r="EQ131" s="122">
        <v>45945</v>
      </c>
      <c r="ER131" s="123">
        <v>2088.58</v>
      </c>
      <c r="ES131" s="259">
        <v>235.19</v>
      </c>
      <c r="ET131" s="127"/>
      <c r="EU131" s="258">
        <v>79.47</v>
      </c>
      <c r="FB131" s="122">
        <v>45945</v>
      </c>
      <c r="FC131" s="123">
        <v>685.74</v>
      </c>
      <c r="FD131" s="123">
        <v>179</v>
      </c>
      <c r="FE131" s="125"/>
      <c r="FF131" s="126"/>
    </row>
    <row r="132" spans="2:162" hidden="1" x14ac:dyDescent="0.25">
      <c r="B132" s="122">
        <v>45946</v>
      </c>
      <c r="C132" s="123">
        <v>15066.25</v>
      </c>
      <c r="D132" s="125"/>
      <c r="E132" s="125"/>
      <c r="F132" s="125">
        <v>61.01</v>
      </c>
      <c r="M132" s="122">
        <v>45946</v>
      </c>
      <c r="N132" s="123">
        <v>2196.8200000000002</v>
      </c>
      <c r="O132" s="125"/>
      <c r="P132" s="126">
        <v>0</v>
      </c>
      <c r="W132" s="122">
        <v>45946</v>
      </c>
      <c r="X132" s="123">
        <v>1237.32</v>
      </c>
      <c r="Y132" s="123">
        <v>168</v>
      </c>
      <c r="Z132" s="125"/>
      <c r="AA132" s="123">
        <v>29.91</v>
      </c>
      <c r="AI132" s="122">
        <v>45946</v>
      </c>
      <c r="AJ132" s="123">
        <v>1042.8800000000001</v>
      </c>
      <c r="AK132" s="125"/>
      <c r="AL132" s="126"/>
      <c r="AS132" s="122">
        <v>45946</v>
      </c>
      <c r="AT132" s="123">
        <v>3124.6</v>
      </c>
      <c r="AU132" s="125"/>
      <c r="AV132" s="128"/>
      <c r="BC132" s="122">
        <v>45946</v>
      </c>
      <c r="BD132" s="123">
        <v>2131.83</v>
      </c>
      <c r="BE132" s="125"/>
      <c r="BF132" s="128">
        <v>5.57</v>
      </c>
      <c r="BM132" s="122">
        <v>45946</v>
      </c>
      <c r="BN132" s="123">
        <v>10745.29</v>
      </c>
      <c r="BO132" s="123">
        <v>2183.25</v>
      </c>
      <c r="BP132" s="123">
        <v>8981.4699999999993</v>
      </c>
      <c r="BQ132" s="125"/>
      <c r="BR132" s="125"/>
      <c r="BY132" s="122">
        <v>45946</v>
      </c>
      <c r="BZ132" s="256">
        <v>1777.27</v>
      </c>
      <c r="CA132" s="257">
        <v>815.99</v>
      </c>
      <c r="CB132" s="125"/>
      <c r="CC132" s="126"/>
      <c r="CJ132" s="122">
        <v>45946</v>
      </c>
      <c r="CK132" s="123">
        <v>5636.57</v>
      </c>
      <c r="CL132" s="123">
        <v>742.84</v>
      </c>
      <c r="CM132" s="125"/>
      <c r="CN132" s="126">
        <v>40.520000000000003</v>
      </c>
      <c r="CU132" s="122">
        <v>45946</v>
      </c>
      <c r="CV132" s="123">
        <v>7273.16</v>
      </c>
      <c r="CW132" s="127">
        <v>702.84</v>
      </c>
      <c r="CX132" s="125"/>
      <c r="CY132" s="128">
        <v>342.33</v>
      </c>
      <c r="DH132" s="122">
        <v>45946</v>
      </c>
      <c r="DI132" s="123">
        <v>743.56</v>
      </c>
      <c r="DJ132" s="259">
        <v>446.44</v>
      </c>
      <c r="DK132" s="259"/>
      <c r="DL132" s="127"/>
      <c r="DM132" s="126">
        <v>0</v>
      </c>
      <c r="DT132" s="122">
        <v>45946</v>
      </c>
      <c r="DU132" s="123">
        <v>1558.25</v>
      </c>
      <c r="DV132" s="259">
        <v>1271.1500000000001</v>
      </c>
      <c r="DW132" s="127"/>
      <c r="DX132" s="126">
        <v>26.09</v>
      </c>
      <c r="EE132" s="122">
        <v>45946</v>
      </c>
      <c r="EF132" s="123">
        <v>711.19</v>
      </c>
      <c r="EG132" s="127">
        <v>678.48</v>
      </c>
      <c r="EH132" s="127"/>
      <c r="EI132" s="126">
        <v>15.14</v>
      </c>
      <c r="EQ132" s="122">
        <v>45946</v>
      </c>
      <c r="ER132" s="123">
        <v>2722.97</v>
      </c>
      <c r="ES132" s="259">
        <v>239.21</v>
      </c>
      <c r="ET132" s="127"/>
      <c r="EU132" s="258">
        <v>183.55</v>
      </c>
      <c r="FB132" s="122">
        <v>45946</v>
      </c>
      <c r="FC132" s="123">
        <v>605.26</v>
      </c>
      <c r="FD132" s="123">
        <v>166.61</v>
      </c>
      <c r="FE132" s="125"/>
      <c r="FF132" s="126"/>
    </row>
    <row r="133" spans="2:162" hidden="1" x14ac:dyDescent="0.25">
      <c r="B133" s="122">
        <v>45947</v>
      </c>
      <c r="C133" s="123">
        <v>12743.98</v>
      </c>
      <c r="D133" s="125"/>
      <c r="E133" s="125"/>
      <c r="F133" s="125">
        <v>0</v>
      </c>
      <c r="M133" s="122">
        <v>45947</v>
      </c>
      <c r="N133" s="123">
        <v>2853.54</v>
      </c>
      <c r="O133" s="125"/>
      <c r="P133" s="126">
        <v>0</v>
      </c>
      <c r="W133" s="122">
        <v>45947</v>
      </c>
      <c r="X133" s="123">
        <v>1200.47</v>
      </c>
      <c r="Y133" s="123">
        <v>382.12</v>
      </c>
      <c r="Z133" s="125"/>
      <c r="AA133" s="123">
        <v>32.85</v>
      </c>
      <c r="AI133" s="122">
        <v>45947</v>
      </c>
      <c r="AJ133" s="123">
        <v>1282.3800000000001</v>
      </c>
      <c r="AK133" s="125"/>
      <c r="AL133" s="126"/>
      <c r="AS133" s="122">
        <v>45947</v>
      </c>
      <c r="AT133" s="123">
        <v>3571.22</v>
      </c>
      <c r="AU133" s="125"/>
      <c r="AV133" s="128"/>
      <c r="BC133" s="122">
        <v>45947</v>
      </c>
      <c r="BD133" s="123">
        <v>2400.52</v>
      </c>
      <c r="BE133" s="125"/>
      <c r="BF133" s="128">
        <v>0</v>
      </c>
      <c r="BM133" s="122">
        <v>45947</v>
      </c>
      <c r="BN133" s="123">
        <v>11997.26</v>
      </c>
      <c r="BO133" s="123">
        <v>2566.1799999999998</v>
      </c>
      <c r="BP133" s="123">
        <v>9734.7999999999993</v>
      </c>
      <c r="BQ133" s="125"/>
      <c r="BR133" s="125"/>
      <c r="BY133" s="122">
        <v>45947</v>
      </c>
      <c r="BZ133" s="256">
        <v>1100.8900000000001</v>
      </c>
      <c r="CA133" s="257">
        <v>655.55</v>
      </c>
      <c r="CB133" s="125"/>
      <c r="CC133" s="126"/>
      <c r="CJ133" s="122">
        <v>45947</v>
      </c>
      <c r="CK133" s="123">
        <v>5141.3900000000003</v>
      </c>
      <c r="CL133" s="123">
        <v>742.41</v>
      </c>
      <c r="CM133" s="125"/>
      <c r="CN133" s="126">
        <v>34.07</v>
      </c>
      <c r="CU133" s="122">
        <v>45947</v>
      </c>
      <c r="CV133" s="123">
        <v>9481.75</v>
      </c>
      <c r="CW133" s="127">
        <v>885.62</v>
      </c>
      <c r="CX133" s="125"/>
      <c r="CY133" s="128">
        <v>123.95</v>
      </c>
      <c r="DH133" s="122">
        <v>45947</v>
      </c>
      <c r="DI133" s="123">
        <v>1510.89</v>
      </c>
      <c r="DJ133" s="127">
        <v>314.67</v>
      </c>
      <c r="DK133" s="127"/>
      <c r="DL133" s="127"/>
      <c r="DM133" s="126">
        <v>7</v>
      </c>
      <c r="DT133" s="122">
        <v>45947</v>
      </c>
      <c r="DU133" s="123">
        <v>3489.95</v>
      </c>
      <c r="DV133" s="127">
        <v>1086.27</v>
      </c>
      <c r="DW133" s="127"/>
      <c r="DX133" s="126">
        <v>54.94</v>
      </c>
      <c r="EE133" s="122">
        <v>45947</v>
      </c>
      <c r="EF133" s="123">
        <v>1273.42</v>
      </c>
      <c r="EG133" s="127">
        <v>721.07</v>
      </c>
      <c r="EH133" s="127"/>
      <c r="EI133" s="126">
        <v>10.65</v>
      </c>
      <c r="EQ133" s="122">
        <v>45947</v>
      </c>
      <c r="ER133" s="123">
        <v>2994.28</v>
      </c>
      <c r="ES133" s="259">
        <v>527.38</v>
      </c>
      <c r="ET133" s="127"/>
      <c r="EU133" s="258">
        <v>59.98</v>
      </c>
      <c r="FB133" s="122">
        <v>45947</v>
      </c>
      <c r="FC133" s="123">
        <v>850.42</v>
      </c>
      <c r="FD133" s="123">
        <v>87.9</v>
      </c>
      <c r="FE133" s="125"/>
      <c r="FF133" s="126"/>
    </row>
    <row r="134" spans="2:162" hidden="1" x14ac:dyDescent="0.25">
      <c r="B134" s="122">
        <v>45948</v>
      </c>
      <c r="C134" s="123">
        <v>10225.83</v>
      </c>
      <c r="D134" s="125"/>
      <c r="E134" s="125"/>
      <c r="F134" s="125">
        <v>94.32</v>
      </c>
      <c r="M134" s="122">
        <v>45948</v>
      </c>
      <c r="N134" s="123">
        <v>3605.44</v>
      </c>
      <c r="O134" s="125"/>
      <c r="P134" s="126">
        <v>24.96</v>
      </c>
      <c r="W134" s="122">
        <v>45948</v>
      </c>
      <c r="X134" s="123">
        <v>1277.44</v>
      </c>
      <c r="Y134" s="123">
        <v>394.89</v>
      </c>
      <c r="Z134" s="125"/>
      <c r="AA134" s="123">
        <v>22.91</v>
      </c>
      <c r="AI134" s="122">
        <v>45948</v>
      </c>
      <c r="AJ134" s="123">
        <v>1445.42</v>
      </c>
      <c r="AK134" s="125"/>
      <c r="AL134" s="126"/>
      <c r="AS134" s="122">
        <v>45948</v>
      </c>
      <c r="AT134" s="123">
        <v>3746.68</v>
      </c>
      <c r="AU134" s="125"/>
      <c r="AV134" s="128"/>
      <c r="BC134" s="122">
        <v>45948</v>
      </c>
      <c r="BD134" s="123">
        <v>3044.77</v>
      </c>
      <c r="BE134" s="125"/>
      <c r="BF134" s="128">
        <v>0</v>
      </c>
      <c r="BM134" s="122">
        <v>45948</v>
      </c>
      <c r="BN134" s="123">
        <v>13482.44</v>
      </c>
      <c r="BO134" s="123">
        <v>2612.52</v>
      </c>
      <c r="BP134" s="123">
        <v>9199.82</v>
      </c>
      <c r="BQ134" s="125"/>
      <c r="BR134" s="125"/>
      <c r="BY134" s="122">
        <v>45948</v>
      </c>
      <c r="BZ134" s="256">
        <v>955.23</v>
      </c>
      <c r="CA134" s="257">
        <v>980.72</v>
      </c>
      <c r="CB134" s="125"/>
      <c r="CC134" s="126"/>
      <c r="CJ134" s="122">
        <v>45948</v>
      </c>
      <c r="CK134" s="123">
        <v>8086.96</v>
      </c>
      <c r="CL134" s="123">
        <v>841.53</v>
      </c>
      <c r="CM134" s="125"/>
      <c r="CN134" s="126">
        <v>41.45</v>
      </c>
      <c r="CU134" s="122">
        <v>45948</v>
      </c>
      <c r="CV134" s="123">
        <v>7578.27</v>
      </c>
      <c r="CW134" s="127">
        <v>845.37</v>
      </c>
      <c r="CX134" s="125"/>
      <c r="CY134" s="128">
        <v>42.43</v>
      </c>
      <c r="DH134" s="122">
        <v>45948</v>
      </c>
      <c r="DI134" s="123">
        <v>1416.49</v>
      </c>
      <c r="DJ134" s="127">
        <v>344</v>
      </c>
      <c r="DK134" s="127"/>
      <c r="DL134" s="127"/>
      <c r="DM134" s="126">
        <v>0</v>
      </c>
      <c r="DT134" s="122">
        <v>45948</v>
      </c>
      <c r="DU134" s="123">
        <v>1690.62</v>
      </c>
      <c r="DV134" s="127">
        <v>1451.51</v>
      </c>
      <c r="DW134" s="127"/>
      <c r="DX134" s="126">
        <v>25.5</v>
      </c>
      <c r="EE134" s="122">
        <v>45948</v>
      </c>
      <c r="EF134" s="123">
        <v>888.88</v>
      </c>
      <c r="EG134" s="127">
        <v>843.75</v>
      </c>
      <c r="EH134" s="127"/>
      <c r="EI134" s="126">
        <v>17.22</v>
      </c>
      <c r="EQ134" s="122">
        <v>45948</v>
      </c>
      <c r="ER134" s="123">
        <v>3445.58</v>
      </c>
      <c r="ES134" s="259">
        <v>485.36</v>
      </c>
      <c r="ET134" s="127"/>
      <c r="EU134" s="258">
        <v>47.85</v>
      </c>
      <c r="FB134" s="122">
        <v>45948</v>
      </c>
      <c r="FC134" s="123">
        <v>760.36</v>
      </c>
      <c r="FD134" s="123">
        <v>225.8</v>
      </c>
      <c r="FE134" s="125"/>
      <c r="FF134" s="126"/>
    </row>
    <row r="135" spans="2:162" hidden="1" x14ac:dyDescent="0.25">
      <c r="B135" s="122">
        <v>45949</v>
      </c>
      <c r="C135" s="123">
        <v>10946.37</v>
      </c>
      <c r="D135" s="125"/>
      <c r="E135" s="125"/>
      <c r="F135" s="125">
        <v>0</v>
      </c>
      <c r="M135" s="122">
        <v>45949</v>
      </c>
      <c r="N135" s="123">
        <v>2812.24</v>
      </c>
      <c r="O135" s="125"/>
      <c r="P135" s="126">
        <v>13.21</v>
      </c>
      <c r="W135" s="122">
        <v>45949</v>
      </c>
      <c r="X135" s="123">
        <v>1028.3599999999999</v>
      </c>
      <c r="Y135" s="123">
        <v>412.58</v>
      </c>
      <c r="Z135" s="125"/>
      <c r="AA135" s="123">
        <v>6.38</v>
      </c>
      <c r="AI135" s="122">
        <v>45949</v>
      </c>
      <c r="AJ135" s="123">
        <v>388.05</v>
      </c>
      <c r="AK135" s="125"/>
      <c r="AL135" s="126"/>
      <c r="AS135" s="122">
        <v>45949</v>
      </c>
      <c r="AT135" s="123">
        <v>2160.2800000000002</v>
      </c>
      <c r="AU135" s="125"/>
      <c r="AV135" s="128"/>
      <c r="BC135" s="122">
        <v>45949</v>
      </c>
      <c r="BD135" s="123">
        <v>1983.67</v>
      </c>
      <c r="BE135" s="125"/>
      <c r="BF135" s="128">
        <v>0</v>
      </c>
      <c r="BM135" s="122">
        <v>45949</v>
      </c>
      <c r="BN135" s="123">
        <v>9688.9500000000007</v>
      </c>
      <c r="BO135" s="123">
        <v>2333.88</v>
      </c>
      <c r="BP135" s="123">
        <v>4993.3599999999997</v>
      </c>
      <c r="BQ135" s="125"/>
      <c r="BR135" s="125"/>
      <c r="BY135" s="122">
        <v>45949</v>
      </c>
      <c r="BZ135" s="256">
        <v>602.47</v>
      </c>
      <c r="CA135" s="260">
        <v>710.35</v>
      </c>
      <c r="CB135" s="125"/>
      <c r="CC135" s="126"/>
      <c r="CJ135" s="122">
        <v>45949</v>
      </c>
      <c r="CK135" s="123">
        <v>5952.29</v>
      </c>
      <c r="CL135" s="123">
        <v>1002.19</v>
      </c>
      <c r="CM135" s="125"/>
      <c r="CN135" s="126">
        <v>24.41</v>
      </c>
      <c r="CU135" s="122">
        <v>45949</v>
      </c>
      <c r="CV135" s="123">
        <v>2242.0300000000002</v>
      </c>
      <c r="CW135" s="127">
        <v>415.31</v>
      </c>
      <c r="CX135" s="125"/>
      <c r="CY135" s="128">
        <v>49.83</v>
      </c>
      <c r="DH135" s="122">
        <v>45949</v>
      </c>
      <c r="DI135" s="123">
        <v>1983.15</v>
      </c>
      <c r="DJ135" s="127">
        <v>395.99</v>
      </c>
      <c r="DK135" s="127"/>
      <c r="DL135" s="127"/>
      <c r="DM135" s="126">
        <v>7.2</v>
      </c>
      <c r="DT135" s="122">
        <v>45949</v>
      </c>
      <c r="DU135" s="123">
        <v>1497.57</v>
      </c>
      <c r="DV135" s="127">
        <v>1287.77</v>
      </c>
      <c r="DW135" s="127"/>
      <c r="DX135" s="126">
        <v>10.35</v>
      </c>
      <c r="EE135" s="122">
        <v>45949</v>
      </c>
      <c r="EF135" s="123">
        <v>480.38</v>
      </c>
      <c r="EG135" s="127">
        <v>592.32000000000005</v>
      </c>
      <c r="EH135" s="127"/>
      <c r="EI135" s="126">
        <v>7.93</v>
      </c>
      <c r="EQ135" s="122">
        <v>45949</v>
      </c>
      <c r="ER135" s="123">
        <v>3180.5</v>
      </c>
      <c r="ES135" s="259">
        <v>235.35</v>
      </c>
      <c r="ET135" s="127"/>
      <c r="EU135" s="258">
        <v>0</v>
      </c>
      <c r="FB135" s="122">
        <v>45949</v>
      </c>
      <c r="FC135" s="123">
        <v>931.25</v>
      </c>
      <c r="FD135" s="123">
        <v>55</v>
      </c>
      <c r="FE135" s="125"/>
      <c r="FF135" s="126"/>
    </row>
    <row r="136" spans="2:162" hidden="1" x14ac:dyDescent="0.25">
      <c r="B136" s="122">
        <v>45950</v>
      </c>
      <c r="C136" s="123">
        <v>14014.66</v>
      </c>
      <c r="D136" s="126"/>
      <c r="E136" s="125"/>
      <c r="F136" s="126">
        <v>106.23</v>
      </c>
      <c r="M136" s="122">
        <v>45950</v>
      </c>
      <c r="N136" s="123">
        <v>3359.91</v>
      </c>
      <c r="O136" s="125"/>
      <c r="P136" s="126">
        <v>22.44</v>
      </c>
      <c r="W136" s="122">
        <v>45950</v>
      </c>
      <c r="X136" s="123">
        <v>1771.24</v>
      </c>
      <c r="Y136" s="123">
        <v>105.89</v>
      </c>
      <c r="Z136" s="125"/>
      <c r="AA136" s="123">
        <v>11.77</v>
      </c>
      <c r="AI136" s="122">
        <v>45950</v>
      </c>
      <c r="AJ136" s="123">
        <v>1108.68</v>
      </c>
      <c r="AK136" s="125"/>
      <c r="AL136" s="126"/>
      <c r="AS136" s="122">
        <v>45950</v>
      </c>
      <c r="AT136" s="123">
        <v>3120.27</v>
      </c>
      <c r="AU136" s="125"/>
      <c r="AV136" s="128"/>
      <c r="BC136" s="122">
        <v>45950</v>
      </c>
      <c r="BD136" s="123">
        <v>2658.4</v>
      </c>
      <c r="BE136" s="125"/>
      <c r="BF136" s="128">
        <v>4.5599999999999996</v>
      </c>
      <c r="BM136" s="122">
        <v>45950</v>
      </c>
      <c r="BN136" s="123">
        <v>10824.95</v>
      </c>
      <c r="BO136" s="123">
        <v>2832.88</v>
      </c>
      <c r="BP136" s="123">
        <v>7756.07</v>
      </c>
      <c r="BQ136" s="125"/>
      <c r="BR136" s="125"/>
      <c r="BY136" s="122">
        <v>45950</v>
      </c>
      <c r="BZ136" s="256">
        <v>1184.43</v>
      </c>
      <c r="CA136" s="260">
        <v>515.37</v>
      </c>
      <c r="CB136" s="125"/>
      <c r="CC136" s="126"/>
      <c r="CJ136" s="122">
        <v>45950</v>
      </c>
      <c r="CK136" s="123">
        <v>4873.3500000000004</v>
      </c>
      <c r="CL136" s="123">
        <v>606.37</v>
      </c>
      <c r="CM136" s="125"/>
      <c r="CN136" s="126">
        <v>32.409999999999997</v>
      </c>
      <c r="CU136" s="122">
        <v>45950</v>
      </c>
      <c r="CV136" s="123">
        <v>4925.9399999999996</v>
      </c>
      <c r="CW136" s="127">
        <v>609.16999999999996</v>
      </c>
      <c r="CX136" s="125"/>
      <c r="CY136" s="128">
        <v>24.58</v>
      </c>
      <c r="DH136" s="122">
        <v>45950</v>
      </c>
      <c r="DI136" s="123">
        <v>2002.71</v>
      </c>
      <c r="DJ136" s="127">
        <v>188.72</v>
      </c>
      <c r="DK136" s="127"/>
      <c r="DL136" s="127"/>
      <c r="DM136" s="126">
        <v>4</v>
      </c>
      <c r="DT136" s="122">
        <v>45950</v>
      </c>
      <c r="DU136" s="123">
        <v>1549.66</v>
      </c>
      <c r="DV136" s="127">
        <v>1169.93</v>
      </c>
      <c r="DW136" s="127"/>
      <c r="DX136" s="126">
        <v>60.52</v>
      </c>
      <c r="EE136" s="122">
        <v>45950</v>
      </c>
      <c r="EF136" s="123">
        <v>897.76</v>
      </c>
      <c r="EG136" s="127">
        <v>851.66</v>
      </c>
      <c r="EH136" s="127"/>
      <c r="EI136" s="126">
        <v>17.54</v>
      </c>
      <c r="EQ136" s="122">
        <v>45950</v>
      </c>
      <c r="ER136" s="123">
        <v>2911.97</v>
      </c>
      <c r="ES136" s="259">
        <v>270.33999999999997</v>
      </c>
      <c r="ET136" s="127"/>
      <c r="EU136" s="258">
        <v>59.32</v>
      </c>
      <c r="FB136" s="122">
        <v>45950</v>
      </c>
      <c r="FC136" s="123">
        <v>595.59</v>
      </c>
      <c r="FD136" s="123">
        <v>465</v>
      </c>
      <c r="FE136" s="125"/>
      <c r="FF136" s="126"/>
    </row>
    <row r="137" spans="2:162" hidden="1" x14ac:dyDescent="0.25">
      <c r="B137" s="122">
        <v>45951</v>
      </c>
      <c r="C137" s="123">
        <v>9910.2800000000007</v>
      </c>
      <c r="D137" s="126"/>
      <c r="E137" s="125"/>
      <c r="F137" s="126">
        <v>105.05</v>
      </c>
      <c r="M137" s="122">
        <v>45951</v>
      </c>
      <c r="N137" s="123">
        <v>3044.31</v>
      </c>
      <c r="O137" s="125"/>
      <c r="P137" s="126">
        <v>17.07</v>
      </c>
      <c r="W137" s="122">
        <v>45951</v>
      </c>
      <c r="X137" s="123">
        <v>1086.53</v>
      </c>
      <c r="Y137" s="123">
        <v>323.06</v>
      </c>
      <c r="Z137" s="125"/>
      <c r="AA137" s="123">
        <v>0.98</v>
      </c>
      <c r="AI137" s="122">
        <v>45951</v>
      </c>
      <c r="AJ137" s="123">
        <v>1019.12</v>
      </c>
      <c r="AK137" s="125"/>
      <c r="AL137" s="126"/>
      <c r="AS137" s="122">
        <v>45951</v>
      </c>
      <c r="AT137" s="123">
        <v>3070.3</v>
      </c>
      <c r="AU137" s="125"/>
      <c r="AV137" s="128"/>
      <c r="BC137" s="122">
        <v>45951</v>
      </c>
      <c r="BD137" s="123">
        <v>1653.48</v>
      </c>
      <c r="BE137" s="125"/>
      <c r="BF137" s="128">
        <v>6.22</v>
      </c>
      <c r="BM137" s="122">
        <v>45951</v>
      </c>
      <c r="BN137" s="123">
        <v>12154.99</v>
      </c>
      <c r="BO137" s="123">
        <v>3006.44</v>
      </c>
      <c r="BP137" s="123">
        <v>8862.3799999999992</v>
      </c>
      <c r="BQ137" s="125"/>
      <c r="BR137" s="125"/>
      <c r="BY137" s="122">
        <v>45951</v>
      </c>
      <c r="BZ137" s="256">
        <v>620.09</v>
      </c>
      <c r="CA137" s="257">
        <v>634.88</v>
      </c>
      <c r="CB137" s="125"/>
      <c r="CC137" s="126"/>
      <c r="CJ137" s="122">
        <v>45951</v>
      </c>
      <c r="CK137" s="123">
        <v>7247.54</v>
      </c>
      <c r="CL137" s="123">
        <v>702.92</v>
      </c>
      <c r="CM137" s="125"/>
      <c r="CN137" s="126">
        <v>28.78</v>
      </c>
      <c r="CU137" s="122">
        <v>45951</v>
      </c>
      <c r="CV137" s="123">
        <v>6446.56</v>
      </c>
      <c r="CW137" s="127">
        <v>512.94000000000005</v>
      </c>
      <c r="CX137" s="125"/>
      <c r="CY137" s="128">
        <v>128.9</v>
      </c>
      <c r="DH137" s="122">
        <v>45951</v>
      </c>
      <c r="DI137" s="123">
        <v>1845.15</v>
      </c>
      <c r="DJ137" s="127">
        <v>366.84</v>
      </c>
      <c r="DK137" s="127"/>
      <c r="DL137" s="127"/>
      <c r="DM137" s="126">
        <v>4</v>
      </c>
      <c r="DT137" s="122">
        <v>45951</v>
      </c>
      <c r="DU137" s="123">
        <v>1453.24</v>
      </c>
      <c r="DV137" s="127">
        <v>1344.26</v>
      </c>
      <c r="DW137" s="127"/>
      <c r="DX137" s="126">
        <v>27.18</v>
      </c>
      <c r="EE137" s="122">
        <v>45951</v>
      </c>
      <c r="EF137" s="123">
        <v>748.2</v>
      </c>
      <c r="EG137" s="127">
        <v>784.49</v>
      </c>
      <c r="EH137" s="127"/>
      <c r="EI137" s="126">
        <v>13.1</v>
      </c>
      <c r="EQ137" s="122">
        <v>45951</v>
      </c>
      <c r="ER137" s="123">
        <v>3356.08</v>
      </c>
      <c r="ES137" s="259">
        <v>318.43</v>
      </c>
      <c r="ET137" s="127"/>
      <c r="EU137" s="258">
        <v>80.23</v>
      </c>
      <c r="FB137" s="122">
        <v>45951</v>
      </c>
      <c r="FC137" s="123">
        <v>641</v>
      </c>
      <c r="FD137" s="126">
        <v>130</v>
      </c>
      <c r="FE137" s="125"/>
      <c r="FF137" s="126"/>
    </row>
    <row r="138" spans="2:162" hidden="1" x14ac:dyDescent="0.25">
      <c r="B138" s="122">
        <v>45952</v>
      </c>
      <c r="C138" s="123">
        <v>13800.46</v>
      </c>
      <c r="D138" s="125"/>
      <c r="E138" s="125"/>
      <c r="F138" s="123">
        <v>94.4</v>
      </c>
      <c r="M138" s="122">
        <v>45952</v>
      </c>
      <c r="N138" s="123">
        <v>1881.68</v>
      </c>
      <c r="O138" s="125"/>
      <c r="P138" s="126">
        <v>141.43</v>
      </c>
      <c r="W138" s="122">
        <v>45952</v>
      </c>
      <c r="X138" s="123">
        <v>1539.21</v>
      </c>
      <c r="Y138" s="123">
        <v>51.97</v>
      </c>
      <c r="Z138" s="125"/>
      <c r="AA138" s="123">
        <v>21.18</v>
      </c>
      <c r="AI138" s="122">
        <v>45952</v>
      </c>
      <c r="AJ138" s="123">
        <v>1558.69</v>
      </c>
      <c r="AK138" s="125"/>
      <c r="AL138" s="126"/>
      <c r="AS138" s="122">
        <v>45952</v>
      </c>
      <c r="AT138" s="123">
        <v>4409.0200000000004</v>
      </c>
      <c r="AU138" s="125"/>
      <c r="AV138" s="128"/>
      <c r="BC138" s="122">
        <v>45952</v>
      </c>
      <c r="BD138" s="123">
        <v>2714.25</v>
      </c>
      <c r="BE138" s="125"/>
      <c r="BF138" s="128">
        <v>0</v>
      </c>
      <c r="BM138" s="122">
        <v>45952</v>
      </c>
      <c r="BN138" s="123">
        <v>15460.01</v>
      </c>
      <c r="BO138" s="123">
        <v>3751.95</v>
      </c>
      <c r="BP138" s="123">
        <v>8768.0400000000009</v>
      </c>
      <c r="BQ138" s="125"/>
      <c r="BR138" s="125"/>
      <c r="BY138" s="122">
        <v>45952</v>
      </c>
      <c r="BZ138" s="256">
        <v>633.19000000000005</v>
      </c>
      <c r="CA138" s="257">
        <v>754.77</v>
      </c>
      <c r="CB138" s="125"/>
      <c r="CC138" s="126"/>
      <c r="CJ138" s="122">
        <v>45952</v>
      </c>
      <c r="CK138" s="123">
        <v>3941.78</v>
      </c>
      <c r="CL138" s="123">
        <v>797.83</v>
      </c>
      <c r="CM138" s="125"/>
      <c r="CN138" s="126">
        <v>4.66</v>
      </c>
      <c r="CU138" s="122">
        <v>45952</v>
      </c>
      <c r="CV138" s="123">
        <v>5729.16</v>
      </c>
      <c r="CW138" s="127">
        <v>845.72</v>
      </c>
      <c r="CX138" s="125"/>
      <c r="CY138" s="126">
        <v>55.74</v>
      </c>
      <c r="DH138" s="122">
        <v>45952</v>
      </c>
      <c r="DI138" s="123">
        <v>639.78</v>
      </c>
      <c r="DJ138" s="127">
        <v>381.61</v>
      </c>
      <c r="DK138" s="127"/>
      <c r="DL138" s="127"/>
      <c r="DM138" s="126">
        <v>4</v>
      </c>
      <c r="DT138" s="122">
        <v>45952</v>
      </c>
      <c r="DU138" s="123">
        <v>2780.19</v>
      </c>
      <c r="DV138" s="127">
        <v>992.23</v>
      </c>
      <c r="DW138" s="127"/>
      <c r="DX138" s="126">
        <v>39.6</v>
      </c>
      <c r="EE138" s="122">
        <v>45952</v>
      </c>
      <c r="EF138" s="123">
        <v>1308.3399999999999</v>
      </c>
      <c r="EG138" s="127">
        <v>1035.75</v>
      </c>
      <c r="EH138" s="127"/>
      <c r="EI138" s="126">
        <v>7.49</v>
      </c>
      <c r="EQ138" s="122">
        <v>45952</v>
      </c>
      <c r="ER138" s="123">
        <v>5680.73</v>
      </c>
      <c r="ES138" s="259">
        <v>210.18</v>
      </c>
      <c r="ET138" s="127"/>
      <c r="EU138" s="258">
        <v>209.99</v>
      </c>
      <c r="FB138" s="122">
        <v>45952</v>
      </c>
      <c r="FC138" s="123">
        <v>431.4</v>
      </c>
      <c r="FD138" s="123">
        <v>259</v>
      </c>
      <c r="FE138" s="125"/>
      <c r="FF138" s="126"/>
    </row>
    <row r="139" spans="2:162" hidden="1" x14ac:dyDescent="0.25">
      <c r="B139" s="122">
        <v>45953</v>
      </c>
      <c r="C139" s="123">
        <v>10595.2</v>
      </c>
      <c r="D139" s="125"/>
      <c r="E139" s="125"/>
      <c r="F139" s="125">
        <v>94.4</v>
      </c>
      <c r="M139" s="122">
        <v>45953</v>
      </c>
      <c r="N139" s="123">
        <v>3445.29</v>
      </c>
      <c r="O139" s="125"/>
      <c r="P139" s="126">
        <v>14.55</v>
      </c>
      <c r="W139" s="122">
        <v>45953</v>
      </c>
      <c r="X139" s="123">
        <v>1229.0899999999999</v>
      </c>
      <c r="Y139" s="123">
        <v>128.94999999999999</v>
      </c>
      <c r="Z139" s="125"/>
      <c r="AA139" s="123">
        <v>2.92</v>
      </c>
      <c r="AI139" s="122">
        <v>45953</v>
      </c>
      <c r="AJ139" s="123">
        <v>1393.42</v>
      </c>
      <c r="AK139" s="125"/>
      <c r="AL139" s="126"/>
      <c r="AS139" s="122">
        <v>45953</v>
      </c>
      <c r="AT139" s="123">
        <v>3622.97</v>
      </c>
      <c r="AU139" s="125"/>
      <c r="AV139" s="128"/>
      <c r="BC139" s="122">
        <v>45953</v>
      </c>
      <c r="BD139" s="123">
        <v>1943.03</v>
      </c>
      <c r="BE139" s="125"/>
      <c r="BF139" s="128">
        <v>0</v>
      </c>
      <c r="BM139" s="122">
        <v>45953</v>
      </c>
      <c r="BN139" s="123">
        <v>13863.38</v>
      </c>
      <c r="BO139" s="123">
        <v>1982.72</v>
      </c>
      <c r="BP139" s="123">
        <v>8561.15</v>
      </c>
      <c r="BQ139" s="125"/>
      <c r="BR139" s="125"/>
      <c r="BY139" s="122">
        <v>45953</v>
      </c>
      <c r="BZ139" s="256">
        <v>1954.02</v>
      </c>
      <c r="CA139" s="260">
        <v>612.16999999999996</v>
      </c>
      <c r="CB139" s="125"/>
      <c r="CC139" s="126"/>
      <c r="CJ139" s="122">
        <v>45953</v>
      </c>
      <c r="CK139" s="123">
        <v>5242.2</v>
      </c>
      <c r="CL139" s="123">
        <v>762.67</v>
      </c>
      <c r="CM139" s="125"/>
      <c r="CN139" s="126">
        <v>12.85</v>
      </c>
      <c r="CU139" s="122">
        <v>45953</v>
      </c>
      <c r="CV139" s="123">
        <v>8299.7800000000007</v>
      </c>
      <c r="CW139" s="127">
        <v>892.83</v>
      </c>
      <c r="CX139" s="125"/>
      <c r="CY139" s="126">
        <v>240.29</v>
      </c>
      <c r="DH139" s="122">
        <v>45953</v>
      </c>
      <c r="DI139" s="123">
        <v>1880.43</v>
      </c>
      <c r="DJ139" s="127">
        <v>546.49</v>
      </c>
      <c r="DK139" s="127"/>
      <c r="DL139" s="127"/>
      <c r="DM139" s="126">
        <v>4</v>
      </c>
      <c r="DT139" s="122">
        <v>45953</v>
      </c>
      <c r="DU139" s="123">
        <v>2006.7</v>
      </c>
      <c r="DV139" s="127">
        <v>1568.11</v>
      </c>
      <c r="DW139" s="127"/>
      <c r="DX139" s="126">
        <v>43.87</v>
      </c>
      <c r="EE139" s="122">
        <v>45953</v>
      </c>
      <c r="EF139" s="123">
        <v>803.9</v>
      </c>
      <c r="EG139" s="127">
        <v>443.18</v>
      </c>
      <c r="EH139" s="127"/>
      <c r="EI139" s="126">
        <v>7.08</v>
      </c>
      <c r="EQ139" s="122">
        <v>45953</v>
      </c>
      <c r="ER139" s="123">
        <v>3068.67</v>
      </c>
      <c r="ES139" s="259">
        <v>143.61000000000001</v>
      </c>
      <c r="ET139" s="127"/>
      <c r="EU139" s="258">
        <v>451.97</v>
      </c>
      <c r="FB139" s="122">
        <v>45953</v>
      </c>
      <c r="FC139" s="123">
        <v>786</v>
      </c>
      <c r="FD139" s="123">
        <v>239.9</v>
      </c>
      <c r="FE139" s="125"/>
      <c r="FF139" s="126"/>
    </row>
    <row r="140" spans="2:162" hidden="1" x14ac:dyDescent="0.25">
      <c r="B140" s="122">
        <v>45954</v>
      </c>
      <c r="C140" s="123">
        <v>9943.0499999999993</v>
      </c>
      <c r="D140" s="125"/>
      <c r="E140" s="125"/>
      <c r="F140" s="125">
        <v>0</v>
      </c>
      <c r="M140" s="122">
        <v>45954</v>
      </c>
      <c r="N140" s="123">
        <v>3396.78</v>
      </c>
      <c r="O140" s="125"/>
      <c r="P140" s="126">
        <v>14.67</v>
      </c>
      <c r="W140" s="122">
        <v>45954</v>
      </c>
      <c r="X140" s="123">
        <v>1398.48</v>
      </c>
      <c r="Y140" s="123">
        <v>184.05</v>
      </c>
      <c r="Z140" s="125"/>
      <c r="AA140" s="123">
        <v>12.48</v>
      </c>
      <c r="AI140" s="122">
        <v>45954</v>
      </c>
      <c r="AJ140" s="123">
        <v>1383.19</v>
      </c>
      <c r="AK140" s="125"/>
      <c r="AL140" s="126"/>
      <c r="AS140" s="122">
        <v>45954</v>
      </c>
      <c r="AT140" s="123">
        <v>3213.17</v>
      </c>
      <c r="AU140" s="125"/>
      <c r="AV140" s="128"/>
      <c r="BC140" s="122">
        <v>45954</v>
      </c>
      <c r="BD140" s="123">
        <v>2553.5100000000002</v>
      </c>
      <c r="BE140" s="125"/>
      <c r="BF140" s="128">
        <v>0</v>
      </c>
      <c r="BM140" s="122">
        <v>45954</v>
      </c>
      <c r="BN140" s="123">
        <v>11133.34</v>
      </c>
      <c r="BO140" s="123">
        <v>3321.01</v>
      </c>
      <c r="BP140" s="123">
        <v>10981.9</v>
      </c>
      <c r="BQ140" s="125"/>
      <c r="BR140" s="125"/>
      <c r="BY140" s="122">
        <v>45954</v>
      </c>
      <c r="BZ140" s="256">
        <v>742.3</v>
      </c>
      <c r="CA140" s="257">
        <v>622.34</v>
      </c>
      <c r="CB140" s="125"/>
      <c r="CC140" s="126"/>
      <c r="CJ140" s="122">
        <v>45954</v>
      </c>
      <c r="CK140" s="123">
        <v>4834.74</v>
      </c>
      <c r="CL140" s="123">
        <v>848.14</v>
      </c>
      <c r="CM140" s="125"/>
      <c r="CN140" s="126">
        <v>25.19</v>
      </c>
      <c r="CU140" s="122">
        <v>45954</v>
      </c>
      <c r="CV140" s="123">
        <v>5374.13</v>
      </c>
      <c r="CW140" s="127">
        <v>992.61</v>
      </c>
      <c r="CX140" s="125"/>
      <c r="CY140" s="126">
        <v>168.59</v>
      </c>
      <c r="DH140" s="122">
        <v>45954</v>
      </c>
      <c r="DI140" s="123">
        <v>1492.98</v>
      </c>
      <c r="DJ140" s="127">
        <v>323.11</v>
      </c>
      <c r="DK140" s="127"/>
      <c r="DL140" s="127"/>
      <c r="DM140" s="126">
        <v>4</v>
      </c>
      <c r="DT140" s="122">
        <v>45954</v>
      </c>
      <c r="DU140" s="123">
        <v>2753.68</v>
      </c>
      <c r="DV140" s="127">
        <v>1234.17</v>
      </c>
      <c r="DW140" s="127"/>
      <c r="DX140" s="126">
        <v>48.62</v>
      </c>
      <c r="EE140" s="122">
        <v>45954</v>
      </c>
      <c r="EF140" s="123">
        <v>655.12</v>
      </c>
      <c r="EG140" s="127">
        <v>866.32</v>
      </c>
      <c r="EH140" s="127"/>
      <c r="EI140" s="126">
        <v>8.8800000000000008</v>
      </c>
      <c r="EQ140" s="122">
        <v>45954</v>
      </c>
      <c r="ER140" s="123">
        <v>3606.28</v>
      </c>
      <c r="ES140" s="259">
        <v>471.65</v>
      </c>
      <c r="ET140" s="127"/>
      <c r="EU140" s="258">
        <v>71.989999999999995</v>
      </c>
      <c r="FB140" s="122">
        <v>45954</v>
      </c>
      <c r="FC140" s="123">
        <v>756.2</v>
      </c>
      <c r="FD140" s="123">
        <v>363.02</v>
      </c>
      <c r="FE140" s="125"/>
      <c r="FF140" s="126"/>
    </row>
    <row r="141" spans="2:162" hidden="1" x14ac:dyDescent="0.25">
      <c r="B141" s="122">
        <v>45955</v>
      </c>
      <c r="C141" s="123">
        <v>10054.86</v>
      </c>
      <c r="D141" s="125"/>
      <c r="E141" s="125"/>
      <c r="F141" s="125">
        <v>0</v>
      </c>
      <c r="M141" s="122">
        <v>45955</v>
      </c>
      <c r="N141" s="123">
        <v>3761.53</v>
      </c>
      <c r="O141" s="125"/>
      <c r="P141" s="126">
        <v>154.79</v>
      </c>
      <c r="W141" s="122">
        <v>45955</v>
      </c>
      <c r="X141" s="123">
        <v>1288.1199999999999</v>
      </c>
      <c r="Y141" s="123">
        <v>155.76</v>
      </c>
      <c r="Z141" s="125"/>
      <c r="AA141" s="123">
        <v>10.43</v>
      </c>
      <c r="AI141" s="122">
        <v>45955</v>
      </c>
      <c r="AJ141" s="123">
        <v>1175.01</v>
      </c>
      <c r="AK141" s="125"/>
      <c r="AL141" s="126"/>
      <c r="AS141" s="122">
        <v>45955</v>
      </c>
      <c r="AT141" s="123">
        <v>4952.37</v>
      </c>
      <c r="AU141" s="125"/>
      <c r="AV141" s="128"/>
      <c r="BC141" s="122">
        <v>45955</v>
      </c>
      <c r="BD141" s="123">
        <v>3054.1</v>
      </c>
      <c r="BE141" s="125"/>
      <c r="BF141" s="128">
        <v>2.85</v>
      </c>
      <c r="BM141" s="122">
        <v>45955</v>
      </c>
      <c r="BN141" s="123">
        <v>12881.56</v>
      </c>
      <c r="BO141" s="123">
        <v>2564.67</v>
      </c>
      <c r="BP141" s="123">
        <v>8914.9699999999993</v>
      </c>
      <c r="BQ141" s="125"/>
      <c r="BR141" s="125"/>
      <c r="BY141" s="122">
        <v>45955</v>
      </c>
      <c r="BZ141" s="256">
        <v>942.25</v>
      </c>
      <c r="CA141" s="257">
        <v>732.36</v>
      </c>
      <c r="CB141" s="125"/>
      <c r="CC141" s="126"/>
      <c r="CJ141" s="122">
        <v>45955</v>
      </c>
      <c r="CK141" s="123">
        <v>7572.74</v>
      </c>
      <c r="CL141" s="123">
        <v>765.19</v>
      </c>
      <c r="CM141" s="125"/>
      <c r="CN141" s="126">
        <v>33.299999999999997</v>
      </c>
      <c r="CU141" s="122">
        <v>45955</v>
      </c>
      <c r="CV141" s="123">
        <v>3340.27</v>
      </c>
      <c r="CW141" s="127">
        <v>579.41999999999996</v>
      </c>
      <c r="CX141" s="125"/>
      <c r="CY141" s="126">
        <v>12.5</v>
      </c>
      <c r="DH141" s="122">
        <v>45955</v>
      </c>
      <c r="DI141" s="123">
        <v>1361.03</v>
      </c>
      <c r="DJ141" s="127">
        <v>298.52999999999997</v>
      </c>
      <c r="DK141" s="127"/>
      <c r="DL141" s="127"/>
      <c r="DM141" s="126">
        <v>4</v>
      </c>
      <c r="DT141" s="122">
        <v>45955</v>
      </c>
      <c r="DU141" s="123">
        <v>1538.87</v>
      </c>
      <c r="DV141" s="127">
        <v>1297.6400000000001</v>
      </c>
      <c r="DW141" s="127"/>
      <c r="DX141" s="126">
        <v>40.11</v>
      </c>
      <c r="EE141" s="122">
        <v>45955</v>
      </c>
      <c r="EF141" s="123">
        <v>807.36</v>
      </c>
      <c r="EG141" s="127">
        <v>1095.24</v>
      </c>
      <c r="EH141" s="127"/>
      <c r="EI141" s="126">
        <v>8.02</v>
      </c>
      <c r="EQ141" s="122">
        <v>45955</v>
      </c>
      <c r="ER141" s="123">
        <v>3000.53</v>
      </c>
      <c r="ES141" s="259">
        <v>223.71</v>
      </c>
      <c r="ET141" s="127"/>
      <c r="EU141" s="258">
        <v>39.68</v>
      </c>
      <c r="FB141" s="122">
        <v>45955</v>
      </c>
      <c r="FC141" s="123">
        <v>970.85</v>
      </c>
      <c r="FD141" s="123">
        <v>201.98</v>
      </c>
      <c r="FE141" s="125"/>
      <c r="FF141" s="126"/>
    </row>
    <row r="142" spans="2:162" hidden="1" x14ac:dyDescent="0.25">
      <c r="B142" s="122">
        <v>45956</v>
      </c>
      <c r="C142" s="123">
        <v>12143.19</v>
      </c>
      <c r="D142" s="126"/>
      <c r="E142" s="125"/>
      <c r="F142" s="126">
        <v>0</v>
      </c>
      <c r="M142" s="122">
        <v>45956</v>
      </c>
      <c r="N142" s="123">
        <v>3261.69</v>
      </c>
      <c r="O142" s="125"/>
      <c r="P142" s="126">
        <v>13.84</v>
      </c>
      <c r="W142" s="122">
        <v>45956</v>
      </c>
      <c r="X142" s="123">
        <v>900.53</v>
      </c>
      <c r="Y142" s="123">
        <v>407.78</v>
      </c>
      <c r="Z142" s="125"/>
      <c r="AA142" s="123">
        <v>0</v>
      </c>
      <c r="AI142" s="122">
        <v>45956</v>
      </c>
      <c r="AJ142" s="123">
        <v>902.39</v>
      </c>
      <c r="AK142" s="125"/>
      <c r="AL142" s="126"/>
      <c r="AS142" s="122">
        <v>45956</v>
      </c>
      <c r="AT142" s="123">
        <v>3501.08</v>
      </c>
      <c r="AU142" s="125"/>
      <c r="AV142" s="128"/>
      <c r="BC142" s="122">
        <v>45956</v>
      </c>
      <c r="BD142" s="123">
        <v>1870.45</v>
      </c>
      <c r="BE142" s="125"/>
      <c r="BF142" s="128">
        <v>0</v>
      </c>
      <c r="BM142" s="122">
        <v>45956</v>
      </c>
      <c r="BN142" s="123">
        <v>8920.4</v>
      </c>
      <c r="BO142" s="123">
        <v>1826.35</v>
      </c>
      <c r="BP142" s="123">
        <v>5064.88</v>
      </c>
      <c r="BQ142" s="125"/>
      <c r="BR142" s="125"/>
      <c r="BY142" s="122">
        <v>45956</v>
      </c>
      <c r="BZ142" s="256">
        <v>688.31</v>
      </c>
      <c r="CA142" s="257">
        <v>553.16</v>
      </c>
      <c r="CB142" s="125"/>
      <c r="CC142" s="126"/>
      <c r="CJ142" s="122">
        <v>45956</v>
      </c>
      <c r="CK142" s="123">
        <v>3273.78</v>
      </c>
      <c r="CL142" s="123">
        <v>747.03</v>
      </c>
      <c r="CM142" s="125"/>
      <c r="CN142" s="126">
        <v>13.81</v>
      </c>
      <c r="CU142" s="122">
        <v>45956</v>
      </c>
      <c r="CV142" s="123">
        <v>6047.55</v>
      </c>
      <c r="CW142" s="127">
        <v>165.68</v>
      </c>
      <c r="CX142" s="125"/>
      <c r="CY142" s="126">
        <v>87.05</v>
      </c>
      <c r="DH142" s="122">
        <v>45956</v>
      </c>
      <c r="DI142" s="123">
        <v>879.17</v>
      </c>
      <c r="DJ142" s="259">
        <v>269.81</v>
      </c>
      <c r="DK142" s="259"/>
      <c r="DL142" s="127"/>
      <c r="DM142" s="126">
        <v>0</v>
      </c>
      <c r="DT142" s="122">
        <v>45956</v>
      </c>
      <c r="DU142" s="123">
        <v>1007.53</v>
      </c>
      <c r="DV142" s="259">
        <v>1072.8599999999999</v>
      </c>
      <c r="DW142" s="127"/>
      <c r="DX142" s="126">
        <v>35.83</v>
      </c>
      <c r="EE142" s="122">
        <v>45956</v>
      </c>
      <c r="EF142" s="123">
        <v>648.5</v>
      </c>
      <c r="EG142" s="127">
        <v>473.25</v>
      </c>
      <c r="EH142" s="127"/>
      <c r="EI142" s="126">
        <v>1.07</v>
      </c>
      <c r="EQ142" s="122">
        <v>45956</v>
      </c>
      <c r="ER142" s="123">
        <v>3384.22</v>
      </c>
      <c r="ES142" s="259">
        <v>312.57</v>
      </c>
      <c r="ET142" s="127"/>
      <c r="EU142" s="258">
        <v>0</v>
      </c>
      <c r="FB142" s="122">
        <v>45956</v>
      </c>
      <c r="FC142" s="123">
        <v>874.11</v>
      </c>
      <c r="FD142" s="123">
        <v>115</v>
      </c>
      <c r="FE142" s="125"/>
      <c r="FF142" s="126"/>
    </row>
    <row r="143" spans="2:162" hidden="1" x14ac:dyDescent="0.25">
      <c r="B143" s="122">
        <v>45957</v>
      </c>
      <c r="C143" s="123">
        <v>7729.6</v>
      </c>
      <c r="D143" s="125"/>
      <c r="E143" s="125"/>
      <c r="F143" s="125">
        <v>0</v>
      </c>
      <c r="M143" s="122">
        <v>45957</v>
      </c>
      <c r="N143" s="123">
        <v>2779.04</v>
      </c>
      <c r="O143" s="125"/>
      <c r="P143" s="126">
        <v>28.97</v>
      </c>
      <c r="W143" s="122">
        <v>45957</v>
      </c>
      <c r="X143" s="123">
        <v>1224.97</v>
      </c>
      <c r="Y143" s="123">
        <v>70</v>
      </c>
      <c r="Z143" s="125"/>
      <c r="AA143" s="123">
        <v>21.85</v>
      </c>
      <c r="AI143" s="122">
        <v>45957</v>
      </c>
      <c r="AJ143" s="123">
        <v>1181.76</v>
      </c>
      <c r="AK143" s="125"/>
      <c r="AL143" s="126"/>
      <c r="AS143" s="122">
        <v>45957</v>
      </c>
      <c r="AT143" s="123">
        <v>2831.98</v>
      </c>
      <c r="AU143" s="125"/>
      <c r="AV143" s="128"/>
      <c r="BC143" s="122">
        <v>45957</v>
      </c>
      <c r="BD143" s="123">
        <v>3544.71</v>
      </c>
      <c r="BE143" s="125"/>
      <c r="BF143" s="128">
        <v>7.56</v>
      </c>
      <c r="BM143" s="122">
        <v>45957</v>
      </c>
      <c r="BN143" s="123">
        <v>12921.67</v>
      </c>
      <c r="BO143" s="123">
        <v>2766.74</v>
      </c>
      <c r="BP143" s="123">
        <v>8177.22</v>
      </c>
      <c r="BQ143" s="125"/>
      <c r="BR143" s="125"/>
      <c r="BY143" s="122">
        <v>45957</v>
      </c>
      <c r="BZ143" s="256">
        <v>977.96</v>
      </c>
      <c r="CA143" s="260">
        <v>425.59</v>
      </c>
      <c r="CB143" s="125"/>
      <c r="CC143" s="126"/>
      <c r="CJ143" s="122">
        <v>45957</v>
      </c>
      <c r="CK143" s="123">
        <v>7832.35</v>
      </c>
      <c r="CL143" s="123">
        <v>798.79</v>
      </c>
      <c r="CM143" s="125"/>
      <c r="CN143" s="126">
        <v>48</v>
      </c>
      <c r="CU143" s="122">
        <v>45957</v>
      </c>
      <c r="CV143" s="123">
        <v>11731.41</v>
      </c>
      <c r="CW143" s="127">
        <v>1267.25</v>
      </c>
      <c r="CX143" s="125"/>
      <c r="CY143" s="126">
        <v>75.81</v>
      </c>
      <c r="DH143" s="122">
        <v>45957</v>
      </c>
      <c r="DI143" s="123">
        <v>1382.99</v>
      </c>
      <c r="DJ143" s="127">
        <v>377.7</v>
      </c>
      <c r="DK143" s="127"/>
      <c r="DL143" s="127"/>
      <c r="DM143" s="126">
        <v>4</v>
      </c>
      <c r="DT143" s="122">
        <v>45957</v>
      </c>
      <c r="DU143" s="123">
        <v>1667.21</v>
      </c>
      <c r="DV143" s="127">
        <v>993.53</v>
      </c>
      <c r="DW143" s="127"/>
      <c r="DX143" s="126">
        <v>68.13</v>
      </c>
      <c r="EE143" s="122">
        <v>45957</v>
      </c>
      <c r="EF143" s="123">
        <v>1163.9100000000001</v>
      </c>
      <c r="EG143" s="127">
        <v>604.48</v>
      </c>
      <c r="EH143" s="127"/>
      <c r="EI143" s="126">
        <v>10.33</v>
      </c>
      <c r="EQ143" s="122">
        <v>45957</v>
      </c>
      <c r="ER143" s="123">
        <v>4051.97</v>
      </c>
      <c r="ES143" s="259">
        <v>265.14999999999998</v>
      </c>
      <c r="ET143" s="127"/>
      <c r="EU143" s="258">
        <v>56.09</v>
      </c>
      <c r="FB143" s="122">
        <v>45957</v>
      </c>
      <c r="FC143" s="123">
        <v>1307.1199999999999</v>
      </c>
      <c r="FD143" s="123">
        <v>251.21</v>
      </c>
      <c r="FE143" s="125"/>
      <c r="FF143" s="126"/>
    </row>
    <row r="144" spans="2:162" hidden="1" x14ac:dyDescent="0.25">
      <c r="B144" s="122">
        <v>45958</v>
      </c>
      <c r="C144" s="123">
        <v>11019.43</v>
      </c>
      <c r="D144" s="126"/>
      <c r="E144" s="125"/>
      <c r="F144" s="126">
        <v>43.22</v>
      </c>
      <c r="M144" s="122">
        <v>45958</v>
      </c>
      <c r="N144" s="123">
        <v>3140.08</v>
      </c>
      <c r="O144" s="125"/>
      <c r="P144" s="126">
        <v>12.95</v>
      </c>
      <c r="W144" s="122">
        <v>45958</v>
      </c>
      <c r="X144" s="123">
        <v>1579.64</v>
      </c>
      <c r="Y144" s="123">
        <v>344.3</v>
      </c>
      <c r="Z144" s="125"/>
      <c r="AA144" s="123">
        <v>3.92</v>
      </c>
      <c r="AI144" s="122">
        <v>45958</v>
      </c>
      <c r="AJ144" s="123">
        <v>1067.49</v>
      </c>
      <c r="AK144" s="125"/>
      <c r="AL144" s="126"/>
      <c r="AS144" s="122">
        <v>45958</v>
      </c>
      <c r="AT144" s="123">
        <v>2774.05</v>
      </c>
      <c r="AU144" s="125"/>
      <c r="AV144" s="128"/>
      <c r="BC144" s="122">
        <v>45958</v>
      </c>
      <c r="BD144" s="123">
        <v>3019.74</v>
      </c>
      <c r="BE144" s="125"/>
      <c r="BF144" s="128">
        <v>3.25</v>
      </c>
      <c r="BM144" s="122">
        <v>45958</v>
      </c>
      <c r="BN144" s="123">
        <v>12286.3</v>
      </c>
      <c r="BO144" s="123">
        <v>2151.0500000000002</v>
      </c>
      <c r="BP144" s="123">
        <v>8657.91</v>
      </c>
      <c r="BQ144" s="125"/>
      <c r="BR144" s="125"/>
      <c r="BY144" s="122">
        <v>45958</v>
      </c>
      <c r="BZ144" s="256">
        <v>694.96</v>
      </c>
      <c r="CA144" s="257">
        <v>642.04</v>
      </c>
      <c r="CB144" s="125"/>
      <c r="CC144" s="126"/>
      <c r="CJ144" s="122">
        <v>45958</v>
      </c>
      <c r="CK144" s="123">
        <v>4000.4</v>
      </c>
      <c r="CL144" s="123">
        <v>641.54</v>
      </c>
      <c r="CM144" s="125"/>
      <c r="CN144" s="126">
        <v>21.8</v>
      </c>
      <c r="CU144" s="122">
        <v>45958</v>
      </c>
      <c r="CV144" s="123">
        <v>10182.450000000001</v>
      </c>
      <c r="CW144" s="127">
        <v>826.74</v>
      </c>
      <c r="CX144" s="125"/>
      <c r="CY144" s="126">
        <v>59.58</v>
      </c>
      <c r="DH144" s="122">
        <v>45958</v>
      </c>
      <c r="DI144" s="123">
        <v>1626.73</v>
      </c>
      <c r="DJ144" s="127">
        <v>573.62</v>
      </c>
      <c r="DK144" s="127"/>
      <c r="DL144" s="127"/>
      <c r="DM144" s="126">
        <v>4</v>
      </c>
      <c r="DT144" s="122">
        <v>45958</v>
      </c>
      <c r="DU144" s="123">
        <v>1003.51</v>
      </c>
      <c r="DV144" s="127">
        <v>1451.8</v>
      </c>
      <c r="DW144" s="127"/>
      <c r="DX144" s="126">
        <v>41.26</v>
      </c>
      <c r="EE144" s="122">
        <v>45958</v>
      </c>
      <c r="EF144" s="123">
        <v>1234.6600000000001</v>
      </c>
      <c r="EG144" s="127">
        <v>662.12</v>
      </c>
      <c r="EH144" s="127"/>
      <c r="EI144" s="126">
        <v>12.63</v>
      </c>
      <c r="EQ144" s="122">
        <v>45958</v>
      </c>
      <c r="ER144" s="123">
        <v>8665.6200000000008</v>
      </c>
      <c r="ES144" s="259">
        <v>308.06</v>
      </c>
      <c r="ET144" s="127"/>
      <c r="EU144" s="258">
        <v>764.7</v>
      </c>
      <c r="FB144" s="122">
        <v>45958</v>
      </c>
      <c r="FC144" s="123">
        <v>1113.23</v>
      </c>
      <c r="FD144" s="123">
        <v>125</v>
      </c>
      <c r="FE144" s="125"/>
      <c r="FF144" s="126"/>
    </row>
    <row r="145" spans="2:167" hidden="1" x14ac:dyDescent="0.25">
      <c r="B145" s="122">
        <v>45959</v>
      </c>
      <c r="C145" s="123">
        <v>11558.89</v>
      </c>
      <c r="D145" s="125"/>
      <c r="E145" s="125"/>
      <c r="F145" s="125">
        <v>0</v>
      </c>
      <c r="M145" s="122">
        <v>45959</v>
      </c>
      <c r="N145" s="123">
        <v>2046.63</v>
      </c>
      <c r="O145" s="127"/>
      <c r="P145" s="261">
        <v>23.86</v>
      </c>
      <c r="W145" s="122">
        <v>45959</v>
      </c>
      <c r="X145" s="123">
        <v>1561.37</v>
      </c>
      <c r="Y145" s="123">
        <v>149.94</v>
      </c>
      <c r="Z145" s="125"/>
      <c r="AA145" s="123">
        <v>11.93</v>
      </c>
      <c r="AI145" s="122">
        <v>45959</v>
      </c>
      <c r="AJ145" s="123">
        <v>1405.37</v>
      </c>
      <c r="AK145" s="127"/>
      <c r="AL145" s="262"/>
      <c r="AS145" s="122">
        <v>45959</v>
      </c>
      <c r="AT145" s="123">
        <v>3784.57</v>
      </c>
      <c r="AU145" s="127"/>
      <c r="AV145" s="261"/>
      <c r="BC145" s="122">
        <v>45959</v>
      </c>
      <c r="BD145" s="123">
        <v>2737.14</v>
      </c>
      <c r="BE145" s="125"/>
      <c r="BF145" s="128">
        <v>0</v>
      </c>
      <c r="BM145" s="122">
        <v>45959</v>
      </c>
      <c r="BN145" s="123">
        <v>13653.68</v>
      </c>
      <c r="BO145" s="123">
        <v>3646.16</v>
      </c>
      <c r="BP145" s="123">
        <v>8656.76</v>
      </c>
      <c r="BQ145" s="125"/>
      <c r="BR145" s="125"/>
      <c r="BY145" s="122">
        <v>45959</v>
      </c>
      <c r="BZ145" s="256">
        <v>1498.24</v>
      </c>
      <c r="CA145" s="257">
        <v>687.52</v>
      </c>
      <c r="CB145" s="125"/>
      <c r="CC145" s="126"/>
      <c r="CJ145" s="122">
        <v>45959</v>
      </c>
      <c r="CK145" s="123">
        <v>4903.22</v>
      </c>
      <c r="CL145" s="123">
        <v>619.20000000000005</v>
      </c>
      <c r="CM145" s="125"/>
      <c r="CN145" s="126">
        <v>12.5</v>
      </c>
      <c r="CU145" s="122">
        <v>45959</v>
      </c>
      <c r="CV145" s="123">
        <v>5308.13</v>
      </c>
      <c r="CW145" s="127">
        <v>653.44000000000005</v>
      </c>
      <c r="CX145" s="125"/>
      <c r="CY145" s="126">
        <v>193.14</v>
      </c>
      <c r="DH145" s="122">
        <v>45959</v>
      </c>
      <c r="DI145" s="123">
        <v>1247.53</v>
      </c>
      <c r="DJ145" s="127">
        <v>362.37</v>
      </c>
      <c r="DK145" s="127"/>
      <c r="DL145" s="127"/>
      <c r="DM145" s="126">
        <v>4</v>
      </c>
      <c r="DT145" s="122">
        <v>45959</v>
      </c>
      <c r="DU145" s="123">
        <v>1621.18</v>
      </c>
      <c r="DV145" s="127">
        <v>1066.81</v>
      </c>
      <c r="DW145" s="127"/>
      <c r="DX145" s="126">
        <v>22.79</v>
      </c>
      <c r="EE145" s="122">
        <v>45959</v>
      </c>
      <c r="EF145" s="123">
        <v>1005.49</v>
      </c>
      <c r="EG145" s="127">
        <v>817.26</v>
      </c>
      <c r="EH145" s="127"/>
      <c r="EI145" s="126">
        <v>7.21</v>
      </c>
      <c r="EQ145" s="122">
        <v>45959</v>
      </c>
      <c r="ER145" s="123">
        <v>3530.9</v>
      </c>
      <c r="ES145" s="259">
        <v>433.58</v>
      </c>
      <c r="ET145" s="127"/>
      <c r="EU145" s="258">
        <v>383.51</v>
      </c>
      <c r="FB145" s="122">
        <v>45959</v>
      </c>
      <c r="FC145" s="123">
        <v>1052.76</v>
      </c>
      <c r="FD145" s="123">
        <v>181.2</v>
      </c>
      <c r="FE145" s="125"/>
      <c r="FF145" s="126"/>
    </row>
    <row r="146" spans="2:167" hidden="1" x14ac:dyDescent="0.25">
      <c r="B146" s="122">
        <v>45960</v>
      </c>
      <c r="C146" s="123">
        <v>11671.27</v>
      </c>
      <c r="D146" s="125"/>
      <c r="E146" s="125"/>
      <c r="F146" s="123">
        <v>51.49</v>
      </c>
      <c r="M146" s="122">
        <v>45960</v>
      </c>
      <c r="N146" s="123">
        <v>3034.87</v>
      </c>
      <c r="O146" s="127"/>
      <c r="P146" s="261">
        <v>12.1</v>
      </c>
      <c r="W146" s="122">
        <v>45960</v>
      </c>
      <c r="X146" s="123">
        <v>1740.64</v>
      </c>
      <c r="Y146" s="123">
        <v>214.15</v>
      </c>
      <c r="Z146" s="125"/>
      <c r="AA146" s="123">
        <v>6.8</v>
      </c>
      <c r="AI146" s="122">
        <v>45960</v>
      </c>
      <c r="AJ146" s="123">
        <v>1044.48</v>
      </c>
      <c r="AK146" s="127"/>
      <c r="AL146" s="262"/>
      <c r="AS146" s="122">
        <v>45960</v>
      </c>
      <c r="AT146" s="123">
        <v>3880.11</v>
      </c>
      <c r="AU146" s="127"/>
      <c r="AV146" s="261"/>
      <c r="BC146" s="122">
        <v>45960</v>
      </c>
      <c r="BD146" s="123">
        <v>2614.44</v>
      </c>
      <c r="BE146" s="125"/>
      <c r="BF146" s="128">
        <v>4.9400000000000004</v>
      </c>
      <c r="BM146" s="122">
        <v>45960</v>
      </c>
      <c r="BN146" s="123">
        <v>16656.39</v>
      </c>
      <c r="BO146" s="123">
        <v>2934.78</v>
      </c>
      <c r="BP146" s="123">
        <v>8867.2800000000007</v>
      </c>
      <c r="BQ146" s="125"/>
      <c r="BR146" s="125"/>
      <c r="BY146" s="122">
        <v>45960</v>
      </c>
      <c r="BZ146" s="256">
        <v>1106.9100000000001</v>
      </c>
      <c r="CA146" s="257">
        <v>792.33</v>
      </c>
      <c r="CB146" s="125"/>
      <c r="CC146" s="126"/>
      <c r="CJ146" s="122">
        <v>45960</v>
      </c>
      <c r="CK146" s="123">
        <v>6405.22</v>
      </c>
      <c r="CL146" s="123">
        <v>744.66</v>
      </c>
      <c r="CM146" s="125"/>
      <c r="CN146" s="126">
        <v>36.33</v>
      </c>
      <c r="CU146" s="122">
        <v>45960</v>
      </c>
      <c r="CV146" s="123">
        <v>10176.52</v>
      </c>
      <c r="CW146" s="127">
        <v>1013.52</v>
      </c>
      <c r="CX146" s="125"/>
      <c r="CY146" s="126">
        <v>108.15</v>
      </c>
      <c r="DH146" s="122">
        <v>45960</v>
      </c>
      <c r="DI146" s="123">
        <v>1915.06</v>
      </c>
      <c r="DJ146" s="127">
        <v>411.17</v>
      </c>
      <c r="DK146" s="127"/>
      <c r="DL146" s="127"/>
      <c r="DM146" s="126">
        <v>4</v>
      </c>
      <c r="DT146" s="122">
        <v>45960</v>
      </c>
      <c r="DU146" s="123">
        <v>1208.1199999999999</v>
      </c>
      <c r="DV146" s="127">
        <v>1106.45</v>
      </c>
      <c r="DW146" s="127"/>
      <c r="DX146" s="126">
        <v>37.270000000000003</v>
      </c>
      <c r="EE146" s="122">
        <v>45960</v>
      </c>
      <c r="EF146" s="123">
        <v>933.9</v>
      </c>
      <c r="EG146" s="127">
        <v>699.22</v>
      </c>
      <c r="EH146" s="127"/>
      <c r="EI146" s="126">
        <v>11.55</v>
      </c>
      <c r="EQ146" s="122">
        <v>45960</v>
      </c>
      <c r="ER146" s="123">
        <v>2059.12</v>
      </c>
      <c r="ES146" s="259">
        <v>323.13</v>
      </c>
      <c r="ET146" s="127"/>
      <c r="EU146" s="258">
        <v>0</v>
      </c>
      <c r="FB146" s="122">
        <v>45960</v>
      </c>
      <c r="FC146" s="123">
        <v>749.8</v>
      </c>
      <c r="FD146" s="123">
        <v>183.62</v>
      </c>
      <c r="FE146" s="125"/>
      <c r="FF146" s="126"/>
    </row>
    <row r="147" spans="2:167" hidden="1" x14ac:dyDescent="0.25">
      <c r="B147" s="122">
        <v>45961</v>
      </c>
      <c r="C147" s="123">
        <v>12558.2</v>
      </c>
      <c r="D147" s="125"/>
      <c r="E147" s="125"/>
      <c r="F147" s="125">
        <v>0</v>
      </c>
      <c r="M147" s="122">
        <v>45961</v>
      </c>
      <c r="N147" s="123">
        <v>2856.9</v>
      </c>
      <c r="O147" s="127"/>
      <c r="P147" s="261">
        <v>12.5</v>
      </c>
      <c r="W147" s="122">
        <v>45961</v>
      </c>
      <c r="X147" s="123">
        <v>2114.87</v>
      </c>
      <c r="Y147" s="123">
        <v>341.53</v>
      </c>
      <c r="Z147" s="125"/>
      <c r="AA147" s="123">
        <v>17.62</v>
      </c>
      <c r="AI147" s="122">
        <v>45961</v>
      </c>
      <c r="AJ147" s="123">
        <v>1498.58</v>
      </c>
      <c r="AK147" s="127"/>
      <c r="AL147" s="262"/>
      <c r="AS147" s="122">
        <v>45961</v>
      </c>
      <c r="AT147" s="123">
        <v>3849.05</v>
      </c>
      <c r="AU147" s="127"/>
      <c r="AV147" s="261"/>
      <c r="BC147" s="122">
        <v>45961</v>
      </c>
      <c r="BD147" s="123">
        <v>5274.65</v>
      </c>
      <c r="BE147" s="125"/>
      <c r="BF147" s="128">
        <v>0</v>
      </c>
      <c r="BM147" s="122">
        <v>45961</v>
      </c>
      <c r="BN147" s="123">
        <v>15226.93</v>
      </c>
      <c r="BO147" s="123">
        <v>3372.38</v>
      </c>
      <c r="BP147" s="123">
        <v>11237.45</v>
      </c>
      <c r="BQ147" s="125"/>
      <c r="BR147" s="125"/>
      <c r="BY147" s="122">
        <v>45961</v>
      </c>
      <c r="BZ147" s="256">
        <v>979.39</v>
      </c>
      <c r="CA147" s="257">
        <v>737.49</v>
      </c>
      <c r="CB147" s="125"/>
      <c r="CC147" s="126"/>
      <c r="CJ147" s="122">
        <v>45961</v>
      </c>
      <c r="CK147" s="123">
        <v>4186.71</v>
      </c>
      <c r="CL147" s="123">
        <v>869.8</v>
      </c>
      <c r="CM147" s="125"/>
      <c r="CN147" s="126">
        <v>0</v>
      </c>
      <c r="CU147" s="122">
        <v>45961</v>
      </c>
      <c r="CV147" s="123">
        <v>10796.18</v>
      </c>
      <c r="CW147" s="127">
        <v>845.27</v>
      </c>
      <c r="CX147" s="125"/>
      <c r="CY147" s="126">
        <v>106.29</v>
      </c>
      <c r="DH147" s="122">
        <v>45961</v>
      </c>
      <c r="DI147" s="123">
        <v>2026.63</v>
      </c>
      <c r="DJ147" s="127">
        <v>628.72</v>
      </c>
      <c r="DK147" s="127"/>
      <c r="DL147" s="127"/>
      <c r="DM147" s="126">
        <v>4</v>
      </c>
      <c r="DT147" s="122">
        <v>45961</v>
      </c>
      <c r="DU147" s="123">
        <v>1536.92</v>
      </c>
      <c r="DV147" s="127">
        <v>1044.42</v>
      </c>
      <c r="DW147" s="127"/>
      <c r="DX147" s="126">
        <v>29.73</v>
      </c>
      <c r="EE147" s="122">
        <v>45961</v>
      </c>
      <c r="EF147" s="123">
        <v>919.02</v>
      </c>
      <c r="EG147" s="127">
        <v>924.57</v>
      </c>
      <c r="EH147" s="127"/>
      <c r="EI147" s="126">
        <v>11.32</v>
      </c>
      <c r="EQ147" s="122">
        <v>45961</v>
      </c>
      <c r="ER147" s="123">
        <v>3810.32</v>
      </c>
      <c r="ES147" s="263">
        <v>512.57000000000005</v>
      </c>
      <c r="ET147" s="127"/>
      <c r="EU147" s="258">
        <v>122.01</v>
      </c>
      <c r="FB147" s="122">
        <v>45961</v>
      </c>
      <c r="FC147" s="123">
        <v>814</v>
      </c>
      <c r="FD147" s="123">
        <v>253.5</v>
      </c>
      <c r="FE147" s="125"/>
      <c r="FF147" s="126"/>
    </row>
    <row r="148" spans="2:167" hidden="1" x14ac:dyDescent="0.25">
      <c r="B148" s="32"/>
      <c r="C148" s="129">
        <f>SUM(C117:C147)</f>
        <v>356368.74</v>
      </c>
      <c r="D148" s="129">
        <f>SUM(D117:D147)</f>
        <v>0</v>
      </c>
      <c r="E148" s="32"/>
      <c r="F148" s="129">
        <f>SUM(F117:F147)</f>
        <v>1103.0999999999999</v>
      </c>
      <c r="M148" s="32"/>
      <c r="N148" s="129">
        <f>SUM(N117:N147)</f>
        <v>90513.499999999985</v>
      </c>
      <c r="O148" s="129"/>
      <c r="P148" s="129">
        <f>SUM(P117:P147)</f>
        <v>729.1600000000002</v>
      </c>
      <c r="W148" s="32"/>
      <c r="X148" s="129">
        <f>SUM(X117:X147)</f>
        <v>40476.840000000004</v>
      </c>
      <c r="Y148" s="129">
        <f>SUM(Y117:Y147)</f>
        <v>7197.3799999999992</v>
      </c>
      <c r="Z148" s="32"/>
      <c r="AA148" s="129">
        <f>SUM(AA117:AA146)</f>
        <v>329.82000000000005</v>
      </c>
      <c r="AI148" s="32"/>
      <c r="AJ148" s="129">
        <f>SUM(AJ117:AJ147)</f>
        <v>43032.290000000015</v>
      </c>
      <c r="AK148" s="32"/>
      <c r="AL148" s="32"/>
      <c r="AS148" s="32"/>
      <c r="AT148" s="129">
        <f>SUM(AT117:AT147)</f>
        <v>104901.3</v>
      </c>
      <c r="AU148" s="32"/>
      <c r="AV148" s="129">
        <f>SUM(AV117:AV147)</f>
        <v>0</v>
      </c>
      <c r="BC148" s="32"/>
      <c r="BD148" s="129">
        <f>SUM(BD117:BD147)</f>
        <v>76840.639999999985</v>
      </c>
      <c r="BE148" s="32"/>
      <c r="BF148" s="129">
        <f>SUM(BF117:BF147)</f>
        <v>56.85</v>
      </c>
      <c r="BM148" s="32"/>
      <c r="BN148" s="129">
        <f>SUM(BN117:BN147)</f>
        <v>381079.87000000005</v>
      </c>
      <c r="BO148" s="129">
        <f>SUM(BO117:BO147)</f>
        <v>79732.509999999995</v>
      </c>
      <c r="BP148" s="129">
        <f>SUM(BP117:BP147)</f>
        <v>257323.2</v>
      </c>
      <c r="BQ148" s="129">
        <f>SUM(BQ117:BQ147)</f>
        <v>0</v>
      </c>
      <c r="BR148" s="129">
        <f>SUM(BR117:BR147)</f>
        <v>0</v>
      </c>
      <c r="BY148" s="32"/>
      <c r="BZ148" s="129">
        <f>SUM(BZ117:BZ147)</f>
        <v>38345.120000000003</v>
      </c>
      <c r="CA148" s="129">
        <f>SUM(CA117:CA147)</f>
        <v>20883.170000000006</v>
      </c>
      <c r="CB148" s="32"/>
      <c r="CC148" s="129"/>
      <c r="CJ148" s="32"/>
      <c r="CK148" s="129">
        <f>SUM(CK117:CK147)</f>
        <v>193553</v>
      </c>
      <c r="CL148" s="129">
        <f>SUM(CL117:CL147)</f>
        <v>23709.309999999998</v>
      </c>
      <c r="CM148" s="32"/>
      <c r="CN148" s="129">
        <f>SUM(CN117:CN147)</f>
        <v>967.03999999999985</v>
      </c>
      <c r="CU148" s="32"/>
      <c r="CV148" s="129">
        <f>SUM(CV117:CV147)</f>
        <v>233124.97</v>
      </c>
      <c r="CW148" s="129">
        <f>SUM(CW117:CW147)</f>
        <v>25263.780000000002</v>
      </c>
      <c r="CX148" s="32"/>
      <c r="CY148" s="129">
        <f>SUM(CY117:CY147)</f>
        <v>4295.619999999999</v>
      </c>
      <c r="DH148" s="32"/>
      <c r="DI148" s="129">
        <f>SUM(DI117:DI147)</f>
        <v>50655.169999999991</v>
      </c>
      <c r="DJ148" s="129">
        <f>SUM(DJ117:DJ147)</f>
        <v>11692.740000000002</v>
      </c>
      <c r="DK148" s="129"/>
      <c r="DL148" s="32"/>
      <c r="DM148" s="129">
        <f>SUM(DM117:DM147)</f>
        <v>141.60000000000002</v>
      </c>
      <c r="DT148" s="32"/>
      <c r="DU148" s="264">
        <f>SUM(DU117:DU147)</f>
        <v>48508.110000000008</v>
      </c>
      <c r="DV148" s="129">
        <f>SUM(DV117:DV147)</f>
        <v>37216.099999999991</v>
      </c>
      <c r="DW148" s="32"/>
      <c r="DX148" s="264">
        <f>SUM(DX117:DX147)</f>
        <v>965.8599999999999</v>
      </c>
      <c r="EE148" s="32"/>
      <c r="EF148" s="129">
        <f>SUM(EF117:EF147)</f>
        <v>26951.59</v>
      </c>
      <c r="EG148" s="129">
        <f>SUM(EG117:EG147)</f>
        <v>22461.589999999997</v>
      </c>
      <c r="EH148" s="32"/>
      <c r="EI148" s="129">
        <f>SUM(EI117:EI147)</f>
        <v>407.40999999999997</v>
      </c>
      <c r="EQ148" s="265"/>
      <c r="ER148" s="129">
        <f>SUM(ER117:ER147)</f>
        <v>108678.98</v>
      </c>
      <c r="ES148" s="129">
        <f>SUM(ES117:ES147)</f>
        <v>9527.9399999999987</v>
      </c>
      <c r="ET148" s="32"/>
      <c r="EU148" s="129">
        <f>SUM(EU117:EU147)</f>
        <v>3710.62</v>
      </c>
      <c r="FB148" s="32"/>
      <c r="FC148" s="129">
        <f>SUM(FC117:FC147)</f>
        <v>24080.979999999996</v>
      </c>
      <c r="FD148" s="129">
        <f>SUM(FD117:FD147)</f>
        <v>5780.5099999999993</v>
      </c>
      <c r="FE148" s="32"/>
      <c r="FF148" s="129">
        <f>SUM(FF117:FF147)</f>
        <v>0</v>
      </c>
    </row>
    <row r="149" spans="2:167" hidden="1" x14ac:dyDescent="0.25"/>
    <row r="150" spans="2:167" hidden="1" x14ac:dyDescent="0.25"/>
    <row r="151" spans="2:167" hidden="1" x14ac:dyDescent="0.25">
      <c r="B151" s="119" t="s">
        <v>14</v>
      </c>
      <c r="C151" s="120" t="s">
        <v>15</v>
      </c>
      <c r="D151" s="120" t="s">
        <v>15</v>
      </c>
      <c r="E151" s="121" t="s">
        <v>16</v>
      </c>
      <c r="F151" s="121" t="s">
        <v>16</v>
      </c>
      <c r="H151" s="134" t="s">
        <v>16</v>
      </c>
      <c r="I151" s="135" t="s">
        <v>16</v>
      </c>
      <c r="J151" s="136" t="s">
        <v>16</v>
      </c>
      <c r="K151" s="10" t="s">
        <v>17</v>
      </c>
      <c r="M151" s="119" t="s">
        <v>14</v>
      </c>
      <c r="N151" s="120" t="s">
        <v>15</v>
      </c>
      <c r="O151" s="120" t="s">
        <v>15</v>
      </c>
      <c r="P151" s="121" t="s">
        <v>16</v>
      </c>
      <c r="R151" s="134" t="s">
        <v>16</v>
      </c>
      <c r="S151" s="135" t="s">
        <v>16</v>
      </c>
      <c r="T151" s="136" t="s">
        <v>16</v>
      </c>
      <c r="U151" s="10" t="s">
        <v>17</v>
      </c>
      <c r="W151" s="119" t="s">
        <v>14</v>
      </c>
      <c r="X151" s="120" t="s">
        <v>15</v>
      </c>
      <c r="Y151" s="120" t="s">
        <v>15</v>
      </c>
      <c r="Z151" s="121" t="s">
        <v>16</v>
      </c>
      <c r="AA151" s="121" t="s">
        <v>16</v>
      </c>
      <c r="AC151" s="134" t="s">
        <v>16</v>
      </c>
      <c r="AD151" s="135" t="s">
        <v>16</v>
      </c>
      <c r="AE151" s="136" t="s">
        <v>16</v>
      </c>
      <c r="AF151" s="10" t="s">
        <v>17</v>
      </c>
      <c r="AI151" s="119" t="s">
        <v>14</v>
      </c>
      <c r="AJ151" s="120" t="s">
        <v>15</v>
      </c>
      <c r="AK151" s="120" t="s">
        <v>15</v>
      </c>
      <c r="AL151" s="121" t="s">
        <v>16</v>
      </c>
      <c r="AN151" s="134" t="s">
        <v>16</v>
      </c>
      <c r="AO151" s="135" t="s">
        <v>16</v>
      </c>
      <c r="AP151" s="136" t="s">
        <v>16</v>
      </c>
      <c r="AQ151" s="10" t="s">
        <v>17</v>
      </c>
      <c r="AS151" s="119" t="s">
        <v>14</v>
      </c>
      <c r="AT151" s="120" t="s">
        <v>15</v>
      </c>
      <c r="AU151" s="120" t="s">
        <v>15</v>
      </c>
      <c r="AV151" s="121" t="s">
        <v>16</v>
      </c>
      <c r="AX151" s="134" t="s">
        <v>16</v>
      </c>
      <c r="AY151" s="135" t="s">
        <v>16</v>
      </c>
      <c r="AZ151" s="136" t="s">
        <v>16</v>
      </c>
      <c r="BA151" s="10" t="s">
        <v>17</v>
      </c>
      <c r="BC151" s="119" t="s">
        <v>14</v>
      </c>
      <c r="BD151" s="120" t="s">
        <v>15</v>
      </c>
      <c r="BE151" s="120" t="s">
        <v>15</v>
      </c>
      <c r="BF151" s="121" t="s">
        <v>16</v>
      </c>
      <c r="BH151" s="134" t="s">
        <v>16</v>
      </c>
      <c r="BI151" s="135" t="s">
        <v>16</v>
      </c>
      <c r="BJ151" s="136" t="s">
        <v>16</v>
      </c>
      <c r="BK151" s="10" t="s">
        <v>17</v>
      </c>
      <c r="BM151" s="119" t="s">
        <v>14</v>
      </c>
      <c r="BN151" s="120" t="s">
        <v>15</v>
      </c>
      <c r="BO151" s="120" t="s">
        <v>15</v>
      </c>
      <c r="BP151" s="120" t="s">
        <v>15</v>
      </c>
      <c r="BQ151" s="121" t="s">
        <v>16</v>
      </c>
      <c r="BR151" s="121" t="s">
        <v>16</v>
      </c>
      <c r="BT151" s="134" t="s">
        <v>16</v>
      </c>
      <c r="BU151" s="135" t="s">
        <v>16</v>
      </c>
      <c r="BV151" s="136" t="s">
        <v>16</v>
      </c>
      <c r="BW151" s="10" t="s">
        <v>17</v>
      </c>
      <c r="BY151" s="119" t="s">
        <v>14</v>
      </c>
      <c r="BZ151" s="252" t="s">
        <v>15</v>
      </c>
      <c r="CA151" s="253" t="s">
        <v>15</v>
      </c>
      <c r="CB151" s="121" t="s">
        <v>16</v>
      </c>
      <c r="CC151" s="121" t="s">
        <v>16</v>
      </c>
      <c r="CE151" s="134" t="s">
        <v>16</v>
      </c>
      <c r="CF151" s="135" t="s">
        <v>16</v>
      </c>
      <c r="CG151" s="136" t="s">
        <v>16</v>
      </c>
      <c r="CH151" s="10" t="s">
        <v>17</v>
      </c>
      <c r="CJ151" s="119" t="s">
        <v>14</v>
      </c>
      <c r="CK151" s="120" t="s">
        <v>15</v>
      </c>
      <c r="CL151" s="120" t="s">
        <v>15</v>
      </c>
      <c r="CM151" s="121" t="s">
        <v>16</v>
      </c>
      <c r="CN151" s="121" t="s">
        <v>16</v>
      </c>
      <c r="CP151" s="134" t="s">
        <v>16</v>
      </c>
      <c r="CQ151" s="135" t="s">
        <v>16</v>
      </c>
      <c r="CR151" s="136" t="s">
        <v>16</v>
      </c>
      <c r="CS151" s="10" t="s">
        <v>17</v>
      </c>
      <c r="CU151" s="119" t="s">
        <v>14</v>
      </c>
      <c r="CV151" s="120" t="s">
        <v>15</v>
      </c>
      <c r="CW151" s="120" t="s">
        <v>15</v>
      </c>
      <c r="CX151" s="121" t="s">
        <v>16</v>
      </c>
      <c r="CY151" s="121" t="s">
        <v>16</v>
      </c>
      <c r="DA151" s="134" t="s">
        <v>16</v>
      </c>
      <c r="DB151" s="134"/>
      <c r="DC151" s="135" t="s">
        <v>16</v>
      </c>
      <c r="DD151" s="136" t="s">
        <v>16</v>
      </c>
      <c r="DE151" s="10" t="s">
        <v>17</v>
      </c>
      <c r="DH151" s="119" t="s">
        <v>14</v>
      </c>
      <c r="DI151" s="120" t="s">
        <v>15</v>
      </c>
      <c r="DJ151" s="120" t="s">
        <v>15</v>
      </c>
      <c r="DK151" s="120" t="s">
        <v>15</v>
      </c>
      <c r="DL151" s="121" t="s">
        <v>16</v>
      </c>
      <c r="DM151" s="121" t="s">
        <v>16</v>
      </c>
      <c r="DO151" s="134" t="s">
        <v>16</v>
      </c>
      <c r="DP151" s="135" t="s">
        <v>16</v>
      </c>
      <c r="DQ151" s="136" t="s">
        <v>16</v>
      </c>
      <c r="DR151" s="10" t="s">
        <v>17</v>
      </c>
      <c r="DT151" s="119" t="s">
        <v>14</v>
      </c>
      <c r="DU151" s="120" t="s">
        <v>15</v>
      </c>
      <c r="DV151" s="120" t="s">
        <v>15</v>
      </c>
      <c r="DW151" s="121" t="s">
        <v>16</v>
      </c>
      <c r="DX151" s="121" t="s">
        <v>16</v>
      </c>
      <c r="DZ151" s="134" t="s">
        <v>16</v>
      </c>
      <c r="EA151" s="135" t="s">
        <v>16</v>
      </c>
      <c r="EB151" s="136" t="s">
        <v>16</v>
      </c>
      <c r="EC151" s="10" t="s">
        <v>17</v>
      </c>
      <c r="EE151" s="119" t="s">
        <v>14</v>
      </c>
      <c r="EF151" s="120" t="s">
        <v>15</v>
      </c>
      <c r="EG151" s="252" t="s">
        <v>15</v>
      </c>
      <c r="EH151" s="121" t="s">
        <v>16</v>
      </c>
      <c r="EI151" s="121" t="s">
        <v>16</v>
      </c>
      <c r="EK151" s="134" t="s">
        <v>16</v>
      </c>
      <c r="EL151" s="134"/>
      <c r="EM151" s="135" t="s">
        <v>16</v>
      </c>
      <c r="EN151" s="136" t="s">
        <v>16</v>
      </c>
      <c r="EO151" s="10" t="s">
        <v>17</v>
      </c>
      <c r="EQ151" s="119" t="s">
        <v>14</v>
      </c>
      <c r="ER151" s="120" t="s">
        <v>15</v>
      </c>
      <c r="ES151" s="120" t="s">
        <v>15</v>
      </c>
      <c r="ET151" s="121" t="s">
        <v>16</v>
      </c>
      <c r="EU151" s="121" t="s">
        <v>16</v>
      </c>
      <c r="EW151" s="134" t="s">
        <v>16</v>
      </c>
      <c r="EX151" s="135" t="s">
        <v>16</v>
      </c>
      <c r="EY151" s="136" t="s">
        <v>16</v>
      </c>
      <c r="EZ151" s="10" t="s">
        <v>17</v>
      </c>
      <c r="FB151" s="119" t="s">
        <v>14</v>
      </c>
      <c r="FC151" s="120" t="s">
        <v>15</v>
      </c>
      <c r="FD151" s="120" t="s">
        <v>15</v>
      </c>
      <c r="FE151" s="121" t="s">
        <v>16</v>
      </c>
      <c r="FF151" s="121" t="s">
        <v>16</v>
      </c>
      <c r="FH151" s="134" t="s">
        <v>16</v>
      </c>
      <c r="FI151" s="135" t="s">
        <v>16</v>
      </c>
      <c r="FJ151" s="136" t="s">
        <v>16</v>
      </c>
      <c r="FK151" s="10" t="s">
        <v>17</v>
      </c>
    </row>
    <row r="152" spans="2:167" ht="15.75" hidden="1" thickBot="1" x14ac:dyDescent="0.3">
      <c r="B152" s="119"/>
      <c r="C152" s="120" t="s">
        <v>18</v>
      </c>
      <c r="D152" s="120" t="s">
        <v>19</v>
      </c>
      <c r="E152" s="121" t="s">
        <v>19</v>
      </c>
      <c r="F152" s="121" t="s">
        <v>25</v>
      </c>
      <c r="H152" s="145" t="s">
        <v>21</v>
      </c>
      <c r="I152" s="146" t="s">
        <v>22</v>
      </c>
      <c r="J152" s="147" t="s">
        <v>23</v>
      </c>
      <c r="K152" s="148" t="s">
        <v>24</v>
      </c>
      <c r="M152" s="119"/>
      <c r="N152" s="120" t="s">
        <v>18</v>
      </c>
      <c r="O152" s="120" t="s">
        <v>19</v>
      </c>
      <c r="P152" s="121" t="s">
        <v>25</v>
      </c>
      <c r="R152" s="145" t="s">
        <v>21</v>
      </c>
      <c r="S152" s="146" t="s">
        <v>22</v>
      </c>
      <c r="T152" s="147" t="s">
        <v>23</v>
      </c>
      <c r="U152" s="148" t="s">
        <v>24</v>
      </c>
      <c r="W152" s="119"/>
      <c r="X152" s="120" t="s">
        <v>18</v>
      </c>
      <c r="Y152" s="120" t="s">
        <v>19</v>
      </c>
      <c r="Z152" s="121" t="s">
        <v>19</v>
      </c>
      <c r="AA152" s="121" t="s">
        <v>25</v>
      </c>
      <c r="AC152" s="145" t="s">
        <v>21</v>
      </c>
      <c r="AD152" s="146" t="s">
        <v>22</v>
      </c>
      <c r="AE152" s="147" t="s">
        <v>23</v>
      </c>
      <c r="AF152" s="148" t="s">
        <v>24</v>
      </c>
      <c r="AI152" s="119"/>
      <c r="AJ152" s="120" t="s">
        <v>18</v>
      </c>
      <c r="AK152" s="120" t="s">
        <v>19</v>
      </c>
      <c r="AL152" s="121" t="s">
        <v>25</v>
      </c>
      <c r="AN152" s="145" t="s">
        <v>21</v>
      </c>
      <c r="AO152" s="146" t="s">
        <v>22</v>
      </c>
      <c r="AP152" s="147" t="s">
        <v>23</v>
      </c>
      <c r="AQ152" s="148" t="s">
        <v>24</v>
      </c>
      <c r="AS152" s="119"/>
      <c r="AT152" s="120" t="s">
        <v>18</v>
      </c>
      <c r="AU152" s="120" t="s">
        <v>19</v>
      </c>
      <c r="AV152" s="121" t="s">
        <v>25</v>
      </c>
      <c r="AX152" s="145" t="s">
        <v>21</v>
      </c>
      <c r="AY152" s="146" t="s">
        <v>22</v>
      </c>
      <c r="AZ152" s="147" t="s">
        <v>23</v>
      </c>
      <c r="BA152" s="148" t="s">
        <v>24</v>
      </c>
      <c r="BC152" s="119"/>
      <c r="BD152" s="120" t="s">
        <v>18</v>
      </c>
      <c r="BE152" s="120" t="s">
        <v>19</v>
      </c>
      <c r="BF152" s="121" t="s">
        <v>25</v>
      </c>
      <c r="BH152" s="145" t="s">
        <v>21</v>
      </c>
      <c r="BI152" s="146" t="s">
        <v>22</v>
      </c>
      <c r="BJ152" s="147" t="s">
        <v>23</v>
      </c>
      <c r="BK152" s="148" t="s">
        <v>24</v>
      </c>
      <c r="BM152" s="119"/>
      <c r="BN152" s="120" t="s">
        <v>18</v>
      </c>
      <c r="BO152" s="120" t="s">
        <v>19</v>
      </c>
      <c r="BP152" s="120" t="s">
        <v>20</v>
      </c>
      <c r="BQ152" s="121" t="s">
        <v>19</v>
      </c>
      <c r="BR152" s="121" t="s">
        <v>25</v>
      </c>
      <c r="BT152" s="145" t="s">
        <v>21</v>
      </c>
      <c r="BU152" s="146" t="s">
        <v>22</v>
      </c>
      <c r="BV152" s="147" t="s">
        <v>23</v>
      </c>
      <c r="BW152" s="148" t="s">
        <v>24</v>
      </c>
      <c r="BY152" s="119"/>
      <c r="BZ152" s="252" t="s">
        <v>18</v>
      </c>
      <c r="CA152" s="253" t="s">
        <v>19</v>
      </c>
      <c r="CB152" s="121" t="s">
        <v>19</v>
      </c>
      <c r="CC152" s="121" t="s">
        <v>25</v>
      </c>
      <c r="CE152" s="145" t="s">
        <v>21</v>
      </c>
      <c r="CF152" s="146" t="s">
        <v>22</v>
      </c>
      <c r="CG152" s="147" t="s">
        <v>23</v>
      </c>
      <c r="CH152" s="148" t="s">
        <v>24</v>
      </c>
      <c r="CJ152" s="119"/>
      <c r="CK152" s="120" t="s">
        <v>18</v>
      </c>
      <c r="CL152" s="120" t="s">
        <v>19</v>
      </c>
      <c r="CM152" s="121" t="s">
        <v>19</v>
      </c>
      <c r="CN152" s="121" t="s">
        <v>25</v>
      </c>
      <c r="CP152" s="145" t="s">
        <v>21</v>
      </c>
      <c r="CQ152" s="146" t="s">
        <v>22</v>
      </c>
      <c r="CR152" s="147" t="s">
        <v>23</v>
      </c>
      <c r="CS152" s="148" t="s">
        <v>24</v>
      </c>
      <c r="CU152" s="119"/>
      <c r="CV152" s="120" t="s">
        <v>18</v>
      </c>
      <c r="CW152" s="120" t="s">
        <v>19</v>
      </c>
      <c r="CX152" s="121" t="s">
        <v>19</v>
      </c>
      <c r="CY152" s="121" t="s">
        <v>25</v>
      </c>
      <c r="DA152" s="145" t="s">
        <v>21</v>
      </c>
      <c r="DB152" s="145"/>
      <c r="DC152" s="146" t="s">
        <v>22</v>
      </c>
      <c r="DD152" s="147" t="s">
        <v>23</v>
      </c>
      <c r="DE152" s="148" t="s">
        <v>24</v>
      </c>
      <c r="DH152" s="119"/>
      <c r="DI152" s="120" t="s">
        <v>18</v>
      </c>
      <c r="DJ152" s="120" t="s">
        <v>19</v>
      </c>
      <c r="DK152" s="120" t="s">
        <v>20</v>
      </c>
      <c r="DL152" s="121" t="s">
        <v>19</v>
      </c>
      <c r="DM152" s="121" t="s">
        <v>25</v>
      </c>
      <c r="DO152" s="145" t="s">
        <v>21</v>
      </c>
      <c r="DP152" s="146" t="s">
        <v>22</v>
      </c>
      <c r="DQ152" s="147" t="s">
        <v>23</v>
      </c>
      <c r="DR152" s="148" t="s">
        <v>24</v>
      </c>
      <c r="DT152" s="119"/>
      <c r="DU152" s="120" t="s">
        <v>18</v>
      </c>
      <c r="DV152" s="120" t="s">
        <v>19</v>
      </c>
      <c r="DW152" s="121" t="s">
        <v>19</v>
      </c>
      <c r="DX152" s="121" t="s">
        <v>25</v>
      </c>
      <c r="DZ152" s="145" t="s">
        <v>21</v>
      </c>
      <c r="EA152" s="146" t="s">
        <v>22</v>
      </c>
      <c r="EB152" s="147" t="s">
        <v>23</v>
      </c>
      <c r="EC152" s="148" t="s">
        <v>24</v>
      </c>
      <c r="EE152" s="119"/>
      <c r="EF152" s="120" t="s">
        <v>18</v>
      </c>
      <c r="EG152" s="252" t="s">
        <v>19</v>
      </c>
      <c r="EH152" s="121" t="s">
        <v>19</v>
      </c>
      <c r="EI152" s="121" t="s">
        <v>25</v>
      </c>
      <c r="EK152" s="145" t="s">
        <v>21</v>
      </c>
      <c r="EL152" s="145"/>
      <c r="EM152" s="146" t="s">
        <v>22</v>
      </c>
      <c r="EN152" s="147" t="s">
        <v>23</v>
      </c>
      <c r="EO152" s="148" t="s">
        <v>24</v>
      </c>
      <c r="EQ152" s="119"/>
      <c r="ER152" s="120" t="s">
        <v>18</v>
      </c>
      <c r="ES152" s="120" t="s">
        <v>19</v>
      </c>
      <c r="ET152" s="121" t="s">
        <v>19</v>
      </c>
      <c r="EU152" s="121" t="s">
        <v>25</v>
      </c>
      <c r="EW152" s="145" t="s">
        <v>21</v>
      </c>
      <c r="EX152" s="146" t="s">
        <v>22</v>
      </c>
      <c r="EY152" s="147" t="s">
        <v>23</v>
      </c>
      <c r="EZ152" s="148" t="s">
        <v>24</v>
      </c>
      <c r="FB152" s="119"/>
      <c r="FC152" s="254" t="s">
        <v>18</v>
      </c>
      <c r="FD152" s="254" t="s">
        <v>19</v>
      </c>
      <c r="FE152" s="255" t="s">
        <v>19</v>
      </c>
      <c r="FF152" s="255" t="s">
        <v>25</v>
      </c>
      <c r="FH152" s="145" t="s">
        <v>21</v>
      </c>
      <c r="FI152" s="146" t="s">
        <v>22</v>
      </c>
      <c r="FJ152" s="147" t="s">
        <v>23</v>
      </c>
      <c r="FK152" s="148" t="s">
        <v>24</v>
      </c>
    </row>
    <row r="153" spans="2:167" hidden="1" x14ac:dyDescent="0.25">
      <c r="B153" s="122">
        <v>45962</v>
      </c>
      <c r="C153" s="123">
        <v>13129.9</v>
      </c>
      <c r="D153" s="126"/>
      <c r="E153" s="125"/>
      <c r="F153" s="126">
        <v>0</v>
      </c>
      <c r="H153" s="28"/>
      <c r="I153" s="30"/>
      <c r="J153" s="29"/>
      <c r="K153" s="30">
        <f>SUM(F153:J153)</f>
        <v>0</v>
      </c>
      <c r="M153" s="122">
        <v>45962</v>
      </c>
      <c r="N153" s="123">
        <v>3347.1</v>
      </c>
      <c r="O153" s="125"/>
      <c r="P153" s="126">
        <v>15.51</v>
      </c>
      <c r="R153" s="239"/>
      <c r="S153" s="29"/>
      <c r="T153" s="29"/>
      <c r="U153" s="30">
        <f>SUM(P153:T153)</f>
        <v>15.51</v>
      </c>
      <c r="W153" s="122">
        <v>45962</v>
      </c>
      <c r="X153" s="123">
        <v>2136.39</v>
      </c>
      <c r="Y153" s="123">
        <v>400.8</v>
      </c>
      <c r="Z153" s="125"/>
      <c r="AA153" s="123">
        <v>0</v>
      </c>
      <c r="AC153" s="239">
        <v>85.494869999999992</v>
      </c>
      <c r="AD153" s="30"/>
      <c r="AE153" s="29"/>
      <c r="AF153" s="30">
        <f>SUM(AA153:AE153)</f>
        <v>85.494869999999992</v>
      </c>
      <c r="AI153" s="122">
        <v>45962</v>
      </c>
      <c r="AJ153" s="123">
        <v>1537.77</v>
      </c>
      <c r="AK153" s="125"/>
      <c r="AL153" s="126"/>
      <c r="AN153" s="28"/>
      <c r="AO153" s="29"/>
      <c r="AP153" s="29"/>
      <c r="AQ153" s="30">
        <f>SUM(AL153:AP153)</f>
        <v>0</v>
      </c>
      <c r="AS153" s="122">
        <v>45962</v>
      </c>
      <c r="AT153" s="123">
        <v>4363.5</v>
      </c>
      <c r="AU153" s="125"/>
      <c r="AV153" s="128"/>
      <c r="AX153" s="28"/>
      <c r="AY153" s="29"/>
      <c r="AZ153" s="29"/>
      <c r="BA153" s="30">
        <f>SUM(AV153:AZ153)</f>
        <v>0</v>
      </c>
      <c r="BC153" s="122">
        <v>45962</v>
      </c>
      <c r="BD153" s="123">
        <v>2248.04</v>
      </c>
      <c r="BE153" s="125"/>
      <c r="BF153" s="128">
        <v>0</v>
      </c>
      <c r="BH153" s="239">
        <v>19.167650000000009</v>
      </c>
      <c r="BI153" s="29"/>
      <c r="BJ153" s="29"/>
      <c r="BK153" s="30">
        <f>SUM(BF153:BJ153)</f>
        <v>19.167650000000009</v>
      </c>
      <c r="BM153" s="122">
        <v>45962</v>
      </c>
      <c r="BN153" s="123">
        <v>11519.71</v>
      </c>
      <c r="BO153" s="123">
        <v>2446.8000000000002</v>
      </c>
      <c r="BP153" s="123">
        <v>6721.06</v>
      </c>
      <c r="BQ153" s="125"/>
      <c r="BR153" s="125"/>
      <c r="BT153" s="239">
        <v>216.39684424792281</v>
      </c>
      <c r="BU153" s="30">
        <v>55.484797200000031</v>
      </c>
      <c r="BV153" s="30"/>
      <c r="BW153" s="30">
        <f t="shared" ref="BW153:BW182" si="54">SUM(BR153:BV153)</f>
        <v>271.88164144792285</v>
      </c>
      <c r="BY153" s="122">
        <v>45962</v>
      </c>
      <c r="BZ153" s="256">
        <v>593.29</v>
      </c>
      <c r="CA153" s="257">
        <v>881.39</v>
      </c>
      <c r="CB153" s="125"/>
      <c r="CC153" s="126"/>
      <c r="CE153" s="28"/>
      <c r="CF153" s="29"/>
      <c r="CG153" s="29"/>
      <c r="CH153" s="30">
        <f>SUM(CC153:CG153)</f>
        <v>0</v>
      </c>
      <c r="CJ153" s="122">
        <v>45962</v>
      </c>
      <c r="CK153" s="123">
        <v>4826.32</v>
      </c>
      <c r="CL153" s="123">
        <v>639.82000000000005</v>
      </c>
      <c r="CM153" s="125"/>
      <c r="CN153" s="126">
        <v>23.08</v>
      </c>
      <c r="CP153" s="239"/>
      <c r="CQ153" s="29">
        <v>205.1400000000001</v>
      </c>
      <c r="CR153" s="29"/>
      <c r="CS153" s="30">
        <f>SUM(CN153:CR153)</f>
        <v>228.22000000000008</v>
      </c>
      <c r="CU153" s="122">
        <v>45962</v>
      </c>
      <c r="CV153" s="123">
        <v>3102.56</v>
      </c>
      <c r="CW153" s="124">
        <v>778.74</v>
      </c>
      <c r="CX153" s="125"/>
      <c r="CY153" s="126">
        <v>105.6</v>
      </c>
      <c r="DA153" s="239"/>
      <c r="DB153" s="402"/>
      <c r="DC153" s="29"/>
      <c r="DD153" s="29"/>
      <c r="DE153" s="30">
        <f>SUM(CY153:DD153)</f>
        <v>105.6</v>
      </c>
      <c r="DH153" s="122">
        <v>45962</v>
      </c>
      <c r="DI153" s="123">
        <v>1009.51</v>
      </c>
      <c r="DJ153" s="127">
        <v>235.36</v>
      </c>
      <c r="DK153" s="126">
        <v>0</v>
      </c>
      <c r="DL153" s="127"/>
      <c r="DM153" s="126"/>
      <c r="DO153" s="239"/>
      <c r="DP153" s="29"/>
      <c r="DQ153" s="30"/>
      <c r="DR153" s="30">
        <f>SUM(DM153:DQ153)</f>
        <v>0</v>
      </c>
      <c r="DT153" s="122">
        <v>45962</v>
      </c>
      <c r="DU153" s="123">
        <v>1420.57</v>
      </c>
      <c r="DV153" s="127">
        <v>1342.73</v>
      </c>
      <c r="DW153" s="127"/>
      <c r="DX153" s="126">
        <v>0</v>
      </c>
      <c r="DZ153" s="28"/>
      <c r="EA153" s="29"/>
      <c r="EB153" s="29"/>
      <c r="EC153" s="30">
        <f>SUM(DX153:EB153)</f>
        <v>0</v>
      </c>
      <c r="EE153" s="122">
        <v>45962</v>
      </c>
      <c r="EF153" s="123">
        <v>1804.87</v>
      </c>
      <c r="EG153" s="127">
        <v>725.25</v>
      </c>
      <c r="EH153" s="127"/>
      <c r="EI153" s="126">
        <v>1.07</v>
      </c>
      <c r="EK153" s="239">
        <v>316.74659999999994</v>
      </c>
      <c r="EL153" s="402"/>
      <c r="EM153" s="29"/>
      <c r="EN153" s="29"/>
      <c r="EO153" s="30">
        <f>SUM(EI153:EN153)</f>
        <v>317.81659999999994</v>
      </c>
      <c r="EQ153" s="122">
        <v>45962</v>
      </c>
      <c r="ER153" s="123">
        <v>3643.6</v>
      </c>
      <c r="ES153" s="259">
        <v>516.30999999999995</v>
      </c>
      <c r="ET153" s="127"/>
      <c r="EU153" s="258">
        <v>260.35000000000002</v>
      </c>
      <c r="EW153" s="239">
        <v>33.250000000000028</v>
      </c>
      <c r="EX153" s="30"/>
      <c r="EY153" s="29"/>
      <c r="EZ153" s="30">
        <f>SUM(EU153:EY153)</f>
        <v>293.60000000000002</v>
      </c>
      <c r="FB153" s="122">
        <v>45962</v>
      </c>
      <c r="FC153" s="123">
        <v>862.84</v>
      </c>
      <c r="FD153" s="123">
        <v>243.5</v>
      </c>
      <c r="FE153" s="125"/>
      <c r="FF153" s="126"/>
      <c r="FH153" s="28"/>
      <c r="FI153" s="29"/>
      <c r="FJ153" s="29"/>
      <c r="FK153" s="30">
        <f>SUM(FF153:FJ153)</f>
        <v>0</v>
      </c>
    </row>
    <row r="154" spans="2:167" hidden="1" x14ac:dyDescent="0.25">
      <c r="B154" s="122">
        <v>45963</v>
      </c>
      <c r="C154" s="123">
        <v>9528.73</v>
      </c>
      <c r="D154" s="125"/>
      <c r="E154" s="125"/>
      <c r="F154" s="125">
        <v>4.84</v>
      </c>
      <c r="H154" s="51"/>
      <c r="I154" s="53"/>
      <c r="J154" s="52"/>
      <c r="K154" s="53">
        <f t="shared" ref="K154:K182" si="55">SUM(F154:J154)</f>
        <v>4.84</v>
      </c>
      <c r="M154" s="122">
        <v>45963</v>
      </c>
      <c r="N154" s="123">
        <v>3682.87</v>
      </c>
      <c r="O154" s="125"/>
      <c r="P154" s="126">
        <v>15.88</v>
      </c>
      <c r="R154" s="240">
        <v>40.541419999999945</v>
      </c>
      <c r="S154" s="52"/>
      <c r="T154" s="52"/>
      <c r="U154" s="53">
        <f t="shared" ref="U154:U182" si="56">SUM(P154:T154)</f>
        <v>56.421419999999948</v>
      </c>
      <c r="W154" s="122">
        <v>45963</v>
      </c>
      <c r="X154" s="123">
        <v>1129.6400000000001</v>
      </c>
      <c r="Y154" s="123">
        <v>238.73</v>
      </c>
      <c r="Z154" s="125"/>
      <c r="AA154" s="123">
        <v>1.54</v>
      </c>
      <c r="AC154" s="240"/>
      <c r="AD154" s="53"/>
      <c r="AE154" s="52"/>
      <c r="AF154" s="53">
        <f t="shared" ref="AF154:AF182" si="57">SUM(AA154:AE154)</f>
        <v>1.54</v>
      </c>
      <c r="AI154" s="122">
        <v>45963</v>
      </c>
      <c r="AJ154" s="123">
        <v>1423.04</v>
      </c>
      <c r="AK154" s="125"/>
      <c r="AL154" s="126"/>
      <c r="AN154" s="51"/>
      <c r="AO154" s="52"/>
      <c r="AP154" s="52"/>
      <c r="AQ154" s="53">
        <f t="shared" ref="AQ154:AQ182" si="58">SUM(AL154:AP154)</f>
        <v>0</v>
      </c>
      <c r="AS154" s="122">
        <v>45963</v>
      </c>
      <c r="AT154" s="123">
        <v>3144.22</v>
      </c>
      <c r="AU154" s="125"/>
      <c r="AV154" s="128"/>
      <c r="AX154" s="51"/>
      <c r="AY154" s="52"/>
      <c r="AZ154" s="52"/>
      <c r="BA154" s="53">
        <f t="shared" ref="BA154:BA182" si="59">SUM(AV154:AZ154)</f>
        <v>0</v>
      </c>
      <c r="BC154" s="122">
        <v>45963</v>
      </c>
      <c r="BD154" s="123">
        <v>2004.55</v>
      </c>
      <c r="BE154" s="125"/>
      <c r="BF154" s="128">
        <v>3.32</v>
      </c>
      <c r="BH154" s="240"/>
      <c r="BI154" s="52"/>
      <c r="BJ154" s="52"/>
      <c r="BK154" s="53">
        <f t="shared" ref="BK154:BK182" si="60">SUM(BF154:BJ154)</f>
        <v>3.32</v>
      </c>
      <c r="BM154" s="122">
        <v>45963</v>
      </c>
      <c r="BN154" s="123">
        <v>9729.7800000000007</v>
      </c>
      <c r="BO154" s="123">
        <v>1687.37</v>
      </c>
      <c r="BP154" s="123">
        <v>5179.8599999999997</v>
      </c>
      <c r="BQ154" s="125"/>
      <c r="BR154" s="125"/>
      <c r="BT154" s="240">
        <v>190.75262247838623</v>
      </c>
      <c r="BU154" s="53"/>
      <c r="BV154" s="53"/>
      <c r="BW154" s="53">
        <f t="shared" si="54"/>
        <v>190.75262247838623</v>
      </c>
      <c r="BY154" s="122">
        <v>45963</v>
      </c>
      <c r="BZ154" s="256">
        <v>1450.92</v>
      </c>
      <c r="CA154" s="257">
        <v>519.77</v>
      </c>
      <c r="CB154" s="125"/>
      <c r="CC154" s="126"/>
      <c r="CE154" s="51"/>
      <c r="CF154" s="52"/>
      <c r="CG154" s="52"/>
      <c r="CH154" s="53">
        <f t="shared" ref="CH154:CH182" si="61">SUM(CC154:CG154)</f>
        <v>0</v>
      </c>
      <c r="CJ154" s="122">
        <v>45963</v>
      </c>
      <c r="CK154" s="123">
        <v>3009.75</v>
      </c>
      <c r="CL154" s="123">
        <v>525.16999999999996</v>
      </c>
      <c r="CM154" s="125"/>
      <c r="CN154" s="126">
        <v>0</v>
      </c>
      <c r="CP154" s="240">
        <v>7.3290000000000006</v>
      </c>
      <c r="CQ154" s="52"/>
      <c r="CR154" s="52"/>
      <c r="CS154" s="53">
        <f t="shared" ref="CS154:CS182" si="62">SUM(CN154:CR154)</f>
        <v>7.3290000000000006</v>
      </c>
      <c r="CU154" s="122">
        <v>45963</v>
      </c>
      <c r="CV154" s="123">
        <v>5384.42</v>
      </c>
      <c r="CW154" s="127">
        <v>705.89</v>
      </c>
      <c r="CX154" s="125"/>
      <c r="CY154" s="128">
        <v>27.87</v>
      </c>
      <c r="DA154" s="240"/>
      <c r="DB154" s="435"/>
      <c r="DC154" s="52"/>
      <c r="DD154" s="52"/>
      <c r="DE154" s="53">
        <f t="shared" ref="DE154:DE182" si="63">SUM(CY154:DD154)</f>
        <v>27.87</v>
      </c>
      <c r="DH154" s="122">
        <v>45963</v>
      </c>
      <c r="DI154" s="123">
        <v>618.51</v>
      </c>
      <c r="DJ154" s="127">
        <v>217.86</v>
      </c>
      <c r="DK154" s="126">
        <v>0</v>
      </c>
      <c r="DL154" s="127"/>
      <c r="DM154" s="126"/>
      <c r="DO154" s="240"/>
      <c r="DP154" s="52"/>
      <c r="DQ154" s="53"/>
      <c r="DR154" s="53">
        <f t="shared" ref="DR154:DR182" si="64">SUM(DM154:DQ154)</f>
        <v>0</v>
      </c>
      <c r="DT154" s="122">
        <v>45963</v>
      </c>
      <c r="DU154" s="123">
        <v>1008.07</v>
      </c>
      <c r="DV154" s="127">
        <v>914.31</v>
      </c>
      <c r="DW154" s="127"/>
      <c r="DX154" s="126">
        <v>0</v>
      </c>
      <c r="DZ154" s="51"/>
      <c r="EA154" s="52"/>
      <c r="EB154" s="52"/>
      <c r="EC154" s="53">
        <f t="shared" ref="EC154:EC182" si="65">SUM(DX154:EB154)</f>
        <v>0</v>
      </c>
      <c r="EE154" s="122">
        <v>45963</v>
      </c>
      <c r="EF154" s="123">
        <v>855.96</v>
      </c>
      <c r="EG154" s="127">
        <v>340.47</v>
      </c>
      <c r="EH154" s="127"/>
      <c r="EI154" s="126">
        <v>0.65</v>
      </c>
      <c r="EK154" s="240">
        <v>105.80482999999998</v>
      </c>
      <c r="EL154" s="435"/>
      <c r="EM154" s="52"/>
      <c r="EN154" s="52"/>
      <c r="EO154" s="53">
        <f t="shared" ref="EO154:EO182" si="66">SUM(EI154:EN154)</f>
        <v>106.45482999999999</v>
      </c>
      <c r="EQ154" s="122">
        <v>45963</v>
      </c>
      <c r="ER154" s="123">
        <v>3395.6</v>
      </c>
      <c r="ES154" s="259">
        <v>359.31</v>
      </c>
      <c r="ET154" s="127"/>
      <c r="EU154" s="258">
        <v>120.59</v>
      </c>
      <c r="EW154" s="240">
        <v>30.012500000000017</v>
      </c>
      <c r="EX154" s="53"/>
      <c r="EY154" s="52"/>
      <c r="EZ154" s="53">
        <f t="shared" ref="EZ154:EZ182" si="67">SUM(EU154:EY154)</f>
        <v>150.60250000000002</v>
      </c>
      <c r="FB154" s="122">
        <v>45963</v>
      </c>
      <c r="FC154" s="123">
        <v>493.1</v>
      </c>
      <c r="FD154" s="123">
        <v>92.5</v>
      </c>
      <c r="FE154" s="125"/>
      <c r="FF154" s="126"/>
      <c r="FH154" s="51"/>
      <c r="FI154" s="52"/>
      <c r="FJ154" s="52"/>
      <c r="FK154" s="53">
        <f t="shared" ref="FK154:FK182" si="68">SUM(FF154:FJ154)</f>
        <v>0</v>
      </c>
    </row>
    <row r="155" spans="2:167" hidden="1" x14ac:dyDescent="0.25">
      <c r="B155" s="122">
        <v>45964</v>
      </c>
      <c r="C155" s="123">
        <v>13253.28</v>
      </c>
      <c r="D155" s="125"/>
      <c r="E155" s="125"/>
      <c r="F155" s="123">
        <v>61.58</v>
      </c>
      <c r="H155" s="51"/>
      <c r="I155" s="53">
        <v>43.676579899999993</v>
      </c>
      <c r="J155" s="52"/>
      <c r="K155" s="53">
        <f t="shared" si="55"/>
        <v>105.25657989999999</v>
      </c>
      <c r="M155" s="122">
        <v>45964</v>
      </c>
      <c r="N155" s="123">
        <v>1793.32</v>
      </c>
      <c r="O155" s="125"/>
      <c r="P155" s="126">
        <v>7.24</v>
      </c>
      <c r="R155" s="240"/>
      <c r="S155" s="52"/>
      <c r="T155" s="52"/>
      <c r="U155" s="53">
        <f t="shared" si="56"/>
        <v>7.24</v>
      </c>
      <c r="W155" s="122">
        <v>45964</v>
      </c>
      <c r="X155" s="123">
        <v>1232.45</v>
      </c>
      <c r="Y155" s="123">
        <v>136.15</v>
      </c>
      <c r="Z155" s="125"/>
      <c r="AA155" s="123">
        <v>16.07</v>
      </c>
      <c r="AC155" s="240"/>
      <c r="AD155" s="53"/>
      <c r="AE155" s="52"/>
      <c r="AF155" s="53">
        <f t="shared" si="57"/>
        <v>16.07</v>
      </c>
      <c r="AI155" s="122">
        <v>45964</v>
      </c>
      <c r="AJ155" s="123">
        <v>1628.88</v>
      </c>
      <c r="AK155" s="125"/>
      <c r="AL155" s="126"/>
      <c r="AN155" s="51"/>
      <c r="AO155" s="52"/>
      <c r="AP155" s="52"/>
      <c r="AQ155" s="53">
        <f t="shared" si="58"/>
        <v>0</v>
      </c>
      <c r="AS155" s="122">
        <v>45964</v>
      </c>
      <c r="AT155" s="123">
        <v>3614.92</v>
      </c>
      <c r="AU155" s="125"/>
      <c r="AV155" s="128"/>
      <c r="AX155" s="51"/>
      <c r="AY155" s="52"/>
      <c r="AZ155" s="52"/>
      <c r="BA155" s="53">
        <f t="shared" si="59"/>
        <v>0</v>
      </c>
      <c r="BC155" s="122">
        <v>45964</v>
      </c>
      <c r="BD155" s="123">
        <v>3383.4</v>
      </c>
      <c r="BE155" s="125"/>
      <c r="BF155" s="128">
        <v>2.84</v>
      </c>
      <c r="BH155" s="240">
        <v>20.981999999999999</v>
      </c>
      <c r="BI155" s="52"/>
      <c r="BJ155" s="52"/>
      <c r="BK155" s="53">
        <f t="shared" si="60"/>
        <v>23.821999999999999</v>
      </c>
      <c r="BM155" s="122">
        <v>45964</v>
      </c>
      <c r="BN155" s="123">
        <v>11105.09</v>
      </c>
      <c r="BO155" s="123">
        <v>2442.66</v>
      </c>
      <c r="BP155" s="123">
        <v>8447.94</v>
      </c>
      <c r="BQ155" s="125"/>
      <c r="BR155" s="125"/>
      <c r="BT155" s="240">
        <v>40.260941049215788</v>
      </c>
      <c r="BU155" s="53">
        <v>442.01919999999996</v>
      </c>
      <c r="BV155" s="53"/>
      <c r="BW155" s="53">
        <f t="shared" si="54"/>
        <v>482.28014104921573</v>
      </c>
      <c r="BY155" s="122">
        <v>45964</v>
      </c>
      <c r="BZ155" s="256">
        <v>1723.69</v>
      </c>
      <c r="CA155" s="257">
        <v>701.42</v>
      </c>
      <c r="CB155" s="125"/>
      <c r="CC155" s="126"/>
      <c r="CE155" s="51"/>
      <c r="CF155" s="52"/>
      <c r="CG155" s="52"/>
      <c r="CH155" s="53">
        <f t="shared" si="61"/>
        <v>0</v>
      </c>
      <c r="CJ155" s="122">
        <v>45964</v>
      </c>
      <c r="CK155" s="123">
        <v>7974.47</v>
      </c>
      <c r="CL155" s="123">
        <v>943.89</v>
      </c>
      <c r="CM155" s="125"/>
      <c r="CN155" s="126">
        <v>22.22</v>
      </c>
      <c r="CP155" s="240">
        <v>245.5984400000001</v>
      </c>
      <c r="CQ155" s="52">
        <v>47.84411840000007</v>
      </c>
      <c r="CR155" s="52"/>
      <c r="CS155" s="53">
        <f t="shared" si="62"/>
        <v>315.66255840000019</v>
      </c>
      <c r="CU155" s="122">
        <v>45964</v>
      </c>
      <c r="CV155" s="123">
        <v>8018.56</v>
      </c>
      <c r="CW155" s="127">
        <v>803.1</v>
      </c>
      <c r="CX155" s="125"/>
      <c r="CY155" s="126">
        <v>257.16000000000003</v>
      </c>
      <c r="DA155" s="240"/>
      <c r="DB155" s="435"/>
      <c r="DC155" s="52"/>
      <c r="DD155" s="52"/>
      <c r="DE155" s="53">
        <f t="shared" si="63"/>
        <v>257.16000000000003</v>
      </c>
      <c r="DH155" s="122">
        <v>45964</v>
      </c>
      <c r="DI155" s="123">
        <v>2072.96</v>
      </c>
      <c r="DJ155" s="126">
        <v>497.49</v>
      </c>
      <c r="DK155" s="126">
        <v>0</v>
      </c>
      <c r="DL155" s="127"/>
      <c r="DM155" s="126"/>
      <c r="DO155" s="240"/>
      <c r="DP155" s="52"/>
      <c r="DQ155" s="53"/>
      <c r="DR155" s="53">
        <f t="shared" si="64"/>
        <v>0</v>
      </c>
      <c r="DT155" s="122">
        <v>45964</v>
      </c>
      <c r="DU155" s="123">
        <v>1614.93</v>
      </c>
      <c r="DV155" s="127">
        <v>1370.7</v>
      </c>
      <c r="DW155" s="127"/>
      <c r="DX155" s="126">
        <v>50.18</v>
      </c>
      <c r="DZ155" s="51"/>
      <c r="EA155" s="52"/>
      <c r="EB155" s="52"/>
      <c r="EC155" s="53">
        <f t="shared" si="65"/>
        <v>50.18</v>
      </c>
      <c r="EE155" s="122">
        <v>45964</v>
      </c>
      <c r="EF155" s="123">
        <v>1090.9000000000001</v>
      </c>
      <c r="EG155" s="127">
        <v>812.32</v>
      </c>
      <c r="EH155" s="127"/>
      <c r="EI155" s="126">
        <v>1.62</v>
      </c>
      <c r="EK155" s="240">
        <v>794.27511999999979</v>
      </c>
      <c r="EL155" s="435"/>
      <c r="EM155" s="52">
        <v>56.592998999999963</v>
      </c>
      <c r="EN155" s="52"/>
      <c r="EO155" s="53">
        <f t="shared" si="66"/>
        <v>852.48811899999976</v>
      </c>
      <c r="EQ155" s="122">
        <v>45964</v>
      </c>
      <c r="ER155" s="123">
        <v>2373.3200000000002</v>
      </c>
      <c r="ES155" s="259">
        <v>183.57</v>
      </c>
      <c r="ET155" s="127"/>
      <c r="EU155" s="258">
        <v>57.84</v>
      </c>
      <c r="EW155" s="240">
        <v>195.76550000000009</v>
      </c>
      <c r="EX155" s="53">
        <v>17.009554000000009</v>
      </c>
      <c r="EY155" s="52"/>
      <c r="EZ155" s="53">
        <f t="shared" si="67"/>
        <v>270.6150540000001</v>
      </c>
      <c r="FB155" s="122">
        <v>45964</v>
      </c>
      <c r="FC155" s="123">
        <v>476</v>
      </c>
      <c r="FD155" s="123">
        <v>441.83</v>
      </c>
      <c r="FE155" s="125"/>
      <c r="FF155" s="126"/>
      <c r="FH155" s="51"/>
      <c r="FI155" s="52"/>
      <c r="FJ155" s="52"/>
      <c r="FK155" s="53">
        <f t="shared" si="68"/>
        <v>0</v>
      </c>
    </row>
    <row r="156" spans="2:167" hidden="1" x14ac:dyDescent="0.25">
      <c r="B156" s="122">
        <v>45965</v>
      </c>
      <c r="C156" s="123">
        <v>9610.94</v>
      </c>
      <c r="D156" s="125"/>
      <c r="E156" s="125"/>
      <c r="F156" s="125">
        <v>0</v>
      </c>
      <c r="H156" s="51"/>
      <c r="I156" s="53">
        <v>47.976868000000032</v>
      </c>
      <c r="J156" s="52"/>
      <c r="K156" s="53">
        <f t="shared" si="55"/>
        <v>47.976868000000032</v>
      </c>
      <c r="M156" s="122">
        <v>45965</v>
      </c>
      <c r="N156" s="123">
        <v>1373.08</v>
      </c>
      <c r="O156" s="125"/>
      <c r="P156" s="126">
        <v>0</v>
      </c>
      <c r="R156" s="240"/>
      <c r="S156" s="52"/>
      <c r="T156" s="52"/>
      <c r="U156" s="53">
        <f t="shared" si="56"/>
        <v>0</v>
      </c>
      <c r="W156" s="122">
        <v>45965</v>
      </c>
      <c r="X156" s="123">
        <v>1170.01</v>
      </c>
      <c r="Y156" s="123">
        <v>237.54</v>
      </c>
      <c r="Z156" s="125"/>
      <c r="AA156" s="123">
        <v>1.68</v>
      </c>
      <c r="AC156" s="240">
        <v>26.10999000000001</v>
      </c>
      <c r="AD156" s="53">
        <v>15.935098400000001</v>
      </c>
      <c r="AE156" s="52"/>
      <c r="AF156" s="53">
        <f t="shared" si="57"/>
        <v>43.725088400000011</v>
      </c>
      <c r="AI156" s="122">
        <v>45965</v>
      </c>
      <c r="AJ156" s="123">
        <v>836.69</v>
      </c>
      <c r="AK156" s="125"/>
      <c r="AL156" s="126"/>
      <c r="AN156" s="51"/>
      <c r="AO156" s="52"/>
      <c r="AP156" s="52"/>
      <c r="AQ156" s="53">
        <f t="shared" si="58"/>
        <v>0</v>
      </c>
      <c r="AS156" s="122">
        <v>45965</v>
      </c>
      <c r="AT156" s="123">
        <v>2895.64</v>
      </c>
      <c r="AU156" s="125"/>
      <c r="AV156" s="128"/>
      <c r="AX156" s="51"/>
      <c r="AY156" s="52"/>
      <c r="AZ156" s="52"/>
      <c r="BA156" s="53">
        <f t="shared" si="59"/>
        <v>0</v>
      </c>
      <c r="BC156" s="122">
        <v>45965</v>
      </c>
      <c r="BD156" s="123">
        <v>2623</v>
      </c>
      <c r="BE156" s="125"/>
      <c r="BF156" s="128">
        <v>2.95</v>
      </c>
      <c r="BH156" s="240">
        <v>10.361959999999982</v>
      </c>
      <c r="BI156" s="52"/>
      <c r="BJ156" s="52"/>
      <c r="BK156" s="53">
        <f t="shared" si="60"/>
        <v>13.311959999999981</v>
      </c>
      <c r="BM156" s="122">
        <v>45965</v>
      </c>
      <c r="BN156" s="123">
        <v>11609.41</v>
      </c>
      <c r="BO156" s="123">
        <v>1933.55</v>
      </c>
      <c r="BP156" s="123">
        <v>7493.39</v>
      </c>
      <c r="BQ156" s="125"/>
      <c r="BR156" s="125"/>
      <c r="BT156" s="240">
        <v>163.22156000000004</v>
      </c>
      <c r="BU156" s="53"/>
      <c r="BV156" s="53"/>
      <c r="BW156" s="53">
        <f t="shared" si="54"/>
        <v>163.22156000000004</v>
      </c>
      <c r="BY156" s="122">
        <v>45965</v>
      </c>
      <c r="BZ156" s="256">
        <v>1044.48</v>
      </c>
      <c r="CA156" s="257">
        <v>513.79</v>
      </c>
      <c r="CB156" s="126"/>
      <c r="CC156" s="126"/>
      <c r="CE156" s="51"/>
      <c r="CF156" s="52"/>
      <c r="CG156" s="52"/>
      <c r="CH156" s="53">
        <f t="shared" si="61"/>
        <v>0</v>
      </c>
      <c r="CJ156" s="122">
        <v>45965</v>
      </c>
      <c r="CK156" s="123">
        <v>5613.42</v>
      </c>
      <c r="CL156" s="123">
        <v>543.46</v>
      </c>
      <c r="CM156" s="125"/>
      <c r="CN156" s="126">
        <v>13.75</v>
      </c>
      <c r="CP156" s="240">
        <v>118.48844000000001</v>
      </c>
      <c r="CQ156" s="52"/>
      <c r="CR156" s="52"/>
      <c r="CS156" s="53">
        <f t="shared" si="62"/>
        <v>132.23844000000003</v>
      </c>
      <c r="CU156" s="122">
        <v>45965</v>
      </c>
      <c r="CV156" s="123">
        <v>9811</v>
      </c>
      <c r="CW156" s="127">
        <v>769.9</v>
      </c>
      <c r="CX156" s="125"/>
      <c r="CY156" s="126">
        <v>318.83</v>
      </c>
      <c r="DA156" s="240"/>
      <c r="DB156" s="435"/>
      <c r="DC156" s="52"/>
      <c r="DD156" s="52"/>
      <c r="DE156" s="53">
        <f t="shared" si="63"/>
        <v>318.83</v>
      </c>
      <c r="DH156" s="122">
        <v>45965</v>
      </c>
      <c r="DI156" s="123">
        <v>2675.7</v>
      </c>
      <c r="DJ156" s="127">
        <v>433.12</v>
      </c>
      <c r="DK156" s="126">
        <v>0</v>
      </c>
      <c r="DL156" s="127"/>
      <c r="DM156" s="126"/>
      <c r="DO156" s="240">
        <v>13.049999999999997</v>
      </c>
      <c r="DP156" s="52"/>
      <c r="DQ156" s="53">
        <v>2.1933140000000009</v>
      </c>
      <c r="DR156" s="53">
        <f t="shared" si="64"/>
        <v>15.243313999999998</v>
      </c>
      <c r="DT156" s="122">
        <v>45965</v>
      </c>
      <c r="DU156" s="123">
        <v>1488.11</v>
      </c>
      <c r="DV156" s="127">
        <v>921.63</v>
      </c>
      <c r="DW156" s="127"/>
      <c r="DX156" s="126">
        <v>10.02</v>
      </c>
      <c r="DZ156" s="51"/>
      <c r="EA156" s="52">
        <v>17.980552099999983</v>
      </c>
      <c r="EB156" s="52"/>
      <c r="EC156" s="53">
        <f t="shared" si="65"/>
        <v>28.000552099999982</v>
      </c>
      <c r="EE156" s="122">
        <v>45965</v>
      </c>
      <c r="EF156" s="123">
        <v>838.46</v>
      </c>
      <c r="EG156" s="127">
        <v>539.08000000000004</v>
      </c>
      <c r="EH156" s="127"/>
      <c r="EI156" s="126">
        <v>9.52</v>
      </c>
      <c r="EK156" s="240">
        <v>719.36289999999974</v>
      </c>
      <c r="EL156" s="435"/>
      <c r="EM156" s="52">
        <v>65.463200000000029</v>
      </c>
      <c r="EN156" s="52"/>
      <c r="EO156" s="53">
        <f t="shared" si="66"/>
        <v>794.34609999999975</v>
      </c>
      <c r="EQ156" s="122">
        <v>45965</v>
      </c>
      <c r="ER156" s="123">
        <v>2842.71</v>
      </c>
      <c r="ES156" s="259">
        <v>389.91</v>
      </c>
      <c r="ET156" s="127"/>
      <c r="EU156" s="258">
        <v>705.69</v>
      </c>
      <c r="EW156" s="240"/>
      <c r="EX156" s="53">
        <v>10.241933899999992</v>
      </c>
      <c r="EY156" s="52"/>
      <c r="EZ156" s="53">
        <f t="shared" si="67"/>
        <v>715.9319339000001</v>
      </c>
      <c r="FB156" s="122">
        <v>45965</v>
      </c>
      <c r="FC156" s="123">
        <v>906.1</v>
      </c>
      <c r="FD156" s="123">
        <v>315.66000000000003</v>
      </c>
      <c r="FE156" s="125"/>
      <c r="FF156" s="126"/>
      <c r="FH156" s="51"/>
      <c r="FI156" s="52"/>
      <c r="FJ156" s="52"/>
      <c r="FK156" s="53">
        <f t="shared" si="68"/>
        <v>0</v>
      </c>
    </row>
    <row r="157" spans="2:167" hidden="1" x14ac:dyDescent="0.25">
      <c r="B157" s="122">
        <v>45966</v>
      </c>
      <c r="C157" s="123">
        <v>10095.27</v>
      </c>
      <c r="D157" s="125"/>
      <c r="E157" s="125"/>
      <c r="F157" s="125">
        <v>0</v>
      </c>
      <c r="H157" s="51"/>
      <c r="I157" s="53">
        <v>2.4801038999999889</v>
      </c>
      <c r="J157" s="52"/>
      <c r="K157" s="53">
        <f t="shared" si="55"/>
        <v>2.4801038999999889</v>
      </c>
      <c r="M157" s="122">
        <v>45966</v>
      </c>
      <c r="N157" s="123">
        <v>2659.56</v>
      </c>
      <c r="O157" s="125"/>
      <c r="P157" s="126">
        <v>8.52</v>
      </c>
      <c r="R157" s="240"/>
      <c r="S157" s="52"/>
      <c r="T157" s="52"/>
      <c r="U157" s="53">
        <f t="shared" si="56"/>
        <v>8.52</v>
      </c>
      <c r="W157" s="122">
        <v>45966</v>
      </c>
      <c r="X157" s="123">
        <v>1173.8599999999999</v>
      </c>
      <c r="Y157" s="123">
        <v>274.27999999999997</v>
      </c>
      <c r="Z157" s="125"/>
      <c r="AA157" s="123">
        <v>16.489999999999998</v>
      </c>
      <c r="AC157" s="240">
        <v>49.567769999999996</v>
      </c>
      <c r="AD157" s="53"/>
      <c r="AE157" s="52"/>
      <c r="AF157" s="53">
        <f t="shared" si="57"/>
        <v>66.057769999999991</v>
      </c>
      <c r="AI157" s="122">
        <v>45966</v>
      </c>
      <c r="AJ157" s="123">
        <v>1538.71</v>
      </c>
      <c r="AK157" s="125"/>
      <c r="AL157" s="126"/>
      <c r="AN157" s="51"/>
      <c r="AO157" s="52"/>
      <c r="AP157" s="52"/>
      <c r="AQ157" s="53">
        <f t="shared" si="58"/>
        <v>0</v>
      </c>
      <c r="AS157" s="122">
        <v>45966</v>
      </c>
      <c r="AT157" s="123">
        <v>3823.32</v>
      </c>
      <c r="AU157" s="125"/>
      <c r="AV157" s="128"/>
      <c r="AX157" s="51"/>
      <c r="AY157" s="52"/>
      <c r="AZ157" s="52"/>
      <c r="BA157" s="53">
        <f t="shared" si="59"/>
        <v>0</v>
      </c>
      <c r="BC157" s="122">
        <v>45966</v>
      </c>
      <c r="BD157" s="123">
        <v>2809.81</v>
      </c>
      <c r="BE157" s="125"/>
      <c r="BF157" s="128">
        <v>0</v>
      </c>
      <c r="BH157" s="240"/>
      <c r="BI157" s="52"/>
      <c r="BJ157" s="52"/>
      <c r="BK157" s="53">
        <f t="shared" si="60"/>
        <v>0</v>
      </c>
      <c r="BM157" s="122">
        <v>45966</v>
      </c>
      <c r="BN157" s="123">
        <v>13209.32</v>
      </c>
      <c r="BO157" s="123">
        <v>2982.31</v>
      </c>
      <c r="BP157" s="123">
        <v>8571.8700000000008</v>
      </c>
      <c r="BQ157" s="125"/>
      <c r="BR157" s="125"/>
      <c r="BT157" s="240">
        <v>115.50052141277394</v>
      </c>
      <c r="BU157" s="53"/>
      <c r="BV157" s="53"/>
      <c r="BW157" s="53">
        <f t="shared" si="54"/>
        <v>115.50052141277394</v>
      </c>
      <c r="BY157" s="122">
        <v>45966</v>
      </c>
      <c r="BZ157" s="256">
        <v>808.35</v>
      </c>
      <c r="CA157" s="257">
        <v>638.11</v>
      </c>
      <c r="CB157" s="125"/>
      <c r="CC157" s="126"/>
      <c r="CE157" s="51"/>
      <c r="CF157" s="52">
        <v>22.239219599999956</v>
      </c>
      <c r="CG157" s="52"/>
      <c r="CH157" s="53">
        <f t="shared" si="61"/>
        <v>22.239219599999956</v>
      </c>
      <c r="CJ157" s="122">
        <v>45966</v>
      </c>
      <c r="CK157" s="123">
        <v>5007.59</v>
      </c>
      <c r="CL157" s="123">
        <v>648.96</v>
      </c>
      <c r="CM157" s="125"/>
      <c r="CN157" s="126">
        <v>20.53</v>
      </c>
      <c r="CP157" s="240">
        <v>161.82585000000014</v>
      </c>
      <c r="CQ157" s="52"/>
      <c r="CR157" s="52"/>
      <c r="CS157" s="53">
        <f t="shared" si="62"/>
        <v>182.35585000000015</v>
      </c>
      <c r="CU157" s="122">
        <v>45966</v>
      </c>
      <c r="CV157" s="123">
        <v>7863.3</v>
      </c>
      <c r="CW157" s="127">
        <v>1464.48</v>
      </c>
      <c r="CX157" s="125"/>
      <c r="CY157" s="126">
        <v>200.71</v>
      </c>
      <c r="DA157" s="240"/>
      <c r="DB157" s="435"/>
      <c r="DC157" s="52"/>
      <c r="DD157" s="52"/>
      <c r="DE157" s="53">
        <f t="shared" si="63"/>
        <v>200.71</v>
      </c>
      <c r="DH157" s="122">
        <v>45966</v>
      </c>
      <c r="DI157" s="123">
        <v>1009.34</v>
      </c>
      <c r="DJ157" s="127">
        <v>540.27</v>
      </c>
      <c r="DK157" s="126">
        <v>0</v>
      </c>
      <c r="DL157" s="127"/>
      <c r="DM157" s="126"/>
      <c r="DO157" s="240">
        <v>36.302160000000015</v>
      </c>
      <c r="DP157" s="52"/>
      <c r="DQ157" s="53"/>
      <c r="DR157" s="53">
        <f t="shared" si="64"/>
        <v>36.302160000000015</v>
      </c>
      <c r="DT157" s="122">
        <v>45966</v>
      </c>
      <c r="DU157" s="123">
        <v>2593.19</v>
      </c>
      <c r="DV157" s="127">
        <v>1035.67</v>
      </c>
      <c r="DW157" s="127"/>
      <c r="DX157" s="126">
        <v>40.86</v>
      </c>
      <c r="DZ157" s="51"/>
      <c r="EA157" s="52"/>
      <c r="EB157" s="52"/>
      <c r="EC157" s="53">
        <f t="shared" si="65"/>
        <v>40.86</v>
      </c>
      <c r="EE157" s="122">
        <v>45966</v>
      </c>
      <c r="EF157" s="123">
        <v>796.23</v>
      </c>
      <c r="EG157" s="127">
        <v>637.20000000000005</v>
      </c>
      <c r="EH157" s="127"/>
      <c r="EI157" s="126">
        <v>5.22</v>
      </c>
      <c r="EK157" s="240">
        <v>757.20971999999983</v>
      </c>
      <c r="EL157" s="435"/>
      <c r="EM157" s="52"/>
      <c r="EN157" s="52"/>
      <c r="EO157" s="53">
        <f t="shared" si="66"/>
        <v>762.42971999999986</v>
      </c>
      <c r="EQ157" s="122">
        <v>45966</v>
      </c>
      <c r="ER157" s="123">
        <v>4304.43</v>
      </c>
      <c r="ES157" s="259">
        <v>271.66000000000003</v>
      </c>
      <c r="ET157" s="127"/>
      <c r="EU157" s="258">
        <v>364.56</v>
      </c>
      <c r="EW157" s="240">
        <v>51.956980000000001</v>
      </c>
      <c r="EX157" s="53">
        <v>36.747536999999994</v>
      </c>
      <c r="EY157" s="52"/>
      <c r="EZ157" s="53">
        <f t="shared" si="67"/>
        <v>453.26451699999996</v>
      </c>
      <c r="FB157" s="122">
        <v>45966</v>
      </c>
      <c r="FC157" s="123">
        <v>610.5</v>
      </c>
      <c r="FD157" s="123">
        <v>178.2</v>
      </c>
      <c r="FE157" s="125"/>
      <c r="FF157" s="126"/>
      <c r="FH157" s="51"/>
      <c r="FI157" s="52"/>
      <c r="FJ157" s="52"/>
      <c r="FK157" s="53">
        <f t="shared" si="68"/>
        <v>0</v>
      </c>
    </row>
    <row r="158" spans="2:167" hidden="1" x14ac:dyDescent="0.25">
      <c r="B158" s="122">
        <v>45967</v>
      </c>
      <c r="C158" s="123">
        <v>15396.54</v>
      </c>
      <c r="D158" s="125"/>
      <c r="E158" s="125"/>
      <c r="F158" s="125">
        <v>54.05</v>
      </c>
      <c r="H158" s="51"/>
      <c r="I158" s="53"/>
      <c r="J158" s="52"/>
      <c r="K158" s="53">
        <f t="shared" si="55"/>
        <v>54.05</v>
      </c>
      <c r="M158" s="122">
        <v>45967</v>
      </c>
      <c r="N158" s="123">
        <v>2661.71</v>
      </c>
      <c r="O158" s="125"/>
      <c r="P158" s="126">
        <v>0</v>
      </c>
      <c r="R158" s="240"/>
      <c r="S158" s="52"/>
      <c r="T158" s="52"/>
      <c r="U158" s="53">
        <f t="shared" si="56"/>
        <v>0</v>
      </c>
      <c r="W158" s="122">
        <v>45967</v>
      </c>
      <c r="X158" s="123">
        <v>1969.46</v>
      </c>
      <c r="Y158" s="123">
        <v>567.86</v>
      </c>
      <c r="Z158" s="125"/>
      <c r="AA158" s="123">
        <v>0</v>
      </c>
      <c r="AC158" s="240"/>
      <c r="AD158" s="53"/>
      <c r="AE158" s="52"/>
      <c r="AF158" s="53">
        <f t="shared" si="57"/>
        <v>0</v>
      </c>
      <c r="AI158" s="122">
        <v>45967</v>
      </c>
      <c r="AJ158" s="123">
        <v>1458.37</v>
      </c>
      <c r="AK158" s="125"/>
      <c r="AL158" s="126"/>
      <c r="AN158" s="51"/>
      <c r="AO158" s="52"/>
      <c r="AP158" s="52"/>
      <c r="AQ158" s="53">
        <f t="shared" si="58"/>
        <v>0</v>
      </c>
      <c r="AS158" s="122">
        <v>45967</v>
      </c>
      <c r="AT158" s="123">
        <v>2436.0100000000002</v>
      </c>
      <c r="AU158" s="125"/>
      <c r="AV158" s="128"/>
      <c r="AX158" s="51"/>
      <c r="AY158" s="52"/>
      <c r="AZ158" s="52"/>
      <c r="BA158" s="53">
        <f t="shared" si="59"/>
        <v>0</v>
      </c>
      <c r="BC158" s="122">
        <v>45967</v>
      </c>
      <c r="BD158" s="123">
        <v>2521.42</v>
      </c>
      <c r="BE158" s="125"/>
      <c r="BF158" s="128">
        <v>0</v>
      </c>
      <c r="BH158" s="240">
        <v>11.050000000000026</v>
      </c>
      <c r="BI158" s="52"/>
      <c r="BJ158" s="52"/>
      <c r="BK158" s="53">
        <f t="shared" si="60"/>
        <v>11.050000000000026</v>
      </c>
      <c r="BM158" s="122">
        <v>45967</v>
      </c>
      <c r="BN158" s="123">
        <v>11621.76</v>
      </c>
      <c r="BO158" s="123">
        <v>2973.96</v>
      </c>
      <c r="BP158" s="123">
        <v>765.57</v>
      </c>
      <c r="BQ158" s="125"/>
      <c r="BR158" s="125"/>
      <c r="BT158" s="240">
        <v>312.80313979205215</v>
      </c>
      <c r="BU158" s="53">
        <v>620.82814970000004</v>
      </c>
      <c r="BV158" s="53"/>
      <c r="BW158" s="53">
        <f t="shared" si="54"/>
        <v>933.63128949205225</v>
      </c>
      <c r="BY158" s="122">
        <v>45967</v>
      </c>
      <c r="BZ158" s="256">
        <v>1555.08</v>
      </c>
      <c r="CA158" s="257">
        <v>570.59</v>
      </c>
      <c r="CB158" s="125"/>
      <c r="CC158" s="126"/>
      <c r="CE158" s="51"/>
      <c r="CF158" s="52"/>
      <c r="CG158" s="52"/>
      <c r="CH158" s="53">
        <f t="shared" si="61"/>
        <v>0</v>
      </c>
      <c r="CJ158" s="122">
        <v>45967</v>
      </c>
      <c r="CK158" s="123">
        <v>7048.51</v>
      </c>
      <c r="CL158" s="123">
        <v>521.46</v>
      </c>
      <c r="CM158" s="125"/>
      <c r="CN158" s="126">
        <v>37.14</v>
      </c>
      <c r="CP158" s="240">
        <v>69.618999999999971</v>
      </c>
      <c r="CQ158" s="52"/>
      <c r="CR158" s="52"/>
      <c r="CS158" s="53">
        <f t="shared" si="62"/>
        <v>106.75899999999997</v>
      </c>
      <c r="CU158" s="122">
        <v>45967</v>
      </c>
      <c r="CV158" s="123">
        <v>10891.68</v>
      </c>
      <c r="CW158" s="127">
        <v>893.42</v>
      </c>
      <c r="CX158" s="125"/>
      <c r="CY158" s="126">
        <v>70.849999999999994</v>
      </c>
      <c r="DA158" s="240"/>
      <c r="DB158" s="435"/>
      <c r="DC158" s="52"/>
      <c r="DD158" s="52"/>
      <c r="DE158" s="53">
        <f t="shared" si="63"/>
        <v>70.849999999999994</v>
      </c>
      <c r="DH158" s="122">
        <v>45967</v>
      </c>
      <c r="DI158" s="123">
        <v>1207.52</v>
      </c>
      <c r="DJ158" s="259">
        <v>245.45</v>
      </c>
      <c r="DK158" s="126">
        <v>0</v>
      </c>
      <c r="DL158" s="127"/>
      <c r="DM158" s="126"/>
      <c r="DO158" s="240">
        <v>8.4910999999999888</v>
      </c>
      <c r="DP158" s="52"/>
      <c r="DQ158" s="53"/>
      <c r="DR158" s="53">
        <f t="shared" si="64"/>
        <v>8.4910999999999888</v>
      </c>
      <c r="DT158" s="122">
        <v>45967</v>
      </c>
      <c r="DU158" s="123">
        <v>1972.13</v>
      </c>
      <c r="DV158" s="259">
        <v>1196.3900000000001</v>
      </c>
      <c r="DW158" s="127"/>
      <c r="DX158" s="126">
        <v>24.48</v>
      </c>
      <c r="DZ158" s="51"/>
      <c r="EA158" s="52"/>
      <c r="EB158" s="52"/>
      <c r="EC158" s="53">
        <f t="shared" si="65"/>
        <v>24.48</v>
      </c>
      <c r="EE158" s="122">
        <v>45967</v>
      </c>
      <c r="EF158" s="123">
        <v>931.38</v>
      </c>
      <c r="EG158" s="127">
        <v>702.46</v>
      </c>
      <c r="EH158" s="127"/>
      <c r="EI158" s="126">
        <v>7.01</v>
      </c>
      <c r="EK158" s="240">
        <v>1046.2388199999996</v>
      </c>
      <c r="EL158" s="435"/>
      <c r="EM158" s="52"/>
      <c r="EN158" s="52"/>
      <c r="EO158" s="53">
        <f t="shared" si="66"/>
        <v>1053.2488199999996</v>
      </c>
      <c r="EQ158" s="122">
        <v>45967</v>
      </c>
      <c r="ER158" s="123">
        <v>2799.38</v>
      </c>
      <c r="ES158" s="259">
        <v>539.66</v>
      </c>
      <c r="ET158" s="127"/>
      <c r="EU158" s="258">
        <v>481.44</v>
      </c>
      <c r="EW158" s="240">
        <v>16.139190000000013</v>
      </c>
      <c r="EX158" s="53">
        <v>96.063130799999954</v>
      </c>
      <c r="EY158" s="52"/>
      <c r="EZ158" s="53">
        <f t="shared" si="67"/>
        <v>593.64232079999999</v>
      </c>
      <c r="FB158" s="122">
        <v>45967</v>
      </c>
      <c r="FC158" s="123">
        <v>500.2</v>
      </c>
      <c r="FD158" s="123">
        <v>239.4</v>
      </c>
      <c r="FE158" s="125"/>
      <c r="FF158" s="126"/>
      <c r="FH158" s="51"/>
      <c r="FI158" s="52"/>
      <c r="FJ158" s="52"/>
      <c r="FK158" s="53">
        <f t="shared" si="68"/>
        <v>0</v>
      </c>
    </row>
    <row r="159" spans="2:167" hidden="1" x14ac:dyDescent="0.25">
      <c r="B159" s="122">
        <v>45968</v>
      </c>
      <c r="C159" s="123">
        <v>12948.32</v>
      </c>
      <c r="D159" s="125"/>
      <c r="E159" s="125"/>
      <c r="F159" s="125">
        <v>0</v>
      </c>
      <c r="H159" s="51"/>
      <c r="I159" s="53">
        <v>2.2891824000000156</v>
      </c>
      <c r="J159" s="52"/>
      <c r="K159" s="53">
        <f t="shared" si="55"/>
        <v>2.2891824000000156</v>
      </c>
      <c r="M159" s="122">
        <v>45968</v>
      </c>
      <c r="N159" s="123">
        <v>2260.56</v>
      </c>
      <c r="O159" s="125"/>
      <c r="P159" s="126">
        <v>0</v>
      </c>
      <c r="R159" s="240"/>
      <c r="S159" s="52"/>
      <c r="T159" s="52"/>
      <c r="U159" s="53">
        <f t="shared" si="56"/>
        <v>0</v>
      </c>
      <c r="W159" s="122">
        <v>45968</v>
      </c>
      <c r="X159" s="123">
        <v>1655.28</v>
      </c>
      <c r="Y159" s="123">
        <v>204.21</v>
      </c>
      <c r="Z159" s="125"/>
      <c r="AA159" s="123">
        <v>15.89</v>
      </c>
      <c r="AC159" s="240">
        <v>38.559399999999982</v>
      </c>
      <c r="AD159" s="53">
        <v>36.788219999999995</v>
      </c>
      <c r="AE159" s="52"/>
      <c r="AF159" s="53">
        <f t="shared" si="57"/>
        <v>91.237619999999978</v>
      </c>
      <c r="AI159" s="122">
        <v>45968</v>
      </c>
      <c r="AJ159" s="123">
        <v>1079.42</v>
      </c>
      <c r="AK159" s="125"/>
      <c r="AL159" s="126"/>
      <c r="AN159" s="51"/>
      <c r="AO159" s="52"/>
      <c r="AP159" s="52"/>
      <c r="AQ159" s="53">
        <f t="shared" si="58"/>
        <v>0</v>
      </c>
      <c r="AS159" s="122">
        <v>45968</v>
      </c>
      <c r="AT159" s="123">
        <v>5551.44</v>
      </c>
      <c r="AU159" s="125"/>
      <c r="AV159" s="128"/>
      <c r="AX159" s="51"/>
      <c r="AY159" s="52"/>
      <c r="AZ159" s="52"/>
      <c r="BA159" s="53">
        <f t="shared" si="59"/>
        <v>0</v>
      </c>
      <c r="BC159" s="122">
        <v>45968</v>
      </c>
      <c r="BD159" s="123">
        <v>2806.76</v>
      </c>
      <c r="BE159" s="125"/>
      <c r="BF159" s="128">
        <v>0</v>
      </c>
      <c r="BH159" s="240">
        <v>9.9920199999999824</v>
      </c>
      <c r="BI159" s="52"/>
      <c r="BJ159" s="52"/>
      <c r="BK159" s="53">
        <f t="shared" si="60"/>
        <v>9.9920199999999824</v>
      </c>
      <c r="BM159" s="122">
        <v>45968</v>
      </c>
      <c r="BN159" s="123">
        <v>14431.04</v>
      </c>
      <c r="BO159" s="123">
        <v>2680.69</v>
      </c>
      <c r="BP159" s="123">
        <v>0</v>
      </c>
      <c r="BQ159" s="125"/>
      <c r="BR159" s="125"/>
      <c r="BT159" s="240">
        <v>186.63425722093211</v>
      </c>
      <c r="BU159" s="53"/>
      <c r="BV159" s="53"/>
      <c r="BW159" s="53">
        <f t="shared" si="54"/>
        <v>186.63425722093211</v>
      </c>
      <c r="BY159" s="122">
        <v>45968</v>
      </c>
      <c r="BZ159" s="256">
        <v>1400.28</v>
      </c>
      <c r="CA159" s="257">
        <v>808.18</v>
      </c>
      <c r="CB159" s="125"/>
      <c r="CC159" s="126"/>
      <c r="CE159" s="51"/>
      <c r="CF159" s="52"/>
      <c r="CG159" s="52"/>
      <c r="CH159" s="53">
        <f t="shared" si="61"/>
        <v>0</v>
      </c>
      <c r="CJ159" s="122">
        <v>45968</v>
      </c>
      <c r="CK159" s="123">
        <v>3760.26</v>
      </c>
      <c r="CL159" s="123">
        <v>698.84</v>
      </c>
      <c r="CM159" s="125"/>
      <c r="CN159" s="126">
        <v>0</v>
      </c>
      <c r="CP159" s="240">
        <v>298.40046999999998</v>
      </c>
      <c r="CQ159" s="52">
        <v>22.645527600000008</v>
      </c>
      <c r="CR159" s="52"/>
      <c r="CS159" s="53">
        <f t="shared" si="62"/>
        <v>321.04599759999996</v>
      </c>
      <c r="CU159" s="122">
        <v>45968</v>
      </c>
      <c r="CV159" s="123">
        <v>12851.16</v>
      </c>
      <c r="CW159" s="127">
        <v>1002.2</v>
      </c>
      <c r="CX159" s="125"/>
      <c r="CY159" s="126">
        <v>261.81</v>
      </c>
      <c r="DA159" s="240">
        <v>36.260000000000019</v>
      </c>
      <c r="DB159" s="435"/>
      <c r="DC159" s="52"/>
      <c r="DD159" s="52"/>
      <c r="DE159" s="53">
        <f t="shared" si="63"/>
        <v>298.07000000000005</v>
      </c>
      <c r="DH159" s="122">
        <v>45968</v>
      </c>
      <c r="DI159" s="123">
        <v>1467.41</v>
      </c>
      <c r="DJ159" s="127">
        <v>463.42</v>
      </c>
      <c r="DK159" s="126">
        <v>0</v>
      </c>
      <c r="DL159" s="127"/>
      <c r="DM159" s="126"/>
      <c r="DO159" s="240">
        <v>29.291219999999953</v>
      </c>
      <c r="DP159" s="52"/>
      <c r="DQ159" s="53"/>
      <c r="DR159" s="53">
        <f t="shared" si="64"/>
        <v>29.291219999999953</v>
      </c>
      <c r="DT159" s="122">
        <v>45968</v>
      </c>
      <c r="DU159" s="123">
        <v>927.31</v>
      </c>
      <c r="DV159" s="127">
        <v>1171</v>
      </c>
      <c r="DW159" s="127"/>
      <c r="DX159" s="126">
        <v>22.18</v>
      </c>
      <c r="DZ159" s="51"/>
      <c r="EA159" s="52"/>
      <c r="EB159" s="52"/>
      <c r="EC159" s="53">
        <f t="shared" si="65"/>
        <v>22.18</v>
      </c>
      <c r="EE159" s="122">
        <v>45968</v>
      </c>
      <c r="EF159" s="123">
        <v>1443.8</v>
      </c>
      <c r="EG159" s="127">
        <v>780.62</v>
      </c>
      <c r="EH159" s="127"/>
      <c r="EI159" s="126">
        <v>7.11</v>
      </c>
      <c r="EK159" s="240">
        <v>599.21333999999979</v>
      </c>
      <c r="EL159" s="435"/>
      <c r="EM159" s="52"/>
      <c r="EN159" s="52"/>
      <c r="EO159" s="53">
        <f t="shared" si="66"/>
        <v>606.3233399999998</v>
      </c>
      <c r="EQ159" s="122">
        <v>45968</v>
      </c>
      <c r="ER159" s="123">
        <v>3619.13</v>
      </c>
      <c r="ES159" s="259">
        <v>248.23</v>
      </c>
      <c r="ET159" s="127"/>
      <c r="EU159" s="258">
        <v>110.61</v>
      </c>
      <c r="EW159" s="240">
        <v>133.8413000000001</v>
      </c>
      <c r="EX159" s="53"/>
      <c r="EY159" s="52"/>
      <c r="EZ159" s="53">
        <f t="shared" si="67"/>
        <v>244.45130000000012</v>
      </c>
      <c r="FB159" s="122">
        <v>45968</v>
      </c>
      <c r="FC159" s="123">
        <v>620</v>
      </c>
      <c r="FD159" s="123">
        <v>214.02</v>
      </c>
      <c r="FE159" s="125"/>
      <c r="FF159" s="126"/>
      <c r="FH159" s="51"/>
      <c r="FI159" s="52"/>
      <c r="FJ159" s="52"/>
      <c r="FK159" s="53">
        <f t="shared" si="68"/>
        <v>0</v>
      </c>
    </row>
    <row r="160" spans="2:167" hidden="1" x14ac:dyDescent="0.25">
      <c r="B160" s="122">
        <v>45969</v>
      </c>
      <c r="C160" s="123">
        <v>12592.25</v>
      </c>
      <c r="D160" s="125"/>
      <c r="E160" s="125"/>
      <c r="F160" s="125">
        <v>0</v>
      </c>
      <c r="H160" s="51"/>
      <c r="I160" s="53"/>
      <c r="J160" s="52"/>
      <c r="K160" s="53">
        <f t="shared" si="55"/>
        <v>0</v>
      </c>
      <c r="M160" s="122">
        <v>45969</v>
      </c>
      <c r="N160" s="123">
        <v>2896.46</v>
      </c>
      <c r="O160" s="125"/>
      <c r="P160" s="126">
        <v>1.52</v>
      </c>
      <c r="R160" s="240"/>
      <c r="S160" s="52"/>
      <c r="T160" s="52"/>
      <c r="U160" s="53">
        <f t="shared" si="56"/>
        <v>1.52</v>
      </c>
      <c r="W160" s="122">
        <v>45969</v>
      </c>
      <c r="X160" s="123">
        <v>1681.62</v>
      </c>
      <c r="Y160" s="123">
        <v>440.59</v>
      </c>
      <c r="Z160" s="125"/>
      <c r="AA160" s="123">
        <v>15.36</v>
      </c>
      <c r="AC160" s="240">
        <v>18.40625</v>
      </c>
      <c r="AD160" s="53">
        <v>27.317130299999988</v>
      </c>
      <c r="AE160" s="52"/>
      <c r="AF160" s="53">
        <f t="shared" si="57"/>
        <v>61.083380299999988</v>
      </c>
      <c r="AI160" s="122">
        <v>45969</v>
      </c>
      <c r="AJ160" s="123">
        <v>2005.74</v>
      </c>
      <c r="AK160" s="125"/>
      <c r="AL160" s="126"/>
      <c r="AN160" s="51"/>
      <c r="AO160" s="52"/>
      <c r="AP160" s="52"/>
      <c r="AQ160" s="53">
        <f t="shared" si="58"/>
        <v>0</v>
      </c>
      <c r="AS160" s="122">
        <v>45969</v>
      </c>
      <c r="AT160" s="123">
        <v>3011.26</v>
      </c>
      <c r="AU160" s="125"/>
      <c r="AV160" s="128"/>
      <c r="AX160" s="51"/>
      <c r="AY160" s="52"/>
      <c r="AZ160" s="52"/>
      <c r="BA160" s="53">
        <f t="shared" si="59"/>
        <v>0</v>
      </c>
      <c r="BC160" s="122">
        <v>45969</v>
      </c>
      <c r="BD160" s="123">
        <v>3830.32</v>
      </c>
      <c r="BE160" s="125"/>
      <c r="BF160" s="128">
        <v>7.97</v>
      </c>
      <c r="BH160" s="240">
        <v>20.765789999999981</v>
      </c>
      <c r="BI160" s="52"/>
      <c r="BJ160" s="52"/>
      <c r="BK160" s="53">
        <f t="shared" si="60"/>
        <v>28.73578999999998</v>
      </c>
      <c r="BM160" s="122">
        <v>45969</v>
      </c>
      <c r="BN160" s="123">
        <v>11942.71</v>
      </c>
      <c r="BO160" s="123">
        <v>3042.67</v>
      </c>
      <c r="BP160" s="123">
        <v>0</v>
      </c>
      <c r="BQ160" s="125"/>
      <c r="BR160" s="125"/>
      <c r="BT160" s="240">
        <v>271.74889988045561</v>
      </c>
      <c r="BU160" s="53">
        <v>214.23703350000008</v>
      </c>
      <c r="BV160" s="53"/>
      <c r="BW160" s="53">
        <f t="shared" si="54"/>
        <v>485.98593338045566</v>
      </c>
      <c r="BY160" s="122">
        <v>45969</v>
      </c>
      <c r="BZ160" s="256">
        <v>2633.78</v>
      </c>
      <c r="CA160" s="257">
        <v>1336.99</v>
      </c>
      <c r="CB160" s="125"/>
      <c r="CC160" s="126"/>
      <c r="CE160" s="51"/>
      <c r="CF160" s="52"/>
      <c r="CG160" s="52"/>
      <c r="CH160" s="53">
        <f t="shared" si="61"/>
        <v>0</v>
      </c>
      <c r="CJ160" s="122">
        <v>45969</v>
      </c>
      <c r="CK160" s="123">
        <v>4686.96</v>
      </c>
      <c r="CL160" s="123">
        <v>589.71</v>
      </c>
      <c r="CM160" s="125"/>
      <c r="CN160" s="126">
        <v>5.9</v>
      </c>
      <c r="CP160" s="240">
        <v>3.4524000000000008</v>
      </c>
      <c r="CQ160" s="52">
        <v>28.907060000000001</v>
      </c>
      <c r="CR160" s="52"/>
      <c r="CS160" s="53">
        <f t="shared" si="62"/>
        <v>38.259460000000004</v>
      </c>
      <c r="CU160" s="122">
        <v>45969</v>
      </c>
      <c r="CV160" s="123">
        <v>14296.06</v>
      </c>
      <c r="CW160" s="127">
        <v>700.79</v>
      </c>
      <c r="CX160" s="125"/>
      <c r="CY160" s="126">
        <v>69.87</v>
      </c>
      <c r="DA160" s="240">
        <v>22.54000000000002</v>
      </c>
      <c r="DB160" s="435"/>
      <c r="DC160" s="52"/>
      <c r="DD160" s="52"/>
      <c r="DE160" s="53">
        <f t="shared" si="63"/>
        <v>92.410000000000025</v>
      </c>
      <c r="DH160" s="122">
        <v>45969</v>
      </c>
      <c r="DI160" s="123">
        <v>1263.42</v>
      </c>
      <c r="DJ160" s="127">
        <v>510.89</v>
      </c>
      <c r="DK160" s="126">
        <v>0</v>
      </c>
      <c r="DL160" s="127"/>
      <c r="DM160" s="126"/>
      <c r="DO160" s="240"/>
      <c r="DP160" s="52"/>
      <c r="DQ160" s="53">
        <v>0.45879680000000178</v>
      </c>
      <c r="DR160" s="53">
        <f t="shared" si="64"/>
        <v>0.45879680000000178</v>
      </c>
      <c r="DT160" s="122">
        <v>45969</v>
      </c>
      <c r="DU160" s="123">
        <v>1081.5</v>
      </c>
      <c r="DV160" s="127">
        <v>1025.1199999999999</v>
      </c>
      <c r="DW160" s="127"/>
      <c r="DX160" s="126">
        <v>4.5</v>
      </c>
      <c r="DZ160" s="51"/>
      <c r="EA160" s="52"/>
      <c r="EB160" s="52"/>
      <c r="EC160" s="53">
        <f t="shared" si="65"/>
        <v>4.5</v>
      </c>
      <c r="EE160" s="122">
        <v>45969</v>
      </c>
      <c r="EF160" s="123">
        <v>801.63</v>
      </c>
      <c r="EG160" s="127">
        <v>783.36</v>
      </c>
      <c r="EH160" s="127"/>
      <c r="EI160" s="126">
        <v>4.9000000000000004</v>
      </c>
      <c r="EK160" s="240">
        <v>268.17713999999995</v>
      </c>
      <c r="EL160" s="435"/>
      <c r="EM160" s="52">
        <v>36.414008999999993</v>
      </c>
      <c r="EN160" s="52"/>
      <c r="EO160" s="53">
        <f t="shared" si="66"/>
        <v>309.49114899999995</v>
      </c>
      <c r="EQ160" s="122">
        <v>45969</v>
      </c>
      <c r="ER160" s="123">
        <v>3491.87</v>
      </c>
      <c r="ES160" s="259">
        <v>362.75</v>
      </c>
      <c r="ET160" s="127"/>
      <c r="EU160" s="258">
        <v>543.09</v>
      </c>
      <c r="EW160" s="240">
        <v>79.584290000000024</v>
      </c>
      <c r="EX160" s="53"/>
      <c r="EY160" s="52"/>
      <c r="EZ160" s="53">
        <f t="shared" si="67"/>
        <v>622.67429000000004</v>
      </c>
      <c r="FB160" s="122">
        <v>45969</v>
      </c>
      <c r="FC160" s="123">
        <v>610.29999999999995</v>
      </c>
      <c r="FD160" s="123">
        <v>163.54</v>
      </c>
      <c r="FE160" s="125"/>
      <c r="FF160" s="126"/>
      <c r="FH160" s="51"/>
      <c r="FI160" s="52"/>
      <c r="FJ160" s="52"/>
      <c r="FK160" s="53">
        <f t="shared" si="68"/>
        <v>0</v>
      </c>
    </row>
    <row r="161" spans="2:167" hidden="1" x14ac:dyDescent="0.25">
      <c r="B161" s="122">
        <v>45970</v>
      </c>
      <c r="C161" s="123">
        <v>7685.76</v>
      </c>
      <c r="D161" s="125"/>
      <c r="E161" s="125"/>
      <c r="F161" s="125">
        <v>0</v>
      </c>
      <c r="H161" s="51"/>
      <c r="I161" s="53"/>
      <c r="J161" s="52"/>
      <c r="K161" s="53">
        <f t="shared" si="55"/>
        <v>0</v>
      </c>
      <c r="M161" s="122">
        <v>45970</v>
      </c>
      <c r="N161" s="126">
        <v>2292.0100000000002</v>
      </c>
      <c r="O161" s="125"/>
      <c r="P161" s="126">
        <v>0</v>
      </c>
      <c r="R161" s="240"/>
      <c r="S161" s="52"/>
      <c r="T161" s="52"/>
      <c r="U161" s="53">
        <f t="shared" si="56"/>
        <v>0</v>
      </c>
      <c r="W161" s="122">
        <v>45970</v>
      </c>
      <c r="X161" s="123">
        <v>698.65</v>
      </c>
      <c r="Y161" s="123">
        <v>270.52999999999997</v>
      </c>
      <c r="Z161" s="125"/>
      <c r="AA161" s="123">
        <v>2.0099999999999998</v>
      </c>
      <c r="AC161" s="240"/>
      <c r="AD161" s="53"/>
      <c r="AE161" s="52"/>
      <c r="AF161" s="53">
        <f t="shared" si="57"/>
        <v>2.0099999999999998</v>
      </c>
      <c r="AI161" s="122">
        <v>45970</v>
      </c>
      <c r="AJ161" s="123">
        <v>925.98</v>
      </c>
      <c r="AK161" s="125"/>
      <c r="AL161" s="126"/>
      <c r="AN161" s="51"/>
      <c r="AO161" s="52"/>
      <c r="AP161" s="52"/>
      <c r="AQ161" s="53">
        <f t="shared" si="58"/>
        <v>0</v>
      </c>
      <c r="AS161" s="122">
        <v>45970</v>
      </c>
      <c r="AT161" s="123">
        <v>3913.99</v>
      </c>
      <c r="AU161" s="125"/>
      <c r="AV161" s="128"/>
      <c r="AX161" s="51"/>
      <c r="AY161" s="52"/>
      <c r="AZ161" s="52"/>
      <c r="BA161" s="53">
        <f t="shared" si="59"/>
        <v>0</v>
      </c>
      <c r="BC161" s="122">
        <v>45970</v>
      </c>
      <c r="BD161" s="123">
        <v>2190.02</v>
      </c>
      <c r="BE161" s="125"/>
      <c r="BF161" s="128">
        <v>10.1</v>
      </c>
      <c r="BH161" s="240"/>
      <c r="BI161" s="52"/>
      <c r="BJ161" s="52"/>
      <c r="BK161" s="53">
        <f t="shared" si="60"/>
        <v>10.1</v>
      </c>
      <c r="BM161" s="122">
        <v>45970</v>
      </c>
      <c r="BN161" s="123">
        <v>12216.93</v>
      </c>
      <c r="BO161" s="123">
        <v>2452.4699999999998</v>
      </c>
      <c r="BP161" s="123">
        <v>0</v>
      </c>
      <c r="BQ161" s="125"/>
      <c r="BR161" s="125"/>
      <c r="BT161" s="240">
        <v>275.38775216138333</v>
      </c>
      <c r="BU161" s="53"/>
      <c r="BV161" s="53"/>
      <c r="BW161" s="53">
        <f t="shared" si="54"/>
        <v>275.38775216138333</v>
      </c>
      <c r="BY161" s="122">
        <v>45970</v>
      </c>
      <c r="BZ161" s="256">
        <v>1277.9100000000001</v>
      </c>
      <c r="CA161" s="257">
        <v>900.14</v>
      </c>
      <c r="CB161" s="125"/>
      <c r="CC161" s="126"/>
      <c r="CE161" s="51"/>
      <c r="CF161" s="52"/>
      <c r="CG161" s="52"/>
      <c r="CH161" s="53">
        <f t="shared" si="61"/>
        <v>0</v>
      </c>
      <c r="CJ161" s="122">
        <v>45970</v>
      </c>
      <c r="CK161" s="123">
        <v>2543.1</v>
      </c>
      <c r="CL161" s="123">
        <v>883.03</v>
      </c>
      <c r="CM161" s="125"/>
      <c r="CN161" s="126">
        <v>0</v>
      </c>
      <c r="CP161" s="240">
        <v>60.206869999999995</v>
      </c>
      <c r="CQ161" s="52">
        <v>29.523320399999989</v>
      </c>
      <c r="CR161" s="52"/>
      <c r="CS161" s="53">
        <f t="shared" si="62"/>
        <v>89.730190399999984</v>
      </c>
      <c r="CU161" s="122">
        <v>45970</v>
      </c>
      <c r="CV161" s="123">
        <v>2674.58</v>
      </c>
      <c r="CW161" s="127">
        <v>731.87</v>
      </c>
      <c r="CX161" s="125"/>
      <c r="CY161" s="128">
        <v>83.53</v>
      </c>
      <c r="DA161" s="240"/>
      <c r="DB161" s="435"/>
      <c r="DC161" s="52"/>
      <c r="DD161" s="52"/>
      <c r="DE161" s="53">
        <f t="shared" si="63"/>
        <v>83.53</v>
      </c>
      <c r="DH161" s="122">
        <v>45970</v>
      </c>
      <c r="DI161" s="123">
        <v>1120.82</v>
      </c>
      <c r="DJ161" s="127">
        <v>383.75</v>
      </c>
      <c r="DK161" s="126">
        <v>0</v>
      </c>
      <c r="DL161" s="127"/>
      <c r="DM161" s="126"/>
      <c r="DO161" s="240">
        <v>18.363679999999988</v>
      </c>
      <c r="DP161" s="52"/>
      <c r="DQ161" s="53"/>
      <c r="DR161" s="53">
        <f t="shared" si="64"/>
        <v>18.363679999999988</v>
      </c>
      <c r="DT161" s="122">
        <v>45970</v>
      </c>
      <c r="DU161" s="123">
        <v>1100.78</v>
      </c>
      <c r="DV161" s="127">
        <v>932.95</v>
      </c>
      <c r="DW161" s="127"/>
      <c r="DX161" s="126">
        <v>13.2</v>
      </c>
      <c r="DZ161" s="51"/>
      <c r="EA161" s="52"/>
      <c r="EB161" s="52"/>
      <c r="EC161" s="53">
        <f t="shared" si="65"/>
        <v>13.2</v>
      </c>
      <c r="EE161" s="122">
        <v>45970</v>
      </c>
      <c r="EF161" s="123">
        <v>622.96</v>
      </c>
      <c r="EG161" s="127">
        <v>445.78</v>
      </c>
      <c r="EH161" s="127"/>
      <c r="EI161" s="126">
        <v>2.72</v>
      </c>
      <c r="EK161" s="240">
        <v>274.45850999999993</v>
      </c>
      <c r="EL161" s="435"/>
      <c r="EM161" s="52">
        <v>47.608000000000004</v>
      </c>
      <c r="EN161" s="52"/>
      <c r="EO161" s="53">
        <f t="shared" si="66"/>
        <v>324.78650999999996</v>
      </c>
      <c r="EQ161" s="122">
        <v>45970</v>
      </c>
      <c r="ER161" s="123">
        <v>2785.07</v>
      </c>
      <c r="ES161" s="259">
        <v>177.09</v>
      </c>
      <c r="ET161" s="127"/>
      <c r="EU161" s="258">
        <v>0</v>
      </c>
      <c r="EW161" s="240"/>
      <c r="EX161" s="53">
        <v>84.790141800000129</v>
      </c>
      <c r="EY161" s="52"/>
      <c r="EZ161" s="53">
        <f t="shared" si="67"/>
        <v>84.790141800000129</v>
      </c>
      <c r="FB161" s="122">
        <v>45970</v>
      </c>
      <c r="FC161" s="123">
        <v>612.79999999999995</v>
      </c>
      <c r="FD161" s="123">
        <v>45</v>
      </c>
      <c r="FE161" s="125"/>
      <c r="FF161" s="126"/>
      <c r="FH161" s="51"/>
      <c r="FI161" s="52"/>
      <c r="FJ161" s="52"/>
      <c r="FK161" s="53">
        <f t="shared" si="68"/>
        <v>0</v>
      </c>
    </row>
    <row r="162" spans="2:167" hidden="1" x14ac:dyDescent="0.25">
      <c r="B162" s="122">
        <v>45971</v>
      </c>
      <c r="C162" s="123">
        <v>10842.16</v>
      </c>
      <c r="D162" s="125"/>
      <c r="E162" s="125"/>
      <c r="F162" s="125">
        <v>29</v>
      </c>
      <c r="H162" s="51"/>
      <c r="I162" s="53"/>
      <c r="J162" s="52"/>
      <c r="K162" s="53">
        <f t="shared" si="55"/>
        <v>29</v>
      </c>
      <c r="M162" s="122">
        <v>45971</v>
      </c>
      <c r="N162" s="123">
        <v>2855.44</v>
      </c>
      <c r="O162" s="125"/>
      <c r="P162" s="126">
        <v>14.21</v>
      </c>
      <c r="R162" s="240"/>
      <c r="S162" s="52"/>
      <c r="T162" s="52"/>
      <c r="U162" s="53">
        <f t="shared" si="56"/>
        <v>14.21</v>
      </c>
      <c r="W162" s="122">
        <v>45971</v>
      </c>
      <c r="X162" s="123">
        <v>2182.0500000000002</v>
      </c>
      <c r="Y162" s="123">
        <v>260.32</v>
      </c>
      <c r="Z162" s="125"/>
      <c r="AA162" s="123">
        <v>28.67</v>
      </c>
      <c r="AC162" s="240"/>
      <c r="AD162" s="53">
        <v>16.826582999999999</v>
      </c>
      <c r="AE162" s="52"/>
      <c r="AF162" s="53">
        <f t="shared" si="57"/>
        <v>45.496583000000001</v>
      </c>
      <c r="AI162" s="122">
        <v>45971</v>
      </c>
      <c r="AJ162" s="123">
        <v>1655.94</v>
      </c>
      <c r="AK162" s="125"/>
      <c r="AL162" s="126"/>
      <c r="AN162" s="51"/>
      <c r="AO162" s="52"/>
      <c r="AP162" s="52"/>
      <c r="AQ162" s="53">
        <f t="shared" si="58"/>
        <v>0</v>
      </c>
      <c r="AS162" s="122">
        <v>45971</v>
      </c>
      <c r="AT162" s="123">
        <v>3423.12</v>
      </c>
      <c r="AU162" s="125"/>
      <c r="AV162" s="128"/>
      <c r="AX162" s="51"/>
      <c r="AY162" s="52"/>
      <c r="AZ162" s="52"/>
      <c r="BA162" s="53">
        <f t="shared" si="59"/>
        <v>0</v>
      </c>
      <c r="BC162" s="122">
        <v>45971</v>
      </c>
      <c r="BD162" s="123">
        <v>2742.33</v>
      </c>
      <c r="BE162" s="125"/>
      <c r="BF162" s="128">
        <v>0</v>
      </c>
      <c r="BH162" s="240"/>
      <c r="BI162" s="52"/>
      <c r="BJ162" s="52"/>
      <c r="BK162" s="53">
        <f t="shared" si="60"/>
        <v>0</v>
      </c>
      <c r="BM162" s="122">
        <v>45971</v>
      </c>
      <c r="BN162" s="123">
        <v>11798.88</v>
      </c>
      <c r="BO162" s="123">
        <v>3530.76</v>
      </c>
      <c r="BP162" s="123">
        <v>0</v>
      </c>
      <c r="BQ162" s="125"/>
      <c r="BR162" s="125"/>
      <c r="BT162" s="240">
        <v>157.53892000000002</v>
      </c>
      <c r="BU162" s="53">
        <v>449.64819549999993</v>
      </c>
      <c r="BV162" s="53"/>
      <c r="BW162" s="53">
        <f t="shared" si="54"/>
        <v>607.18711549999989</v>
      </c>
      <c r="BY162" s="122">
        <v>45971</v>
      </c>
      <c r="BZ162" s="256">
        <v>1872.35</v>
      </c>
      <c r="CA162" s="257">
        <v>433.92</v>
      </c>
      <c r="CB162" s="125"/>
      <c r="CC162" s="126"/>
      <c r="CE162" s="51"/>
      <c r="CF162" s="52"/>
      <c r="CG162" s="52"/>
      <c r="CH162" s="53">
        <f t="shared" si="61"/>
        <v>0</v>
      </c>
      <c r="CJ162" s="122">
        <v>45971</v>
      </c>
      <c r="CK162" s="123">
        <v>6802.26</v>
      </c>
      <c r="CL162" s="123">
        <v>703.85</v>
      </c>
      <c r="CM162" s="125"/>
      <c r="CN162" s="126">
        <v>43.77</v>
      </c>
      <c r="CP162" s="240">
        <v>80.937280000000001</v>
      </c>
      <c r="CQ162" s="52">
        <v>12.283000000000015</v>
      </c>
      <c r="CR162" s="52"/>
      <c r="CS162" s="53">
        <f t="shared" si="62"/>
        <v>136.99028000000001</v>
      </c>
      <c r="CU162" s="122">
        <v>45971</v>
      </c>
      <c r="CV162" s="123">
        <v>9161.65</v>
      </c>
      <c r="CW162" s="127">
        <v>1700.92</v>
      </c>
      <c r="CX162" s="125"/>
      <c r="CY162" s="128">
        <v>109.77</v>
      </c>
      <c r="DA162" s="240"/>
      <c r="DB162" s="435"/>
      <c r="DC162" s="52"/>
      <c r="DD162" s="52"/>
      <c r="DE162" s="53">
        <f t="shared" si="63"/>
        <v>109.77</v>
      </c>
      <c r="DH162" s="122">
        <v>45971</v>
      </c>
      <c r="DI162" s="123">
        <v>1546.49</v>
      </c>
      <c r="DJ162" s="127">
        <v>339.47</v>
      </c>
      <c r="DK162" s="126">
        <v>0</v>
      </c>
      <c r="DL162" s="127"/>
      <c r="DM162" s="126"/>
      <c r="DO162" s="240">
        <v>34.805620000000005</v>
      </c>
      <c r="DP162" s="52"/>
      <c r="DQ162" s="53"/>
      <c r="DR162" s="53">
        <f t="shared" si="64"/>
        <v>34.805620000000005</v>
      </c>
      <c r="DT162" s="122">
        <v>45971</v>
      </c>
      <c r="DU162" s="123">
        <v>1694.58</v>
      </c>
      <c r="DV162" s="127">
        <v>1235.6300000000001</v>
      </c>
      <c r="DW162" s="127"/>
      <c r="DX162" s="126">
        <v>66.760000000000005</v>
      </c>
      <c r="DZ162" s="51"/>
      <c r="EA162" s="52">
        <v>21.361737600000026</v>
      </c>
      <c r="EB162" s="52"/>
      <c r="EC162" s="53">
        <f t="shared" si="65"/>
        <v>88.121737600000031</v>
      </c>
      <c r="EE162" s="122">
        <v>45971</v>
      </c>
      <c r="EF162" s="123">
        <v>827.36</v>
      </c>
      <c r="EG162" s="127">
        <v>969.73</v>
      </c>
      <c r="EH162" s="127"/>
      <c r="EI162" s="126">
        <v>5.93</v>
      </c>
      <c r="EK162" s="240">
        <v>853.58001999999976</v>
      </c>
      <c r="EL162" s="435"/>
      <c r="EM162" s="52"/>
      <c r="EN162" s="52"/>
      <c r="EO162" s="53">
        <f t="shared" si="66"/>
        <v>859.51001999999971</v>
      </c>
      <c r="EQ162" s="122">
        <v>45971</v>
      </c>
      <c r="ER162" s="123">
        <v>1940.6</v>
      </c>
      <c r="ES162" s="259">
        <v>243.42</v>
      </c>
      <c r="ET162" s="127"/>
      <c r="EU162" s="258">
        <v>148.72</v>
      </c>
      <c r="EW162" s="240">
        <v>24.961500000000058</v>
      </c>
      <c r="EX162" s="53"/>
      <c r="EY162" s="52"/>
      <c r="EZ162" s="53">
        <f t="shared" si="67"/>
        <v>173.68150000000006</v>
      </c>
      <c r="FB162" s="122">
        <v>45971</v>
      </c>
      <c r="FC162" s="123">
        <v>802.25</v>
      </c>
      <c r="FD162" s="123">
        <v>190.5</v>
      </c>
      <c r="FE162" s="125"/>
      <c r="FF162" s="126"/>
      <c r="FH162" s="51"/>
      <c r="FI162" s="52"/>
      <c r="FJ162" s="52"/>
      <c r="FK162" s="53">
        <f t="shared" si="68"/>
        <v>0</v>
      </c>
    </row>
    <row r="163" spans="2:167" hidden="1" x14ac:dyDescent="0.25">
      <c r="B163" s="122">
        <v>45972</v>
      </c>
      <c r="C163" s="123">
        <v>9819.0400000000009</v>
      </c>
      <c r="D163" s="126"/>
      <c r="E163" s="125"/>
      <c r="F163" s="126">
        <v>0</v>
      </c>
      <c r="H163" s="51"/>
      <c r="I163" s="53"/>
      <c r="J163" s="52"/>
      <c r="K163" s="53">
        <f t="shared" si="55"/>
        <v>0</v>
      </c>
      <c r="M163" s="122">
        <v>45972</v>
      </c>
      <c r="N163" s="123">
        <v>2650.17</v>
      </c>
      <c r="O163" s="125"/>
      <c r="P163" s="126">
        <v>23.9</v>
      </c>
      <c r="R163" s="240"/>
      <c r="S163" s="52"/>
      <c r="T163" s="52"/>
      <c r="U163" s="53">
        <f t="shared" si="56"/>
        <v>23.9</v>
      </c>
      <c r="W163" s="122">
        <v>45972</v>
      </c>
      <c r="X163" s="123">
        <v>2700.27</v>
      </c>
      <c r="Y163" s="123">
        <v>186.03</v>
      </c>
      <c r="Z163" s="125"/>
      <c r="AA163" s="123">
        <v>11.18</v>
      </c>
      <c r="AC163" s="240"/>
      <c r="AD163" s="53"/>
      <c r="AE163" s="52"/>
      <c r="AF163" s="53">
        <f t="shared" si="57"/>
        <v>11.18</v>
      </c>
      <c r="AI163" s="122">
        <v>45972</v>
      </c>
      <c r="AJ163" s="123">
        <v>1851.42</v>
      </c>
      <c r="AK163" s="125"/>
      <c r="AL163" s="126"/>
      <c r="AN163" s="51"/>
      <c r="AO163" s="52"/>
      <c r="AP163" s="52"/>
      <c r="AQ163" s="53">
        <f t="shared" si="58"/>
        <v>0</v>
      </c>
      <c r="AS163" s="122">
        <v>45972</v>
      </c>
      <c r="AT163" s="123">
        <v>3775.26</v>
      </c>
      <c r="AU163" s="125"/>
      <c r="AV163" s="128"/>
      <c r="AX163" s="51"/>
      <c r="AY163" s="52"/>
      <c r="AZ163" s="52"/>
      <c r="BA163" s="53">
        <f t="shared" si="59"/>
        <v>0</v>
      </c>
      <c r="BC163" s="122">
        <v>45972</v>
      </c>
      <c r="BD163" s="123">
        <v>4241.8100000000004</v>
      </c>
      <c r="BE163" s="125"/>
      <c r="BF163" s="128">
        <v>0</v>
      </c>
      <c r="BH163" s="240">
        <v>11.823740000000015</v>
      </c>
      <c r="BI163" s="52"/>
      <c r="BJ163" s="52"/>
      <c r="BK163" s="53">
        <f t="shared" si="60"/>
        <v>11.823740000000015</v>
      </c>
      <c r="BM163" s="122">
        <v>45972</v>
      </c>
      <c r="BN163" s="123">
        <v>12759.85</v>
      </c>
      <c r="BO163" s="123">
        <v>3583.32</v>
      </c>
      <c r="BP163" s="123">
        <v>0</v>
      </c>
      <c r="BQ163" s="125"/>
      <c r="BR163" s="125"/>
      <c r="BT163" s="240">
        <v>65.156376482030169</v>
      </c>
      <c r="BU163" s="53"/>
      <c r="BV163" s="53"/>
      <c r="BW163" s="53">
        <f t="shared" si="54"/>
        <v>65.156376482030169</v>
      </c>
      <c r="BY163" s="122">
        <v>45972</v>
      </c>
      <c r="BZ163" s="256">
        <v>802.4</v>
      </c>
      <c r="CA163" s="257">
        <v>771.91</v>
      </c>
      <c r="CB163" s="125"/>
      <c r="CC163" s="126"/>
      <c r="CE163" s="51"/>
      <c r="CF163" s="52">
        <v>26.30790309999999</v>
      </c>
      <c r="CG163" s="52"/>
      <c r="CH163" s="53">
        <f t="shared" si="61"/>
        <v>26.30790309999999</v>
      </c>
      <c r="CJ163" s="122">
        <v>45972</v>
      </c>
      <c r="CK163" s="123">
        <v>5259.34</v>
      </c>
      <c r="CL163" s="123">
        <v>913.33</v>
      </c>
      <c r="CM163" s="125"/>
      <c r="CN163" s="126">
        <v>26.37</v>
      </c>
      <c r="CP163" s="240">
        <v>21.23462</v>
      </c>
      <c r="CQ163" s="52"/>
      <c r="CR163" s="52"/>
      <c r="CS163" s="53">
        <f t="shared" si="62"/>
        <v>47.604619999999997</v>
      </c>
      <c r="CU163" s="122">
        <v>45972</v>
      </c>
      <c r="CV163" s="123">
        <v>7016.59</v>
      </c>
      <c r="CW163" s="127">
        <v>1514.72</v>
      </c>
      <c r="CX163" s="125"/>
      <c r="CY163" s="128">
        <v>72.95</v>
      </c>
      <c r="DA163" s="240"/>
      <c r="DB163" s="435"/>
      <c r="DC163" s="52"/>
      <c r="DD163" s="52"/>
      <c r="DE163" s="53">
        <f t="shared" si="63"/>
        <v>72.95</v>
      </c>
      <c r="DH163" s="122">
        <v>45972</v>
      </c>
      <c r="DI163" s="123">
        <v>1083.96</v>
      </c>
      <c r="DJ163" s="127">
        <v>242.9</v>
      </c>
      <c r="DK163" s="126">
        <v>0</v>
      </c>
      <c r="DL163" s="127"/>
      <c r="DM163" s="126"/>
      <c r="DO163" s="240">
        <v>44.565999999999946</v>
      </c>
      <c r="DP163" s="52"/>
      <c r="DQ163" s="53"/>
      <c r="DR163" s="53">
        <f t="shared" si="64"/>
        <v>44.565999999999946</v>
      </c>
      <c r="DT163" s="122">
        <v>45972</v>
      </c>
      <c r="DU163" s="123">
        <v>1834.8</v>
      </c>
      <c r="DV163" s="127">
        <v>1602.71</v>
      </c>
      <c r="DW163" s="127"/>
      <c r="DX163" s="126">
        <v>33.409999999999997</v>
      </c>
      <c r="DZ163" s="51"/>
      <c r="EA163" s="52"/>
      <c r="EB163" s="52"/>
      <c r="EC163" s="53">
        <f t="shared" si="65"/>
        <v>33.409999999999997</v>
      </c>
      <c r="EE163" s="122">
        <v>45972</v>
      </c>
      <c r="EF163" s="123">
        <v>1149.98</v>
      </c>
      <c r="EG163" s="127">
        <v>576.1</v>
      </c>
      <c r="EH163" s="127"/>
      <c r="EI163" s="126">
        <v>7.64</v>
      </c>
      <c r="EK163" s="240">
        <v>823.40558999999985</v>
      </c>
      <c r="EL163" s="435"/>
      <c r="EM163" s="52"/>
      <c r="EN163" s="52"/>
      <c r="EO163" s="53">
        <f t="shared" si="66"/>
        <v>831.04558999999983</v>
      </c>
      <c r="EQ163" s="122">
        <v>45972</v>
      </c>
      <c r="ER163" s="123">
        <v>5650.51</v>
      </c>
      <c r="ES163" s="259">
        <v>483.59</v>
      </c>
      <c r="ET163" s="127"/>
      <c r="EU163" s="258">
        <v>234.94</v>
      </c>
      <c r="EW163" s="240">
        <v>64.033450000000002</v>
      </c>
      <c r="EX163" s="53"/>
      <c r="EY163" s="52"/>
      <c r="EZ163" s="53">
        <f t="shared" si="67"/>
        <v>298.97345000000001</v>
      </c>
      <c r="FB163" s="122">
        <v>45972</v>
      </c>
      <c r="FC163" s="123">
        <v>820.75</v>
      </c>
      <c r="FD163" s="123">
        <v>269.02</v>
      </c>
      <c r="FE163" s="125"/>
      <c r="FF163" s="126"/>
      <c r="FH163" s="51"/>
      <c r="FI163" s="52"/>
      <c r="FJ163" s="52"/>
      <c r="FK163" s="53">
        <f t="shared" si="68"/>
        <v>0</v>
      </c>
    </row>
    <row r="164" spans="2:167" hidden="1" x14ac:dyDescent="0.25">
      <c r="B164" s="122">
        <v>45973</v>
      </c>
      <c r="C164" s="123">
        <v>13284.05</v>
      </c>
      <c r="D164" s="125"/>
      <c r="E164" s="125"/>
      <c r="F164" s="125">
        <v>88.37</v>
      </c>
      <c r="H164" s="51"/>
      <c r="I164" s="53"/>
      <c r="J164" s="52"/>
      <c r="K164" s="53">
        <f t="shared" si="55"/>
        <v>88.37</v>
      </c>
      <c r="M164" s="122">
        <v>45973</v>
      </c>
      <c r="N164" s="123">
        <v>3534.79</v>
      </c>
      <c r="O164" s="125"/>
      <c r="P164" s="126">
        <v>15.55</v>
      </c>
      <c r="R164" s="240"/>
      <c r="S164" s="52"/>
      <c r="T164" s="52"/>
      <c r="U164" s="53">
        <f t="shared" si="56"/>
        <v>15.55</v>
      </c>
      <c r="W164" s="122">
        <v>45973</v>
      </c>
      <c r="X164" s="123">
        <v>2945.06</v>
      </c>
      <c r="Y164" s="123">
        <v>40.04</v>
      </c>
      <c r="Z164" s="125"/>
      <c r="AA164" s="123">
        <v>19.05</v>
      </c>
      <c r="AC164" s="240"/>
      <c r="AD164" s="53"/>
      <c r="AE164" s="52"/>
      <c r="AF164" s="53">
        <f t="shared" si="57"/>
        <v>19.05</v>
      </c>
      <c r="AI164" s="122">
        <v>45973</v>
      </c>
      <c r="AJ164" s="123">
        <v>2149.17</v>
      </c>
      <c r="AK164" s="125"/>
      <c r="AL164" s="126"/>
      <c r="AN164" s="51"/>
      <c r="AO164" s="52"/>
      <c r="AP164" s="52"/>
      <c r="AQ164" s="53">
        <f t="shared" si="58"/>
        <v>0</v>
      </c>
      <c r="AS164" s="122">
        <v>45973</v>
      </c>
      <c r="AT164" s="123">
        <v>2834.9</v>
      </c>
      <c r="AU164" s="125"/>
      <c r="AV164" s="128"/>
      <c r="AX164" s="51"/>
      <c r="AY164" s="52"/>
      <c r="AZ164" s="52"/>
      <c r="BA164" s="53">
        <f t="shared" si="59"/>
        <v>0</v>
      </c>
      <c r="BC164" s="122">
        <v>45973</v>
      </c>
      <c r="BD164" s="123">
        <v>3048.29</v>
      </c>
      <c r="BE164" s="125"/>
      <c r="BF164" s="128">
        <v>0</v>
      </c>
      <c r="BH164" s="240"/>
      <c r="BI164" s="52"/>
      <c r="BJ164" s="52"/>
      <c r="BK164" s="53">
        <f t="shared" si="60"/>
        <v>0</v>
      </c>
      <c r="BM164" s="122">
        <v>45973</v>
      </c>
      <c r="BN164" s="123">
        <v>13442.5</v>
      </c>
      <c r="BO164" s="123">
        <v>2893.09</v>
      </c>
      <c r="BP164" s="123">
        <v>3981.3</v>
      </c>
      <c r="BQ164" s="125"/>
      <c r="BR164" s="125"/>
      <c r="BT164" s="240">
        <v>230.64796999999999</v>
      </c>
      <c r="BU164" s="53">
        <v>181.40999999999997</v>
      </c>
      <c r="BV164" s="53"/>
      <c r="BW164" s="53">
        <f t="shared" si="54"/>
        <v>412.05796999999995</v>
      </c>
      <c r="BY164" s="122">
        <v>45973</v>
      </c>
      <c r="BZ164" s="256">
        <v>1059.6199999999999</v>
      </c>
      <c r="CA164" s="257">
        <v>672.42</v>
      </c>
      <c r="CB164" s="125"/>
      <c r="CC164" s="126"/>
      <c r="CE164" s="51"/>
      <c r="CF164" s="52"/>
      <c r="CG164" s="52"/>
      <c r="CH164" s="53">
        <f t="shared" si="61"/>
        <v>0</v>
      </c>
      <c r="CJ164" s="122">
        <v>45973</v>
      </c>
      <c r="CK164" s="123">
        <v>5160.7700000000004</v>
      </c>
      <c r="CL164" s="123">
        <v>698.76</v>
      </c>
      <c r="CM164" s="125"/>
      <c r="CN164" s="126">
        <v>15.01</v>
      </c>
      <c r="CP164" s="240">
        <v>121.82836999999998</v>
      </c>
      <c r="CQ164" s="52"/>
      <c r="CR164" s="52"/>
      <c r="CS164" s="53">
        <f t="shared" si="62"/>
        <v>136.83836999999997</v>
      </c>
      <c r="CU164" s="122">
        <v>45973</v>
      </c>
      <c r="CV164" s="123">
        <v>7795.93</v>
      </c>
      <c r="CW164" s="127">
        <v>1119.22</v>
      </c>
      <c r="CX164" s="125"/>
      <c r="CY164" s="128">
        <v>70.319999999999993</v>
      </c>
      <c r="DA164" s="240">
        <v>270.35000000000002</v>
      </c>
      <c r="DB164" s="435"/>
      <c r="DC164" s="52"/>
      <c r="DD164" s="52"/>
      <c r="DE164" s="53">
        <f t="shared" si="63"/>
        <v>340.67</v>
      </c>
      <c r="DH164" s="122">
        <v>45973</v>
      </c>
      <c r="DI164" s="123">
        <v>2082.83</v>
      </c>
      <c r="DJ164" s="127">
        <v>231.91</v>
      </c>
      <c r="DK164" s="126">
        <v>0</v>
      </c>
      <c r="DL164" s="127"/>
      <c r="DM164" s="126"/>
      <c r="DO164" s="240">
        <v>15.349059999999994</v>
      </c>
      <c r="DP164" s="52"/>
      <c r="DQ164" s="53"/>
      <c r="DR164" s="53">
        <f t="shared" si="64"/>
        <v>15.349059999999994</v>
      </c>
      <c r="DT164" s="122">
        <v>45973</v>
      </c>
      <c r="DU164" s="123">
        <v>2712.51</v>
      </c>
      <c r="DV164" s="127">
        <v>961.77</v>
      </c>
      <c r="DW164" s="127"/>
      <c r="DX164" s="126">
        <v>61.73</v>
      </c>
      <c r="DZ164" s="51"/>
      <c r="EA164" s="52"/>
      <c r="EB164" s="52"/>
      <c r="EC164" s="53">
        <f t="shared" si="65"/>
        <v>61.73</v>
      </c>
      <c r="EE164" s="122">
        <v>45973</v>
      </c>
      <c r="EF164" s="123">
        <v>781.68</v>
      </c>
      <c r="EG164" s="127">
        <v>900.1</v>
      </c>
      <c r="EH164" s="127"/>
      <c r="EI164" s="126">
        <v>4.18</v>
      </c>
      <c r="EK164" s="240">
        <v>854.47747999999967</v>
      </c>
      <c r="EL164" s="435"/>
      <c r="EM164" s="52">
        <v>66.334953999999982</v>
      </c>
      <c r="EN164" s="52"/>
      <c r="EO164" s="53">
        <f t="shared" si="66"/>
        <v>924.99243399999955</v>
      </c>
      <c r="EQ164" s="122">
        <v>45973</v>
      </c>
      <c r="ER164" s="123">
        <v>4970.1099999999997</v>
      </c>
      <c r="ES164" s="259">
        <v>301.88</v>
      </c>
      <c r="ET164" s="127"/>
      <c r="EU164" s="258">
        <v>102.67</v>
      </c>
      <c r="EW164" s="240">
        <v>64.181370000000015</v>
      </c>
      <c r="EX164" s="53"/>
      <c r="EY164" s="52"/>
      <c r="EZ164" s="53">
        <f t="shared" si="67"/>
        <v>166.85137000000003</v>
      </c>
      <c r="FB164" s="122">
        <v>45973</v>
      </c>
      <c r="FC164" s="123">
        <v>800.8</v>
      </c>
      <c r="FD164" s="123">
        <v>178</v>
      </c>
      <c r="FE164" s="125"/>
      <c r="FF164" s="126"/>
      <c r="FH164" s="51"/>
      <c r="FI164" s="52"/>
      <c r="FJ164" s="52"/>
      <c r="FK164" s="53">
        <f t="shared" si="68"/>
        <v>0</v>
      </c>
    </row>
    <row r="165" spans="2:167" hidden="1" x14ac:dyDescent="0.25">
      <c r="B165" s="122">
        <v>45974</v>
      </c>
      <c r="C165" s="123">
        <v>10490.64</v>
      </c>
      <c r="D165" s="125"/>
      <c r="E165" s="125"/>
      <c r="F165" s="125">
        <v>0</v>
      </c>
      <c r="H165" s="51"/>
      <c r="I165" s="53"/>
      <c r="J165" s="52"/>
      <c r="K165" s="53">
        <f t="shared" si="55"/>
        <v>0</v>
      </c>
      <c r="M165" s="122">
        <v>45974</v>
      </c>
      <c r="N165" s="123">
        <v>2556.0500000000002</v>
      </c>
      <c r="O165" s="125"/>
      <c r="P165" s="126">
        <v>0</v>
      </c>
      <c r="R165" s="240">
        <v>66.600000000000023</v>
      </c>
      <c r="S165" s="52"/>
      <c r="T165" s="52"/>
      <c r="U165" s="53">
        <f t="shared" si="56"/>
        <v>66.600000000000023</v>
      </c>
      <c r="W165" s="122">
        <v>45974</v>
      </c>
      <c r="X165" s="123">
        <v>1174.8399999999999</v>
      </c>
      <c r="Y165" s="123">
        <v>173.84</v>
      </c>
      <c r="Z165" s="125"/>
      <c r="AA165" s="123">
        <v>5.0999999999999996</v>
      </c>
      <c r="AC165" s="240">
        <v>27.587999999999994</v>
      </c>
      <c r="AD165" s="53"/>
      <c r="AE165" s="52"/>
      <c r="AF165" s="53">
        <f t="shared" si="57"/>
        <v>32.687999999999995</v>
      </c>
      <c r="AI165" s="122">
        <v>45974</v>
      </c>
      <c r="AJ165" s="123">
        <v>1209.01</v>
      </c>
      <c r="AK165" s="125"/>
      <c r="AL165" s="126"/>
      <c r="AN165" s="51"/>
      <c r="AO165" s="52"/>
      <c r="AP165" s="52"/>
      <c r="AQ165" s="53">
        <f t="shared" si="58"/>
        <v>0</v>
      </c>
      <c r="AS165" s="122">
        <v>45974</v>
      </c>
      <c r="AT165" s="123">
        <v>3771.53</v>
      </c>
      <c r="AU165" s="125"/>
      <c r="AV165" s="128"/>
      <c r="AX165" s="51"/>
      <c r="AY165" s="52"/>
      <c r="AZ165" s="52"/>
      <c r="BA165" s="53">
        <f t="shared" si="59"/>
        <v>0</v>
      </c>
      <c r="BC165" s="122">
        <v>45974</v>
      </c>
      <c r="BD165" s="123">
        <v>2569.8200000000002</v>
      </c>
      <c r="BE165" s="125"/>
      <c r="BF165" s="128">
        <v>0</v>
      </c>
      <c r="BH165" s="240">
        <v>3.7743200000000172</v>
      </c>
      <c r="BI165" s="52"/>
      <c r="BJ165" s="52"/>
      <c r="BK165" s="53">
        <f t="shared" si="60"/>
        <v>3.7743200000000172</v>
      </c>
      <c r="BM165" s="122">
        <v>45974</v>
      </c>
      <c r="BN165" s="123">
        <v>14636.37</v>
      </c>
      <c r="BO165" s="123">
        <v>2949.98</v>
      </c>
      <c r="BP165" s="123">
        <v>0</v>
      </c>
      <c r="BQ165" s="125"/>
      <c r="BR165" s="125"/>
      <c r="BT165" s="240">
        <v>19.017014409221908</v>
      </c>
      <c r="BU165" s="53">
        <v>87.076799999999935</v>
      </c>
      <c r="BV165" s="53"/>
      <c r="BW165" s="53">
        <f t="shared" si="54"/>
        <v>106.09381440922184</v>
      </c>
      <c r="BY165" s="122">
        <v>45974</v>
      </c>
      <c r="BZ165" s="256">
        <v>923</v>
      </c>
      <c r="CA165" s="257">
        <v>655.22</v>
      </c>
      <c r="CB165" s="125"/>
      <c r="CC165" s="126"/>
      <c r="CE165" s="51"/>
      <c r="CF165" s="52"/>
      <c r="CG165" s="52"/>
      <c r="CH165" s="53">
        <f t="shared" si="61"/>
        <v>0</v>
      </c>
      <c r="CJ165" s="122">
        <v>45974</v>
      </c>
      <c r="CK165" s="123">
        <v>5832.29</v>
      </c>
      <c r="CL165" s="123">
        <v>563.66</v>
      </c>
      <c r="CM165" s="125"/>
      <c r="CN165" s="126">
        <v>20.059999999999999</v>
      </c>
      <c r="CP165" s="240">
        <v>101.40847999999994</v>
      </c>
      <c r="CQ165" s="52"/>
      <c r="CR165" s="52"/>
      <c r="CS165" s="53">
        <f t="shared" si="62"/>
        <v>121.46847999999994</v>
      </c>
      <c r="CU165" s="122">
        <v>45974</v>
      </c>
      <c r="CV165" s="123">
        <v>9475.19</v>
      </c>
      <c r="CW165" s="127">
        <v>1240.4100000000001</v>
      </c>
      <c r="CX165" s="125"/>
      <c r="CY165" s="128">
        <v>336.04</v>
      </c>
      <c r="DA165" s="240">
        <v>44.680000000000042</v>
      </c>
      <c r="DB165" s="435"/>
      <c r="DC165" s="52"/>
      <c r="DD165" s="52"/>
      <c r="DE165" s="53">
        <f t="shared" si="63"/>
        <v>380.72000000000008</v>
      </c>
      <c r="DH165" s="122">
        <v>45974</v>
      </c>
      <c r="DI165" s="123">
        <v>1445.28</v>
      </c>
      <c r="DJ165" s="127">
        <v>302.16000000000003</v>
      </c>
      <c r="DK165" s="126">
        <v>0</v>
      </c>
      <c r="DL165" s="127"/>
      <c r="DM165" s="126"/>
      <c r="DO165" s="240">
        <v>15.696719999999999</v>
      </c>
      <c r="DP165" s="52"/>
      <c r="DQ165" s="53"/>
      <c r="DR165" s="53">
        <f t="shared" si="64"/>
        <v>15.696719999999999</v>
      </c>
      <c r="DT165" s="122">
        <v>45974</v>
      </c>
      <c r="DU165" s="123">
        <v>4260.91</v>
      </c>
      <c r="DV165" s="127">
        <v>1249.72</v>
      </c>
      <c r="DW165" s="127"/>
      <c r="DX165" s="126">
        <v>101.49</v>
      </c>
      <c r="DZ165" s="51"/>
      <c r="EA165" s="52"/>
      <c r="EB165" s="52"/>
      <c r="EC165" s="53">
        <f t="shared" si="65"/>
        <v>101.49</v>
      </c>
      <c r="EE165" s="122">
        <v>45974</v>
      </c>
      <c r="EF165" s="123">
        <v>941.1</v>
      </c>
      <c r="EG165" s="127">
        <v>876.22</v>
      </c>
      <c r="EH165" s="127"/>
      <c r="EI165" s="126">
        <v>5.74</v>
      </c>
      <c r="EK165" s="240">
        <v>679.7398199999999</v>
      </c>
      <c r="EL165" s="435"/>
      <c r="EM165" s="52"/>
      <c r="EN165" s="52"/>
      <c r="EO165" s="53">
        <f t="shared" si="66"/>
        <v>685.4798199999999</v>
      </c>
      <c r="EQ165" s="122">
        <v>45974</v>
      </c>
      <c r="ER165" s="123">
        <v>4185.2299999999996</v>
      </c>
      <c r="ES165" s="259">
        <v>622.64</v>
      </c>
      <c r="ET165" s="127"/>
      <c r="EU165" s="258">
        <v>134.47999999999999</v>
      </c>
      <c r="EW165" s="240">
        <v>4.9133699999999969</v>
      </c>
      <c r="EX165" s="53"/>
      <c r="EY165" s="52"/>
      <c r="EZ165" s="53">
        <f t="shared" si="67"/>
        <v>139.39336999999998</v>
      </c>
      <c r="FB165" s="122">
        <v>45974</v>
      </c>
      <c r="FC165" s="123">
        <v>837.95</v>
      </c>
      <c r="FD165" s="123">
        <v>229.27</v>
      </c>
      <c r="FE165" s="125"/>
      <c r="FF165" s="126"/>
      <c r="FH165" s="51"/>
      <c r="FI165" s="52"/>
      <c r="FJ165" s="52"/>
      <c r="FK165" s="53">
        <f t="shared" si="68"/>
        <v>0</v>
      </c>
    </row>
    <row r="166" spans="2:167" hidden="1" x14ac:dyDescent="0.25">
      <c r="B166" s="122">
        <v>45975</v>
      </c>
      <c r="C166" s="123">
        <v>12891.32</v>
      </c>
      <c r="D166" s="125"/>
      <c r="E166" s="125"/>
      <c r="F166" s="123">
        <v>0</v>
      </c>
      <c r="H166" s="51"/>
      <c r="I166" s="53">
        <v>30.783284999999921</v>
      </c>
      <c r="J166" s="52"/>
      <c r="K166" s="53">
        <f t="shared" si="55"/>
        <v>30.783284999999921</v>
      </c>
      <c r="M166" s="122">
        <v>45975</v>
      </c>
      <c r="N166" s="123">
        <v>3683.95</v>
      </c>
      <c r="O166" s="125"/>
      <c r="P166" s="126">
        <v>36.29</v>
      </c>
      <c r="R166" s="240"/>
      <c r="S166" s="52"/>
      <c r="T166" s="52"/>
      <c r="U166" s="53">
        <f t="shared" si="56"/>
        <v>36.29</v>
      </c>
      <c r="W166" s="122">
        <v>45975</v>
      </c>
      <c r="X166" s="123">
        <v>1871.95</v>
      </c>
      <c r="Y166" s="123">
        <v>76.03</v>
      </c>
      <c r="Z166" s="125"/>
      <c r="AA166" s="123">
        <v>9.68</v>
      </c>
      <c r="AC166" s="240"/>
      <c r="AD166" s="53"/>
      <c r="AE166" s="52"/>
      <c r="AF166" s="53">
        <f t="shared" si="57"/>
        <v>9.68</v>
      </c>
      <c r="AI166" s="122">
        <v>45975</v>
      </c>
      <c r="AJ166" s="123">
        <v>1497.6</v>
      </c>
      <c r="AK166" s="125"/>
      <c r="AL166" s="126"/>
      <c r="AN166" s="51"/>
      <c r="AO166" s="52"/>
      <c r="AP166" s="52"/>
      <c r="AQ166" s="53">
        <f t="shared" si="58"/>
        <v>0</v>
      </c>
      <c r="AS166" s="122">
        <v>45975</v>
      </c>
      <c r="AT166" s="123">
        <v>3972.58</v>
      </c>
      <c r="AU166" s="125"/>
      <c r="AV166" s="128"/>
      <c r="AX166" s="51"/>
      <c r="AY166" s="52"/>
      <c r="AZ166" s="52"/>
      <c r="BA166" s="53">
        <f t="shared" si="59"/>
        <v>0</v>
      </c>
      <c r="BC166" s="122">
        <v>45975</v>
      </c>
      <c r="BD166" s="123">
        <v>2018.11</v>
      </c>
      <c r="BE166" s="125"/>
      <c r="BF166" s="128">
        <v>2.95</v>
      </c>
      <c r="BH166" s="240">
        <v>10.307680000000005</v>
      </c>
      <c r="BI166" s="52"/>
      <c r="BJ166" s="52"/>
      <c r="BK166" s="53">
        <f t="shared" si="60"/>
        <v>13.257680000000004</v>
      </c>
      <c r="BM166" s="122">
        <v>45975</v>
      </c>
      <c r="BN166" s="123">
        <v>12862.73</v>
      </c>
      <c r="BO166" s="123">
        <v>3311.05</v>
      </c>
      <c r="BP166" s="123">
        <v>9090.68</v>
      </c>
      <c r="BQ166" s="125"/>
      <c r="BR166" s="125"/>
      <c r="BT166" s="240">
        <v>336.85147157794285</v>
      </c>
      <c r="BU166" s="53">
        <v>406.39200000000005</v>
      </c>
      <c r="BV166" s="53"/>
      <c r="BW166" s="53">
        <f t="shared" si="54"/>
        <v>743.24347157794296</v>
      </c>
      <c r="BY166" s="122">
        <v>45975</v>
      </c>
      <c r="BZ166" s="256">
        <v>1143.93</v>
      </c>
      <c r="CA166" s="257">
        <v>457.16</v>
      </c>
      <c r="CB166" s="125"/>
      <c r="CC166" s="126"/>
      <c r="CE166" s="51"/>
      <c r="CF166" s="52"/>
      <c r="CG166" s="52"/>
      <c r="CH166" s="53">
        <f t="shared" si="61"/>
        <v>0</v>
      </c>
      <c r="CJ166" s="122">
        <v>45975</v>
      </c>
      <c r="CK166" s="123">
        <v>5523.14</v>
      </c>
      <c r="CL166" s="123">
        <v>477.17</v>
      </c>
      <c r="CM166" s="125"/>
      <c r="CN166" s="126">
        <v>3.18</v>
      </c>
      <c r="CP166" s="240">
        <v>219.93166999999985</v>
      </c>
      <c r="CQ166" s="52">
        <v>19.67852400000001</v>
      </c>
      <c r="CR166" s="52"/>
      <c r="CS166" s="53">
        <f t="shared" si="62"/>
        <v>242.79019399999987</v>
      </c>
      <c r="CU166" s="122">
        <v>45975</v>
      </c>
      <c r="CV166" s="123">
        <v>6700.55</v>
      </c>
      <c r="CW166" s="127">
        <v>1624.18</v>
      </c>
      <c r="CX166" s="125"/>
      <c r="CY166" s="128">
        <v>148.99</v>
      </c>
      <c r="DA166" s="240"/>
      <c r="DB166" s="435"/>
      <c r="DC166" s="52"/>
      <c r="DD166" s="52"/>
      <c r="DE166" s="53">
        <f t="shared" si="63"/>
        <v>148.99</v>
      </c>
      <c r="DH166" s="122">
        <v>45975</v>
      </c>
      <c r="DI166" s="123">
        <v>2397.1999999999998</v>
      </c>
      <c r="DJ166" s="127">
        <v>356.27</v>
      </c>
      <c r="DK166" s="126">
        <v>0</v>
      </c>
      <c r="DL166" s="127"/>
      <c r="DM166" s="126"/>
      <c r="DO166" s="240"/>
      <c r="DP166" s="52"/>
      <c r="DQ166" s="53"/>
      <c r="DR166" s="53">
        <f t="shared" si="64"/>
        <v>0</v>
      </c>
      <c r="DT166" s="122">
        <v>45975</v>
      </c>
      <c r="DU166" s="123">
        <v>2206.48</v>
      </c>
      <c r="DV166" s="127">
        <v>1016.97</v>
      </c>
      <c r="DW166" s="127"/>
      <c r="DX166" s="126">
        <v>33.04</v>
      </c>
      <c r="DZ166" s="51"/>
      <c r="EA166" s="52"/>
      <c r="EB166" s="52"/>
      <c r="EC166" s="53">
        <f t="shared" si="65"/>
        <v>33.04</v>
      </c>
      <c r="EE166" s="122">
        <v>45975</v>
      </c>
      <c r="EF166" s="123">
        <v>1116.74</v>
      </c>
      <c r="EG166" s="127">
        <v>716.09</v>
      </c>
      <c r="EH166" s="127"/>
      <c r="EI166" s="126">
        <v>6.13</v>
      </c>
      <c r="EK166" s="240">
        <v>665.3522999999999</v>
      </c>
      <c r="EL166" s="435"/>
      <c r="EM166" s="52">
        <v>37.554397399999971</v>
      </c>
      <c r="EN166" s="52"/>
      <c r="EO166" s="53">
        <f t="shared" si="66"/>
        <v>709.03669739999987</v>
      </c>
      <c r="EQ166" s="122">
        <v>45975</v>
      </c>
      <c r="ER166" s="123">
        <v>3091</v>
      </c>
      <c r="ES166" s="259">
        <v>440.7</v>
      </c>
      <c r="ET166" s="127"/>
      <c r="EU166" s="258">
        <v>27.4</v>
      </c>
      <c r="EW166" s="240">
        <v>115.03287000000014</v>
      </c>
      <c r="EX166" s="53"/>
      <c r="EY166" s="52"/>
      <c r="EZ166" s="53">
        <f t="shared" si="67"/>
        <v>142.43287000000015</v>
      </c>
      <c r="FB166" s="122">
        <v>45975</v>
      </c>
      <c r="FC166" s="123">
        <v>795.08</v>
      </c>
      <c r="FD166" s="123">
        <v>239.7</v>
      </c>
      <c r="FE166" s="125"/>
      <c r="FF166" s="126"/>
      <c r="FH166" s="51"/>
      <c r="FI166" s="52"/>
      <c r="FJ166" s="52"/>
      <c r="FK166" s="53">
        <f t="shared" si="68"/>
        <v>0</v>
      </c>
    </row>
    <row r="167" spans="2:167" hidden="1" x14ac:dyDescent="0.25">
      <c r="B167" s="122">
        <v>45976</v>
      </c>
      <c r="C167" s="123">
        <v>14999.67</v>
      </c>
      <c r="D167" s="126"/>
      <c r="E167" s="125"/>
      <c r="F167" s="126">
        <v>41.56</v>
      </c>
      <c r="H167" s="51"/>
      <c r="I167" s="53"/>
      <c r="J167" s="52"/>
      <c r="K167" s="53">
        <f t="shared" si="55"/>
        <v>41.56</v>
      </c>
      <c r="M167" s="122">
        <v>45976</v>
      </c>
      <c r="N167" s="123">
        <v>2245.15</v>
      </c>
      <c r="O167" s="125"/>
      <c r="P167" s="126">
        <v>0</v>
      </c>
      <c r="R167" s="240"/>
      <c r="S167" s="52"/>
      <c r="T167" s="52"/>
      <c r="U167" s="53">
        <f t="shared" si="56"/>
        <v>0</v>
      </c>
      <c r="W167" s="122">
        <v>45976</v>
      </c>
      <c r="X167" s="123">
        <v>1597.42</v>
      </c>
      <c r="Y167" s="123">
        <v>105.01</v>
      </c>
      <c r="Z167" s="125"/>
      <c r="AA167" s="123">
        <v>4.1399999999999997</v>
      </c>
      <c r="AC167" s="240"/>
      <c r="AD167" s="53">
        <v>12.728915099999995</v>
      </c>
      <c r="AE167" s="52"/>
      <c r="AF167" s="53">
        <f t="shared" si="57"/>
        <v>16.868915099999995</v>
      </c>
      <c r="AI167" s="122">
        <v>45976</v>
      </c>
      <c r="AJ167" s="123">
        <v>1375.43</v>
      </c>
      <c r="AK167" s="125"/>
      <c r="AL167" s="126"/>
      <c r="AN167" s="51"/>
      <c r="AO167" s="52"/>
      <c r="AP167" s="52"/>
      <c r="AQ167" s="53">
        <f t="shared" si="58"/>
        <v>0</v>
      </c>
      <c r="AS167" s="122">
        <v>45976</v>
      </c>
      <c r="AT167" s="123">
        <v>4842.1400000000003</v>
      </c>
      <c r="AU167" s="125"/>
      <c r="AV167" s="128"/>
      <c r="AX167" s="51"/>
      <c r="AY167" s="52"/>
      <c r="AZ167" s="52"/>
      <c r="BA167" s="53">
        <f t="shared" si="59"/>
        <v>0</v>
      </c>
      <c r="BC167" s="122">
        <v>45976</v>
      </c>
      <c r="BD167" s="123">
        <v>3092.87</v>
      </c>
      <c r="BE167" s="125"/>
      <c r="BF167" s="128">
        <v>2.5499999999999998</v>
      </c>
      <c r="BH167" s="240">
        <v>11.979789999999994</v>
      </c>
      <c r="BI167" s="52"/>
      <c r="BJ167" s="52"/>
      <c r="BK167" s="53">
        <f t="shared" si="60"/>
        <v>14.529789999999995</v>
      </c>
      <c r="BM167" s="122">
        <v>45976</v>
      </c>
      <c r="BN167" s="123">
        <v>16806.39</v>
      </c>
      <c r="BO167" s="123">
        <v>4370.62</v>
      </c>
      <c r="BP167" s="123">
        <v>9362.4599999999991</v>
      </c>
      <c r="BQ167" s="125"/>
      <c r="BR167" s="125"/>
      <c r="BT167" s="240">
        <v>165.15567581031817</v>
      </c>
      <c r="BU167" s="53"/>
      <c r="BV167" s="53"/>
      <c r="BW167" s="53">
        <f t="shared" si="54"/>
        <v>165.15567581031817</v>
      </c>
      <c r="BY167" s="122">
        <v>45976</v>
      </c>
      <c r="BZ167" s="256">
        <v>700</v>
      </c>
      <c r="CA167" s="257">
        <v>945.74</v>
      </c>
      <c r="CB167" s="125"/>
      <c r="CC167" s="126"/>
      <c r="CE167" s="51"/>
      <c r="CF167" s="52">
        <v>4.1099338000000216</v>
      </c>
      <c r="CG167" s="52"/>
      <c r="CH167" s="53">
        <f t="shared" si="61"/>
        <v>4.1099338000000216</v>
      </c>
      <c r="CJ167" s="122">
        <v>45976</v>
      </c>
      <c r="CK167" s="123">
        <v>5984.81</v>
      </c>
      <c r="CL167" s="123">
        <v>887.5</v>
      </c>
      <c r="CM167" s="125"/>
      <c r="CN167" s="126">
        <v>43.81</v>
      </c>
      <c r="CP167" s="240">
        <v>62.037689999999962</v>
      </c>
      <c r="CQ167" s="52"/>
      <c r="CR167" s="52"/>
      <c r="CS167" s="53">
        <f t="shared" si="62"/>
        <v>105.84768999999997</v>
      </c>
      <c r="CU167" s="122">
        <v>45976</v>
      </c>
      <c r="CV167" s="123">
        <v>5455.08</v>
      </c>
      <c r="CW167" s="127">
        <v>1029.5999999999999</v>
      </c>
      <c r="CX167" s="125"/>
      <c r="CY167" s="128">
        <v>57.46</v>
      </c>
      <c r="DA167" s="240"/>
      <c r="DB167" s="435"/>
      <c r="DC167" s="52"/>
      <c r="DD167" s="52"/>
      <c r="DE167" s="53">
        <f t="shared" si="63"/>
        <v>57.46</v>
      </c>
      <c r="DH167" s="122">
        <v>45976</v>
      </c>
      <c r="DI167" s="123">
        <v>3218.62</v>
      </c>
      <c r="DJ167" s="127">
        <v>808.57</v>
      </c>
      <c r="DK167" s="127">
        <v>771.39</v>
      </c>
      <c r="DL167" s="127"/>
      <c r="DM167" s="126"/>
      <c r="DO167" s="240">
        <v>19.771799999999999</v>
      </c>
      <c r="DP167" s="52"/>
      <c r="DQ167" s="53"/>
      <c r="DR167" s="53">
        <f t="shared" si="64"/>
        <v>19.771799999999999</v>
      </c>
      <c r="DT167" s="122">
        <v>45976</v>
      </c>
      <c r="DU167" s="123">
        <v>1239.96</v>
      </c>
      <c r="DV167" s="127">
        <v>1226.29</v>
      </c>
      <c r="DW167" s="127"/>
      <c r="DX167" s="126">
        <v>10.199999999999999</v>
      </c>
      <c r="DZ167" s="51"/>
      <c r="EA167" s="52"/>
      <c r="EB167" s="52"/>
      <c r="EC167" s="53">
        <f t="shared" si="65"/>
        <v>10.199999999999999</v>
      </c>
      <c r="EE167" s="122">
        <v>45976</v>
      </c>
      <c r="EF167" s="123">
        <v>1410.94</v>
      </c>
      <c r="EG167" s="127">
        <v>798.67</v>
      </c>
      <c r="EH167" s="127"/>
      <c r="EI167" s="126">
        <v>3.03</v>
      </c>
      <c r="EK167" s="240">
        <v>300.94131999999991</v>
      </c>
      <c r="EL167" s="435"/>
      <c r="EM167" s="52"/>
      <c r="EN167" s="52"/>
      <c r="EO167" s="53">
        <f t="shared" si="66"/>
        <v>303.97131999999988</v>
      </c>
      <c r="EQ167" s="122">
        <v>45976</v>
      </c>
      <c r="ER167" s="123">
        <v>4063.44</v>
      </c>
      <c r="ES167" s="259">
        <v>145.93</v>
      </c>
      <c r="ET167" s="127"/>
      <c r="EU167" s="258">
        <v>59.53</v>
      </c>
      <c r="EW167" s="240">
        <v>123.09983999999994</v>
      </c>
      <c r="EX167" s="53"/>
      <c r="EY167" s="52"/>
      <c r="EZ167" s="53">
        <f t="shared" si="67"/>
        <v>182.62983999999994</v>
      </c>
      <c r="FB167" s="122">
        <v>45976</v>
      </c>
      <c r="FC167" s="123">
        <v>1130.74</v>
      </c>
      <c r="FD167" s="123">
        <v>132.19999999999999</v>
      </c>
      <c r="FE167" s="125"/>
      <c r="FF167" s="126"/>
      <c r="FH167" s="51"/>
      <c r="FI167" s="52"/>
      <c r="FJ167" s="52"/>
      <c r="FK167" s="53">
        <f t="shared" si="68"/>
        <v>0</v>
      </c>
    </row>
    <row r="168" spans="2:167" hidden="1" x14ac:dyDescent="0.25">
      <c r="B168" s="122">
        <v>45977</v>
      </c>
      <c r="C168" s="123">
        <v>10183.01</v>
      </c>
      <c r="D168" s="125"/>
      <c r="E168" s="125"/>
      <c r="F168" s="125">
        <v>0</v>
      </c>
      <c r="H168" s="51"/>
      <c r="I168" s="53"/>
      <c r="J168" s="52"/>
      <c r="K168" s="53">
        <f t="shared" si="55"/>
        <v>0</v>
      </c>
      <c r="M168" s="122">
        <v>45977</v>
      </c>
      <c r="N168" s="123">
        <v>2678.2</v>
      </c>
      <c r="O168" s="125"/>
      <c r="P168" s="126">
        <v>17.11</v>
      </c>
      <c r="R168" s="240"/>
      <c r="S168" s="52"/>
      <c r="T168" s="52"/>
      <c r="U168" s="53">
        <f t="shared" si="56"/>
        <v>17.11</v>
      </c>
      <c r="W168" s="122">
        <v>45977</v>
      </c>
      <c r="X168" s="123">
        <v>3537.29</v>
      </c>
      <c r="Y168" s="123">
        <v>183.27</v>
      </c>
      <c r="Z168" s="125"/>
      <c r="AA168" s="123">
        <v>1.19</v>
      </c>
      <c r="AC168" s="240"/>
      <c r="AD168" s="53">
        <v>8.3350081999999972</v>
      </c>
      <c r="AE168" s="52"/>
      <c r="AF168" s="53">
        <f t="shared" si="57"/>
        <v>9.5250081999999967</v>
      </c>
      <c r="AI168" s="122">
        <v>45977</v>
      </c>
      <c r="AJ168" s="123">
        <v>833.63</v>
      </c>
      <c r="AK168" s="125"/>
      <c r="AL168" s="126"/>
      <c r="AN168" s="51"/>
      <c r="AO168" s="52"/>
      <c r="AP168" s="52"/>
      <c r="AQ168" s="53">
        <f t="shared" si="58"/>
        <v>0</v>
      </c>
      <c r="AS168" s="122">
        <v>45977</v>
      </c>
      <c r="AT168" s="123">
        <v>2511.9499999999998</v>
      </c>
      <c r="AU168" s="125"/>
      <c r="AV168" s="128"/>
      <c r="AX168" s="51"/>
      <c r="AY168" s="52"/>
      <c r="AZ168" s="52"/>
      <c r="BA168" s="53">
        <f t="shared" si="59"/>
        <v>0</v>
      </c>
      <c r="BC168" s="122">
        <v>45977</v>
      </c>
      <c r="BD168" s="123">
        <v>1748.04</v>
      </c>
      <c r="BE168" s="125"/>
      <c r="BF168" s="128">
        <v>0</v>
      </c>
      <c r="BH168" s="240"/>
      <c r="BI168" s="52"/>
      <c r="BJ168" s="52"/>
      <c r="BK168" s="53">
        <f t="shared" si="60"/>
        <v>0</v>
      </c>
      <c r="BM168" s="122">
        <v>45977</v>
      </c>
      <c r="BN168" s="123">
        <v>9293.49</v>
      </c>
      <c r="BO168" s="123">
        <v>1776.38</v>
      </c>
      <c r="BP168" s="123">
        <v>4899.05</v>
      </c>
      <c r="BQ168" s="125"/>
      <c r="BR168" s="125"/>
      <c r="BT168" s="240">
        <v>81.664743967039414</v>
      </c>
      <c r="BU168" s="53"/>
      <c r="BV168" s="53"/>
      <c r="BW168" s="53">
        <f t="shared" si="54"/>
        <v>81.664743967039414</v>
      </c>
      <c r="BY168" s="122">
        <v>45977</v>
      </c>
      <c r="BZ168" s="256">
        <v>1060.25</v>
      </c>
      <c r="CA168" s="257">
        <v>1118.0899999999999</v>
      </c>
      <c r="CB168" s="125"/>
      <c r="CC168" s="126"/>
      <c r="CE168" s="51"/>
      <c r="CF168" s="52"/>
      <c r="CG168" s="52"/>
      <c r="CH168" s="53">
        <f t="shared" si="61"/>
        <v>0</v>
      </c>
      <c r="CJ168" s="122">
        <v>45977</v>
      </c>
      <c r="CK168" s="123">
        <v>3900.62</v>
      </c>
      <c r="CL168" s="123">
        <v>730.1</v>
      </c>
      <c r="CM168" s="125"/>
      <c r="CN168" s="126">
        <v>15.86</v>
      </c>
      <c r="CP168" s="240">
        <v>36.041509999999988</v>
      </c>
      <c r="CQ168" s="52"/>
      <c r="CR168" s="52"/>
      <c r="CS168" s="53">
        <f t="shared" si="62"/>
        <v>51.901509999999988</v>
      </c>
      <c r="CU168" s="122">
        <v>45977</v>
      </c>
      <c r="CV168" s="123">
        <v>1553.75</v>
      </c>
      <c r="CW168" s="127">
        <v>710.07</v>
      </c>
      <c r="CX168" s="125"/>
      <c r="CY168" s="128">
        <v>38.22</v>
      </c>
      <c r="DA168" s="240">
        <v>874.00000000000136</v>
      </c>
      <c r="DB168" s="435"/>
      <c r="DC168" s="52"/>
      <c r="DD168" s="52"/>
      <c r="DE168" s="53">
        <f t="shared" si="63"/>
        <v>912.22000000000139</v>
      </c>
      <c r="DH168" s="122">
        <v>45977</v>
      </c>
      <c r="DI168" s="123">
        <v>2258.0300000000002</v>
      </c>
      <c r="DJ168" s="259">
        <v>246.04</v>
      </c>
      <c r="DK168" s="259">
        <v>530.48</v>
      </c>
      <c r="DL168" s="127"/>
      <c r="DM168" s="126"/>
      <c r="DO168" s="240"/>
      <c r="DP168" s="52"/>
      <c r="DQ168" s="53"/>
      <c r="DR168" s="53">
        <f t="shared" si="64"/>
        <v>0</v>
      </c>
      <c r="DT168" s="122">
        <v>45977</v>
      </c>
      <c r="DU168" s="123">
        <v>716.72</v>
      </c>
      <c r="DV168" s="259">
        <v>1078.9000000000001</v>
      </c>
      <c r="DW168" s="127"/>
      <c r="DX168" s="126">
        <v>48.11</v>
      </c>
      <c r="DZ168" s="51"/>
      <c r="EA168" s="52"/>
      <c r="EB168" s="52"/>
      <c r="EC168" s="53">
        <f t="shared" si="65"/>
        <v>48.11</v>
      </c>
      <c r="EE168" s="122">
        <v>45977</v>
      </c>
      <c r="EF168" s="123">
        <v>945.9</v>
      </c>
      <c r="EG168" s="127">
        <v>274.74</v>
      </c>
      <c r="EH168" s="127"/>
      <c r="EI168" s="126">
        <v>3.45</v>
      </c>
      <c r="EK168" s="240">
        <v>82.729589999999959</v>
      </c>
      <c r="EL168" s="435"/>
      <c r="EM168" s="52"/>
      <c r="EN168" s="52"/>
      <c r="EO168" s="53">
        <f t="shared" si="66"/>
        <v>86.179589999999962</v>
      </c>
      <c r="EQ168" s="122">
        <v>45977</v>
      </c>
      <c r="ER168" s="123">
        <v>3127.55</v>
      </c>
      <c r="ES168" s="259">
        <v>336.25</v>
      </c>
      <c r="ET168" s="127"/>
      <c r="EU168" s="258">
        <v>155.38</v>
      </c>
      <c r="EW168" s="240">
        <v>24.807919999999996</v>
      </c>
      <c r="EX168" s="53"/>
      <c r="EY168" s="52"/>
      <c r="EZ168" s="53">
        <f t="shared" si="67"/>
        <v>180.18791999999999</v>
      </c>
      <c r="FB168" s="122">
        <v>45977</v>
      </c>
      <c r="FC168" s="123">
        <v>980.56</v>
      </c>
      <c r="FD168" s="123">
        <v>119.04</v>
      </c>
      <c r="FE168" s="125"/>
      <c r="FF168" s="126"/>
      <c r="FH168" s="51"/>
      <c r="FI168" s="52"/>
      <c r="FJ168" s="52"/>
      <c r="FK168" s="53">
        <f t="shared" si="68"/>
        <v>0</v>
      </c>
    </row>
    <row r="169" spans="2:167" hidden="1" x14ac:dyDescent="0.25">
      <c r="B169" s="122">
        <v>45978</v>
      </c>
      <c r="C169" s="123">
        <v>13899.85</v>
      </c>
      <c r="D169" s="125"/>
      <c r="E169" s="125"/>
      <c r="F169" s="125">
        <v>2.78</v>
      </c>
      <c r="H169" s="51"/>
      <c r="I169" s="53">
        <v>3.8059049999999957</v>
      </c>
      <c r="J169" s="52"/>
      <c r="K169" s="53">
        <f t="shared" si="55"/>
        <v>6.585904999999995</v>
      </c>
      <c r="M169" s="122">
        <v>45978</v>
      </c>
      <c r="N169" s="123">
        <v>2610.73</v>
      </c>
      <c r="O169" s="125"/>
      <c r="P169" s="126">
        <v>18.27</v>
      </c>
      <c r="R169" s="240"/>
      <c r="S169" s="52"/>
      <c r="T169" s="52"/>
      <c r="U169" s="53">
        <f t="shared" si="56"/>
        <v>18.27</v>
      </c>
      <c r="W169" s="122">
        <v>45978</v>
      </c>
      <c r="X169" s="123">
        <v>1585.46</v>
      </c>
      <c r="Y169" s="123">
        <v>291.07</v>
      </c>
      <c r="Z169" s="125"/>
      <c r="AA169" s="123">
        <v>35.64</v>
      </c>
      <c r="AC169" s="240"/>
      <c r="AD169" s="53">
        <v>6.7884684000000277</v>
      </c>
      <c r="AE169" s="52"/>
      <c r="AF169" s="53">
        <f t="shared" si="57"/>
        <v>42.428468400000028</v>
      </c>
      <c r="AI169" s="122">
        <v>45978</v>
      </c>
      <c r="AJ169" s="123">
        <v>1141.67</v>
      </c>
      <c r="AK169" s="125"/>
      <c r="AL169" s="126"/>
      <c r="AN169" s="51"/>
      <c r="AO169" s="52"/>
      <c r="AP169" s="52"/>
      <c r="AQ169" s="53">
        <f t="shared" si="58"/>
        <v>0</v>
      </c>
      <c r="AS169" s="122">
        <v>45978</v>
      </c>
      <c r="AT169" s="123">
        <v>3705.69</v>
      </c>
      <c r="AU169" s="125"/>
      <c r="AV169" s="128"/>
      <c r="AX169" s="51"/>
      <c r="AY169" s="52"/>
      <c r="AZ169" s="52"/>
      <c r="BA169" s="53">
        <f t="shared" si="59"/>
        <v>0</v>
      </c>
      <c r="BC169" s="122">
        <v>45978</v>
      </c>
      <c r="BD169" s="123">
        <v>2620.91</v>
      </c>
      <c r="BE169" s="125"/>
      <c r="BF169" s="128">
        <v>0</v>
      </c>
      <c r="BH169" s="240"/>
      <c r="BI169" s="52"/>
      <c r="BJ169" s="52"/>
      <c r="BK169" s="53">
        <f t="shared" si="60"/>
        <v>0</v>
      </c>
      <c r="BM169" s="122">
        <v>45978</v>
      </c>
      <c r="BN169" s="123">
        <v>13604.59</v>
      </c>
      <c r="BO169" s="123">
        <v>3455.39</v>
      </c>
      <c r="BP169" s="123">
        <v>8207.16</v>
      </c>
      <c r="BQ169" s="125"/>
      <c r="BR169" s="125"/>
      <c r="BT169" s="240">
        <v>112.39711371052073</v>
      </c>
      <c r="BU169" s="53">
        <v>77.497857399999987</v>
      </c>
      <c r="BV169" s="53"/>
      <c r="BW169" s="53">
        <f t="shared" si="54"/>
        <v>189.89497111052071</v>
      </c>
      <c r="BY169" s="122">
        <v>45978</v>
      </c>
      <c r="BZ169" s="256">
        <v>738.23</v>
      </c>
      <c r="CA169" s="257">
        <v>568.82000000000005</v>
      </c>
      <c r="CB169" s="125"/>
      <c r="CC169" s="126"/>
      <c r="CE169" s="51"/>
      <c r="CF169" s="52"/>
      <c r="CG169" s="52"/>
      <c r="CH169" s="53">
        <f t="shared" si="61"/>
        <v>0</v>
      </c>
      <c r="CJ169" s="122">
        <v>45978</v>
      </c>
      <c r="CK169" s="123">
        <v>5443.79</v>
      </c>
      <c r="CL169" s="123">
        <v>712.13</v>
      </c>
      <c r="CM169" s="125"/>
      <c r="CN169" s="126">
        <v>6.25</v>
      </c>
      <c r="CP169" s="240">
        <v>37.043990000000008</v>
      </c>
      <c r="CQ169" s="52">
        <v>7.1007900000000177</v>
      </c>
      <c r="CR169" s="52"/>
      <c r="CS169" s="53">
        <f t="shared" si="62"/>
        <v>50.394780000000026</v>
      </c>
      <c r="CU169" s="122">
        <v>45978</v>
      </c>
      <c r="CV169" s="123">
        <v>8763.0300000000007</v>
      </c>
      <c r="CW169" s="127">
        <v>1188.5</v>
      </c>
      <c r="CX169" s="125"/>
      <c r="CY169" s="128">
        <v>177.67</v>
      </c>
      <c r="DA169" s="240">
        <v>828.00000000000114</v>
      </c>
      <c r="DB169" s="435"/>
      <c r="DC169" s="52"/>
      <c r="DD169" s="52"/>
      <c r="DE169" s="53">
        <f t="shared" si="63"/>
        <v>1005.6700000000011</v>
      </c>
      <c r="DH169" s="122">
        <v>45978</v>
      </c>
      <c r="DI169" s="123">
        <v>1335.6</v>
      </c>
      <c r="DJ169" s="127">
        <v>203.62</v>
      </c>
      <c r="DK169" s="127">
        <v>1237.72</v>
      </c>
      <c r="DL169" s="127"/>
      <c r="DM169" s="126"/>
      <c r="DO169" s="240">
        <v>13.277879999999953</v>
      </c>
      <c r="DP169" s="52"/>
      <c r="DQ169" s="53"/>
      <c r="DR169" s="53">
        <f t="shared" si="64"/>
        <v>13.277879999999953</v>
      </c>
      <c r="DT169" s="122">
        <v>45978</v>
      </c>
      <c r="DU169" s="123">
        <v>1614.07</v>
      </c>
      <c r="DV169" s="127">
        <v>1398.61</v>
      </c>
      <c r="DW169" s="127"/>
      <c r="DX169" s="126">
        <v>35.65</v>
      </c>
      <c r="DZ169" s="51"/>
      <c r="EA169" s="52">
        <v>15.971012999999999</v>
      </c>
      <c r="EB169" s="52"/>
      <c r="EC169" s="53">
        <f t="shared" si="65"/>
        <v>51.621012999999998</v>
      </c>
      <c r="EE169" s="122">
        <v>45978</v>
      </c>
      <c r="EF169" s="123">
        <v>996.04</v>
      </c>
      <c r="EG169" s="127">
        <v>802.82</v>
      </c>
      <c r="EH169" s="127"/>
      <c r="EI169" s="126">
        <v>4.51</v>
      </c>
      <c r="EK169" s="240">
        <v>778.16447899999969</v>
      </c>
      <c r="EL169" s="435"/>
      <c r="EM169" s="52">
        <v>84.872279999999932</v>
      </c>
      <c r="EN169" s="52"/>
      <c r="EO169" s="53">
        <f t="shared" si="66"/>
        <v>867.54675899999961</v>
      </c>
      <c r="EQ169" s="122">
        <v>45978</v>
      </c>
      <c r="ER169" s="123">
        <v>3501.32</v>
      </c>
      <c r="ES169" s="259">
        <v>280.52</v>
      </c>
      <c r="ET169" s="127"/>
      <c r="EU169" s="258">
        <v>174.05</v>
      </c>
      <c r="EW169" s="240"/>
      <c r="EX169" s="53">
        <v>13.38490800000001</v>
      </c>
      <c r="EY169" s="52"/>
      <c r="EZ169" s="53">
        <f t="shared" si="67"/>
        <v>187.43490800000001</v>
      </c>
      <c r="FB169" s="122">
        <v>45978</v>
      </c>
      <c r="FC169" s="123">
        <v>606.85</v>
      </c>
      <c r="FD169" s="123">
        <v>105.4</v>
      </c>
      <c r="FE169" s="125"/>
      <c r="FF169" s="126"/>
      <c r="FH169" s="51"/>
      <c r="FI169" s="52"/>
      <c r="FJ169" s="52"/>
      <c r="FK169" s="53">
        <f t="shared" si="68"/>
        <v>0</v>
      </c>
    </row>
    <row r="170" spans="2:167" hidden="1" x14ac:dyDescent="0.25">
      <c r="B170" s="122">
        <v>45979</v>
      </c>
      <c r="C170" s="123">
        <v>9698.4699999999993</v>
      </c>
      <c r="D170" s="125"/>
      <c r="E170" s="125"/>
      <c r="F170" s="125">
        <v>0</v>
      </c>
      <c r="H170" s="51"/>
      <c r="I170" s="53"/>
      <c r="J170" s="52"/>
      <c r="K170" s="53">
        <f t="shared" si="55"/>
        <v>0</v>
      </c>
      <c r="M170" s="122">
        <v>45979</v>
      </c>
      <c r="N170" s="123">
        <v>2575.54</v>
      </c>
      <c r="O170" s="125"/>
      <c r="P170" s="126">
        <v>31.7</v>
      </c>
      <c r="R170" s="240"/>
      <c r="S170" s="52"/>
      <c r="T170" s="52"/>
      <c r="U170" s="53">
        <f t="shared" si="56"/>
        <v>31.7</v>
      </c>
      <c r="W170" s="122">
        <v>45979</v>
      </c>
      <c r="X170" s="123">
        <v>1177.8499999999999</v>
      </c>
      <c r="Y170" s="123">
        <v>246.79</v>
      </c>
      <c r="Z170" s="125"/>
      <c r="AA170" s="123">
        <v>5.33</v>
      </c>
      <c r="AC170" s="240"/>
      <c r="AD170" s="53"/>
      <c r="AE170" s="52"/>
      <c r="AF170" s="53">
        <f t="shared" si="57"/>
        <v>5.33</v>
      </c>
      <c r="AI170" s="122">
        <v>45979</v>
      </c>
      <c r="AJ170" s="123">
        <v>907.17</v>
      </c>
      <c r="AK170" s="125"/>
      <c r="AL170" s="126"/>
      <c r="AN170" s="51"/>
      <c r="AO170" s="52"/>
      <c r="AP170" s="52"/>
      <c r="AQ170" s="53">
        <f t="shared" si="58"/>
        <v>0</v>
      </c>
      <c r="AS170" s="122">
        <v>45979</v>
      </c>
      <c r="AT170" s="123">
        <v>3722.44</v>
      </c>
      <c r="AU170" s="125"/>
      <c r="AV170" s="128"/>
      <c r="AX170" s="51"/>
      <c r="AY170" s="52"/>
      <c r="AZ170" s="52"/>
      <c r="BA170" s="53">
        <f t="shared" si="59"/>
        <v>0</v>
      </c>
      <c r="BC170" s="122">
        <v>45979</v>
      </c>
      <c r="BD170" s="123">
        <v>2407.87</v>
      </c>
      <c r="BE170" s="125"/>
      <c r="BF170" s="128">
        <v>0</v>
      </c>
      <c r="BH170" s="240">
        <v>13.180039999999991</v>
      </c>
      <c r="BI170" s="52"/>
      <c r="BJ170" s="52"/>
      <c r="BK170" s="53">
        <f t="shared" si="60"/>
        <v>13.180039999999991</v>
      </c>
      <c r="BM170" s="122">
        <v>45979</v>
      </c>
      <c r="BN170" s="123">
        <v>11500.92</v>
      </c>
      <c r="BO170" s="123">
        <v>3032.52</v>
      </c>
      <c r="BP170" s="123">
        <v>9197.1200000000008</v>
      </c>
      <c r="BQ170" s="125"/>
      <c r="BR170" s="125"/>
      <c r="BT170" s="240">
        <v>211.82809999999989</v>
      </c>
      <c r="BU170" s="53">
        <v>373.55359999999996</v>
      </c>
      <c r="BV170" s="53"/>
      <c r="BW170" s="53">
        <f t="shared" si="54"/>
        <v>585.38169999999991</v>
      </c>
      <c r="BY170" s="122">
        <v>45979</v>
      </c>
      <c r="BZ170" s="256">
        <v>341.7</v>
      </c>
      <c r="CA170" s="257">
        <v>610.48</v>
      </c>
      <c r="CB170" s="125"/>
      <c r="CC170" s="126"/>
      <c r="CE170" s="51"/>
      <c r="CF170" s="52"/>
      <c r="CG170" s="52"/>
      <c r="CH170" s="53">
        <f t="shared" si="61"/>
        <v>0</v>
      </c>
      <c r="CJ170" s="122">
        <v>45979</v>
      </c>
      <c r="CK170" s="123">
        <v>3636.06</v>
      </c>
      <c r="CL170" s="123">
        <v>679.38</v>
      </c>
      <c r="CM170" s="125"/>
      <c r="CN170" s="126">
        <v>0</v>
      </c>
      <c r="CP170" s="240">
        <v>162.01018999999997</v>
      </c>
      <c r="CQ170" s="52">
        <v>4.4477969000000144</v>
      </c>
      <c r="CR170" s="52"/>
      <c r="CS170" s="53">
        <f t="shared" si="62"/>
        <v>166.45798689999998</v>
      </c>
      <c r="CU170" s="122">
        <v>45979</v>
      </c>
      <c r="CV170" s="123">
        <v>9487.9500000000007</v>
      </c>
      <c r="CW170" s="127">
        <v>873.32</v>
      </c>
      <c r="CX170" s="125"/>
      <c r="CY170" s="128">
        <v>146.47999999999999</v>
      </c>
      <c r="DA170" s="240">
        <v>341.07999999999976</v>
      </c>
      <c r="DB170" s="435"/>
      <c r="DC170" s="52"/>
      <c r="DD170" s="52"/>
      <c r="DE170" s="53">
        <f t="shared" si="63"/>
        <v>487.55999999999972</v>
      </c>
      <c r="DH170" s="122">
        <v>45979</v>
      </c>
      <c r="DI170" s="123">
        <v>1721.17</v>
      </c>
      <c r="DJ170" s="127">
        <v>325.07</v>
      </c>
      <c r="DK170" s="127">
        <v>581.23</v>
      </c>
      <c r="DL170" s="127"/>
      <c r="DM170" s="126"/>
      <c r="DO170" s="240">
        <v>32.223959999999991</v>
      </c>
      <c r="DP170" s="52"/>
      <c r="DQ170" s="53"/>
      <c r="DR170" s="53">
        <f t="shared" si="64"/>
        <v>32.223959999999991</v>
      </c>
      <c r="DT170" s="122">
        <v>45979</v>
      </c>
      <c r="DU170" s="123">
        <v>920.82</v>
      </c>
      <c r="DV170" s="127">
        <v>445.72</v>
      </c>
      <c r="DW170" s="127"/>
      <c r="DX170" s="126">
        <v>17.920000000000002</v>
      </c>
      <c r="DZ170" s="51"/>
      <c r="EA170" s="52"/>
      <c r="EB170" s="52"/>
      <c r="EC170" s="53">
        <f t="shared" si="65"/>
        <v>17.920000000000002</v>
      </c>
      <c r="EE170" s="122">
        <v>45979</v>
      </c>
      <c r="EF170" s="123">
        <v>924.26</v>
      </c>
      <c r="EG170" s="127">
        <v>517.42999999999995</v>
      </c>
      <c r="EH170" s="127"/>
      <c r="EI170" s="126">
        <v>7.66</v>
      </c>
      <c r="EK170" s="240">
        <v>637.72937999999976</v>
      </c>
      <c r="EL170" s="435"/>
      <c r="EM170" s="52"/>
      <c r="EN170" s="52"/>
      <c r="EO170" s="53">
        <f t="shared" si="66"/>
        <v>645.38937999999973</v>
      </c>
      <c r="EQ170" s="122">
        <v>45979</v>
      </c>
      <c r="ER170" s="123">
        <v>2504.59</v>
      </c>
      <c r="ES170" s="259">
        <v>224.54</v>
      </c>
      <c r="ET170" s="127"/>
      <c r="EU170" s="258">
        <v>134.43</v>
      </c>
      <c r="EW170" s="240"/>
      <c r="EX170" s="53"/>
      <c r="EY170" s="52"/>
      <c r="EZ170" s="53">
        <f t="shared" si="67"/>
        <v>134.43</v>
      </c>
      <c r="FB170" s="122">
        <v>45979</v>
      </c>
      <c r="FC170" s="123">
        <v>802.37</v>
      </c>
      <c r="FD170" s="123">
        <v>320.2</v>
      </c>
      <c r="FE170" s="125"/>
      <c r="FF170" s="126"/>
      <c r="FH170" s="51"/>
      <c r="FI170" s="52"/>
      <c r="FJ170" s="52"/>
      <c r="FK170" s="53">
        <f t="shared" si="68"/>
        <v>0</v>
      </c>
    </row>
    <row r="171" spans="2:167" hidden="1" x14ac:dyDescent="0.25">
      <c r="B171" s="122">
        <v>45980</v>
      </c>
      <c r="C171" s="123">
        <v>11892.62</v>
      </c>
      <c r="D171" s="125"/>
      <c r="E171" s="125"/>
      <c r="F171" s="125">
        <v>5.3</v>
      </c>
      <c r="H171" s="51"/>
      <c r="I171" s="53"/>
      <c r="J171" s="52"/>
      <c r="K171" s="53">
        <f t="shared" si="55"/>
        <v>5.3</v>
      </c>
      <c r="M171" s="122">
        <v>45980</v>
      </c>
      <c r="N171" s="123">
        <v>3056.86</v>
      </c>
      <c r="O171" s="125"/>
      <c r="P171" s="126">
        <v>0</v>
      </c>
      <c r="R171" s="240"/>
      <c r="S171" s="52"/>
      <c r="T171" s="52"/>
      <c r="U171" s="53">
        <f t="shared" si="56"/>
        <v>0</v>
      </c>
      <c r="W171" s="122">
        <v>45980</v>
      </c>
      <c r="X171" s="123">
        <v>2271.27</v>
      </c>
      <c r="Y171" s="123">
        <v>215.1</v>
      </c>
      <c r="Z171" s="125"/>
      <c r="AA171" s="123">
        <v>3.33</v>
      </c>
      <c r="AC171" s="240"/>
      <c r="AD171" s="53"/>
      <c r="AE171" s="52"/>
      <c r="AF171" s="53">
        <f t="shared" si="57"/>
        <v>3.33</v>
      </c>
      <c r="AI171" s="122">
        <v>45980</v>
      </c>
      <c r="AJ171" s="123">
        <v>1459.73</v>
      </c>
      <c r="AK171" s="125"/>
      <c r="AL171" s="126"/>
      <c r="AN171" s="51"/>
      <c r="AO171" s="52"/>
      <c r="AP171" s="52"/>
      <c r="AQ171" s="53">
        <f t="shared" si="58"/>
        <v>0</v>
      </c>
      <c r="AS171" s="122">
        <v>45980</v>
      </c>
      <c r="AT171" s="123">
        <v>3079.02</v>
      </c>
      <c r="AU171" s="125"/>
      <c r="AV171" s="128"/>
      <c r="AX171" s="51"/>
      <c r="AY171" s="52"/>
      <c r="AZ171" s="52"/>
      <c r="BA171" s="53">
        <f t="shared" si="59"/>
        <v>0</v>
      </c>
      <c r="BC171" s="122">
        <v>45980</v>
      </c>
      <c r="BD171" s="123">
        <v>4285.2299999999996</v>
      </c>
      <c r="BE171" s="125"/>
      <c r="BF171" s="128">
        <v>0</v>
      </c>
      <c r="BH171" s="240">
        <v>31.896850000000001</v>
      </c>
      <c r="BI171" s="52"/>
      <c r="BJ171" s="52"/>
      <c r="BK171" s="53">
        <f t="shared" si="60"/>
        <v>31.896850000000001</v>
      </c>
      <c r="BM171" s="122">
        <v>45980</v>
      </c>
      <c r="BN171" s="123">
        <v>15255.14</v>
      </c>
      <c r="BO171" s="123">
        <v>2917.97</v>
      </c>
      <c r="BP171" s="123">
        <v>9844.51</v>
      </c>
      <c r="BQ171" s="125"/>
      <c r="BR171" s="125"/>
      <c r="BT171" s="240">
        <v>129.3042722423491</v>
      </c>
      <c r="BU171" s="53">
        <v>193.44740000000002</v>
      </c>
      <c r="BV171" s="53"/>
      <c r="BW171" s="53">
        <f t="shared" si="54"/>
        <v>322.75167224234912</v>
      </c>
      <c r="BY171" s="122">
        <v>45980</v>
      </c>
      <c r="BZ171" s="256">
        <v>884.93</v>
      </c>
      <c r="CA171" s="260">
        <v>860.49</v>
      </c>
      <c r="CB171" s="125"/>
      <c r="CC171" s="126"/>
      <c r="CE171" s="51"/>
      <c r="CF171" s="52"/>
      <c r="CG171" s="52"/>
      <c r="CH171" s="53">
        <f t="shared" si="61"/>
        <v>0</v>
      </c>
      <c r="CJ171" s="122">
        <v>45980</v>
      </c>
      <c r="CK171" s="123">
        <v>4659.59</v>
      </c>
      <c r="CL171" s="123">
        <v>492.68</v>
      </c>
      <c r="CM171" s="125"/>
      <c r="CN171" s="126">
        <v>38.979999999999997</v>
      </c>
      <c r="CP171" s="240">
        <v>63.009010000000011</v>
      </c>
      <c r="CQ171" s="52">
        <v>12.296362500000015</v>
      </c>
      <c r="CR171" s="52"/>
      <c r="CS171" s="53">
        <f t="shared" si="62"/>
        <v>114.28537250000002</v>
      </c>
      <c r="CU171" s="122">
        <v>45980</v>
      </c>
      <c r="CV171" s="123">
        <v>12349.97</v>
      </c>
      <c r="CW171" s="127">
        <v>1146.06</v>
      </c>
      <c r="CX171" s="125"/>
      <c r="CY171" s="128">
        <v>327.16000000000003</v>
      </c>
      <c r="DA171" s="240">
        <v>668.62999999999886</v>
      </c>
      <c r="DB171" s="435"/>
      <c r="DC171" s="52"/>
      <c r="DD171" s="52"/>
      <c r="DE171" s="53">
        <f t="shared" si="63"/>
        <v>995.78999999999883</v>
      </c>
      <c r="DH171" s="122">
        <v>45980</v>
      </c>
      <c r="DI171" s="123">
        <v>1749.15</v>
      </c>
      <c r="DJ171" s="127">
        <v>258.64</v>
      </c>
      <c r="DK171" s="127">
        <v>1013.04</v>
      </c>
      <c r="DL171" s="127"/>
      <c r="DM171" s="126"/>
      <c r="DO171" s="240">
        <v>18.90537999999998</v>
      </c>
      <c r="DP171" s="52"/>
      <c r="DQ171" s="53"/>
      <c r="DR171" s="53">
        <f t="shared" si="64"/>
        <v>18.90537999999998</v>
      </c>
      <c r="DT171" s="122">
        <v>45980</v>
      </c>
      <c r="DU171" s="123">
        <v>1940.3</v>
      </c>
      <c r="DV171" s="127">
        <v>1025.83</v>
      </c>
      <c r="DW171" s="127"/>
      <c r="DX171" s="126">
        <v>44.89</v>
      </c>
      <c r="DZ171" s="51"/>
      <c r="EA171" s="52"/>
      <c r="EB171" s="52"/>
      <c r="EC171" s="53">
        <f t="shared" si="65"/>
        <v>44.89</v>
      </c>
      <c r="EE171" s="122">
        <v>45980</v>
      </c>
      <c r="EF171" s="123">
        <v>1414.53</v>
      </c>
      <c r="EG171" s="127">
        <v>725.4</v>
      </c>
      <c r="EH171" s="127"/>
      <c r="EI171" s="126">
        <v>8.36</v>
      </c>
      <c r="EK171" s="240">
        <v>647.82060999999987</v>
      </c>
      <c r="EL171" s="435"/>
      <c r="EM171" s="52"/>
      <c r="EN171" s="52"/>
      <c r="EO171" s="53">
        <f t="shared" si="66"/>
        <v>656.18060999999989</v>
      </c>
      <c r="EQ171" s="122">
        <v>45980</v>
      </c>
      <c r="ER171" s="123">
        <v>2765.93</v>
      </c>
      <c r="ES171" s="259">
        <v>477.14</v>
      </c>
      <c r="ET171" s="127"/>
      <c r="EU171" s="258">
        <v>87.9</v>
      </c>
      <c r="EW171" s="240">
        <v>66.137490000000042</v>
      </c>
      <c r="EX171" s="53">
        <v>12.373160299999995</v>
      </c>
      <c r="EY171" s="52"/>
      <c r="EZ171" s="53">
        <f t="shared" si="67"/>
        <v>166.41065030000004</v>
      </c>
      <c r="FB171" s="122">
        <v>45980</v>
      </c>
      <c r="FC171" s="123">
        <v>1070.96</v>
      </c>
      <c r="FD171" s="123">
        <v>217.5</v>
      </c>
      <c r="FE171" s="125"/>
      <c r="FF171" s="126"/>
      <c r="FH171" s="51"/>
      <c r="FI171" s="52"/>
      <c r="FJ171" s="52"/>
      <c r="FK171" s="53">
        <f t="shared" si="68"/>
        <v>0</v>
      </c>
    </row>
    <row r="172" spans="2:167" hidden="1" x14ac:dyDescent="0.25">
      <c r="B172" s="122">
        <v>45981</v>
      </c>
      <c r="C172" s="123">
        <v>14438.19</v>
      </c>
      <c r="D172" s="126"/>
      <c r="E172" s="125"/>
      <c r="F172" s="126">
        <v>47.91</v>
      </c>
      <c r="H172" s="51"/>
      <c r="I172" s="53"/>
      <c r="J172" s="52"/>
      <c r="K172" s="53">
        <f t="shared" si="55"/>
        <v>47.91</v>
      </c>
      <c r="M172" s="122">
        <v>45981</v>
      </c>
      <c r="N172" s="123">
        <v>2163.25</v>
      </c>
      <c r="O172" s="125"/>
      <c r="P172" s="126">
        <v>0</v>
      </c>
      <c r="R172" s="240"/>
      <c r="S172" s="52"/>
      <c r="T172" s="52"/>
      <c r="U172" s="53">
        <f t="shared" si="56"/>
        <v>0</v>
      </c>
      <c r="W172" s="122">
        <v>45981</v>
      </c>
      <c r="X172" s="123">
        <v>1926.08</v>
      </c>
      <c r="Y172" s="123">
        <v>157.46</v>
      </c>
      <c r="Z172" s="125"/>
      <c r="AA172" s="123">
        <v>5.35</v>
      </c>
      <c r="AC172" s="240">
        <v>11.827562537142853</v>
      </c>
      <c r="AD172" s="53">
        <v>10.457250000000016</v>
      </c>
      <c r="AE172" s="52"/>
      <c r="AF172" s="53">
        <f t="shared" si="57"/>
        <v>27.634812537142871</v>
      </c>
      <c r="AI172" s="122">
        <v>45981</v>
      </c>
      <c r="AJ172" s="123">
        <v>1301.22</v>
      </c>
      <c r="AK172" s="125"/>
      <c r="AL172" s="126"/>
      <c r="AN172" s="51"/>
      <c r="AO172" s="52"/>
      <c r="AP172" s="52"/>
      <c r="AQ172" s="53">
        <f t="shared" si="58"/>
        <v>0</v>
      </c>
      <c r="AS172" s="122">
        <v>45981</v>
      </c>
      <c r="AT172" s="123">
        <v>4681.18</v>
      </c>
      <c r="AU172" s="125"/>
      <c r="AV172" s="128"/>
      <c r="AX172" s="51"/>
      <c r="AY172" s="52"/>
      <c r="AZ172" s="52"/>
      <c r="BA172" s="53">
        <f t="shared" si="59"/>
        <v>0</v>
      </c>
      <c r="BC172" s="122">
        <v>45981</v>
      </c>
      <c r="BD172" s="123">
        <v>3492.22</v>
      </c>
      <c r="BE172" s="125"/>
      <c r="BF172" s="128">
        <v>8.3000000000000007</v>
      </c>
      <c r="BH172" s="240"/>
      <c r="BI172" s="52"/>
      <c r="BJ172" s="52"/>
      <c r="BK172" s="53">
        <f t="shared" si="60"/>
        <v>8.3000000000000007</v>
      </c>
      <c r="BM172" s="122">
        <v>45981</v>
      </c>
      <c r="BN172" s="123">
        <v>13820.11</v>
      </c>
      <c r="BO172" s="123">
        <v>3070.56</v>
      </c>
      <c r="BP172" s="123">
        <v>9351.1200000000008</v>
      </c>
      <c r="BQ172" s="125"/>
      <c r="BR172" s="125"/>
      <c r="BT172" s="240">
        <v>195.3705799999999</v>
      </c>
      <c r="BU172" s="53">
        <v>150.08850000000007</v>
      </c>
      <c r="BV172" s="53"/>
      <c r="BW172" s="53">
        <f t="shared" si="54"/>
        <v>345.45907999999997</v>
      </c>
      <c r="BY172" s="122">
        <v>45981</v>
      </c>
      <c r="BZ172" s="256">
        <v>1109.67</v>
      </c>
      <c r="CA172" s="260">
        <v>828.97</v>
      </c>
      <c r="CB172" s="125"/>
      <c r="CC172" s="126"/>
      <c r="CE172" s="51"/>
      <c r="CF172" s="52"/>
      <c r="CG172" s="52"/>
      <c r="CH172" s="53">
        <f t="shared" si="61"/>
        <v>0</v>
      </c>
      <c r="CJ172" s="122">
        <v>45981</v>
      </c>
      <c r="CK172" s="123">
        <v>7451.86</v>
      </c>
      <c r="CL172" s="123">
        <v>797.92</v>
      </c>
      <c r="CM172" s="125"/>
      <c r="CN172" s="126">
        <v>34.93</v>
      </c>
      <c r="CP172" s="240">
        <v>69.418320000000008</v>
      </c>
      <c r="CQ172" s="52"/>
      <c r="CR172" s="52"/>
      <c r="CS172" s="53">
        <f t="shared" si="62"/>
        <v>104.34832</v>
      </c>
      <c r="CU172" s="122">
        <v>45981</v>
      </c>
      <c r="CV172" s="123">
        <v>9001.77</v>
      </c>
      <c r="CW172" s="127">
        <v>1327.16</v>
      </c>
      <c r="CX172" s="125"/>
      <c r="CY172" s="128">
        <v>101.21</v>
      </c>
      <c r="DA172" s="240">
        <v>135.36633999999992</v>
      </c>
      <c r="DB172" s="435"/>
      <c r="DC172" s="52"/>
      <c r="DD172" s="52"/>
      <c r="DE172" s="53">
        <f t="shared" si="63"/>
        <v>236.5763399999999</v>
      </c>
      <c r="DH172" s="122">
        <v>45981</v>
      </c>
      <c r="DI172" s="123">
        <v>1259.47</v>
      </c>
      <c r="DJ172" s="127">
        <v>281.74</v>
      </c>
      <c r="DK172" s="127">
        <v>596.54999999999995</v>
      </c>
      <c r="DL172" s="127"/>
      <c r="DM172" s="126"/>
      <c r="DO172" s="240">
        <v>7.3972200000000043</v>
      </c>
      <c r="DP172" s="52"/>
      <c r="DQ172" s="53"/>
      <c r="DR172" s="53">
        <f t="shared" si="64"/>
        <v>7.3972200000000043</v>
      </c>
      <c r="DT172" s="122">
        <v>45981</v>
      </c>
      <c r="DU172" s="123">
        <v>1824.02</v>
      </c>
      <c r="DV172" s="127">
        <v>1282.98</v>
      </c>
      <c r="DW172" s="127"/>
      <c r="DX172" s="126">
        <v>56.86</v>
      </c>
      <c r="DZ172" s="51"/>
      <c r="EA172" s="52"/>
      <c r="EB172" s="52"/>
      <c r="EC172" s="53">
        <f t="shared" si="65"/>
        <v>56.86</v>
      </c>
      <c r="EE172" s="122">
        <v>45981</v>
      </c>
      <c r="EF172" s="123">
        <v>955.65</v>
      </c>
      <c r="EG172" s="127">
        <v>817.49</v>
      </c>
      <c r="EH172" s="127"/>
      <c r="EI172" s="126">
        <v>3.1</v>
      </c>
      <c r="EK172" s="240">
        <v>555.03401999999983</v>
      </c>
      <c r="EL172" s="435"/>
      <c r="EM172" s="52"/>
      <c r="EN172" s="52"/>
      <c r="EO172" s="53">
        <f t="shared" si="66"/>
        <v>558.13401999999985</v>
      </c>
      <c r="EQ172" s="122">
        <v>45981</v>
      </c>
      <c r="ER172" s="123">
        <v>3449.75</v>
      </c>
      <c r="ES172" s="259">
        <v>249.03</v>
      </c>
      <c r="ET172" s="127"/>
      <c r="EU172" s="258">
        <v>42.31</v>
      </c>
      <c r="EW172" s="240"/>
      <c r="EX172" s="53"/>
      <c r="EY172" s="52"/>
      <c r="EZ172" s="53">
        <f t="shared" si="67"/>
        <v>42.31</v>
      </c>
      <c r="FB172" s="122">
        <v>45981</v>
      </c>
      <c r="FC172" s="123">
        <v>463.5</v>
      </c>
      <c r="FD172" s="123">
        <v>281.92</v>
      </c>
      <c r="FE172" s="125"/>
      <c r="FF172" s="126"/>
      <c r="FH172" s="51"/>
      <c r="FI172" s="52"/>
      <c r="FJ172" s="52"/>
      <c r="FK172" s="53">
        <f t="shared" si="68"/>
        <v>0</v>
      </c>
    </row>
    <row r="173" spans="2:167" hidden="1" x14ac:dyDescent="0.25">
      <c r="B173" s="122">
        <v>45982</v>
      </c>
      <c r="C173" s="123">
        <v>14168.92</v>
      </c>
      <c r="D173" s="126"/>
      <c r="E173" s="125"/>
      <c r="F173" s="126">
        <v>0</v>
      </c>
      <c r="H173" s="51"/>
      <c r="I173" s="53">
        <v>23.076061799999991</v>
      </c>
      <c r="J173" s="52"/>
      <c r="K173" s="53">
        <f t="shared" si="55"/>
        <v>23.076061799999991</v>
      </c>
      <c r="M173" s="122">
        <v>45982</v>
      </c>
      <c r="N173" s="123">
        <v>3548.27</v>
      </c>
      <c r="O173" s="125"/>
      <c r="P173" s="126">
        <v>16.73</v>
      </c>
      <c r="R173" s="240"/>
      <c r="S173" s="52"/>
      <c r="T173" s="52"/>
      <c r="U173" s="53">
        <f t="shared" si="56"/>
        <v>16.73</v>
      </c>
      <c r="W173" s="122">
        <v>45982</v>
      </c>
      <c r="X173" s="123">
        <v>1317.76</v>
      </c>
      <c r="Y173" s="123">
        <v>70</v>
      </c>
      <c r="Z173" s="125"/>
      <c r="AA173" s="123">
        <v>20.95</v>
      </c>
      <c r="AC173" s="240">
        <v>26.174329999999983</v>
      </c>
      <c r="AD173" s="53"/>
      <c r="AE173" s="52"/>
      <c r="AF173" s="53">
        <f t="shared" si="57"/>
        <v>47.124329999999986</v>
      </c>
      <c r="AI173" s="122">
        <v>45982</v>
      </c>
      <c r="AJ173" s="123">
        <v>1560.01</v>
      </c>
      <c r="AK173" s="125"/>
      <c r="AL173" s="126"/>
      <c r="AN173" s="51"/>
      <c r="AO173" s="52"/>
      <c r="AP173" s="52"/>
      <c r="AQ173" s="53">
        <f t="shared" si="58"/>
        <v>0</v>
      </c>
      <c r="AS173" s="122">
        <v>45982</v>
      </c>
      <c r="AT173" s="123">
        <v>3350.02</v>
      </c>
      <c r="AU173" s="125"/>
      <c r="AV173" s="128"/>
      <c r="AX173" s="51"/>
      <c r="AY173" s="52"/>
      <c r="AZ173" s="52"/>
      <c r="BA173" s="53">
        <f t="shared" si="59"/>
        <v>0</v>
      </c>
      <c r="BC173" s="122">
        <v>45982</v>
      </c>
      <c r="BD173" s="123">
        <v>1460.48</v>
      </c>
      <c r="BE173" s="125"/>
      <c r="BF173" s="128">
        <v>10.51</v>
      </c>
      <c r="BH173" s="240"/>
      <c r="BI173" s="52"/>
      <c r="BJ173" s="52"/>
      <c r="BK173" s="53">
        <f t="shared" si="60"/>
        <v>10.51</v>
      </c>
      <c r="BM173" s="122">
        <v>45982</v>
      </c>
      <c r="BN173" s="123">
        <v>14568.33</v>
      </c>
      <c r="BO173" s="123">
        <v>3035.63</v>
      </c>
      <c r="BP173" s="123">
        <v>9850.2900000000009</v>
      </c>
      <c r="BQ173" s="125"/>
      <c r="BR173" s="125"/>
      <c r="BT173" s="240">
        <v>60.906928069226581</v>
      </c>
      <c r="BU173" s="53">
        <v>373.55359999999996</v>
      </c>
      <c r="BV173" s="53"/>
      <c r="BW173" s="53">
        <f t="shared" si="54"/>
        <v>434.46052806922654</v>
      </c>
      <c r="BY173" s="122">
        <v>45982</v>
      </c>
      <c r="BZ173" s="256">
        <v>960.43</v>
      </c>
      <c r="CA173" s="257">
        <v>275.17</v>
      </c>
      <c r="CB173" s="125"/>
      <c r="CC173" s="126"/>
      <c r="CE173" s="51"/>
      <c r="CF173" s="52"/>
      <c r="CG173" s="52"/>
      <c r="CH173" s="53">
        <f t="shared" si="61"/>
        <v>0</v>
      </c>
      <c r="CJ173" s="122">
        <v>45982</v>
      </c>
      <c r="CK173" s="123">
        <v>3601.21</v>
      </c>
      <c r="CL173" s="123">
        <v>753.45</v>
      </c>
      <c r="CM173" s="125"/>
      <c r="CN173" s="126">
        <v>13.63</v>
      </c>
      <c r="CP173" s="240">
        <v>28.370080000000002</v>
      </c>
      <c r="CQ173" s="52">
        <v>8.59214860000003</v>
      </c>
      <c r="CR173" s="52"/>
      <c r="CS173" s="53">
        <f t="shared" si="62"/>
        <v>50.592228600000034</v>
      </c>
      <c r="CU173" s="122">
        <v>45982</v>
      </c>
      <c r="CV173" s="123">
        <v>13646.94</v>
      </c>
      <c r="CW173" s="127">
        <v>1558.68</v>
      </c>
      <c r="CX173" s="125"/>
      <c r="CY173" s="128">
        <v>39.75</v>
      </c>
      <c r="DA173" s="240"/>
      <c r="DB173" s="435"/>
      <c r="DC173" s="52"/>
      <c r="DD173" s="52"/>
      <c r="DE173" s="53">
        <f t="shared" si="63"/>
        <v>39.75</v>
      </c>
      <c r="DH173" s="122">
        <v>45982</v>
      </c>
      <c r="DI173" s="123">
        <v>1585.82</v>
      </c>
      <c r="DJ173" s="127">
        <v>428.57</v>
      </c>
      <c r="DK173" s="127">
        <v>428.57</v>
      </c>
      <c r="DL173" s="127"/>
      <c r="DM173" s="126"/>
      <c r="DO173" s="240">
        <v>11.437799999999953</v>
      </c>
      <c r="DP173" s="52"/>
      <c r="DQ173" s="53"/>
      <c r="DR173" s="53">
        <f t="shared" si="64"/>
        <v>11.437799999999953</v>
      </c>
      <c r="DT173" s="122">
        <v>45982</v>
      </c>
      <c r="DU173" s="123">
        <v>1596.47</v>
      </c>
      <c r="DV173" s="127">
        <v>1385.07</v>
      </c>
      <c r="DW173" s="127"/>
      <c r="DX173" s="126">
        <v>55.71</v>
      </c>
      <c r="DZ173" s="51"/>
      <c r="EA173" s="52"/>
      <c r="EB173" s="52"/>
      <c r="EC173" s="53">
        <f t="shared" si="65"/>
        <v>55.71</v>
      </c>
      <c r="EE173" s="122">
        <v>45982</v>
      </c>
      <c r="EF173" s="123">
        <v>931.39</v>
      </c>
      <c r="EG173" s="127">
        <v>611.14</v>
      </c>
      <c r="EH173" s="127"/>
      <c r="EI173" s="126">
        <v>3.99</v>
      </c>
      <c r="EK173" s="240">
        <v>494.45206999999988</v>
      </c>
      <c r="EL173" s="435"/>
      <c r="EM173" s="52">
        <v>97.706438589999962</v>
      </c>
      <c r="EN173" s="52"/>
      <c r="EO173" s="53">
        <f t="shared" si="66"/>
        <v>596.14850858999989</v>
      </c>
      <c r="EQ173" s="122">
        <v>45982</v>
      </c>
      <c r="ER173" s="123">
        <v>3523.51</v>
      </c>
      <c r="ES173" s="259">
        <v>369.94</v>
      </c>
      <c r="ET173" s="127"/>
      <c r="EU173" s="258">
        <v>103.49</v>
      </c>
      <c r="EW173" s="240">
        <v>253.88792000000012</v>
      </c>
      <c r="EX173" s="53"/>
      <c r="EY173" s="52"/>
      <c r="EZ173" s="53">
        <f t="shared" si="67"/>
        <v>357.37792000000013</v>
      </c>
      <c r="FB173" s="122">
        <v>45982</v>
      </c>
      <c r="FC173" s="123">
        <v>693.86</v>
      </c>
      <c r="FD173" s="126">
        <v>225.19</v>
      </c>
      <c r="FE173" s="125"/>
      <c r="FF173" s="126"/>
      <c r="FH173" s="51"/>
      <c r="FI173" s="52"/>
      <c r="FJ173" s="52"/>
      <c r="FK173" s="53">
        <f t="shared" si="68"/>
        <v>0</v>
      </c>
    </row>
    <row r="174" spans="2:167" hidden="1" x14ac:dyDescent="0.25">
      <c r="B174" s="122">
        <v>45983</v>
      </c>
      <c r="C174" s="123">
        <v>16017.28</v>
      </c>
      <c r="D174" s="125"/>
      <c r="E174" s="125"/>
      <c r="F174" s="123">
        <v>0</v>
      </c>
      <c r="H174" s="51"/>
      <c r="I174" s="53"/>
      <c r="J174" s="52"/>
      <c r="K174" s="53">
        <f t="shared" si="55"/>
        <v>0</v>
      </c>
      <c r="M174" s="122">
        <v>45983</v>
      </c>
      <c r="N174" s="123">
        <v>3651.54</v>
      </c>
      <c r="O174" s="125"/>
      <c r="P174" s="126">
        <v>15.55</v>
      </c>
      <c r="R174" s="240"/>
      <c r="S174" s="52"/>
      <c r="T174" s="52"/>
      <c r="U174" s="53">
        <f t="shared" si="56"/>
        <v>15.55</v>
      </c>
      <c r="W174" s="122">
        <v>45983</v>
      </c>
      <c r="X174" s="123">
        <v>3655.84</v>
      </c>
      <c r="Y174" s="123">
        <v>326.83999999999997</v>
      </c>
      <c r="Z174" s="125"/>
      <c r="AA174" s="123">
        <v>1.89</v>
      </c>
      <c r="AC174" s="240"/>
      <c r="AD174" s="53"/>
      <c r="AE174" s="52"/>
      <c r="AF174" s="53">
        <f t="shared" si="57"/>
        <v>1.89</v>
      </c>
      <c r="AI174" s="122">
        <v>45983</v>
      </c>
      <c r="AJ174" s="123">
        <v>1413.88</v>
      </c>
      <c r="AK174" s="125"/>
      <c r="AL174" s="126"/>
      <c r="AN174" s="51"/>
      <c r="AO174" s="52"/>
      <c r="AP174" s="52"/>
      <c r="AQ174" s="53">
        <f t="shared" si="58"/>
        <v>0</v>
      </c>
      <c r="AS174" s="122">
        <v>45983</v>
      </c>
      <c r="AT174" s="123">
        <v>3830.13</v>
      </c>
      <c r="AU174" s="125"/>
      <c r="AV174" s="128"/>
      <c r="AX174" s="51"/>
      <c r="AY174" s="52"/>
      <c r="AZ174" s="52"/>
      <c r="BA174" s="53">
        <f t="shared" si="59"/>
        <v>0</v>
      </c>
      <c r="BC174" s="122">
        <v>45983</v>
      </c>
      <c r="BD174" s="123">
        <v>2629.24</v>
      </c>
      <c r="BE174" s="125"/>
      <c r="BF174" s="128">
        <v>0</v>
      </c>
      <c r="BH174" s="240">
        <v>3.3883499999999884</v>
      </c>
      <c r="BI174" s="52"/>
      <c r="BJ174" s="52"/>
      <c r="BK174" s="53">
        <f t="shared" si="60"/>
        <v>3.3883499999999884</v>
      </c>
      <c r="BM174" s="122">
        <v>45983</v>
      </c>
      <c r="BN174" s="123">
        <v>14085</v>
      </c>
      <c r="BO174" s="123">
        <v>3149.78</v>
      </c>
      <c r="BP174" s="123">
        <v>8676.35</v>
      </c>
      <c r="BQ174" s="125"/>
      <c r="BR174" s="125"/>
      <c r="BT174" s="240">
        <v>161.31172443561906</v>
      </c>
      <c r="BU174" s="53"/>
      <c r="BV174" s="53"/>
      <c r="BW174" s="53">
        <f t="shared" si="54"/>
        <v>161.31172443561906</v>
      </c>
      <c r="BY174" s="122">
        <v>45983</v>
      </c>
      <c r="BZ174" s="256">
        <v>1749.02</v>
      </c>
      <c r="CA174" s="257">
        <v>1035.24</v>
      </c>
      <c r="CB174" s="125"/>
      <c r="CC174" s="126"/>
      <c r="CE174" s="51"/>
      <c r="CF174" s="52"/>
      <c r="CG174" s="52"/>
      <c r="CH174" s="53">
        <f t="shared" si="61"/>
        <v>0</v>
      </c>
      <c r="CJ174" s="122">
        <v>45983</v>
      </c>
      <c r="CK174" s="123">
        <v>6096.21</v>
      </c>
      <c r="CL174" s="123">
        <v>985.79</v>
      </c>
      <c r="CM174" s="125"/>
      <c r="CN174" s="126">
        <v>32.99</v>
      </c>
      <c r="CP174" s="240">
        <v>39.617680000000014</v>
      </c>
      <c r="CQ174" s="52">
        <v>5.2400000000000091</v>
      </c>
      <c r="CR174" s="52"/>
      <c r="CS174" s="53">
        <f t="shared" si="62"/>
        <v>77.847680000000025</v>
      </c>
      <c r="CU174" s="122">
        <v>45983</v>
      </c>
      <c r="CV174" s="123">
        <v>5240.26</v>
      </c>
      <c r="CW174" s="127">
        <v>1183.8499999999999</v>
      </c>
      <c r="CX174" s="125"/>
      <c r="CY174" s="126">
        <v>2.5099999999999998</v>
      </c>
      <c r="DA174" s="240"/>
      <c r="DB174" s="435"/>
      <c r="DC174" s="52"/>
      <c r="DD174" s="52"/>
      <c r="DE174" s="53">
        <f t="shared" si="63"/>
        <v>2.5099999999999998</v>
      </c>
      <c r="DH174" s="122">
        <v>45983</v>
      </c>
      <c r="DI174" s="123">
        <v>2472.75</v>
      </c>
      <c r="DJ174" s="127">
        <v>263.89</v>
      </c>
      <c r="DK174" s="127">
        <v>590.27</v>
      </c>
      <c r="DL174" s="127"/>
      <c r="DM174" s="126"/>
      <c r="DO174" s="240">
        <v>6.2653799999999933</v>
      </c>
      <c r="DP174" s="52"/>
      <c r="DQ174" s="53"/>
      <c r="DR174" s="53">
        <f t="shared" si="64"/>
        <v>6.2653799999999933</v>
      </c>
      <c r="DT174" s="122">
        <v>45983</v>
      </c>
      <c r="DU174" s="123">
        <v>1498.35</v>
      </c>
      <c r="DV174" s="127">
        <v>939.18</v>
      </c>
      <c r="DW174" s="127"/>
      <c r="DX174" s="126">
        <v>16.2</v>
      </c>
      <c r="DZ174" s="51"/>
      <c r="EA174" s="52"/>
      <c r="EB174" s="52"/>
      <c r="EC174" s="53">
        <f t="shared" si="65"/>
        <v>16.2</v>
      </c>
      <c r="EE174" s="122">
        <v>45983</v>
      </c>
      <c r="EF174" s="123">
        <v>1093.1099999999999</v>
      </c>
      <c r="EG174" s="127">
        <v>444.61</v>
      </c>
      <c r="EH174" s="127"/>
      <c r="EI174" s="126">
        <v>3.54</v>
      </c>
      <c r="EK174" s="240">
        <v>322.70673999999997</v>
      </c>
      <c r="EL174" s="435"/>
      <c r="EM174" s="52"/>
      <c r="EN174" s="52"/>
      <c r="EO174" s="53">
        <f t="shared" si="66"/>
        <v>326.24673999999999</v>
      </c>
      <c r="EQ174" s="122">
        <v>45983</v>
      </c>
      <c r="ER174" s="123">
        <v>4774.01</v>
      </c>
      <c r="ES174" s="259">
        <v>313.83</v>
      </c>
      <c r="ET174" s="127"/>
      <c r="EU174" s="258">
        <v>26.57</v>
      </c>
      <c r="EW174" s="240">
        <v>20.320000000000022</v>
      </c>
      <c r="EX174" s="53"/>
      <c r="EY174" s="52"/>
      <c r="EZ174" s="53">
        <f t="shared" si="67"/>
        <v>46.890000000000022</v>
      </c>
      <c r="FB174" s="122">
        <v>45983</v>
      </c>
      <c r="FC174" s="123">
        <v>942.82</v>
      </c>
      <c r="FD174" s="123">
        <v>286.5</v>
      </c>
      <c r="FE174" s="125"/>
      <c r="FF174" s="126"/>
      <c r="FH174" s="51"/>
      <c r="FI174" s="52"/>
      <c r="FJ174" s="52"/>
      <c r="FK174" s="53">
        <f t="shared" si="68"/>
        <v>0</v>
      </c>
    </row>
    <row r="175" spans="2:167" hidden="1" x14ac:dyDescent="0.25">
      <c r="B175" s="122">
        <v>45984</v>
      </c>
      <c r="C175" s="123">
        <v>9817.89</v>
      </c>
      <c r="D175" s="125"/>
      <c r="E175" s="125"/>
      <c r="F175" s="125">
        <v>0</v>
      </c>
      <c r="H175" s="51"/>
      <c r="I175" s="53"/>
      <c r="J175" s="52"/>
      <c r="K175" s="53">
        <f t="shared" si="55"/>
        <v>0</v>
      </c>
      <c r="M175" s="122">
        <v>45984</v>
      </c>
      <c r="N175" s="123">
        <v>2725.42</v>
      </c>
      <c r="O175" s="125"/>
      <c r="P175" s="126">
        <v>16.78</v>
      </c>
      <c r="R175" s="240"/>
      <c r="S175" s="52"/>
      <c r="T175" s="52"/>
      <c r="U175" s="53">
        <f t="shared" si="56"/>
        <v>16.78</v>
      </c>
      <c r="W175" s="122">
        <v>45984</v>
      </c>
      <c r="X175" s="123">
        <v>1596.32</v>
      </c>
      <c r="Y175" s="123">
        <v>0</v>
      </c>
      <c r="Z175" s="125"/>
      <c r="AA175" s="123">
        <v>1.51</v>
      </c>
      <c r="AC175" s="240"/>
      <c r="AD175" s="53"/>
      <c r="AE175" s="52"/>
      <c r="AF175" s="53">
        <f t="shared" si="57"/>
        <v>1.51</v>
      </c>
      <c r="AI175" s="122">
        <v>45984</v>
      </c>
      <c r="AJ175" s="123">
        <v>1782.63</v>
      </c>
      <c r="AK175" s="125"/>
      <c r="AL175" s="126"/>
      <c r="AN175" s="51"/>
      <c r="AO175" s="52"/>
      <c r="AP175" s="52"/>
      <c r="AQ175" s="53">
        <f t="shared" si="58"/>
        <v>0</v>
      </c>
      <c r="AS175" s="122">
        <v>45984</v>
      </c>
      <c r="AT175" s="123">
        <v>2450.81</v>
      </c>
      <c r="AU175" s="125"/>
      <c r="AV175" s="128"/>
      <c r="AX175" s="51"/>
      <c r="AY175" s="52"/>
      <c r="AZ175" s="52"/>
      <c r="BA175" s="53">
        <f t="shared" si="59"/>
        <v>0</v>
      </c>
      <c r="BC175" s="122">
        <v>45984</v>
      </c>
      <c r="BD175" s="123">
        <v>1898.4</v>
      </c>
      <c r="BE175" s="125"/>
      <c r="BF175" s="128">
        <v>0</v>
      </c>
      <c r="BH175" s="240">
        <v>1.0499999999999972</v>
      </c>
      <c r="BI175" s="52"/>
      <c r="BJ175" s="52"/>
      <c r="BK175" s="53">
        <f t="shared" si="60"/>
        <v>1.0499999999999972</v>
      </c>
      <c r="BM175" s="122">
        <v>45984</v>
      </c>
      <c r="BN175" s="123">
        <v>9757.69</v>
      </c>
      <c r="BO175" s="123">
        <v>2216.4</v>
      </c>
      <c r="BP175" s="123">
        <v>5398.27</v>
      </c>
      <c r="BQ175" s="125"/>
      <c r="BR175" s="125"/>
      <c r="BT175" s="240">
        <v>146.42719835197173</v>
      </c>
      <c r="BU175" s="53">
        <v>26.798358399999998</v>
      </c>
      <c r="BV175" s="53"/>
      <c r="BW175" s="53">
        <f t="shared" si="54"/>
        <v>173.22555675197174</v>
      </c>
      <c r="BY175" s="122">
        <v>45984</v>
      </c>
      <c r="BZ175" s="256">
        <v>1248.92</v>
      </c>
      <c r="CA175" s="260">
        <v>652.46</v>
      </c>
      <c r="CB175" s="125"/>
      <c r="CC175" s="126"/>
      <c r="CE175" s="51"/>
      <c r="CF175" s="52"/>
      <c r="CG175" s="52"/>
      <c r="CH175" s="53">
        <f t="shared" si="61"/>
        <v>0</v>
      </c>
      <c r="CJ175" s="122">
        <v>45984</v>
      </c>
      <c r="CK175" s="123">
        <v>4144.76</v>
      </c>
      <c r="CL175" s="123">
        <v>569.58000000000004</v>
      </c>
      <c r="CM175" s="125"/>
      <c r="CN175" s="126">
        <v>14.43</v>
      </c>
      <c r="CP175" s="240">
        <v>27.56480000000002</v>
      </c>
      <c r="CQ175" s="52">
        <v>15.270103500000005</v>
      </c>
      <c r="CR175" s="52"/>
      <c r="CS175" s="53">
        <f t="shared" si="62"/>
        <v>57.264903500000024</v>
      </c>
      <c r="CU175" s="122">
        <v>45984</v>
      </c>
      <c r="CV175" s="123">
        <v>974.29</v>
      </c>
      <c r="CW175" s="127">
        <v>898.43</v>
      </c>
      <c r="CX175" s="125"/>
      <c r="CY175" s="126">
        <v>73.84</v>
      </c>
      <c r="DA175" s="240">
        <v>667.26765000000023</v>
      </c>
      <c r="DB175" s="435"/>
      <c r="DC175" s="52"/>
      <c r="DD175" s="52"/>
      <c r="DE175" s="53">
        <f t="shared" si="63"/>
        <v>741.10765000000026</v>
      </c>
      <c r="DH175" s="122">
        <v>45984</v>
      </c>
      <c r="DI175" s="123">
        <v>1059.03</v>
      </c>
      <c r="DJ175" s="127">
        <v>263.27</v>
      </c>
      <c r="DK175" s="127">
        <v>524.15</v>
      </c>
      <c r="DL175" s="127"/>
      <c r="DM175" s="126"/>
      <c r="DO175" s="240"/>
      <c r="DP175" s="52"/>
      <c r="DQ175" s="53"/>
      <c r="DR175" s="53">
        <f t="shared" si="64"/>
        <v>0</v>
      </c>
      <c r="DT175" s="122">
        <v>45984</v>
      </c>
      <c r="DU175" s="123">
        <v>977.38</v>
      </c>
      <c r="DV175" s="127">
        <v>1081</v>
      </c>
      <c r="DW175" s="127"/>
      <c r="DX175" s="126">
        <v>10.61</v>
      </c>
      <c r="DZ175" s="51"/>
      <c r="EA175" s="52"/>
      <c r="EB175" s="52"/>
      <c r="EC175" s="53">
        <f t="shared" si="65"/>
        <v>10.61</v>
      </c>
      <c r="EE175" s="122">
        <v>45984</v>
      </c>
      <c r="EF175" s="123">
        <v>657.7</v>
      </c>
      <c r="EG175" s="127">
        <v>426.63</v>
      </c>
      <c r="EH175" s="127"/>
      <c r="EI175" s="126">
        <v>3.4</v>
      </c>
      <c r="EK175" s="240">
        <v>145.45631999999998</v>
      </c>
      <c r="EL175" s="435"/>
      <c r="EM175" s="52"/>
      <c r="EN175" s="52"/>
      <c r="EO175" s="53">
        <f t="shared" si="66"/>
        <v>148.85631999999998</v>
      </c>
      <c r="EQ175" s="122">
        <v>45984</v>
      </c>
      <c r="ER175" s="123">
        <v>3592.08</v>
      </c>
      <c r="ES175" s="259">
        <v>383.01</v>
      </c>
      <c r="ET175" s="127"/>
      <c r="EU175" s="258">
        <v>15.91</v>
      </c>
      <c r="EW175" s="240">
        <v>39.933880000000045</v>
      </c>
      <c r="EX175" s="53">
        <v>10.440284399999996</v>
      </c>
      <c r="EY175" s="52"/>
      <c r="EZ175" s="53">
        <f t="shared" si="67"/>
        <v>66.284164400000037</v>
      </c>
      <c r="FB175" s="122">
        <v>45984</v>
      </c>
      <c r="FC175" s="123">
        <v>516.76</v>
      </c>
      <c r="FD175" s="123">
        <v>170.12</v>
      </c>
      <c r="FE175" s="125"/>
      <c r="FF175" s="126"/>
      <c r="FH175" s="51"/>
      <c r="FI175" s="52"/>
      <c r="FJ175" s="52"/>
      <c r="FK175" s="53">
        <f t="shared" si="68"/>
        <v>0</v>
      </c>
    </row>
    <row r="176" spans="2:167" hidden="1" x14ac:dyDescent="0.25">
      <c r="B176" s="122">
        <v>45985</v>
      </c>
      <c r="C176" s="123">
        <v>17033.740000000002</v>
      </c>
      <c r="D176" s="125"/>
      <c r="E176" s="125"/>
      <c r="F176" s="125">
        <v>94.9</v>
      </c>
      <c r="H176" s="51"/>
      <c r="I176" s="53">
        <v>5.8739504999999923</v>
      </c>
      <c r="J176" s="52"/>
      <c r="K176" s="53">
        <f t="shared" si="55"/>
        <v>100.7739505</v>
      </c>
      <c r="M176" s="122">
        <v>45985</v>
      </c>
      <c r="N176" s="123">
        <v>2795.8</v>
      </c>
      <c r="O176" s="125"/>
      <c r="P176" s="126">
        <v>10.97</v>
      </c>
      <c r="R176" s="240"/>
      <c r="S176" s="52"/>
      <c r="T176" s="52"/>
      <c r="U176" s="53">
        <f t="shared" si="56"/>
        <v>10.97</v>
      </c>
      <c r="W176" s="122">
        <v>45985</v>
      </c>
      <c r="X176" s="123">
        <v>1560.36</v>
      </c>
      <c r="Y176" s="123">
        <v>128.71</v>
      </c>
      <c r="Z176" s="125"/>
      <c r="AA176" s="123">
        <v>22.17</v>
      </c>
      <c r="AC176" s="240"/>
      <c r="AD176" s="53">
        <v>9.4067499999999882</v>
      </c>
      <c r="AE176" s="52"/>
      <c r="AF176" s="53">
        <f t="shared" si="57"/>
        <v>31.57674999999999</v>
      </c>
      <c r="AI176" s="122">
        <v>45985</v>
      </c>
      <c r="AJ176" s="123">
        <v>1421.51</v>
      </c>
      <c r="AK176" s="125"/>
      <c r="AL176" s="126"/>
      <c r="AN176" s="51"/>
      <c r="AO176" s="52"/>
      <c r="AP176" s="52"/>
      <c r="AQ176" s="53">
        <f t="shared" si="58"/>
        <v>0</v>
      </c>
      <c r="AS176" s="122">
        <v>45985</v>
      </c>
      <c r="AT176" s="123">
        <v>3529.1</v>
      </c>
      <c r="AU176" s="125"/>
      <c r="AV176" s="128"/>
      <c r="AX176" s="51"/>
      <c r="AY176" s="52"/>
      <c r="AZ176" s="52"/>
      <c r="BA176" s="53">
        <f t="shared" si="59"/>
        <v>0</v>
      </c>
      <c r="BC176" s="122">
        <v>45985</v>
      </c>
      <c r="BD176" s="123">
        <v>3487.67</v>
      </c>
      <c r="BE176" s="125"/>
      <c r="BF176" s="128">
        <v>0</v>
      </c>
      <c r="BH176" s="240">
        <v>11.136959999999988</v>
      </c>
      <c r="BI176" s="52"/>
      <c r="BJ176" s="52"/>
      <c r="BK176" s="53">
        <f t="shared" si="60"/>
        <v>11.136959999999988</v>
      </c>
      <c r="BM176" s="122">
        <v>45985</v>
      </c>
      <c r="BN176" s="123">
        <v>11354.43</v>
      </c>
      <c r="BO176" s="123">
        <v>2526.85</v>
      </c>
      <c r="BP176" s="123">
        <v>8253.4699999999993</v>
      </c>
      <c r="BQ176" s="125"/>
      <c r="BR176" s="125"/>
      <c r="BT176" s="240">
        <v>197.67200676695722</v>
      </c>
      <c r="BU176" s="53">
        <v>133.41200000000003</v>
      </c>
      <c r="BV176" s="53"/>
      <c r="BW176" s="53">
        <f t="shared" si="54"/>
        <v>331.08400676695726</v>
      </c>
      <c r="BY176" s="122">
        <v>45985</v>
      </c>
      <c r="BZ176" s="256">
        <v>1309.53</v>
      </c>
      <c r="CA176" s="257">
        <v>755.99</v>
      </c>
      <c r="CB176" s="125"/>
      <c r="CC176" s="126"/>
      <c r="CE176" s="51"/>
      <c r="CF176" s="52">
        <v>13.329491599999997</v>
      </c>
      <c r="CG176" s="53"/>
      <c r="CH176" s="53">
        <f t="shared" si="61"/>
        <v>13.329491599999997</v>
      </c>
      <c r="CJ176" s="122">
        <v>45985</v>
      </c>
      <c r="CK176" s="123">
        <v>5345.29</v>
      </c>
      <c r="CL176" s="123">
        <v>730.57</v>
      </c>
      <c r="CM176" s="125"/>
      <c r="CN176" s="126">
        <v>0</v>
      </c>
      <c r="CP176" s="240">
        <v>222.10156000000006</v>
      </c>
      <c r="CQ176" s="52"/>
      <c r="CR176" s="52"/>
      <c r="CS176" s="53">
        <f t="shared" si="62"/>
        <v>222.10156000000006</v>
      </c>
      <c r="CU176" s="122">
        <v>45985</v>
      </c>
      <c r="CV176" s="123">
        <v>7551.74</v>
      </c>
      <c r="CW176" s="127">
        <v>1088</v>
      </c>
      <c r="CX176" s="125"/>
      <c r="CY176" s="126">
        <v>133.75</v>
      </c>
      <c r="DA176" s="240">
        <v>13.300000000000011</v>
      </c>
      <c r="DB176" s="435"/>
      <c r="DC176" s="52"/>
      <c r="DD176" s="52"/>
      <c r="DE176" s="53">
        <f t="shared" si="63"/>
        <v>147.05000000000001</v>
      </c>
      <c r="DH176" s="122">
        <v>45985</v>
      </c>
      <c r="DI176" s="123">
        <v>1513.36</v>
      </c>
      <c r="DJ176" s="127">
        <v>0</v>
      </c>
      <c r="DK176" s="127">
        <v>883.5</v>
      </c>
      <c r="DL176" s="127"/>
      <c r="DM176" s="126"/>
      <c r="DO176" s="240">
        <v>22.277480000000008</v>
      </c>
      <c r="DP176" s="52"/>
      <c r="DQ176" s="53"/>
      <c r="DR176" s="53">
        <f t="shared" si="64"/>
        <v>22.277480000000008</v>
      </c>
      <c r="DT176" s="122">
        <v>45985</v>
      </c>
      <c r="DU176" s="123">
        <v>1620.8</v>
      </c>
      <c r="DV176" s="127">
        <v>1335.57</v>
      </c>
      <c r="DW176" s="127"/>
      <c r="DX176" s="126">
        <v>105.56</v>
      </c>
      <c r="DZ176" s="51"/>
      <c r="EA176" s="52">
        <v>22.454258400000015</v>
      </c>
      <c r="EB176" s="52"/>
      <c r="EC176" s="53">
        <f t="shared" si="65"/>
        <v>128.01425840000002</v>
      </c>
      <c r="EE176" s="122">
        <v>45985</v>
      </c>
      <c r="EF176" s="123">
        <v>600.5</v>
      </c>
      <c r="EG176" s="127">
        <v>799.92</v>
      </c>
      <c r="EH176" s="127"/>
      <c r="EI176" s="126">
        <v>0</v>
      </c>
      <c r="EK176" s="240">
        <v>644.26585999999986</v>
      </c>
      <c r="EL176" s="435"/>
      <c r="EM176" s="52"/>
      <c r="EN176" s="52"/>
      <c r="EO176" s="53">
        <f t="shared" si="66"/>
        <v>644.26585999999986</v>
      </c>
      <c r="EQ176" s="122">
        <v>45985</v>
      </c>
      <c r="ER176" s="123">
        <v>3779.51</v>
      </c>
      <c r="ES176" s="259">
        <v>320.5</v>
      </c>
      <c r="ET176" s="127"/>
      <c r="EU176" s="258">
        <v>165</v>
      </c>
      <c r="EW176" s="240"/>
      <c r="EX176" s="53"/>
      <c r="EY176" s="52"/>
      <c r="EZ176" s="53">
        <f t="shared" si="67"/>
        <v>165</v>
      </c>
      <c r="FB176" s="122">
        <v>45985</v>
      </c>
      <c r="FC176" s="123">
        <v>1157.94</v>
      </c>
      <c r="FD176" s="123">
        <v>255.16</v>
      </c>
      <c r="FE176" s="125"/>
      <c r="FF176" s="126"/>
      <c r="FH176" s="51"/>
      <c r="FI176" s="52"/>
      <c r="FJ176" s="52"/>
      <c r="FK176" s="53">
        <f t="shared" si="68"/>
        <v>0</v>
      </c>
    </row>
    <row r="177" spans="2:167" hidden="1" x14ac:dyDescent="0.25">
      <c r="B177" s="122">
        <v>45986</v>
      </c>
      <c r="C177" s="123">
        <v>10494.86</v>
      </c>
      <c r="D177" s="125"/>
      <c r="E177" s="125"/>
      <c r="F177" s="125">
        <v>0</v>
      </c>
      <c r="H177" s="51"/>
      <c r="I177" s="52"/>
      <c r="J177" s="52"/>
      <c r="K177" s="53">
        <f t="shared" si="55"/>
        <v>0</v>
      </c>
      <c r="M177" s="122">
        <v>45986</v>
      </c>
      <c r="N177" s="123">
        <v>2860.65</v>
      </c>
      <c r="O177" s="125"/>
      <c r="P177" s="126">
        <v>23.39</v>
      </c>
      <c r="R177" s="240">
        <v>6.1721399999999988</v>
      </c>
      <c r="S177" s="52"/>
      <c r="T177" s="52"/>
      <c r="U177" s="53">
        <f t="shared" si="56"/>
        <v>29.562139999999999</v>
      </c>
      <c r="W177" s="122">
        <v>45986</v>
      </c>
      <c r="X177" s="123">
        <v>1972.83</v>
      </c>
      <c r="Y177" s="123">
        <v>239.87</v>
      </c>
      <c r="Z177" s="125"/>
      <c r="AA177" s="123">
        <v>6.54</v>
      </c>
      <c r="AC177" s="240">
        <v>16.882919999999999</v>
      </c>
      <c r="AD177" s="53">
        <v>5.2777307000000064</v>
      </c>
      <c r="AE177" s="52"/>
      <c r="AF177" s="53">
        <f t="shared" si="57"/>
        <v>28.700650700000004</v>
      </c>
      <c r="AI177" s="122">
        <v>45986</v>
      </c>
      <c r="AJ177" s="123">
        <v>1072.47</v>
      </c>
      <c r="AK177" s="125"/>
      <c r="AL177" s="126"/>
      <c r="AN177" s="51"/>
      <c r="AO177" s="52"/>
      <c r="AP177" s="52"/>
      <c r="AQ177" s="53">
        <f t="shared" si="58"/>
        <v>0</v>
      </c>
      <c r="AS177" s="122">
        <v>45986</v>
      </c>
      <c r="AT177" s="123">
        <v>3418.35</v>
      </c>
      <c r="AU177" s="125"/>
      <c r="AV177" s="128"/>
      <c r="AX177" s="51"/>
      <c r="AY177" s="52"/>
      <c r="AZ177" s="52"/>
      <c r="BA177" s="53">
        <f t="shared" si="59"/>
        <v>0</v>
      </c>
      <c r="BC177" s="122">
        <v>45986</v>
      </c>
      <c r="BD177" s="123">
        <v>3595.13</v>
      </c>
      <c r="BE177" s="125"/>
      <c r="BF177" s="128">
        <v>0</v>
      </c>
      <c r="BH177" s="240"/>
      <c r="BI177" s="52"/>
      <c r="BJ177" s="52"/>
      <c r="BK177" s="53">
        <f t="shared" si="60"/>
        <v>0</v>
      </c>
      <c r="BM177" s="122">
        <v>45986</v>
      </c>
      <c r="BN177" s="123">
        <v>12217.86</v>
      </c>
      <c r="BO177" s="123">
        <v>3114.21</v>
      </c>
      <c r="BP177" s="123">
        <v>8596.7999999999993</v>
      </c>
      <c r="BQ177" s="125"/>
      <c r="BR177" s="125"/>
      <c r="BT177" s="240">
        <v>104.28910392363272</v>
      </c>
      <c r="BU177" s="53"/>
      <c r="BV177" s="53"/>
      <c r="BW177" s="53">
        <f t="shared" si="54"/>
        <v>104.28910392363272</v>
      </c>
      <c r="BY177" s="122">
        <v>45986</v>
      </c>
      <c r="BZ177" s="256">
        <v>904.3</v>
      </c>
      <c r="CA177" s="257">
        <v>531.42999999999995</v>
      </c>
      <c r="CB177" s="125"/>
      <c r="CC177" s="126"/>
      <c r="CE177" s="51"/>
      <c r="CF177" s="52"/>
      <c r="CG177" s="53">
        <v>9.1809900000000084</v>
      </c>
      <c r="CH177" s="53">
        <f t="shared" si="61"/>
        <v>9.1809900000000084</v>
      </c>
      <c r="CJ177" s="122">
        <v>45986</v>
      </c>
      <c r="CK177" s="123">
        <v>4364.13</v>
      </c>
      <c r="CL177" s="123">
        <v>778.12</v>
      </c>
      <c r="CM177" s="125"/>
      <c r="CN177" s="126">
        <v>31.6</v>
      </c>
      <c r="CP177" s="240">
        <v>92.268840000000012</v>
      </c>
      <c r="CQ177" s="52">
        <v>2.6504345999999828</v>
      </c>
      <c r="CR177" s="52"/>
      <c r="CS177" s="53">
        <f t="shared" si="62"/>
        <v>126.51927459999999</v>
      </c>
      <c r="CU177" s="122">
        <v>45986</v>
      </c>
      <c r="CV177" s="123">
        <v>10218.16</v>
      </c>
      <c r="CW177" s="127">
        <v>1014.52</v>
      </c>
      <c r="CX177" s="125"/>
      <c r="CY177" s="126">
        <v>103.29</v>
      </c>
      <c r="DA177" s="240">
        <v>14.498329999999982</v>
      </c>
      <c r="DB177" s="435"/>
      <c r="DC177" s="52"/>
      <c r="DD177" s="52"/>
      <c r="DE177" s="53">
        <f t="shared" si="63"/>
        <v>117.78832999999999</v>
      </c>
      <c r="DH177" s="122">
        <v>45986</v>
      </c>
      <c r="DI177" s="123">
        <v>1686.51</v>
      </c>
      <c r="DJ177" s="127">
        <v>344.02</v>
      </c>
      <c r="DK177" s="127">
        <v>129.57</v>
      </c>
      <c r="DL177" s="127"/>
      <c r="DM177" s="126"/>
      <c r="DO177" s="240"/>
      <c r="DP177" s="52"/>
      <c r="DQ177" s="53"/>
      <c r="DR177" s="53">
        <f t="shared" si="64"/>
        <v>0</v>
      </c>
      <c r="DT177" s="122">
        <v>45986</v>
      </c>
      <c r="DU177" s="123">
        <v>1132.82</v>
      </c>
      <c r="DV177" s="127">
        <v>1330.12</v>
      </c>
      <c r="DW177" s="127"/>
      <c r="DX177" s="126">
        <v>71.849999999999994</v>
      </c>
      <c r="DZ177" s="51"/>
      <c r="EA177" s="52"/>
      <c r="EB177" s="52"/>
      <c r="EC177" s="53">
        <f t="shared" si="65"/>
        <v>71.849999999999994</v>
      </c>
      <c r="EE177" s="122">
        <v>45986</v>
      </c>
      <c r="EF177" s="123">
        <v>1218.01</v>
      </c>
      <c r="EG177" s="127">
        <v>554.24</v>
      </c>
      <c r="EH177" s="127"/>
      <c r="EI177" s="126">
        <v>5</v>
      </c>
      <c r="EK177" s="240">
        <v>471.87435999999991</v>
      </c>
      <c r="EL177" s="435"/>
      <c r="EM177" s="52">
        <v>62.14756399999996</v>
      </c>
      <c r="EN177" s="52"/>
      <c r="EO177" s="53">
        <f t="shared" si="66"/>
        <v>539.0219239999999</v>
      </c>
      <c r="EQ177" s="122">
        <v>45986</v>
      </c>
      <c r="ER177" s="123">
        <v>3063.79</v>
      </c>
      <c r="ES177" s="259">
        <v>224.04</v>
      </c>
      <c r="ET177" s="127"/>
      <c r="EU177" s="258">
        <v>117.07</v>
      </c>
      <c r="EW177" s="240"/>
      <c r="EX177" s="53"/>
      <c r="EY177" s="52"/>
      <c r="EZ177" s="53">
        <f t="shared" si="67"/>
        <v>117.07</v>
      </c>
      <c r="FB177" s="122">
        <v>45986</v>
      </c>
      <c r="FC177" s="123">
        <v>1131.52</v>
      </c>
      <c r="FD177" s="123">
        <v>264.02999999999997</v>
      </c>
      <c r="FE177" s="125"/>
      <c r="FF177" s="126"/>
      <c r="FH177" s="51"/>
      <c r="FI177" s="52"/>
      <c r="FJ177" s="52"/>
      <c r="FK177" s="53">
        <f t="shared" si="68"/>
        <v>0</v>
      </c>
    </row>
    <row r="178" spans="2:167" hidden="1" x14ac:dyDescent="0.25">
      <c r="B178" s="122">
        <v>45987</v>
      </c>
      <c r="C178" s="123">
        <v>11797.64</v>
      </c>
      <c r="D178" s="126"/>
      <c r="E178" s="125"/>
      <c r="F178" s="126">
        <v>0</v>
      </c>
      <c r="H178" s="51"/>
      <c r="I178" s="52"/>
      <c r="J178" s="52"/>
      <c r="K178" s="53">
        <f t="shared" si="55"/>
        <v>0</v>
      </c>
      <c r="M178" s="122">
        <v>45987</v>
      </c>
      <c r="N178" s="123">
        <v>2954.49</v>
      </c>
      <c r="O178" s="125"/>
      <c r="P178" s="126">
        <v>16.03</v>
      </c>
      <c r="R178" s="240"/>
      <c r="S178" s="52"/>
      <c r="T178" s="52"/>
      <c r="U178" s="53">
        <f t="shared" si="56"/>
        <v>16.03</v>
      </c>
      <c r="W178" s="122">
        <v>45987</v>
      </c>
      <c r="X178" s="123">
        <v>3056.42</v>
      </c>
      <c r="Y178" s="123">
        <v>250.34</v>
      </c>
      <c r="Z178" s="125"/>
      <c r="AA178" s="123">
        <v>3.42</v>
      </c>
      <c r="AC178" s="240">
        <v>16.446840000000009</v>
      </c>
      <c r="AD178" s="53"/>
      <c r="AE178" s="52"/>
      <c r="AF178" s="53">
        <f t="shared" si="57"/>
        <v>19.86684000000001</v>
      </c>
      <c r="AI178" s="122">
        <v>45987</v>
      </c>
      <c r="AJ178" s="123">
        <v>1259.49</v>
      </c>
      <c r="AK178" s="125"/>
      <c r="AL178" s="126"/>
      <c r="AN178" s="51"/>
      <c r="AO178" s="52"/>
      <c r="AP178" s="52"/>
      <c r="AQ178" s="53">
        <f t="shared" si="58"/>
        <v>0</v>
      </c>
      <c r="AS178" s="122">
        <v>45987</v>
      </c>
      <c r="AT178" s="123">
        <v>4049.79</v>
      </c>
      <c r="AU178" s="125"/>
      <c r="AV178" s="128"/>
      <c r="AX178" s="51"/>
      <c r="AY178" s="52"/>
      <c r="AZ178" s="52"/>
      <c r="BA178" s="53">
        <f t="shared" si="59"/>
        <v>0</v>
      </c>
      <c r="BC178" s="122">
        <v>45987</v>
      </c>
      <c r="BD178" s="123">
        <v>2873.2</v>
      </c>
      <c r="BE178" s="125"/>
      <c r="BF178" s="128">
        <v>0</v>
      </c>
      <c r="BH178" s="240">
        <v>4.4351999999999947</v>
      </c>
      <c r="BI178" s="52"/>
      <c r="BJ178" s="52"/>
      <c r="BK178" s="53">
        <f t="shared" si="60"/>
        <v>4.4351999999999947</v>
      </c>
      <c r="BM178" s="122">
        <v>45987</v>
      </c>
      <c r="BN178" s="123">
        <v>13782.79</v>
      </c>
      <c r="BO178" s="123">
        <v>2914.9</v>
      </c>
      <c r="BP178" s="123">
        <v>10339.469999999999</v>
      </c>
      <c r="BQ178" s="125"/>
      <c r="BR178" s="125"/>
      <c r="BT178" s="240">
        <v>287.61125202016513</v>
      </c>
      <c r="BU178" s="53">
        <v>359.20640000000003</v>
      </c>
      <c r="BV178" s="53"/>
      <c r="BW178" s="53">
        <f t="shared" si="54"/>
        <v>646.81765202016516</v>
      </c>
      <c r="BY178" s="122">
        <v>45987</v>
      </c>
      <c r="BZ178" s="256">
        <v>909.77</v>
      </c>
      <c r="CA178" s="257">
        <v>779.01</v>
      </c>
      <c r="CB178" s="125"/>
      <c r="CC178" s="126"/>
      <c r="CE178" s="51"/>
      <c r="CF178" s="52"/>
      <c r="CG178" s="53"/>
      <c r="CH178" s="53">
        <f t="shared" si="61"/>
        <v>0</v>
      </c>
      <c r="CJ178" s="122">
        <v>45987</v>
      </c>
      <c r="CK178" s="123">
        <v>6464.01</v>
      </c>
      <c r="CL178" s="123">
        <v>608.64</v>
      </c>
      <c r="CM178" s="125"/>
      <c r="CN178" s="126">
        <v>32.56</v>
      </c>
      <c r="CP178" s="240">
        <v>40.178400000000053</v>
      </c>
      <c r="CQ178" s="52">
        <v>39.294424399999997</v>
      </c>
      <c r="CR178" s="52"/>
      <c r="CS178" s="53">
        <f t="shared" si="62"/>
        <v>112.03282440000005</v>
      </c>
      <c r="CU178" s="122">
        <v>45987</v>
      </c>
      <c r="CV178" s="123">
        <v>5450.89</v>
      </c>
      <c r="CW178" s="127">
        <v>1079.45</v>
      </c>
      <c r="CX178" s="125"/>
      <c r="CY178" s="126">
        <v>121.21</v>
      </c>
      <c r="DA178" s="240">
        <v>633.04000000000121</v>
      </c>
      <c r="DB178" s="435"/>
      <c r="DC178" s="52"/>
      <c r="DD178" s="52"/>
      <c r="DE178" s="53">
        <f t="shared" si="63"/>
        <v>754.25000000000125</v>
      </c>
      <c r="DH178" s="122">
        <v>45987</v>
      </c>
      <c r="DI178" s="123">
        <v>2049.4</v>
      </c>
      <c r="DJ178" s="259">
        <v>497.98</v>
      </c>
      <c r="DK178" s="259">
        <v>1136.6099999999999</v>
      </c>
      <c r="DL178" s="127"/>
      <c r="DM178" s="126"/>
      <c r="DO178" s="240">
        <v>20.857409999999987</v>
      </c>
      <c r="DP178" s="52">
        <v>0.7359971999999857</v>
      </c>
      <c r="DQ178" s="53"/>
      <c r="DR178" s="53">
        <f t="shared" si="64"/>
        <v>21.593407199999973</v>
      </c>
      <c r="DT178" s="122">
        <v>45987</v>
      </c>
      <c r="DU178" s="123">
        <v>2097.33</v>
      </c>
      <c r="DV178" s="259">
        <v>1194.07</v>
      </c>
      <c r="DW178" s="127"/>
      <c r="DX178" s="126">
        <v>85.6</v>
      </c>
      <c r="DZ178" s="51"/>
      <c r="EA178" s="52"/>
      <c r="EB178" s="52"/>
      <c r="EC178" s="53">
        <f t="shared" si="65"/>
        <v>85.6</v>
      </c>
      <c r="EE178" s="122">
        <v>45987</v>
      </c>
      <c r="EF178" s="123">
        <v>825.16</v>
      </c>
      <c r="EG178" s="127">
        <v>833.91</v>
      </c>
      <c r="EH178" s="127"/>
      <c r="EI178" s="126">
        <v>2.3199999999999998</v>
      </c>
      <c r="EK178" s="240">
        <v>474.07819999999981</v>
      </c>
      <c r="EL178" s="435"/>
      <c r="EM178" s="52"/>
      <c r="EN178" s="52"/>
      <c r="EO178" s="53">
        <f t="shared" si="66"/>
        <v>476.3981999999998</v>
      </c>
      <c r="EQ178" s="122">
        <v>45987</v>
      </c>
      <c r="ER178" s="123">
        <v>4681.5600000000004</v>
      </c>
      <c r="ES178" s="259">
        <v>166.76</v>
      </c>
      <c r="ET178" s="127"/>
      <c r="EU178" s="258">
        <v>108.91</v>
      </c>
      <c r="EW178" s="240"/>
      <c r="EX178" s="53"/>
      <c r="EY178" s="52"/>
      <c r="EZ178" s="53">
        <f t="shared" si="67"/>
        <v>108.91</v>
      </c>
      <c r="FB178" s="122">
        <v>45987</v>
      </c>
      <c r="FC178" s="123">
        <v>752.45</v>
      </c>
      <c r="FD178" s="123">
        <v>180.5</v>
      </c>
      <c r="FE178" s="125"/>
      <c r="FF178" s="126"/>
      <c r="FH178" s="51"/>
      <c r="FI178" s="52"/>
      <c r="FJ178" s="52"/>
      <c r="FK178" s="53">
        <f t="shared" si="68"/>
        <v>0</v>
      </c>
    </row>
    <row r="179" spans="2:167" hidden="1" x14ac:dyDescent="0.25">
      <c r="B179" s="122">
        <v>45988</v>
      </c>
      <c r="C179" s="123">
        <v>14030.63</v>
      </c>
      <c r="D179" s="125"/>
      <c r="E179" s="125"/>
      <c r="F179" s="125">
        <v>47.55</v>
      </c>
      <c r="H179" s="51"/>
      <c r="I179" s="52"/>
      <c r="J179" s="52"/>
      <c r="K179" s="53">
        <f t="shared" si="55"/>
        <v>47.55</v>
      </c>
      <c r="M179" s="122">
        <v>45988</v>
      </c>
      <c r="N179" s="123">
        <v>3510.7</v>
      </c>
      <c r="O179" s="125"/>
      <c r="P179" s="126">
        <v>17.97</v>
      </c>
      <c r="R179" s="240"/>
      <c r="S179" s="52"/>
      <c r="T179" s="52"/>
      <c r="U179" s="53">
        <f t="shared" si="56"/>
        <v>17.97</v>
      </c>
      <c r="W179" s="122">
        <v>45988</v>
      </c>
      <c r="X179" s="123">
        <v>4470.4799999999996</v>
      </c>
      <c r="Y179" s="123">
        <v>311.04000000000002</v>
      </c>
      <c r="Z179" s="125"/>
      <c r="AA179" s="123">
        <v>23.02</v>
      </c>
      <c r="AC179" s="240"/>
      <c r="AD179" s="53"/>
      <c r="AE179" s="52"/>
      <c r="AF179" s="53">
        <f t="shared" si="57"/>
        <v>23.02</v>
      </c>
      <c r="AI179" s="122">
        <v>45988</v>
      </c>
      <c r="AJ179" s="123">
        <v>1652.48</v>
      </c>
      <c r="AK179" s="125"/>
      <c r="AL179" s="126"/>
      <c r="AN179" s="51"/>
      <c r="AO179" s="52"/>
      <c r="AP179" s="52"/>
      <c r="AQ179" s="53">
        <f t="shared" si="58"/>
        <v>0</v>
      </c>
      <c r="AS179" s="122">
        <v>45988</v>
      </c>
      <c r="AT179" s="123">
        <v>4180.8</v>
      </c>
      <c r="AU179" s="125"/>
      <c r="AV179" s="128"/>
      <c r="AX179" s="51"/>
      <c r="AY179" s="52"/>
      <c r="AZ179" s="52"/>
      <c r="BA179" s="53">
        <f t="shared" si="59"/>
        <v>0</v>
      </c>
      <c r="BC179" s="122">
        <v>45988</v>
      </c>
      <c r="BD179" s="123">
        <v>2507.4299999999998</v>
      </c>
      <c r="BE179" s="125"/>
      <c r="BF179" s="128">
        <v>0</v>
      </c>
      <c r="BH179" s="240">
        <v>6.24575999999999</v>
      </c>
      <c r="BI179" s="52"/>
      <c r="BJ179" s="52"/>
      <c r="BK179" s="53">
        <f t="shared" si="60"/>
        <v>6.24575999999999</v>
      </c>
      <c r="BM179" s="122">
        <v>45988</v>
      </c>
      <c r="BN179" s="123">
        <v>13160.83</v>
      </c>
      <c r="BO179" s="123">
        <v>3585.37</v>
      </c>
      <c r="BP179" s="123">
        <v>9625.74</v>
      </c>
      <c r="BQ179" s="125"/>
      <c r="BR179" s="125"/>
      <c r="BT179" s="240">
        <v>171.85495136543062</v>
      </c>
      <c r="BU179" s="53">
        <v>112.25200000000001</v>
      </c>
      <c r="BV179" s="53"/>
      <c r="BW179" s="53">
        <f t="shared" si="54"/>
        <v>284.10695136543063</v>
      </c>
      <c r="BY179" s="122">
        <v>45988</v>
      </c>
      <c r="BZ179" s="256">
        <v>1673.04</v>
      </c>
      <c r="CA179" s="260">
        <v>765.35</v>
      </c>
      <c r="CB179" s="125"/>
      <c r="CC179" s="126"/>
      <c r="CE179" s="51"/>
      <c r="CF179" s="52"/>
      <c r="CG179" s="53"/>
      <c r="CH179" s="53">
        <f t="shared" si="61"/>
        <v>0</v>
      </c>
      <c r="CJ179" s="122">
        <v>45988</v>
      </c>
      <c r="CK179" s="123">
        <v>6182.17</v>
      </c>
      <c r="CL179" s="123">
        <v>850.98</v>
      </c>
      <c r="CM179" s="125"/>
      <c r="CN179" s="126">
        <v>31.64</v>
      </c>
      <c r="CP179" s="240">
        <v>35.390259999999955</v>
      </c>
      <c r="CQ179" s="52"/>
      <c r="CR179" s="52"/>
      <c r="CS179" s="53">
        <f t="shared" si="62"/>
        <v>67.030259999999956</v>
      </c>
      <c r="CU179" s="122">
        <v>45988</v>
      </c>
      <c r="CV179" s="123">
        <v>8840.2800000000007</v>
      </c>
      <c r="CW179" s="127">
        <v>1483.16</v>
      </c>
      <c r="CX179" s="125"/>
      <c r="CY179" s="126">
        <v>317.23</v>
      </c>
      <c r="DA179" s="240">
        <v>546</v>
      </c>
      <c r="DB179" s="435"/>
      <c r="DC179" s="52"/>
      <c r="DD179" s="52"/>
      <c r="DE179" s="53">
        <f t="shared" si="63"/>
        <v>863.23</v>
      </c>
      <c r="DH179" s="122">
        <v>45988</v>
      </c>
      <c r="DI179" s="123">
        <v>1868.96</v>
      </c>
      <c r="DJ179" s="127">
        <v>431.93</v>
      </c>
      <c r="DK179" s="127">
        <v>1341.47</v>
      </c>
      <c r="DL179" s="127"/>
      <c r="DM179" s="126"/>
      <c r="DO179" s="240">
        <v>7.11524</v>
      </c>
      <c r="DP179" s="52"/>
      <c r="DQ179" s="53"/>
      <c r="DR179" s="53">
        <f t="shared" si="64"/>
        <v>7.11524</v>
      </c>
      <c r="DT179" s="122">
        <v>45988</v>
      </c>
      <c r="DU179" s="123">
        <v>2123.4</v>
      </c>
      <c r="DV179" s="127">
        <v>1069.26</v>
      </c>
      <c r="DW179" s="127"/>
      <c r="DX179" s="126">
        <v>48.42</v>
      </c>
      <c r="DZ179" s="51"/>
      <c r="EA179" s="52"/>
      <c r="EB179" s="52"/>
      <c r="EC179" s="53">
        <f t="shared" si="65"/>
        <v>48.42</v>
      </c>
      <c r="EE179" s="122">
        <v>45988</v>
      </c>
      <c r="EF179" s="123">
        <v>1092.4100000000001</v>
      </c>
      <c r="EG179" s="127">
        <v>806.33</v>
      </c>
      <c r="EH179" s="127"/>
      <c r="EI179" s="126">
        <v>6.01</v>
      </c>
      <c r="EK179" s="240">
        <v>409.80893999999984</v>
      </c>
      <c r="EL179" s="435"/>
      <c r="EM179" s="52">
        <v>34.418039999999962</v>
      </c>
      <c r="EN179" s="52"/>
      <c r="EO179" s="53">
        <f t="shared" si="66"/>
        <v>450.23697999999979</v>
      </c>
      <c r="EQ179" s="122">
        <v>45988</v>
      </c>
      <c r="ER179" s="123">
        <v>2466.75</v>
      </c>
      <c r="ES179" s="259">
        <v>234.41</v>
      </c>
      <c r="ET179" s="127"/>
      <c r="EU179" s="258">
        <v>126.21</v>
      </c>
      <c r="EW179" s="240">
        <v>50.327600000000075</v>
      </c>
      <c r="EX179" s="53"/>
      <c r="EY179" s="52"/>
      <c r="EZ179" s="53">
        <f t="shared" si="67"/>
        <v>176.53760000000005</v>
      </c>
      <c r="FB179" s="122">
        <v>45988</v>
      </c>
      <c r="FC179" s="123">
        <v>1020.32</v>
      </c>
      <c r="FD179" s="123">
        <v>154.44999999999999</v>
      </c>
      <c r="FE179" s="125"/>
      <c r="FF179" s="126"/>
      <c r="FH179" s="51"/>
      <c r="FI179" s="52"/>
      <c r="FJ179" s="52"/>
      <c r="FK179" s="53">
        <f t="shared" si="68"/>
        <v>0</v>
      </c>
    </row>
    <row r="180" spans="2:167" hidden="1" x14ac:dyDescent="0.25">
      <c r="B180" s="122">
        <v>45989</v>
      </c>
      <c r="C180" s="123">
        <v>17539.46</v>
      </c>
      <c r="D180" s="126"/>
      <c r="E180" s="125"/>
      <c r="F180" s="126">
        <v>0</v>
      </c>
      <c r="H180" s="51"/>
      <c r="I180" s="52"/>
      <c r="J180" s="52"/>
      <c r="K180" s="53">
        <f t="shared" si="55"/>
        <v>0</v>
      </c>
      <c r="M180" s="122">
        <v>45989</v>
      </c>
      <c r="N180" s="123">
        <v>3809.34</v>
      </c>
      <c r="O180" s="125"/>
      <c r="P180" s="126">
        <v>15.98</v>
      </c>
      <c r="R180" s="240"/>
      <c r="S180" s="52"/>
      <c r="T180" s="52"/>
      <c r="U180" s="53">
        <f t="shared" si="56"/>
        <v>15.98</v>
      </c>
      <c r="W180" s="122">
        <v>45989</v>
      </c>
      <c r="X180" s="123">
        <v>1549.37</v>
      </c>
      <c r="Y180" s="123">
        <v>329.09</v>
      </c>
      <c r="Z180" s="125"/>
      <c r="AA180" s="123">
        <v>26.46</v>
      </c>
      <c r="AC180" s="240"/>
      <c r="AD180" s="53"/>
      <c r="AE180" s="52"/>
      <c r="AF180" s="53">
        <f t="shared" si="57"/>
        <v>26.46</v>
      </c>
      <c r="AI180" s="122">
        <v>45989</v>
      </c>
      <c r="AJ180" s="123">
        <v>1704.98</v>
      </c>
      <c r="AK180" s="125"/>
      <c r="AL180" s="126"/>
      <c r="AN180" s="51"/>
      <c r="AO180" s="52"/>
      <c r="AP180" s="52"/>
      <c r="AQ180" s="53">
        <f t="shared" si="58"/>
        <v>0</v>
      </c>
      <c r="AS180" s="122">
        <v>45989</v>
      </c>
      <c r="AT180" s="123">
        <v>4856.16</v>
      </c>
      <c r="AU180" s="125"/>
      <c r="AV180" s="128"/>
      <c r="AX180" s="51"/>
      <c r="AY180" s="52"/>
      <c r="AZ180" s="52"/>
      <c r="BA180" s="53">
        <f t="shared" si="59"/>
        <v>0</v>
      </c>
      <c r="BC180" s="122">
        <v>45989</v>
      </c>
      <c r="BD180" s="123">
        <v>2359.35</v>
      </c>
      <c r="BE180" s="125"/>
      <c r="BF180" s="128">
        <v>0</v>
      </c>
      <c r="BH180" s="240">
        <v>13.950720000000018</v>
      </c>
      <c r="BI180" s="52"/>
      <c r="BJ180" s="52"/>
      <c r="BK180" s="53">
        <f t="shared" si="60"/>
        <v>13.950720000000018</v>
      </c>
      <c r="BM180" s="122">
        <v>45989</v>
      </c>
      <c r="BN180" s="123">
        <v>17599.830000000002</v>
      </c>
      <c r="BO180" s="123">
        <v>4148.74</v>
      </c>
      <c r="BP180" s="123">
        <v>11405.72</v>
      </c>
      <c r="BQ180" s="125"/>
      <c r="BR180" s="125"/>
      <c r="BT180" s="240">
        <v>199.98873374119154</v>
      </c>
      <c r="BU180" s="53">
        <v>359.2847999999999</v>
      </c>
      <c r="BV180" s="53"/>
      <c r="BW180" s="53">
        <f t="shared" si="54"/>
        <v>559.27353374119139</v>
      </c>
      <c r="BY180" s="122">
        <v>45989</v>
      </c>
      <c r="BZ180" s="256">
        <v>1253.25</v>
      </c>
      <c r="CA180" s="257">
        <v>1073</v>
      </c>
      <c r="CB180" s="125"/>
      <c r="CC180" s="126"/>
      <c r="CE180" s="51"/>
      <c r="CF180" s="52"/>
      <c r="CG180" s="53">
        <v>6.98768969999999</v>
      </c>
      <c r="CH180" s="53">
        <f t="shared" si="61"/>
        <v>6.98768969999999</v>
      </c>
      <c r="CJ180" s="122">
        <v>45989</v>
      </c>
      <c r="CK180" s="123">
        <v>6331.94</v>
      </c>
      <c r="CL180" s="123">
        <v>881.86</v>
      </c>
      <c r="CM180" s="125"/>
      <c r="CN180" s="126">
        <v>22.66</v>
      </c>
      <c r="CP180" s="240">
        <v>53.554220000000015</v>
      </c>
      <c r="CQ180" s="52">
        <v>2.2264713000000143</v>
      </c>
      <c r="CR180" s="52"/>
      <c r="CS180" s="53">
        <f t="shared" si="62"/>
        <v>78.440691300000026</v>
      </c>
      <c r="CU180" s="122">
        <v>45989</v>
      </c>
      <c r="CV180" s="123">
        <v>9324.58</v>
      </c>
      <c r="CW180" s="127">
        <v>1323.64</v>
      </c>
      <c r="CX180" s="125"/>
      <c r="CY180" s="126">
        <v>332.83</v>
      </c>
      <c r="DA180" s="240">
        <v>175</v>
      </c>
      <c r="DB180" s="435"/>
      <c r="DC180" s="52"/>
      <c r="DD180" s="52"/>
      <c r="DE180" s="53">
        <f t="shared" si="63"/>
        <v>507.83</v>
      </c>
      <c r="DH180" s="122">
        <v>45989</v>
      </c>
      <c r="DI180" s="123">
        <v>1751.36</v>
      </c>
      <c r="DJ180" s="127">
        <v>484.76</v>
      </c>
      <c r="DK180" s="127">
        <v>2198.9699999999998</v>
      </c>
      <c r="DL180" s="127"/>
      <c r="DM180" s="126"/>
      <c r="DO180" s="240">
        <v>10.299999999999983</v>
      </c>
      <c r="DP180" s="52"/>
      <c r="DQ180" s="53"/>
      <c r="DR180" s="53">
        <f t="shared" si="64"/>
        <v>10.299999999999983</v>
      </c>
      <c r="DT180" s="122">
        <v>45989</v>
      </c>
      <c r="DU180" s="123">
        <v>1803.15</v>
      </c>
      <c r="DV180" s="127">
        <v>1511.3</v>
      </c>
      <c r="DW180" s="127"/>
      <c r="DX180" s="126">
        <v>109.67</v>
      </c>
      <c r="DZ180" s="51"/>
      <c r="EA180" s="52">
        <v>10.985470800000058</v>
      </c>
      <c r="EB180" s="52"/>
      <c r="EC180" s="53">
        <f t="shared" si="65"/>
        <v>120.65547080000006</v>
      </c>
      <c r="EE180" s="122">
        <v>45989</v>
      </c>
      <c r="EF180" s="123">
        <v>1020.03</v>
      </c>
      <c r="EG180" s="127">
        <v>936.42</v>
      </c>
      <c r="EH180" s="127"/>
      <c r="EI180" s="126">
        <v>4.37</v>
      </c>
      <c r="EK180" s="240">
        <v>625.52636999999982</v>
      </c>
      <c r="EL180" s="435"/>
      <c r="EM180" s="52">
        <v>26.625689099999974</v>
      </c>
      <c r="EN180" s="52"/>
      <c r="EO180" s="53">
        <f t="shared" si="66"/>
        <v>656.52205909999975</v>
      </c>
      <c r="EQ180" s="122">
        <v>45989</v>
      </c>
      <c r="ER180" s="123">
        <v>3506.49</v>
      </c>
      <c r="ES180" s="259">
        <v>339.03</v>
      </c>
      <c r="ET180" s="127"/>
      <c r="EU180" s="258">
        <v>57.02</v>
      </c>
      <c r="EW180" s="240"/>
      <c r="EX180" s="53"/>
      <c r="EY180" s="52"/>
      <c r="EZ180" s="53">
        <f t="shared" si="67"/>
        <v>57.02</v>
      </c>
      <c r="FB180" s="122">
        <v>45989</v>
      </c>
      <c r="FC180" s="123">
        <v>1151.5999999999999</v>
      </c>
      <c r="FD180" s="123">
        <v>342.14</v>
      </c>
      <c r="FE180" s="125"/>
      <c r="FF180" s="126"/>
      <c r="FH180" s="51"/>
      <c r="FI180" s="52"/>
      <c r="FJ180" s="52"/>
      <c r="FK180" s="53">
        <f t="shared" si="68"/>
        <v>0</v>
      </c>
    </row>
    <row r="181" spans="2:167" hidden="1" x14ac:dyDescent="0.25">
      <c r="B181" s="122">
        <v>45990</v>
      </c>
      <c r="C181" s="123">
        <v>17598.82</v>
      </c>
      <c r="D181" s="125"/>
      <c r="E181" s="125"/>
      <c r="F181" s="125">
        <v>79.95</v>
      </c>
      <c r="H181" s="51"/>
      <c r="I181" s="52"/>
      <c r="J181" s="52"/>
      <c r="K181" s="53">
        <f t="shared" si="55"/>
        <v>79.95</v>
      </c>
      <c r="M181" s="122">
        <v>45990</v>
      </c>
      <c r="N181" s="123">
        <v>3360.18</v>
      </c>
      <c r="O181" s="127"/>
      <c r="P181" s="261">
        <v>0.87</v>
      </c>
      <c r="R181" s="240">
        <v>32.699999999999932</v>
      </c>
      <c r="S181" s="52"/>
      <c r="T181" s="52"/>
      <c r="U181" s="53">
        <f t="shared" si="56"/>
        <v>33.569999999999929</v>
      </c>
      <c r="W181" s="122">
        <v>45990</v>
      </c>
      <c r="X181" s="123">
        <v>1520.28</v>
      </c>
      <c r="Y181" s="123">
        <v>216.07</v>
      </c>
      <c r="Z181" s="125"/>
      <c r="AA181" s="123">
        <v>22.48</v>
      </c>
      <c r="AC181" s="240"/>
      <c r="AD181" s="53">
        <v>9.1375315999999884</v>
      </c>
      <c r="AE181" s="52"/>
      <c r="AF181" s="53">
        <f t="shared" si="57"/>
        <v>31.617531599999989</v>
      </c>
      <c r="AI181" s="122">
        <v>45990</v>
      </c>
      <c r="AJ181" s="123">
        <v>2122.15</v>
      </c>
      <c r="AK181" s="127"/>
      <c r="AL181" s="262"/>
      <c r="AN181" s="51"/>
      <c r="AO181" s="52"/>
      <c r="AP181" s="52"/>
      <c r="AQ181" s="53">
        <f t="shared" si="58"/>
        <v>0</v>
      </c>
      <c r="AS181" s="122">
        <v>45990</v>
      </c>
      <c r="AT181" s="123">
        <v>3788.21</v>
      </c>
      <c r="AU181" s="127"/>
      <c r="AV181" s="261"/>
      <c r="AX181" s="51"/>
      <c r="AY181" s="52"/>
      <c r="AZ181" s="52"/>
      <c r="BA181" s="53">
        <f t="shared" si="59"/>
        <v>0</v>
      </c>
      <c r="BC181" s="122">
        <v>45990</v>
      </c>
      <c r="BD181" s="123">
        <v>3089.55</v>
      </c>
      <c r="BE181" s="125"/>
      <c r="BF181" s="128">
        <v>6.92</v>
      </c>
      <c r="BH181" s="240"/>
      <c r="BI181" s="52"/>
      <c r="BJ181" s="52"/>
      <c r="BK181" s="53">
        <f t="shared" si="60"/>
        <v>6.92</v>
      </c>
      <c r="BM181" s="122">
        <v>45990</v>
      </c>
      <c r="BN181" s="123">
        <v>15393.06</v>
      </c>
      <c r="BO181" s="123">
        <v>3649.85</v>
      </c>
      <c r="BP181" s="123">
        <v>9990.5300000000007</v>
      </c>
      <c r="BQ181" s="125"/>
      <c r="BR181" s="125"/>
      <c r="BT181" s="240">
        <v>196.06340714214446</v>
      </c>
      <c r="BU181" s="53"/>
      <c r="BV181" s="53"/>
      <c r="BW181" s="53">
        <f t="shared" si="54"/>
        <v>196.06340714214446</v>
      </c>
      <c r="BY181" s="122">
        <v>45990</v>
      </c>
      <c r="BZ181" s="256">
        <v>1570.51</v>
      </c>
      <c r="CA181" s="257">
        <v>762.05</v>
      </c>
      <c r="CB181" s="125"/>
      <c r="CC181" s="126"/>
      <c r="CE181" s="51"/>
      <c r="CF181" s="52"/>
      <c r="CG181" s="52"/>
      <c r="CH181" s="53">
        <f t="shared" si="61"/>
        <v>0</v>
      </c>
      <c r="CJ181" s="122">
        <v>45990</v>
      </c>
      <c r="CK181" s="123">
        <v>5091.43</v>
      </c>
      <c r="CL181" s="123">
        <v>982.62</v>
      </c>
      <c r="CM181" s="125"/>
      <c r="CN181" s="126">
        <v>22.38</v>
      </c>
      <c r="CP181" s="240">
        <v>107.85726999999994</v>
      </c>
      <c r="CQ181" s="52">
        <v>1.6352793000000361</v>
      </c>
      <c r="CR181" s="52"/>
      <c r="CS181" s="53">
        <f t="shared" si="62"/>
        <v>131.87254929999997</v>
      </c>
      <c r="CU181" s="122">
        <v>45990</v>
      </c>
      <c r="CV181" s="123">
        <v>6544.61</v>
      </c>
      <c r="CW181" s="127">
        <v>1149.47</v>
      </c>
      <c r="CX181" s="125"/>
      <c r="CY181" s="126">
        <v>95.21</v>
      </c>
      <c r="DA181" s="240"/>
      <c r="DB181" s="435"/>
      <c r="DC181" s="52"/>
      <c r="DD181" s="52"/>
      <c r="DE181" s="53">
        <f t="shared" si="63"/>
        <v>95.21</v>
      </c>
      <c r="DH181" s="122">
        <v>45990</v>
      </c>
      <c r="DI181" s="123">
        <v>1315.6</v>
      </c>
      <c r="DJ181" s="127">
        <v>416.51</v>
      </c>
      <c r="DK181" s="126">
        <v>0</v>
      </c>
      <c r="DL181" s="127"/>
      <c r="DM181" s="126"/>
      <c r="DO181" s="240">
        <v>9.8962399999999917</v>
      </c>
      <c r="DP181" s="52"/>
      <c r="DQ181" s="53">
        <v>-2.7097941000000674</v>
      </c>
      <c r="DR181" s="53">
        <f t="shared" si="64"/>
        <v>7.1864458999999243</v>
      </c>
      <c r="DT181" s="122">
        <v>45990</v>
      </c>
      <c r="DU181" s="123">
        <v>3186.76</v>
      </c>
      <c r="DV181" s="127">
        <v>1433.5</v>
      </c>
      <c r="DW181" s="127"/>
      <c r="DX181" s="126">
        <v>43.86</v>
      </c>
      <c r="DZ181" s="51"/>
      <c r="EA181" s="52"/>
      <c r="EB181" s="52"/>
      <c r="EC181" s="53">
        <f t="shared" si="65"/>
        <v>43.86</v>
      </c>
      <c r="EE181" s="122">
        <v>45990</v>
      </c>
      <c r="EF181" s="123">
        <v>964.87</v>
      </c>
      <c r="EG181" s="127">
        <v>1151.82</v>
      </c>
      <c r="EH181" s="127"/>
      <c r="EI181" s="126">
        <v>2.69</v>
      </c>
      <c r="EK181" s="240">
        <v>367.90384999999986</v>
      </c>
      <c r="EL181" s="435"/>
      <c r="EM181" s="52">
        <v>74.634402099999988</v>
      </c>
      <c r="EN181" s="52"/>
      <c r="EO181" s="53">
        <f t="shared" si="66"/>
        <v>445.22825209999985</v>
      </c>
      <c r="EQ181" s="122">
        <v>45990</v>
      </c>
      <c r="ER181" s="123">
        <v>4299.5</v>
      </c>
      <c r="ES181" s="259">
        <v>569.79999999999995</v>
      </c>
      <c r="ET181" s="127"/>
      <c r="EU181" s="258">
        <v>51.12</v>
      </c>
      <c r="EW181" s="240"/>
      <c r="EX181" s="53">
        <v>17.529021599999993</v>
      </c>
      <c r="EY181" s="52"/>
      <c r="EZ181" s="53">
        <f t="shared" si="67"/>
        <v>68.649021599999998</v>
      </c>
      <c r="FB181" s="122">
        <v>45990</v>
      </c>
      <c r="FC181" s="123">
        <v>866.7</v>
      </c>
      <c r="FD181" s="123">
        <v>120</v>
      </c>
      <c r="FE181" s="125"/>
      <c r="FF181" s="126"/>
      <c r="FH181" s="51"/>
      <c r="FI181" s="52"/>
      <c r="FJ181" s="52"/>
      <c r="FK181" s="53">
        <f t="shared" si="68"/>
        <v>0</v>
      </c>
    </row>
    <row r="182" spans="2:167" hidden="1" x14ac:dyDescent="0.25">
      <c r="B182" s="122">
        <v>45991</v>
      </c>
      <c r="C182" s="123">
        <v>9811.51</v>
      </c>
      <c r="D182" s="125"/>
      <c r="E182" s="125"/>
      <c r="F182" s="123">
        <v>0</v>
      </c>
      <c r="H182" s="51"/>
      <c r="I182" s="52"/>
      <c r="J182" s="52"/>
      <c r="K182" s="53">
        <f t="shared" si="55"/>
        <v>0</v>
      </c>
      <c r="M182" s="122">
        <v>45991</v>
      </c>
      <c r="N182" s="123">
        <v>2251.3000000000002</v>
      </c>
      <c r="O182" s="127"/>
      <c r="P182" s="261">
        <v>0</v>
      </c>
      <c r="R182" s="240"/>
      <c r="S182" s="52"/>
      <c r="T182" s="52"/>
      <c r="U182" s="53">
        <f t="shared" si="56"/>
        <v>0</v>
      </c>
      <c r="W182" s="122">
        <v>45991</v>
      </c>
      <c r="X182" s="123">
        <v>499.51</v>
      </c>
      <c r="Y182" s="123">
        <v>0</v>
      </c>
      <c r="Z182" s="125"/>
      <c r="AA182" s="123">
        <v>0</v>
      </c>
      <c r="AC182" s="240"/>
      <c r="AD182" s="52"/>
      <c r="AE182" s="52"/>
      <c r="AF182" s="53">
        <f t="shared" si="57"/>
        <v>0</v>
      </c>
      <c r="AI182" s="122">
        <v>45991</v>
      </c>
      <c r="AJ182" s="123">
        <v>1630.37</v>
      </c>
      <c r="AK182" s="127"/>
      <c r="AL182" s="262"/>
      <c r="AN182" s="51"/>
      <c r="AO182" s="52"/>
      <c r="AP182" s="52"/>
      <c r="AQ182" s="53">
        <f t="shared" si="58"/>
        <v>0</v>
      </c>
      <c r="AS182" s="122">
        <v>45991</v>
      </c>
      <c r="AT182" s="123">
        <v>3532.5</v>
      </c>
      <c r="AU182" s="127"/>
      <c r="AV182" s="261"/>
      <c r="AX182" s="51"/>
      <c r="AY182" s="52"/>
      <c r="AZ182" s="52"/>
      <c r="BA182" s="53">
        <f t="shared" si="59"/>
        <v>0</v>
      </c>
      <c r="BC182" s="122">
        <v>45991</v>
      </c>
      <c r="BD182" s="123">
        <v>1827.53</v>
      </c>
      <c r="BE182" s="125"/>
      <c r="BF182" s="128">
        <v>2.84</v>
      </c>
      <c r="BH182" s="240">
        <v>8.6399999999999864</v>
      </c>
      <c r="BI182" s="52"/>
      <c r="BJ182" s="52"/>
      <c r="BK182" s="53">
        <f t="shared" si="60"/>
        <v>11.479999999999986</v>
      </c>
      <c r="BM182" s="122">
        <v>45991</v>
      </c>
      <c r="BN182" s="123">
        <v>10052.26</v>
      </c>
      <c r="BO182" s="123">
        <v>2941.54</v>
      </c>
      <c r="BP182" s="123">
        <v>6173.77</v>
      </c>
      <c r="BQ182" s="125"/>
      <c r="BR182" s="125"/>
      <c r="BT182" s="240">
        <v>183.6785462036492</v>
      </c>
      <c r="BU182" s="53"/>
      <c r="BV182" s="53"/>
      <c r="BW182" s="53">
        <f t="shared" si="54"/>
        <v>183.6785462036492</v>
      </c>
      <c r="BY182" s="122">
        <v>45991</v>
      </c>
      <c r="BZ182" s="256">
        <v>618.17999999999995</v>
      </c>
      <c r="CA182" s="257">
        <v>240.69</v>
      </c>
      <c r="CB182" s="125"/>
      <c r="CC182" s="126"/>
      <c r="CE182" s="51"/>
      <c r="CF182" s="52"/>
      <c r="CG182" s="52"/>
      <c r="CH182" s="53">
        <f t="shared" si="61"/>
        <v>0</v>
      </c>
      <c r="CJ182" s="122">
        <v>45991</v>
      </c>
      <c r="CK182" s="123">
        <v>5933.42</v>
      </c>
      <c r="CL182" s="123">
        <v>690.79</v>
      </c>
      <c r="CM182" s="125"/>
      <c r="CN182" s="126">
        <v>29.01</v>
      </c>
      <c r="CP182" s="240">
        <v>29.107259999999993</v>
      </c>
      <c r="CQ182" s="52"/>
      <c r="CR182" s="52"/>
      <c r="CS182" s="53">
        <f t="shared" si="62"/>
        <v>58.117259999999995</v>
      </c>
      <c r="CU182" s="122">
        <v>45991</v>
      </c>
      <c r="CV182" s="123">
        <v>5893.29</v>
      </c>
      <c r="CW182" s="127">
        <v>427.83</v>
      </c>
      <c r="CX182" s="125"/>
      <c r="CY182" s="126">
        <v>219.19</v>
      </c>
      <c r="DA182" s="240"/>
      <c r="DB182" s="435"/>
      <c r="DC182" s="52"/>
      <c r="DD182" s="52"/>
      <c r="DE182" s="53">
        <f t="shared" si="63"/>
        <v>219.19</v>
      </c>
      <c r="DH182" s="122">
        <v>45991</v>
      </c>
      <c r="DI182" s="123">
        <v>1375.3</v>
      </c>
      <c r="DJ182" s="127">
        <v>413.22</v>
      </c>
      <c r="DK182" s="126">
        <v>0</v>
      </c>
      <c r="DL182" s="127"/>
      <c r="DM182" s="126"/>
      <c r="DO182" s="240">
        <v>18.91400999999999</v>
      </c>
      <c r="DP182" s="52"/>
      <c r="DQ182" s="52"/>
      <c r="DR182" s="53">
        <f t="shared" si="64"/>
        <v>18.91400999999999</v>
      </c>
      <c r="DT182" s="122">
        <v>45991</v>
      </c>
      <c r="DU182" s="123">
        <v>953.32</v>
      </c>
      <c r="DV182" s="127">
        <v>780.87</v>
      </c>
      <c r="DW182" s="127"/>
      <c r="DX182" s="126">
        <v>3.4</v>
      </c>
      <c r="DZ182" s="51"/>
      <c r="EA182" s="52"/>
      <c r="EB182" s="52"/>
      <c r="EC182" s="53">
        <f t="shared" si="65"/>
        <v>3.4</v>
      </c>
      <c r="EE182" s="122">
        <v>45991</v>
      </c>
      <c r="EF182" s="123">
        <v>1146.23</v>
      </c>
      <c r="EG182" s="127">
        <v>457.86</v>
      </c>
      <c r="EH182" s="127"/>
      <c r="EI182" s="126">
        <v>3.46</v>
      </c>
      <c r="EK182" s="240">
        <v>201.90230999999989</v>
      </c>
      <c r="EL182" s="435"/>
      <c r="EM182" s="52">
        <v>19.116</v>
      </c>
      <c r="EN182" s="52"/>
      <c r="EO182" s="53">
        <f t="shared" si="66"/>
        <v>224.47830999999991</v>
      </c>
      <c r="EQ182" s="122">
        <v>45991</v>
      </c>
      <c r="ER182" s="123">
        <v>3251.16</v>
      </c>
      <c r="ES182" s="259">
        <v>395.87</v>
      </c>
      <c r="ET182" s="127"/>
      <c r="EU182" s="258">
        <v>14.23</v>
      </c>
      <c r="EW182" s="240">
        <v>83.830140000000199</v>
      </c>
      <c r="EX182" s="52"/>
      <c r="EY182" s="52"/>
      <c r="EZ182" s="53">
        <f t="shared" si="67"/>
        <v>98.060140000000203</v>
      </c>
      <c r="FB182" s="122">
        <v>45991</v>
      </c>
      <c r="FC182" s="123">
        <v>617.76</v>
      </c>
      <c r="FD182" s="123">
        <v>205.14</v>
      </c>
      <c r="FE182" s="125"/>
      <c r="FF182" s="126"/>
      <c r="FH182" s="51"/>
      <c r="FI182" s="52"/>
      <c r="FJ182" s="52"/>
      <c r="FK182" s="53">
        <f t="shared" si="68"/>
        <v>0</v>
      </c>
    </row>
    <row r="183" spans="2:167" s="86" customFormat="1" ht="16.5" hidden="1" thickBot="1" x14ac:dyDescent="0.3">
      <c r="C183" s="270">
        <f>SUM(C153:C182)</f>
        <v>374990.76000000013</v>
      </c>
      <c r="D183" s="270">
        <f>SUM(D153:D182)</f>
        <v>0</v>
      </c>
      <c r="F183" s="270">
        <f>SUM(F153:F182)</f>
        <v>557.79</v>
      </c>
      <c r="H183" s="84">
        <f>SUM(H153:H182)</f>
        <v>0</v>
      </c>
      <c r="I183" s="84">
        <f t="shared" ref="I183:J183" si="69">SUM(I153:I182)</f>
        <v>159.96193649999992</v>
      </c>
      <c r="J183" s="84">
        <f t="shared" si="69"/>
        <v>0</v>
      </c>
      <c r="K183" s="84">
        <f>SUM(K153:K182)</f>
        <v>717.75193649999994</v>
      </c>
      <c r="N183" s="270">
        <f>SUM(N153:N182)</f>
        <v>85044.489999999991</v>
      </c>
      <c r="O183" s="270"/>
      <c r="P183" s="270">
        <f>SUM(P153:P182)</f>
        <v>339.97</v>
      </c>
      <c r="R183" s="84">
        <f>SUM(R153:R182)</f>
        <v>146.0135599999999</v>
      </c>
      <c r="S183" s="84">
        <f t="shared" ref="S183:T183" si="70">SUM(S153:S182)</f>
        <v>0</v>
      </c>
      <c r="T183" s="84">
        <f t="shared" si="70"/>
        <v>0</v>
      </c>
      <c r="U183" s="84">
        <f>SUM(U153:U182)</f>
        <v>485.9835599999999</v>
      </c>
      <c r="X183" s="270">
        <f>SUM(X153:X182)</f>
        <v>57016.070000000007</v>
      </c>
      <c r="Y183" s="270">
        <f>SUM(Y153:Y182)</f>
        <v>6577.6100000000024</v>
      </c>
      <c r="AA183" s="270">
        <f>SUM(AA153:AA182)</f>
        <v>326.13999999999993</v>
      </c>
      <c r="AC183" s="84">
        <f>SUM(AC153:AC182)</f>
        <v>317.05793253714285</v>
      </c>
      <c r="AD183" s="84">
        <f t="shared" ref="AD183:AE183" si="71">SUM(AD153:AD182)</f>
        <v>158.99868570000001</v>
      </c>
      <c r="AE183" s="84">
        <f t="shared" si="71"/>
        <v>0</v>
      </c>
      <c r="AF183" s="84">
        <f>SUM(AF153:AF182)</f>
        <v>802.19661823714296</v>
      </c>
      <c r="AJ183" s="270">
        <f>SUM(AJ153:AJ182)</f>
        <v>43436.560000000012</v>
      </c>
      <c r="AN183" s="84">
        <f>SUM(AN153:AN182)</f>
        <v>0</v>
      </c>
      <c r="AO183" s="84">
        <f t="shared" ref="AO183:AP183" si="72">SUM(AO153:AO182)</f>
        <v>0</v>
      </c>
      <c r="AP183" s="84">
        <f t="shared" si="72"/>
        <v>0</v>
      </c>
      <c r="AQ183" s="84">
        <f>SUM(AQ153:AQ182)</f>
        <v>0</v>
      </c>
      <c r="AT183" s="270">
        <f>SUM(AT153:AT182)</f>
        <v>110059.98000000004</v>
      </c>
      <c r="AV183" s="270">
        <f>SUM(AV153:AV182)</f>
        <v>0</v>
      </c>
      <c r="AX183" s="84">
        <f>SUM(AX153:AX182)</f>
        <v>0</v>
      </c>
      <c r="AY183" s="84">
        <f t="shared" ref="AY183:AZ183" si="73">SUM(AY153:AY182)</f>
        <v>0</v>
      </c>
      <c r="AZ183" s="84">
        <f t="shared" si="73"/>
        <v>0</v>
      </c>
      <c r="BA183" s="84">
        <f>SUM(BA153:BA182)</f>
        <v>0</v>
      </c>
      <c r="BD183" s="270">
        <f>SUM(BD153:BD182)</f>
        <v>82412.800000000017</v>
      </c>
      <c r="BF183" s="270">
        <f>SUM(BF153:BF182)</f>
        <v>61.25</v>
      </c>
      <c r="BH183" s="84">
        <f>SUM(BH153:BH182)</f>
        <v>224.12882999999999</v>
      </c>
      <c r="BI183" s="84">
        <f t="shared" ref="BI183:BJ183" si="74">SUM(BI153:BI182)</f>
        <v>0</v>
      </c>
      <c r="BJ183" s="84">
        <f t="shared" si="74"/>
        <v>0</v>
      </c>
      <c r="BK183" s="84">
        <f>SUM(BK153:BK182)</f>
        <v>285.37882999999994</v>
      </c>
      <c r="BN183" s="270">
        <f>SUM(BN153:BN182)</f>
        <v>385138.8</v>
      </c>
      <c r="BO183" s="270">
        <f>SUM(BO153:BO182)</f>
        <v>88817.39</v>
      </c>
      <c r="BP183" s="270">
        <f>SUM(BP153:BP182)</f>
        <v>189423.49999999997</v>
      </c>
      <c r="BQ183" s="270">
        <f>SUM(BQ153:BQ182)</f>
        <v>0</v>
      </c>
      <c r="BR183" s="270">
        <f>SUM(BR153:BR182)</f>
        <v>0</v>
      </c>
      <c r="BT183" s="84">
        <f>SUM(BT153:BT182)</f>
        <v>5187.4426284625333</v>
      </c>
      <c r="BU183" s="84">
        <f t="shared" ref="BU183:BV183" si="75">SUM(BU153:BU182)</f>
        <v>4616.1906916999997</v>
      </c>
      <c r="BV183" s="84">
        <f t="shared" si="75"/>
        <v>0</v>
      </c>
      <c r="BW183" s="84">
        <f>SUM(BW153:BW182)</f>
        <v>9803.6333201625312</v>
      </c>
      <c r="BZ183" s="270">
        <f>SUM(BZ153:BZ182)</f>
        <v>35320.810000000005</v>
      </c>
      <c r="CA183" s="270">
        <f>SUM(CA153:CA182)</f>
        <v>21663.989999999994</v>
      </c>
      <c r="CC183" s="270"/>
      <c r="CE183" s="84">
        <f>SUM(CE153:CE182)</f>
        <v>0</v>
      </c>
      <c r="CF183" s="84">
        <f t="shared" ref="CF183:CG183" si="76">SUM(CF153:CF182)</f>
        <v>65.986548099999965</v>
      </c>
      <c r="CG183" s="84">
        <f t="shared" si="76"/>
        <v>16.168679699999998</v>
      </c>
      <c r="CH183" s="84">
        <f>SUM(CH153:CH182)</f>
        <v>82.155227799999963</v>
      </c>
      <c r="CK183" s="270">
        <f>SUM(CK153:CK182)</f>
        <v>157679.48000000001</v>
      </c>
      <c r="CL183" s="270">
        <f>SUM(CL153:CL182)</f>
        <v>21483.22</v>
      </c>
      <c r="CN183" s="270">
        <f>SUM(CN153:CN182)</f>
        <v>601.74000000000012</v>
      </c>
      <c r="CP183" s="84">
        <f>SUM(CP153:CP182)</f>
        <v>2615.8319700000002</v>
      </c>
      <c r="CQ183" s="84">
        <f t="shared" ref="CQ183:CR183" si="77">SUM(CQ153:CQ182)</f>
        <v>464.77536150000037</v>
      </c>
      <c r="CR183" s="84">
        <f t="shared" si="77"/>
        <v>0</v>
      </c>
      <c r="CS183" s="84">
        <f>SUM(CS153:CS182)</f>
        <v>3682.347331500001</v>
      </c>
      <c r="CV183" s="270">
        <f>SUM(CV153:CV182)</f>
        <v>235339.82</v>
      </c>
      <c r="CW183" s="270">
        <f>SUM(CW153:CW182)</f>
        <v>32531.580000000005</v>
      </c>
      <c r="CY183" s="270">
        <f>SUM(CY153:CY182)</f>
        <v>4421.3100000000004</v>
      </c>
      <c r="DA183" s="84">
        <f>SUM(DA153:DA182)</f>
        <v>5270.0123200000025</v>
      </c>
      <c r="DB183" s="84"/>
      <c r="DC183" s="84">
        <f t="shared" ref="DC183:DD183" si="78">SUM(DC153:DC182)</f>
        <v>0</v>
      </c>
      <c r="DD183" s="84">
        <f t="shared" si="78"/>
        <v>0</v>
      </c>
      <c r="DE183" s="84">
        <f>SUM(DE153:DE182)</f>
        <v>9691.3223200000011</v>
      </c>
      <c r="DI183" s="270">
        <f>SUM(DI153:DI182)</f>
        <v>49221.08</v>
      </c>
      <c r="DJ183" s="270">
        <f>SUM(DJ153:DJ182)</f>
        <v>10668.15</v>
      </c>
      <c r="DK183" s="270">
        <f>SUM(DK153:DK182)</f>
        <v>11963.519999999999</v>
      </c>
      <c r="DM183" s="270">
        <f>SUM(DM153:DM182)</f>
        <v>0</v>
      </c>
      <c r="DO183" s="84">
        <f>SUM(DO153:DO182)</f>
        <v>414.55535999999972</v>
      </c>
      <c r="DP183" s="84">
        <f t="shared" ref="DP183:DQ183" si="79">SUM(DP153:DP182)</f>
        <v>0.7359971999999857</v>
      </c>
      <c r="DQ183" s="84">
        <f t="shared" si="79"/>
        <v>-5.7683300000064719E-2</v>
      </c>
      <c r="DR183" s="84">
        <f>SUM(DR153:DR182)</f>
        <v>415.23367389999964</v>
      </c>
      <c r="DU183" s="271">
        <f>SUM(DU153:DU182)</f>
        <v>51161.540000000008</v>
      </c>
      <c r="DV183" s="270">
        <f>SUM(DV153:DV182)</f>
        <v>34495.57</v>
      </c>
      <c r="DX183" s="271">
        <f>SUM(DX153:DX182)</f>
        <v>1226.3600000000004</v>
      </c>
      <c r="DZ183" s="84">
        <f>SUM(DZ153:DZ182)</f>
        <v>0</v>
      </c>
      <c r="EA183" s="84">
        <f t="shared" ref="EA183:EB183" si="80">SUM(EA153:EA182)</f>
        <v>88.753031900000082</v>
      </c>
      <c r="EB183" s="84">
        <f t="shared" si="80"/>
        <v>0</v>
      </c>
      <c r="EC183" s="84">
        <f>SUM(EC153:EC182)</f>
        <v>1315.1130319000001</v>
      </c>
      <c r="EF183" s="270">
        <f>SUM(EF153:EF182)</f>
        <v>30199.779999999995</v>
      </c>
      <c r="EG183" s="270">
        <f>SUM(EG153:EG182)</f>
        <v>20764.21</v>
      </c>
      <c r="EI183" s="270">
        <f>SUM(EI153:EI182)</f>
        <v>134.33000000000001</v>
      </c>
      <c r="EK183" s="84">
        <f>SUM(EK153:EK182)</f>
        <v>15918.436608999993</v>
      </c>
      <c r="EL183" s="84"/>
      <c r="EM183" s="84">
        <f t="shared" ref="EM183:EN183" si="81">SUM(EM153:EM182)</f>
        <v>709.48797318999971</v>
      </c>
      <c r="EN183" s="84">
        <f t="shared" si="81"/>
        <v>0</v>
      </c>
      <c r="EO183" s="84">
        <f>SUM(EO153:EO182)</f>
        <v>16762.254582189998</v>
      </c>
      <c r="EQ183" s="272"/>
      <c r="ER183" s="270">
        <f>SUM(ER153:ER182)</f>
        <v>105443.5</v>
      </c>
      <c r="ES183" s="270">
        <f>SUM(ES153:ES182)</f>
        <v>10171.320000000002</v>
      </c>
      <c r="EU183" s="270">
        <f>SUM(EU153:EU182)</f>
        <v>4731.51</v>
      </c>
      <c r="EW183" s="84">
        <f>SUM(EW153:EW182)</f>
        <v>1476.0171100000009</v>
      </c>
      <c r="EX183" s="84">
        <f t="shared" ref="EX183:EY183" si="82">SUM(EX153:EX182)</f>
        <v>298.57967180000003</v>
      </c>
      <c r="EY183" s="84">
        <f t="shared" si="82"/>
        <v>0</v>
      </c>
      <c r="EZ183" s="84">
        <f>SUM(EZ153:EZ182)</f>
        <v>6506.1067818000029</v>
      </c>
      <c r="FC183" s="270">
        <f>SUM(FC153:FC182)</f>
        <v>23655.379999999997</v>
      </c>
      <c r="FD183" s="270">
        <f>SUM(FD153:FD182)</f>
        <v>6419.6299999999992</v>
      </c>
      <c r="FF183" s="270">
        <f>SUM(FF153:FF182)</f>
        <v>0</v>
      </c>
      <c r="FH183" s="84">
        <f>SUM(FH153:FH182)</f>
        <v>0</v>
      </c>
      <c r="FI183" s="84">
        <f t="shared" ref="FI183:FJ183" si="83">SUM(FI153:FI182)</f>
        <v>0</v>
      </c>
      <c r="FJ183" s="84">
        <f t="shared" si="83"/>
        <v>0</v>
      </c>
      <c r="FK183" s="84">
        <f>SUM(FK153:FK182)</f>
        <v>0</v>
      </c>
    </row>
    <row r="184" spans="2:167" hidden="1" x14ac:dyDescent="0.25"/>
    <row r="185" spans="2:167" hidden="1" x14ac:dyDescent="0.25"/>
    <row r="186" spans="2:167" hidden="1" x14ac:dyDescent="0.25">
      <c r="B186" s="119" t="s">
        <v>14</v>
      </c>
      <c r="C186" s="120" t="s">
        <v>15</v>
      </c>
      <c r="D186" s="120" t="s">
        <v>15</v>
      </c>
      <c r="E186" s="121" t="s">
        <v>16</v>
      </c>
      <c r="F186" s="121" t="s">
        <v>16</v>
      </c>
      <c r="H186" s="134" t="s">
        <v>16</v>
      </c>
      <c r="I186" s="135" t="s">
        <v>16</v>
      </c>
      <c r="J186" s="136" t="s">
        <v>16</v>
      </c>
      <c r="K186" s="10" t="s">
        <v>17</v>
      </c>
      <c r="M186" s="119" t="s">
        <v>14</v>
      </c>
      <c r="N186" s="120" t="s">
        <v>15</v>
      </c>
      <c r="O186" s="120" t="s">
        <v>15</v>
      </c>
      <c r="P186" s="121" t="s">
        <v>16</v>
      </c>
      <c r="R186" s="134" t="s">
        <v>16</v>
      </c>
      <c r="S186" s="135" t="s">
        <v>16</v>
      </c>
      <c r="T186" s="136" t="s">
        <v>16</v>
      </c>
      <c r="U186" s="10" t="s">
        <v>17</v>
      </c>
      <c r="W186" s="119" t="s">
        <v>14</v>
      </c>
      <c r="X186" s="120" t="s">
        <v>15</v>
      </c>
      <c r="Y186" s="120" t="s">
        <v>15</v>
      </c>
      <c r="Z186" s="121" t="s">
        <v>16</v>
      </c>
      <c r="AA186" s="121" t="s">
        <v>16</v>
      </c>
      <c r="AC186" s="134" t="s">
        <v>16</v>
      </c>
      <c r="AD186" s="135" t="s">
        <v>16</v>
      </c>
      <c r="AE186" s="136" t="s">
        <v>16</v>
      </c>
      <c r="AF186" s="10" t="s">
        <v>17</v>
      </c>
      <c r="AI186" s="119" t="s">
        <v>14</v>
      </c>
      <c r="AJ186" s="120" t="s">
        <v>15</v>
      </c>
      <c r="AK186" s="120" t="s">
        <v>15</v>
      </c>
      <c r="AL186" s="121" t="s">
        <v>16</v>
      </c>
      <c r="AN186" s="134" t="s">
        <v>16</v>
      </c>
      <c r="AO186" s="135" t="s">
        <v>16</v>
      </c>
      <c r="AP186" s="136" t="s">
        <v>16</v>
      </c>
      <c r="AQ186" s="10" t="s">
        <v>17</v>
      </c>
      <c r="AS186" s="119" t="s">
        <v>14</v>
      </c>
      <c r="AT186" s="120" t="s">
        <v>15</v>
      </c>
      <c r="AU186" s="120" t="s">
        <v>15</v>
      </c>
      <c r="AV186" s="121" t="s">
        <v>16</v>
      </c>
      <c r="AX186" s="134" t="s">
        <v>16</v>
      </c>
      <c r="AY186" s="135" t="s">
        <v>16</v>
      </c>
      <c r="AZ186" s="136" t="s">
        <v>16</v>
      </c>
      <c r="BA186" s="10" t="s">
        <v>17</v>
      </c>
      <c r="BC186" s="119" t="s">
        <v>14</v>
      </c>
      <c r="BD186" s="120" t="s">
        <v>15</v>
      </c>
      <c r="BE186" s="120" t="s">
        <v>15</v>
      </c>
      <c r="BF186" s="121" t="s">
        <v>16</v>
      </c>
      <c r="BH186" s="134" t="s">
        <v>16</v>
      </c>
      <c r="BI186" s="135" t="s">
        <v>16</v>
      </c>
      <c r="BJ186" s="136" t="s">
        <v>16</v>
      </c>
      <c r="BK186" s="10" t="s">
        <v>17</v>
      </c>
      <c r="BM186" s="119" t="s">
        <v>14</v>
      </c>
      <c r="BN186" s="120" t="s">
        <v>15</v>
      </c>
      <c r="BO186" s="120" t="s">
        <v>15</v>
      </c>
      <c r="BP186" s="120" t="s">
        <v>15</v>
      </c>
      <c r="BQ186" s="121" t="s">
        <v>16</v>
      </c>
      <c r="BR186" s="121" t="s">
        <v>16</v>
      </c>
      <c r="BT186" s="134" t="s">
        <v>16</v>
      </c>
      <c r="BU186" s="135" t="s">
        <v>16</v>
      </c>
      <c r="BV186" s="136" t="s">
        <v>16</v>
      </c>
      <c r="BW186" s="10" t="s">
        <v>17</v>
      </c>
      <c r="BY186" s="119" t="s">
        <v>14</v>
      </c>
      <c r="BZ186" s="252" t="s">
        <v>15</v>
      </c>
      <c r="CA186" s="253" t="s">
        <v>15</v>
      </c>
      <c r="CB186" s="121" t="s">
        <v>16</v>
      </c>
      <c r="CC186" s="121" t="s">
        <v>16</v>
      </c>
      <c r="CE186" s="134" t="s">
        <v>16</v>
      </c>
      <c r="CF186" s="135" t="s">
        <v>16</v>
      </c>
      <c r="CG186" s="136" t="s">
        <v>16</v>
      </c>
      <c r="CH186" s="10" t="s">
        <v>17</v>
      </c>
      <c r="CJ186" s="119" t="s">
        <v>14</v>
      </c>
      <c r="CK186" s="120" t="s">
        <v>15</v>
      </c>
      <c r="CL186" s="120" t="s">
        <v>15</v>
      </c>
      <c r="CM186" s="121" t="s">
        <v>16</v>
      </c>
      <c r="CN186" s="121" t="s">
        <v>16</v>
      </c>
      <c r="CP186" s="134" t="s">
        <v>16</v>
      </c>
      <c r="CQ186" s="135" t="s">
        <v>16</v>
      </c>
      <c r="CR186" s="136" t="s">
        <v>16</v>
      </c>
      <c r="CS186" s="10" t="s">
        <v>17</v>
      </c>
      <c r="CU186" s="119" t="s">
        <v>14</v>
      </c>
      <c r="CV186" s="120" t="s">
        <v>15</v>
      </c>
      <c r="CW186" s="120" t="s">
        <v>15</v>
      </c>
      <c r="CX186" s="121" t="s">
        <v>16</v>
      </c>
      <c r="CY186" s="121" t="s">
        <v>16</v>
      </c>
      <c r="DA186" s="134" t="s">
        <v>16</v>
      </c>
      <c r="DB186" s="134"/>
      <c r="DC186" s="135" t="s">
        <v>16</v>
      </c>
      <c r="DD186" s="136" t="s">
        <v>16</v>
      </c>
      <c r="DE186" s="10" t="s">
        <v>17</v>
      </c>
      <c r="DH186" s="119" t="s">
        <v>14</v>
      </c>
      <c r="DI186" s="120" t="s">
        <v>15</v>
      </c>
      <c r="DJ186" s="120" t="s">
        <v>15</v>
      </c>
      <c r="DK186" s="120" t="s">
        <v>15</v>
      </c>
      <c r="DL186" s="121" t="s">
        <v>16</v>
      </c>
      <c r="DM186" s="121" t="s">
        <v>16</v>
      </c>
      <c r="DO186" s="134" t="s">
        <v>16</v>
      </c>
      <c r="DP186" s="135" t="s">
        <v>16</v>
      </c>
      <c r="DQ186" s="136" t="s">
        <v>16</v>
      </c>
      <c r="DR186" s="10" t="s">
        <v>17</v>
      </c>
      <c r="DT186" s="119" t="s">
        <v>14</v>
      </c>
      <c r="DU186" s="120" t="s">
        <v>15</v>
      </c>
      <c r="DV186" s="120" t="s">
        <v>15</v>
      </c>
      <c r="DW186" s="121" t="s">
        <v>16</v>
      </c>
      <c r="DX186" s="121" t="s">
        <v>16</v>
      </c>
      <c r="DZ186" s="134" t="s">
        <v>16</v>
      </c>
      <c r="EA186" s="135" t="s">
        <v>16</v>
      </c>
      <c r="EB186" s="136" t="s">
        <v>16</v>
      </c>
      <c r="EC186" s="10" t="s">
        <v>17</v>
      </c>
      <c r="EE186" s="119" t="s">
        <v>14</v>
      </c>
      <c r="EF186" s="120" t="s">
        <v>15</v>
      </c>
      <c r="EG186" s="252" t="s">
        <v>15</v>
      </c>
      <c r="EH186" s="121" t="s">
        <v>16</v>
      </c>
      <c r="EI186" s="121" t="s">
        <v>16</v>
      </c>
      <c r="EK186" s="134" t="s">
        <v>16</v>
      </c>
      <c r="EL186" s="134"/>
      <c r="EM186" s="135" t="s">
        <v>16</v>
      </c>
      <c r="EN186" s="136" t="s">
        <v>16</v>
      </c>
      <c r="EO186" s="10" t="s">
        <v>17</v>
      </c>
      <c r="EQ186" s="119" t="s">
        <v>14</v>
      </c>
      <c r="ER186" s="120" t="s">
        <v>15</v>
      </c>
      <c r="ES186" s="120" t="s">
        <v>15</v>
      </c>
      <c r="ET186" s="121" t="s">
        <v>16</v>
      </c>
      <c r="EU186" s="121" t="s">
        <v>16</v>
      </c>
      <c r="EW186" s="134" t="s">
        <v>16</v>
      </c>
      <c r="EX186" s="135" t="s">
        <v>16</v>
      </c>
      <c r="EY186" s="136" t="s">
        <v>16</v>
      </c>
      <c r="EZ186" s="10" t="s">
        <v>17</v>
      </c>
      <c r="FB186" s="119" t="s">
        <v>14</v>
      </c>
      <c r="FC186" s="120" t="s">
        <v>15</v>
      </c>
      <c r="FD186" s="120" t="s">
        <v>15</v>
      </c>
      <c r="FE186" s="121" t="s">
        <v>16</v>
      </c>
      <c r="FF186" s="121" t="s">
        <v>16</v>
      </c>
      <c r="FH186" s="134" t="s">
        <v>16</v>
      </c>
      <c r="FI186" s="135" t="s">
        <v>16</v>
      </c>
      <c r="FJ186" s="136" t="s">
        <v>16</v>
      </c>
      <c r="FK186" s="10" t="s">
        <v>17</v>
      </c>
    </row>
    <row r="187" spans="2:167" ht="15.75" hidden="1" thickBot="1" x14ac:dyDescent="0.3">
      <c r="B187" s="119"/>
      <c r="C187" s="120" t="s">
        <v>18</v>
      </c>
      <c r="D187" s="120" t="s">
        <v>19</v>
      </c>
      <c r="E187" s="121" t="s">
        <v>19</v>
      </c>
      <c r="F187" s="121" t="s">
        <v>25</v>
      </c>
      <c r="H187" s="145" t="s">
        <v>21</v>
      </c>
      <c r="I187" s="146" t="s">
        <v>22</v>
      </c>
      <c r="J187" s="147" t="s">
        <v>23</v>
      </c>
      <c r="K187" s="148" t="s">
        <v>24</v>
      </c>
      <c r="M187" s="119"/>
      <c r="N187" s="120" t="s">
        <v>18</v>
      </c>
      <c r="O187" s="120" t="s">
        <v>19</v>
      </c>
      <c r="P187" s="121" t="s">
        <v>25</v>
      </c>
      <c r="R187" s="145" t="s">
        <v>21</v>
      </c>
      <c r="S187" s="146" t="s">
        <v>22</v>
      </c>
      <c r="T187" s="147" t="s">
        <v>23</v>
      </c>
      <c r="U187" s="148" t="s">
        <v>24</v>
      </c>
      <c r="W187" s="119"/>
      <c r="X187" s="120" t="s">
        <v>18</v>
      </c>
      <c r="Y187" s="120" t="s">
        <v>19</v>
      </c>
      <c r="Z187" s="121" t="s">
        <v>19</v>
      </c>
      <c r="AA187" s="121" t="s">
        <v>25</v>
      </c>
      <c r="AC187" s="145" t="s">
        <v>21</v>
      </c>
      <c r="AD187" s="146" t="s">
        <v>22</v>
      </c>
      <c r="AE187" s="147" t="s">
        <v>23</v>
      </c>
      <c r="AF187" s="148" t="s">
        <v>24</v>
      </c>
      <c r="AI187" s="119"/>
      <c r="AJ187" s="120" t="s">
        <v>18</v>
      </c>
      <c r="AK187" s="120" t="s">
        <v>19</v>
      </c>
      <c r="AL187" s="121" t="s">
        <v>25</v>
      </c>
      <c r="AN187" s="145" t="s">
        <v>21</v>
      </c>
      <c r="AO187" s="146" t="s">
        <v>22</v>
      </c>
      <c r="AP187" s="147" t="s">
        <v>23</v>
      </c>
      <c r="AQ187" s="148" t="s">
        <v>24</v>
      </c>
      <c r="AS187" s="119"/>
      <c r="AT187" s="120" t="s">
        <v>18</v>
      </c>
      <c r="AU187" s="120" t="s">
        <v>19</v>
      </c>
      <c r="AV187" s="121" t="s">
        <v>25</v>
      </c>
      <c r="AX187" s="145" t="s">
        <v>21</v>
      </c>
      <c r="AY187" s="146" t="s">
        <v>22</v>
      </c>
      <c r="AZ187" s="147" t="s">
        <v>23</v>
      </c>
      <c r="BA187" s="148" t="s">
        <v>24</v>
      </c>
      <c r="BC187" s="119"/>
      <c r="BD187" s="120" t="s">
        <v>18</v>
      </c>
      <c r="BE187" s="120" t="s">
        <v>19</v>
      </c>
      <c r="BF187" s="121" t="s">
        <v>25</v>
      </c>
      <c r="BH187" s="145" t="s">
        <v>21</v>
      </c>
      <c r="BI187" s="146" t="s">
        <v>22</v>
      </c>
      <c r="BJ187" s="147" t="s">
        <v>23</v>
      </c>
      <c r="BK187" s="148" t="s">
        <v>24</v>
      </c>
      <c r="BM187" s="119"/>
      <c r="BN187" s="120" t="s">
        <v>18</v>
      </c>
      <c r="BO187" s="120" t="s">
        <v>19</v>
      </c>
      <c r="BP187" s="120" t="s">
        <v>20</v>
      </c>
      <c r="BQ187" s="121" t="s">
        <v>19</v>
      </c>
      <c r="BR187" s="121" t="s">
        <v>25</v>
      </c>
      <c r="BT187" s="145" t="s">
        <v>21</v>
      </c>
      <c r="BU187" s="146" t="s">
        <v>22</v>
      </c>
      <c r="BV187" s="147" t="s">
        <v>23</v>
      </c>
      <c r="BW187" s="148" t="s">
        <v>24</v>
      </c>
      <c r="BY187" s="119"/>
      <c r="BZ187" s="252" t="s">
        <v>18</v>
      </c>
      <c r="CA187" s="253" t="s">
        <v>19</v>
      </c>
      <c r="CB187" s="121" t="s">
        <v>19</v>
      </c>
      <c r="CC187" s="121" t="s">
        <v>25</v>
      </c>
      <c r="CE187" s="145" t="s">
        <v>21</v>
      </c>
      <c r="CF187" s="146" t="s">
        <v>22</v>
      </c>
      <c r="CG187" s="147" t="s">
        <v>23</v>
      </c>
      <c r="CH187" s="148" t="s">
        <v>24</v>
      </c>
      <c r="CJ187" s="119"/>
      <c r="CK187" s="120" t="s">
        <v>18</v>
      </c>
      <c r="CL187" s="120" t="s">
        <v>19</v>
      </c>
      <c r="CM187" s="121" t="s">
        <v>19</v>
      </c>
      <c r="CN187" s="121" t="s">
        <v>25</v>
      </c>
      <c r="CP187" s="145" t="s">
        <v>21</v>
      </c>
      <c r="CQ187" s="146" t="s">
        <v>22</v>
      </c>
      <c r="CR187" s="147" t="s">
        <v>23</v>
      </c>
      <c r="CS187" s="148" t="s">
        <v>24</v>
      </c>
      <c r="CU187" s="119"/>
      <c r="CV187" s="120" t="s">
        <v>18</v>
      </c>
      <c r="CW187" s="120" t="s">
        <v>19</v>
      </c>
      <c r="CX187" s="121" t="s">
        <v>19</v>
      </c>
      <c r="CY187" s="121" t="s">
        <v>25</v>
      </c>
      <c r="DA187" s="145" t="s">
        <v>21</v>
      </c>
      <c r="DB187" s="145"/>
      <c r="DC187" s="146" t="s">
        <v>22</v>
      </c>
      <c r="DD187" s="147" t="s">
        <v>23</v>
      </c>
      <c r="DE187" s="148" t="s">
        <v>24</v>
      </c>
      <c r="DH187" s="119"/>
      <c r="DI187" s="120" t="s">
        <v>18</v>
      </c>
      <c r="DJ187" s="120" t="s">
        <v>19</v>
      </c>
      <c r="DK187" s="120" t="s">
        <v>20</v>
      </c>
      <c r="DL187" s="121" t="s">
        <v>19</v>
      </c>
      <c r="DM187" s="121" t="s">
        <v>25</v>
      </c>
      <c r="DO187" s="145" t="s">
        <v>21</v>
      </c>
      <c r="DP187" s="146" t="s">
        <v>22</v>
      </c>
      <c r="DQ187" s="147" t="s">
        <v>23</v>
      </c>
      <c r="DR187" s="148" t="s">
        <v>24</v>
      </c>
      <c r="DT187" s="119"/>
      <c r="DU187" s="120" t="s">
        <v>18</v>
      </c>
      <c r="DV187" s="120" t="s">
        <v>19</v>
      </c>
      <c r="DW187" s="121" t="s">
        <v>19</v>
      </c>
      <c r="DX187" s="121" t="s">
        <v>25</v>
      </c>
      <c r="DZ187" s="145" t="s">
        <v>21</v>
      </c>
      <c r="EA187" s="146" t="s">
        <v>22</v>
      </c>
      <c r="EB187" s="147" t="s">
        <v>23</v>
      </c>
      <c r="EC187" s="148" t="s">
        <v>24</v>
      </c>
      <c r="EE187" s="119"/>
      <c r="EF187" s="120" t="s">
        <v>18</v>
      </c>
      <c r="EG187" s="252" t="s">
        <v>19</v>
      </c>
      <c r="EH187" s="121" t="s">
        <v>19</v>
      </c>
      <c r="EI187" s="121" t="s">
        <v>25</v>
      </c>
      <c r="EK187" s="145" t="s">
        <v>21</v>
      </c>
      <c r="EL187" s="145"/>
      <c r="EM187" s="146" t="s">
        <v>22</v>
      </c>
      <c r="EN187" s="147" t="s">
        <v>23</v>
      </c>
      <c r="EO187" s="148" t="s">
        <v>24</v>
      </c>
      <c r="EQ187" s="119"/>
      <c r="ER187" s="120" t="s">
        <v>18</v>
      </c>
      <c r="ES187" s="120" t="s">
        <v>19</v>
      </c>
      <c r="ET187" s="121" t="s">
        <v>19</v>
      </c>
      <c r="EU187" s="121" t="s">
        <v>25</v>
      </c>
      <c r="EW187" s="145" t="s">
        <v>21</v>
      </c>
      <c r="EX187" s="146" t="s">
        <v>22</v>
      </c>
      <c r="EY187" s="147" t="s">
        <v>23</v>
      </c>
      <c r="EZ187" s="148" t="s">
        <v>24</v>
      </c>
      <c r="FB187" s="119"/>
      <c r="FC187" s="254" t="s">
        <v>18</v>
      </c>
      <c r="FD187" s="254" t="s">
        <v>19</v>
      </c>
      <c r="FE187" s="255" t="s">
        <v>19</v>
      </c>
      <c r="FF187" s="255" t="s">
        <v>25</v>
      </c>
      <c r="FH187" s="145" t="s">
        <v>21</v>
      </c>
      <c r="FI187" s="146" t="s">
        <v>22</v>
      </c>
      <c r="FJ187" s="147" t="s">
        <v>23</v>
      </c>
      <c r="FK187" s="148" t="s">
        <v>24</v>
      </c>
    </row>
    <row r="188" spans="2:167" hidden="1" x14ac:dyDescent="0.25">
      <c r="B188" s="122">
        <v>45992</v>
      </c>
      <c r="C188" s="123">
        <v>13918.05</v>
      </c>
      <c r="D188" s="126"/>
      <c r="E188" s="125"/>
      <c r="F188" s="126">
        <v>0</v>
      </c>
      <c r="H188" s="239"/>
      <c r="I188" s="239">
        <v>24.144148800000011</v>
      </c>
      <c r="J188" s="239"/>
      <c r="K188" s="30">
        <f>SUM(F188:J188)</f>
        <v>24.144148800000011</v>
      </c>
      <c r="M188" s="122">
        <v>45992</v>
      </c>
      <c r="N188" s="123">
        <v>2843.18</v>
      </c>
      <c r="O188" s="125"/>
      <c r="P188" s="126">
        <v>4.42</v>
      </c>
      <c r="R188" s="239"/>
      <c r="S188" s="29"/>
      <c r="T188" s="29"/>
      <c r="U188" s="30">
        <f>SUM(P188:T188)</f>
        <v>4.42</v>
      </c>
      <c r="W188" s="122">
        <v>45992</v>
      </c>
      <c r="X188" s="123">
        <v>1696.03</v>
      </c>
      <c r="Y188" s="123">
        <v>189.93</v>
      </c>
      <c r="Z188" s="125"/>
      <c r="AA188" s="273">
        <v>14.96</v>
      </c>
      <c r="AC188" s="239"/>
      <c r="AD188" s="30"/>
      <c r="AE188" s="29"/>
      <c r="AF188" s="30">
        <f>SUM(AA188:AE188)</f>
        <v>14.96</v>
      </c>
      <c r="AI188" s="122">
        <v>45992</v>
      </c>
      <c r="AJ188" s="123">
        <v>1362.02</v>
      </c>
      <c r="AK188" s="125"/>
      <c r="AL188" s="126"/>
      <c r="AN188" s="28"/>
      <c r="AO188" s="29"/>
      <c r="AP188" s="29"/>
      <c r="AQ188" s="30">
        <f>SUM(AL188:AP188)</f>
        <v>0</v>
      </c>
      <c r="AS188" s="122">
        <v>45992</v>
      </c>
      <c r="AT188" s="123">
        <v>2992.23</v>
      </c>
      <c r="AU188" s="125"/>
      <c r="AV188" s="128"/>
      <c r="AX188" s="28"/>
      <c r="AY188" s="29"/>
      <c r="AZ188" s="29"/>
      <c r="BA188" s="30">
        <f>SUM(AV188:AZ188)</f>
        <v>0</v>
      </c>
      <c r="BC188" s="122">
        <v>45992</v>
      </c>
      <c r="BD188" s="123">
        <v>4475.41</v>
      </c>
      <c r="BE188" s="125"/>
      <c r="BF188" s="128">
        <v>0</v>
      </c>
      <c r="BH188" s="239">
        <v>8.4144000000000077</v>
      </c>
      <c r="BI188" s="29"/>
      <c r="BJ188" s="29"/>
      <c r="BK188" s="30">
        <f>SUM(BF188:BJ188)</f>
        <v>8.4144000000000077</v>
      </c>
      <c r="BM188" s="122">
        <v>45992</v>
      </c>
      <c r="BN188" s="123">
        <v>13157.05</v>
      </c>
      <c r="BO188" s="123">
        <v>3680.74</v>
      </c>
      <c r="BP188" s="123">
        <v>8319.4699999999993</v>
      </c>
      <c r="BQ188" s="125"/>
      <c r="BR188" s="125"/>
      <c r="BT188" s="239">
        <v>295.06324999999993</v>
      </c>
      <c r="BU188" s="30">
        <v>8.3098492000000022</v>
      </c>
      <c r="BV188" s="30"/>
      <c r="BW188" s="30">
        <f t="shared" ref="BW188:BW218" si="84">SUM(BR188:BV188)</f>
        <v>303.37309919999996</v>
      </c>
      <c r="BY188" s="122">
        <v>45992</v>
      </c>
      <c r="BZ188" s="256">
        <v>2663.58</v>
      </c>
      <c r="CA188" s="257">
        <v>691.62</v>
      </c>
      <c r="CB188" s="125"/>
      <c r="CC188" s="126"/>
      <c r="CE188" s="239"/>
      <c r="CF188" s="29"/>
      <c r="CG188" s="30"/>
      <c r="CH188" s="30">
        <f>SUM(CC188:CG188)</f>
        <v>0</v>
      </c>
      <c r="CJ188" s="122">
        <v>45992</v>
      </c>
      <c r="CK188" s="123">
        <v>6800.78</v>
      </c>
      <c r="CL188" s="123">
        <v>592.29</v>
      </c>
      <c r="CM188" s="125"/>
      <c r="CN188" s="126"/>
      <c r="CP188" s="239">
        <v>108.06949</v>
      </c>
      <c r="CQ188" s="29">
        <v>2.2756200000000604</v>
      </c>
      <c r="CR188" s="29"/>
      <c r="CS188" s="30">
        <f>SUM(CN188:CR188)</f>
        <v>110.34511000000006</v>
      </c>
      <c r="CU188" s="122">
        <v>45992</v>
      </c>
      <c r="CV188" s="123">
        <v>11116.69</v>
      </c>
      <c r="CW188" s="124">
        <v>859.45</v>
      </c>
      <c r="CX188" s="125"/>
      <c r="CY188" s="126">
        <v>172.74</v>
      </c>
      <c r="DA188" s="239"/>
      <c r="DB188" s="402"/>
      <c r="DC188" s="29"/>
      <c r="DD188" s="29"/>
      <c r="DE188" s="30">
        <f>SUM(CY188:DD188)</f>
        <v>172.74</v>
      </c>
      <c r="DH188" s="122">
        <v>45992</v>
      </c>
      <c r="DI188" s="123">
        <v>1839.57</v>
      </c>
      <c r="DJ188" s="127">
        <v>374.45</v>
      </c>
      <c r="DK188" s="127">
        <v>0</v>
      </c>
      <c r="DL188" s="127"/>
      <c r="DM188" s="126">
        <v>0</v>
      </c>
      <c r="DO188" s="239">
        <v>34.841090000000008</v>
      </c>
      <c r="DP188" s="29"/>
      <c r="DQ188" s="29"/>
      <c r="DR188" s="30">
        <f>SUM(DM188:DQ188)</f>
        <v>34.841090000000008</v>
      </c>
      <c r="DT188" s="122">
        <v>45992</v>
      </c>
      <c r="DU188" s="123">
        <v>1305.25</v>
      </c>
      <c r="DV188" s="127">
        <v>1141.3399999999999</v>
      </c>
      <c r="DW188" s="127"/>
      <c r="DX188" s="126">
        <v>59.86</v>
      </c>
      <c r="DZ188" s="28"/>
      <c r="EA188" s="29">
        <v>4.1186256000000157</v>
      </c>
      <c r="EB188" s="29"/>
      <c r="EC188" s="30">
        <f>SUM(DX188:EB188)</f>
        <v>63.978625600000015</v>
      </c>
      <c r="EE188" s="122">
        <v>45992</v>
      </c>
      <c r="EF188" s="123">
        <v>855</v>
      </c>
      <c r="EG188" s="127">
        <v>1129.8499999999999</v>
      </c>
      <c r="EH188" s="127"/>
      <c r="EI188" s="126">
        <v>4.5599999999999996</v>
      </c>
      <c r="EK188" s="239">
        <v>347.90888999999981</v>
      </c>
      <c r="EL188" s="402"/>
      <c r="EM188" s="29"/>
      <c r="EN188" s="30"/>
      <c r="EO188" s="30">
        <f>SUM(EI188:EN188)</f>
        <v>352.46888999999982</v>
      </c>
      <c r="EQ188" s="122">
        <v>45992</v>
      </c>
      <c r="ER188" s="123">
        <v>3404.5</v>
      </c>
      <c r="ES188" s="259">
        <v>490.25</v>
      </c>
      <c r="ET188" s="127"/>
      <c r="EU188" s="258">
        <v>85.61</v>
      </c>
      <c r="EW188" s="239">
        <v>84.600000000000136</v>
      </c>
      <c r="EX188" s="30">
        <v>151.56854999999996</v>
      </c>
      <c r="EY188" s="29"/>
      <c r="EZ188" s="30">
        <f>SUM(EU188:EY188)</f>
        <v>321.77855000000011</v>
      </c>
      <c r="FB188" s="122">
        <v>45992</v>
      </c>
      <c r="FC188" s="123">
        <v>1106.05</v>
      </c>
      <c r="FD188" s="123">
        <v>305</v>
      </c>
      <c r="FE188" s="125"/>
      <c r="FF188" s="126"/>
      <c r="FH188" s="28"/>
      <c r="FI188" s="29"/>
      <c r="FJ188" s="29"/>
      <c r="FK188" s="30">
        <f>SUM(FF188:FJ188)</f>
        <v>0</v>
      </c>
    </row>
    <row r="189" spans="2:167" hidden="1" x14ac:dyDescent="0.25">
      <c r="B189" s="122">
        <v>45993</v>
      </c>
      <c r="C189" s="123">
        <v>13093.55</v>
      </c>
      <c r="D189" s="125"/>
      <c r="E189" s="125"/>
      <c r="F189" s="125">
        <v>47.27</v>
      </c>
      <c r="H189" s="240"/>
      <c r="I189" s="240">
        <v>2.252294992857145</v>
      </c>
      <c r="J189" s="240"/>
      <c r="K189" s="53">
        <f t="shared" ref="K189:K218" si="85">SUM(F189:J189)</f>
        <v>49.522294992857148</v>
      </c>
      <c r="M189" s="122">
        <v>45993</v>
      </c>
      <c r="N189" s="123">
        <v>3755.31</v>
      </c>
      <c r="O189" s="125"/>
      <c r="P189" s="126">
        <v>26.25</v>
      </c>
      <c r="R189" s="240"/>
      <c r="S189" s="52"/>
      <c r="T189" s="52"/>
      <c r="U189" s="53">
        <f t="shared" ref="U189:U218" si="86">SUM(P189:T189)</f>
        <v>26.25</v>
      </c>
      <c r="W189" s="122">
        <v>45993</v>
      </c>
      <c r="X189" s="123">
        <v>1580.44</v>
      </c>
      <c r="Y189" s="123">
        <v>139.79</v>
      </c>
      <c r="Z189" s="125"/>
      <c r="AA189" s="273">
        <v>16.32</v>
      </c>
      <c r="AC189" s="240"/>
      <c r="AD189" s="53"/>
      <c r="AE189" s="52"/>
      <c r="AF189" s="53">
        <f t="shared" ref="AF189:AF218" si="87">SUM(AA189:AE189)</f>
        <v>16.32</v>
      </c>
      <c r="AI189" s="122">
        <v>45993</v>
      </c>
      <c r="AJ189" s="123">
        <v>1310.01</v>
      </c>
      <c r="AK189" s="125"/>
      <c r="AL189" s="126"/>
      <c r="AN189" s="51"/>
      <c r="AO189" s="52"/>
      <c r="AP189" s="52"/>
      <c r="AQ189" s="53">
        <f t="shared" ref="AQ189:AQ218" si="88">SUM(AL189:AP189)</f>
        <v>0</v>
      </c>
      <c r="AS189" s="122">
        <v>45993</v>
      </c>
      <c r="AT189" s="123">
        <v>3440.04</v>
      </c>
      <c r="AU189" s="125"/>
      <c r="AV189" s="128"/>
      <c r="AX189" s="51"/>
      <c r="AY189" s="52"/>
      <c r="AZ189" s="52"/>
      <c r="BA189" s="53">
        <f t="shared" ref="BA189:BA218" si="89">SUM(AV189:AZ189)</f>
        <v>0</v>
      </c>
      <c r="BC189" s="122">
        <v>45993</v>
      </c>
      <c r="BD189" s="123">
        <v>2467.0500000000002</v>
      </c>
      <c r="BE189" s="125"/>
      <c r="BF189" s="128">
        <v>7.25</v>
      </c>
      <c r="BH189" s="240"/>
      <c r="BI189" s="52"/>
      <c r="BJ189" s="52"/>
      <c r="BK189" s="53">
        <f t="shared" ref="BK189:BK218" si="90">SUM(BF189:BJ189)</f>
        <v>7.25</v>
      </c>
      <c r="BM189" s="122">
        <v>45993</v>
      </c>
      <c r="BN189" s="123">
        <v>12184.05</v>
      </c>
      <c r="BO189" s="123">
        <v>3298.83</v>
      </c>
      <c r="BP189" s="123">
        <v>8830.7099999999991</v>
      </c>
      <c r="BQ189" s="125"/>
      <c r="BR189" s="125"/>
      <c r="BT189" s="240">
        <v>90.309799999999996</v>
      </c>
      <c r="BU189" s="53">
        <v>34.504009812380929</v>
      </c>
      <c r="BV189" s="53"/>
      <c r="BW189" s="53">
        <f t="shared" si="84"/>
        <v>124.81380981238092</v>
      </c>
      <c r="BY189" s="122">
        <v>45993</v>
      </c>
      <c r="BZ189" s="256">
        <v>1690.89</v>
      </c>
      <c r="CA189" s="257">
        <v>818.49</v>
      </c>
      <c r="CB189" s="125"/>
      <c r="CC189" s="126"/>
      <c r="CE189" s="240"/>
      <c r="CF189" s="52"/>
      <c r="CG189" s="53"/>
      <c r="CH189" s="53">
        <f t="shared" ref="CH189:CH218" si="91">SUM(CC189:CG189)</f>
        <v>0</v>
      </c>
      <c r="CJ189" s="122">
        <v>45993</v>
      </c>
      <c r="CK189" s="123">
        <v>3982.25</v>
      </c>
      <c r="CL189" s="123">
        <v>802.95</v>
      </c>
      <c r="CM189" s="125"/>
      <c r="CN189" s="126">
        <v>30.03</v>
      </c>
      <c r="CP189" s="240">
        <v>23.615160000000003</v>
      </c>
      <c r="CQ189" s="52"/>
      <c r="CR189" s="52"/>
      <c r="CS189" s="53">
        <f t="shared" ref="CS189:CS218" si="92">SUM(CN189:CR189)</f>
        <v>53.645160000000004</v>
      </c>
      <c r="CU189" s="122">
        <v>45993</v>
      </c>
      <c r="CV189" s="123">
        <v>9972.3799999999992</v>
      </c>
      <c r="CW189" s="127">
        <v>1015.45</v>
      </c>
      <c r="CX189" s="125"/>
      <c r="CY189" s="128">
        <v>193.9</v>
      </c>
      <c r="DA189" s="240">
        <v>221.84999999999977</v>
      </c>
      <c r="DB189" s="435"/>
      <c r="DC189" s="52"/>
      <c r="DD189" s="52"/>
      <c r="DE189" s="53">
        <f t="shared" ref="DE189:DE218" si="93">SUM(CY189:DD189)</f>
        <v>415.74999999999977</v>
      </c>
      <c r="DH189" s="122">
        <v>45993</v>
      </c>
      <c r="DI189" s="123">
        <v>3059.4</v>
      </c>
      <c r="DJ189" s="127">
        <v>401.29</v>
      </c>
      <c r="DK189" s="127">
        <v>0</v>
      </c>
      <c r="DL189" s="127"/>
      <c r="DM189" s="126">
        <v>11.2</v>
      </c>
      <c r="DO189" s="240">
        <v>8.5283999999999907</v>
      </c>
      <c r="DP189" s="52"/>
      <c r="DQ189" s="52"/>
      <c r="DR189" s="53">
        <f t="shared" ref="DR189:DR218" si="94">SUM(DM189:DQ189)</f>
        <v>19.72839999999999</v>
      </c>
      <c r="DT189" s="122">
        <v>45993</v>
      </c>
      <c r="DU189" s="123">
        <v>3163.5</v>
      </c>
      <c r="DV189" s="127">
        <v>1084.17</v>
      </c>
      <c r="DW189" s="127"/>
      <c r="DX189" s="126">
        <v>103.37</v>
      </c>
      <c r="DZ189" s="51"/>
      <c r="EA189" s="52">
        <v>3.3296454033333305</v>
      </c>
      <c r="EB189" s="52"/>
      <c r="EC189" s="53">
        <f t="shared" ref="EC189:EC218" si="95">SUM(DX189:EB189)</f>
        <v>106.69964540333334</v>
      </c>
      <c r="EE189" s="122">
        <v>45993</v>
      </c>
      <c r="EF189" s="123">
        <v>1201.8399999999999</v>
      </c>
      <c r="EG189" s="127">
        <v>898.61</v>
      </c>
      <c r="EH189" s="127"/>
      <c r="EI189" s="126">
        <v>3.92</v>
      </c>
      <c r="EK189" s="240">
        <v>264.09605999999985</v>
      </c>
      <c r="EL189" s="435"/>
      <c r="EM189" s="52"/>
      <c r="EN189" s="53"/>
      <c r="EO189" s="53">
        <f t="shared" ref="EO189:EO218" si="96">SUM(EI189:EN189)</f>
        <v>268.01605999999987</v>
      </c>
      <c r="EQ189" s="122">
        <v>45993</v>
      </c>
      <c r="ER189" s="123">
        <v>2943.18</v>
      </c>
      <c r="ES189" s="259">
        <v>223.58</v>
      </c>
      <c r="ET189" s="127"/>
      <c r="EU189" s="258">
        <v>275.77999999999997</v>
      </c>
      <c r="EW189" s="240">
        <v>30.243480000000034</v>
      </c>
      <c r="EX189" s="53"/>
      <c r="EY189" s="52"/>
      <c r="EZ189" s="53">
        <f t="shared" ref="EZ189:EZ218" si="97">SUM(EU189:EY189)</f>
        <v>306.02348000000001</v>
      </c>
      <c r="FB189" s="122">
        <v>45993</v>
      </c>
      <c r="FC189" s="123">
        <v>889.66</v>
      </c>
      <c r="FD189" s="123">
        <v>221</v>
      </c>
      <c r="FE189" s="125"/>
      <c r="FF189" s="126"/>
      <c r="FH189" s="51"/>
      <c r="FI189" s="52"/>
      <c r="FJ189" s="52"/>
      <c r="FK189" s="53">
        <f t="shared" ref="FK189:FK218" si="98">SUM(FF189:FJ189)</f>
        <v>0</v>
      </c>
    </row>
    <row r="190" spans="2:167" hidden="1" x14ac:dyDescent="0.25">
      <c r="B190" s="122">
        <v>45994</v>
      </c>
      <c r="C190" s="123">
        <v>14552.31</v>
      </c>
      <c r="D190" s="125"/>
      <c r="E190" s="125"/>
      <c r="F190" s="123">
        <v>0</v>
      </c>
      <c r="H190" s="240"/>
      <c r="I190" s="240"/>
      <c r="J190" s="240"/>
      <c r="K190" s="53">
        <f t="shared" si="85"/>
        <v>0</v>
      </c>
      <c r="M190" s="122">
        <v>45994</v>
      </c>
      <c r="N190" s="123">
        <v>2920.83</v>
      </c>
      <c r="O190" s="125"/>
      <c r="P190" s="126">
        <v>0</v>
      </c>
      <c r="R190" s="240"/>
      <c r="S190" s="52"/>
      <c r="T190" s="52"/>
      <c r="U190" s="53">
        <f t="shared" si="86"/>
        <v>0</v>
      </c>
      <c r="W190" s="122">
        <v>45994</v>
      </c>
      <c r="X190" s="123">
        <v>1619.08</v>
      </c>
      <c r="Y190" s="123">
        <v>0</v>
      </c>
      <c r="Z190" s="125"/>
      <c r="AA190" s="273">
        <v>3.85</v>
      </c>
      <c r="AC190" s="240">
        <v>6.0485400000000027</v>
      </c>
      <c r="AD190" s="53">
        <v>-1.22866666666539E-2</v>
      </c>
      <c r="AE190" s="52"/>
      <c r="AF190" s="53">
        <f t="shared" si="87"/>
        <v>9.8862533333333484</v>
      </c>
      <c r="AI190" s="122">
        <v>45994</v>
      </c>
      <c r="AJ190" s="123">
        <v>890.84</v>
      </c>
      <c r="AK190" s="125"/>
      <c r="AL190" s="126"/>
      <c r="AN190" s="51"/>
      <c r="AO190" s="52"/>
      <c r="AP190" s="52"/>
      <c r="AQ190" s="53">
        <f t="shared" si="88"/>
        <v>0</v>
      </c>
      <c r="AS190" s="122">
        <v>45994</v>
      </c>
      <c r="AT190" s="123">
        <v>4767.95</v>
      </c>
      <c r="AU190" s="125"/>
      <c r="AV190" s="128"/>
      <c r="AX190" s="51"/>
      <c r="AY190" s="52"/>
      <c r="AZ190" s="52"/>
      <c r="BA190" s="53">
        <f t="shared" si="89"/>
        <v>0</v>
      </c>
      <c r="BC190" s="122">
        <v>45994</v>
      </c>
      <c r="BD190" s="123">
        <v>3152.29</v>
      </c>
      <c r="BE190" s="125"/>
      <c r="BF190" s="128">
        <v>0</v>
      </c>
      <c r="BH190" s="240">
        <v>3.9382900000000234</v>
      </c>
      <c r="BI190" s="52"/>
      <c r="BJ190" s="52"/>
      <c r="BK190" s="53">
        <f t="shared" si="90"/>
        <v>3.9382900000000234</v>
      </c>
      <c r="BM190" s="122">
        <v>45994</v>
      </c>
      <c r="BN190" s="123">
        <v>15219.38</v>
      </c>
      <c r="BO190" s="123">
        <v>4063.9</v>
      </c>
      <c r="BP190" s="123">
        <v>10311.75</v>
      </c>
      <c r="BQ190" s="125"/>
      <c r="BR190" s="125"/>
      <c r="BT190" s="240">
        <v>153.81188999999995</v>
      </c>
      <c r="BU190" s="53">
        <v>344.9925226666669</v>
      </c>
      <c r="BV190" s="53"/>
      <c r="BW190" s="53">
        <f t="shared" si="84"/>
        <v>498.80441266666685</v>
      </c>
      <c r="BY190" s="122">
        <v>45994</v>
      </c>
      <c r="BZ190" s="256">
        <v>747.76</v>
      </c>
      <c r="CA190" s="257">
        <v>709.55</v>
      </c>
      <c r="CB190" s="125"/>
      <c r="CC190" s="126"/>
      <c r="CE190" s="240"/>
      <c r="CF190" s="52"/>
      <c r="CG190" s="53"/>
      <c r="CH190" s="53">
        <f t="shared" si="91"/>
        <v>0</v>
      </c>
      <c r="CJ190" s="122">
        <v>45994</v>
      </c>
      <c r="CK190" s="123">
        <v>5256.12</v>
      </c>
      <c r="CL190" s="123">
        <v>729.62</v>
      </c>
      <c r="CM190" s="125"/>
      <c r="CN190" s="126">
        <v>8.75</v>
      </c>
      <c r="CP190" s="240">
        <v>57.924320000000037</v>
      </c>
      <c r="CQ190" s="52">
        <v>-1.4157750476186948E-2</v>
      </c>
      <c r="CR190" s="52"/>
      <c r="CS190" s="53">
        <f t="shared" si="92"/>
        <v>66.66016224952385</v>
      </c>
      <c r="CU190" s="122">
        <v>45994</v>
      </c>
      <c r="CV190" s="123">
        <v>9813.35</v>
      </c>
      <c r="CW190" s="127">
        <v>1015.47</v>
      </c>
      <c r="CX190" s="125"/>
      <c r="CY190" s="126">
        <v>139.66</v>
      </c>
      <c r="DA190" s="240">
        <v>269.82000000000028</v>
      </c>
      <c r="DB190" s="435"/>
      <c r="DC190" s="52"/>
      <c r="DD190" s="52"/>
      <c r="DE190" s="53">
        <f t="shared" si="93"/>
        <v>409.48000000000025</v>
      </c>
      <c r="DH190" s="122">
        <v>45994</v>
      </c>
      <c r="DI190" s="123">
        <v>3119.04</v>
      </c>
      <c r="DJ190" s="126">
        <v>115.46</v>
      </c>
      <c r="DK190" s="126">
        <v>1006.42</v>
      </c>
      <c r="DL190" s="127"/>
      <c r="DM190" s="126">
        <v>0</v>
      </c>
      <c r="DO190" s="240">
        <v>17.099999999999937</v>
      </c>
      <c r="DP190" s="52"/>
      <c r="DQ190" s="52"/>
      <c r="DR190" s="53">
        <f t="shared" si="94"/>
        <v>17.099999999999937</v>
      </c>
      <c r="DT190" s="122">
        <v>45994</v>
      </c>
      <c r="DU190" s="123">
        <v>2420.36</v>
      </c>
      <c r="DV190" s="127">
        <v>1097.17</v>
      </c>
      <c r="DW190" s="127"/>
      <c r="DX190" s="126">
        <v>35.1</v>
      </c>
      <c r="DZ190" s="51"/>
      <c r="EA190" s="52"/>
      <c r="EB190" s="52"/>
      <c r="EC190" s="53">
        <f t="shared" si="95"/>
        <v>35.1</v>
      </c>
      <c r="EE190" s="122">
        <v>45994</v>
      </c>
      <c r="EF190" s="123">
        <v>1241.49</v>
      </c>
      <c r="EG190" s="127">
        <v>873.08</v>
      </c>
      <c r="EH190" s="127"/>
      <c r="EI190" s="126">
        <v>2.78</v>
      </c>
      <c r="EK190" s="240">
        <v>497.36119999999937</v>
      </c>
      <c r="EL190" s="435"/>
      <c r="EM190" s="52"/>
      <c r="EN190" s="53"/>
      <c r="EO190" s="53">
        <f t="shared" si="96"/>
        <v>500.14119999999934</v>
      </c>
      <c r="EQ190" s="122">
        <v>45994</v>
      </c>
      <c r="ER190" s="123">
        <v>3019.53</v>
      </c>
      <c r="ES190" s="259">
        <v>149.66999999999999</v>
      </c>
      <c r="ET190" s="127"/>
      <c r="EU190" s="258">
        <v>117.57</v>
      </c>
      <c r="EW190" s="240">
        <v>6.7971900000000005</v>
      </c>
      <c r="EX190" s="53">
        <v>80.486938244762314</v>
      </c>
      <c r="EY190" s="52"/>
      <c r="EZ190" s="53">
        <f t="shared" si="97"/>
        <v>204.85412824476231</v>
      </c>
      <c r="FB190" s="122">
        <v>45994</v>
      </c>
      <c r="FC190" s="123">
        <v>908.55</v>
      </c>
      <c r="FD190" s="123">
        <v>217.72</v>
      </c>
      <c r="FE190" s="125"/>
      <c r="FF190" s="126"/>
      <c r="FH190" s="51"/>
      <c r="FI190" s="52"/>
      <c r="FJ190" s="52"/>
      <c r="FK190" s="53">
        <f t="shared" si="98"/>
        <v>0</v>
      </c>
    </row>
    <row r="191" spans="2:167" hidden="1" x14ac:dyDescent="0.25">
      <c r="B191" s="122">
        <v>45995</v>
      </c>
      <c r="C191" s="123">
        <v>13032.59</v>
      </c>
      <c r="D191" s="125"/>
      <c r="E191" s="125"/>
      <c r="F191" s="125">
        <v>74.84</v>
      </c>
      <c r="H191" s="240"/>
      <c r="I191" s="240">
        <v>18.020854218095224</v>
      </c>
      <c r="J191" s="240"/>
      <c r="K191" s="53">
        <f t="shared" si="85"/>
        <v>92.860854218095227</v>
      </c>
      <c r="M191" s="122">
        <v>45995</v>
      </c>
      <c r="N191" s="123">
        <v>2848.68</v>
      </c>
      <c r="O191" s="125"/>
      <c r="P191" s="126">
        <v>2.1800000000000002</v>
      </c>
      <c r="R191" s="240"/>
      <c r="S191" s="52"/>
      <c r="T191" s="52"/>
      <c r="U191" s="53">
        <f t="shared" si="86"/>
        <v>2.1800000000000002</v>
      </c>
      <c r="W191" s="122">
        <v>45995</v>
      </c>
      <c r="X191" s="123">
        <v>1803.57</v>
      </c>
      <c r="Y191" s="123">
        <v>0</v>
      </c>
      <c r="Z191" s="125"/>
      <c r="AA191" s="273">
        <v>12.88</v>
      </c>
      <c r="AC191" s="240"/>
      <c r="AD191" s="53"/>
      <c r="AE191" s="52"/>
      <c r="AF191" s="53">
        <f t="shared" si="87"/>
        <v>12.88</v>
      </c>
      <c r="AI191" s="122">
        <v>45995</v>
      </c>
      <c r="AJ191" s="123">
        <v>2100.0700000000002</v>
      </c>
      <c r="AK191" s="125"/>
      <c r="AL191" s="126"/>
      <c r="AN191" s="51"/>
      <c r="AO191" s="52"/>
      <c r="AP191" s="52"/>
      <c r="AQ191" s="53">
        <f t="shared" si="88"/>
        <v>0</v>
      </c>
      <c r="AS191" s="122">
        <v>45995</v>
      </c>
      <c r="AT191" s="123">
        <v>3316.01</v>
      </c>
      <c r="AU191" s="125"/>
      <c r="AV191" s="128"/>
      <c r="AX191" s="51"/>
      <c r="AY191" s="52"/>
      <c r="AZ191" s="52"/>
      <c r="BA191" s="53">
        <f t="shared" si="89"/>
        <v>0</v>
      </c>
      <c r="BC191" s="122">
        <v>45995</v>
      </c>
      <c r="BD191" s="123">
        <v>3389.8</v>
      </c>
      <c r="BE191" s="125"/>
      <c r="BF191" s="128">
        <v>3.22</v>
      </c>
      <c r="BH191" s="240">
        <v>1.4500000000000028</v>
      </c>
      <c r="BI191" s="52"/>
      <c r="BJ191" s="52"/>
      <c r="BK191" s="53">
        <f t="shared" si="90"/>
        <v>4.6700000000000035</v>
      </c>
      <c r="BM191" s="122">
        <v>45995</v>
      </c>
      <c r="BN191" s="123">
        <v>14177.4</v>
      </c>
      <c r="BO191" s="123">
        <v>3391.74</v>
      </c>
      <c r="BP191" s="123">
        <v>4276.17</v>
      </c>
      <c r="BQ191" s="125"/>
      <c r="BR191" s="125"/>
      <c r="BT191" s="240">
        <v>252.36566999999982</v>
      </c>
      <c r="BU191" s="53"/>
      <c r="BV191" s="53"/>
      <c r="BW191" s="53">
        <f t="shared" si="84"/>
        <v>252.36566999999982</v>
      </c>
      <c r="BY191" s="122">
        <v>45995</v>
      </c>
      <c r="BZ191" s="256">
        <v>0</v>
      </c>
      <c r="CA191" s="257">
        <v>0</v>
      </c>
      <c r="CB191" s="126"/>
      <c r="CC191" s="126"/>
      <c r="CE191" s="240"/>
      <c r="CF191" s="52"/>
      <c r="CG191" s="53"/>
      <c r="CH191" s="53">
        <f t="shared" si="91"/>
        <v>0</v>
      </c>
      <c r="CJ191" s="122">
        <v>45995</v>
      </c>
      <c r="CK191" s="123">
        <v>5196.33</v>
      </c>
      <c r="CL191" s="123">
        <v>603.79</v>
      </c>
      <c r="CM191" s="125"/>
      <c r="CN191" s="126">
        <v>27.21</v>
      </c>
      <c r="CP191" s="240">
        <v>81</v>
      </c>
      <c r="CQ191" s="52"/>
      <c r="CR191" s="52"/>
      <c r="CS191" s="53">
        <f t="shared" si="92"/>
        <v>108.21000000000001</v>
      </c>
      <c r="CU191" s="122">
        <v>45995</v>
      </c>
      <c r="CV191" s="123">
        <v>13051.23</v>
      </c>
      <c r="CW191" s="127">
        <v>1046.28</v>
      </c>
      <c r="CX191" s="125"/>
      <c r="CY191" s="126">
        <v>138.6</v>
      </c>
      <c r="DA191" s="240">
        <v>422.25000000000051</v>
      </c>
      <c r="DB191" s="435"/>
      <c r="DC191" s="52"/>
      <c r="DD191" s="52"/>
      <c r="DE191" s="53">
        <f t="shared" si="93"/>
        <v>560.85000000000048</v>
      </c>
      <c r="DH191" s="122">
        <v>45995</v>
      </c>
      <c r="DI191" s="123">
        <v>1361.59</v>
      </c>
      <c r="DJ191" s="127">
        <v>198.21</v>
      </c>
      <c r="DK191" s="127">
        <v>1047.68</v>
      </c>
      <c r="DL191" s="127"/>
      <c r="DM191" s="126">
        <v>0</v>
      </c>
      <c r="DO191" s="240">
        <v>4.5599999999999739</v>
      </c>
      <c r="DP191" s="52"/>
      <c r="DQ191" s="52"/>
      <c r="DR191" s="53">
        <f t="shared" si="94"/>
        <v>4.5599999999999739</v>
      </c>
      <c r="DT191" s="122">
        <v>45995</v>
      </c>
      <c r="DU191" s="123">
        <v>1069.5</v>
      </c>
      <c r="DV191" s="127">
        <v>1062.22</v>
      </c>
      <c r="DW191" s="127"/>
      <c r="DX191" s="126">
        <v>77.540000000000006</v>
      </c>
      <c r="DZ191" s="51"/>
      <c r="EA191" s="52"/>
      <c r="EB191" s="52"/>
      <c r="EC191" s="53">
        <f t="shared" si="95"/>
        <v>77.540000000000006</v>
      </c>
      <c r="EE191" s="122">
        <v>45995</v>
      </c>
      <c r="EF191" s="123">
        <v>1508.13</v>
      </c>
      <c r="EG191" s="127">
        <v>920.93</v>
      </c>
      <c r="EH191" s="127"/>
      <c r="EI191" s="126">
        <v>2.23</v>
      </c>
      <c r="EK191" s="240">
        <v>448.71371999999963</v>
      </c>
      <c r="EL191" s="435"/>
      <c r="EM191" s="52"/>
      <c r="EN191" s="53"/>
      <c r="EO191" s="53">
        <f t="shared" si="96"/>
        <v>450.94371999999964</v>
      </c>
      <c r="EQ191" s="122">
        <v>45995</v>
      </c>
      <c r="ER191" s="123">
        <v>3306.2</v>
      </c>
      <c r="ES191" s="259">
        <v>158</v>
      </c>
      <c r="ET191" s="127"/>
      <c r="EU191" s="258">
        <v>37.29</v>
      </c>
      <c r="EW191" s="240">
        <v>35.737170000000106</v>
      </c>
      <c r="EX191" s="53">
        <v>107.03104868476251</v>
      </c>
      <c r="EY191" s="52"/>
      <c r="EZ191" s="53">
        <f t="shared" si="97"/>
        <v>180.05821868476261</v>
      </c>
      <c r="FB191" s="122">
        <v>45995</v>
      </c>
      <c r="FC191" s="123">
        <v>857.37</v>
      </c>
      <c r="FD191" s="123">
        <v>196</v>
      </c>
      <c r="FE191" s="125"/>
      <c r="FF191" s="126"/>
      <c r="FH191" s="51"/>
      <c r="FI191" s="52"/>
      <c r="FJ191" s="52"/>
      <c r="FK191" s="53">
        <f t="shared" si="98"/>
        <v>0</v>
      </c>
    </row>
    <row r="192" spans="2:167" hidden="1" x14ac:dyDescent="0.25">
      <c r="B192" s="122">
        <v>45996</v>
      </c>
      <c r="C192" s="123">
        <v>9898.0499999999993</v>
      </c>
      <c r="D192" s="125"/>
      <c r="E192" s="125"/>
      <c r="F192" s="125">
        <v>0</v>
      </c>
      <c r="H192" s="240"/>
      <c r="I192" s="240"/>
      <c r="J192" s="240"/>
      <c r="K192" s="53">
        <f t="shared" si="85"/>
        <v>0</v>
      </c>
      <c r="M192" s="122">
        <v>45996</v>
      </c>
      <c r="N192" s="123">
        <v>2360.5300000000002</v>
      </c>
      <c r="O192" s="125"/>
      <c r="P192" s="126">
        <v>0</v>
      </c>
      <c r="R192" s="240"/>
      <c r="S192" s="52"/>
      <c r="T192" s="52"/>
      <c r="U192" s="53">
        <f t="shared" si="86"/>
        <v>0</v>
      </c>
      <c r="W192" s="122">
        <v>45996</v>
      </c>
      <c r="X192" s="123">
        <v>2284.9699999999998</v>
      </c>
      <c r="Y192" s="123">
        <v>0</v>
      </c>
      <c r="Z192" s="125"/>
      <c r="AA192" s="273">
        <v>37.24</v>
      </c>
      <c r="AC192" s="240"/>
      <c r="AD192" s="53">
        <v>30.150203978095192</v>
      </c>
      <c r="AE192" s="52"/>
      <c r="AF192" s="53">
        <f t="shared" si="87"/>
        <v>67.390203978095201</v>
      </c>
      <c r="AI192" s="122">
        <v>45996</v>
      </c>
      <c r="AJ192" s="123">
        <v>1210.1400000000001</v>
      </c>
      <c r="AK192" s="125"/>
      <c r="AL192" s="126"/>
      <c r="AN192" s="51"/>
      <c r="AO192" s="52"/>
      <c r="AP192" s="52"/>
      <c r="AQ192" s="53">
        <f t="shared" si="88"/>
        <v>0</v>
      </c>
      <c r="AS192" s="122">
        <v>45996</v>
      </c>
      <c r="AT192" s="123">
        <v>4007.5</v>
      </c>
      <c r="AU192" s="125"/>
      <c r="AV192" s="128"/>
      <c r="AX192" s="51"/>
      <c r="AY192" s="52"/>
      <c r="AZ192" s="52"/>
      <c r="BA192" s="53">
        <f t="shared" si="89"/>
        <v>0</v>
      </c>
      <c r="BC192" s="122">
        <v>45996</v>
      </c>
      <c r="BD192" s="123">
        <v>4035.54</v>
      </c>
      <c r="BE192" s="125"/>
      <c r="BF192" s="128">
        <v>0</v>
      </c>
      <c r="BH192" s="240">
        <v>12.089999999999975</v>
      </c>
      <c r="BI192" s="52"/>
      <c r="BJ192" s="52"/>
      <c r="BK192" s="53">
        <f t="shared" si="90"/>
        <v>12.089999999999975</v>
      </c>
      <c r="BM192" s="122">
        <v>45996</v>
      </c>
      <c r="BN192" s="123">
        <v>14670.85</v>
      </c>
      <c r="BO192" s="123">
        <v>3810.25</v>
      </c>
      <c r="BP192" s="123">
        <v>8542.61</v>
      </c>
      <c r="BQ192" s="125"/>
      <c r="BR192" s="125"/>
      <c r="BT192" s="240">
        <v>325.53046999999981</v>
      </c>
      <c r="BU192" s="53">
        <v>738.72604142666705</v>
      </c>
      <c r="BV192" s="53"/>
      <c r="BW192" s="53">
        <f t="shared" si="84"/>
        <v>1064.2565114266667</v>
      </c>
      <c r="BY192" s="122">
        <v>45996</v>
      </c>
      <c r="BZ192" s="256">
        <v>348.9</v>
      </c>
      <c r="CA192" s="257">
        <v>292.62</v>
      </c>
      <c r="CB192" s="125"/>
      <c r="CC192" s="126"/>
      <c r="CE192" s="240"/>
      <c r="CF192" s="52"/>
      <c r="CG192" s="53"/>
      <c r="CH192" s="53">
        <f t="shared" si="91"/>
        <v>0</v>
      </c>
      <c r="CJ192" s="122">
        <v>45996</v>
      </c>
      <c r="CK192" s="123">
        <v>4580.5600000000004</v>
      </c>
      <c r="CL192" s="123">
        <v>989.97</v>
      </c>
      <c r="CM192" s="125"/>
      <c r="CN192" s="126">
        <v>8.6199999999999992</v>
      </c>
      <c r="CP192" s="240">
        <v>18.275760000000012</v>
      </c>
      <c r="CQ192" s="52">
        <v>-3.542333761907912E-2</v>
      </c>
      <c r="CR192" s="52"/>
      <c r="CS192" s="53">
        <f t="shared" si="92"/>
        <v>26.860336662380931</v>
      </c>
      <c r="CU192" s="122">
        <v>45996</v>
      </c>
      <c r="CV192" s="123">
        <v>10644.37</v>
      </c>
      <c r="CW192" s="127">
        <v>1169.1400000000001</v>
      </c>
      <c r="CX192" s="125"/>
      <c r="CY192" s="126">
        <v>64.989999999999995</v>
      </c>
      <c r="DA192" s="240"/>
      <c r="DB192" s="435"/>
      <c r="DC192" s="52"/>
      <c r="DD192" s="52"/>
      <c r="DE192" s="53">
        <f t="shared" si="93"/>
        <v>64.989999999999995</v>
      </c>
      <c r="DH192" s="122">
        <v>45996</v>
      </c>
      <c r="DI192" s="123">
        <v>2498.5300000000002</v>
      </c>
      <c r="DJ192" s="127">
        <v>629.94000000000005</v>
      </c>
      <c r="DK192" s="127">
        <v>1069.81</v>
      </c>
      <c r="DL192" s="127"/>
      <c r="DM192" s="126">
        <v>19.2</v>
      </c>
      <c r="DO192" s="240">
        <v>13.812639999999988</v>
      </c>
      <c r="DP192" s="52"/>
      <c r="DQ192" s="52"/>
      <c r="DR192" s="53">
        <f t="shared" si="94"/>
        <v>33.01263999999999</v>
      </c>
      <c r="DT192" s="122">
        <v>45996</v>
      </c>
      <c r="DU192" s="123">
        <v>2301.6999999999998</v>
      </c>
      <c r="DV192" s="127">
        <v>1174.99</v>
      </c>
      <c r="DW192" s="127"/>
      <c r="DX192" s="126">
        <v>42.91</v>
      </c>
      <c r="DZ192" s="51"/>
      <c r="EA192" s="52"/>
      <c r="EB192" s="52"/>
      <c r="EC192" s="53">
        <f t="shared" si="95"/>
        <v>42.91</v>
      </c>
      <c r="EE192" s="122">
        <v>45996</v>
      </c>
      <c r="EF192" s="123">
        <v>983.06</v>
      </c>
      <c r="EG192" s="127">
        <v>1218.83</v>
      </c>
      <c r="EH192" s="127"/>
      <c r="EI192" s="126">
        <v>3.33</v>
      </c>
      <c r="EK192" s="240">
        <v>638.16035999999963</v>
      </c>
      <c r="EL192" s="435"/>
      <c r="EM192" s="52">
        <v>75.788294198095258</v>
      </c>
      <c r="EN192" s="53">
        <v>48.900623199999984</v>
      </c>
      <c r="EO192" s="53">
        <f t="shared" si="96"/>
        <v>766.17927739809488</v>
      </c>
      <c r="EQ192" s="122">
        <v>45996</v>
      </c>
      <c r="ER192" s="123">
        <v>3499.41</v>
      </c>
      <c r="ES192" s="259">
        <v>381.19</v>
      </c>
      <c r="ET192" s="127"/>
      <c r="EU192" s="258">
        <v>86.99</v>
      </c>
      <c r="EW192" s="240">
        <v>3.402789999999996</v>
      </c>
      <c r="EX192" s="53">
        <v>61.768336627143071</v>
      </c>
      <c r="EY192" s="52"/>
      <c r="EZ192" s="53">
        <f t="shared" si="97"/>
        <v>152.16112662714306</v>
      </c>
      <c r="FB192" s="122">
        <v>45996</v>
      </c>
      <c r="FC192" s="123">
        <v>593.74</v>
      </c>
      <c r="FD192" s="123">
        <v>152.27000000000001</v>
      </c>
      <c r="FE192" s="125"/>
      <c r="FF192" s="126"/>
      <c r="FH192" s="51"/>
      <c r="FI192" s="52"/>
      <c r="FJ192" s="52"/>
      <c r="FK192" s="53">
        <f t="shared" si="98"/>
        <v>0</v>
      </c>
    </row>
    <row r="193" spans="2:167" hidden="1" x14ac:dyDescent="0.25">
      <c r="B193" s="122">
        <v>45997</v>
      </c>
      <c r="C193" s="123">
        <v>12964.17</v>
      </c>
      <c r="D193" s="125"/>
      <c r="E193" s="125"/>
      <c r="F193" s="125">
        <v>6.35</v>
      </c>
      <c r="H193" s="240"/>
      <c r="I193" s="240">
        <v>5.2217478438095384</v>
      </c>
      <c r="J193" s="240"/>
      <c r="K193" s="53">
        <f t="shared" si="85"/>
        <v>11.571747843809538</v>
      </c>
      <c r="M193" s="122">
        <v>45997</v>
      </c>
      <c r="N193" s="123">
        <v>3832.97</v>
      </c>
      <c r="O193" s="125"/>
      <c r="P193" s="126">
        <v>18.309999999999999</v>
      </c>
      <c r="R193" s="240"/>
      <c r="S193" s="52"/>
      <c r="T193" s="52"/>
      <c r="U193" s="53">
        <f t="shared" si="86"/>
        <v>18.309999999999999</v>
      </c>
      <c r="W193" s="122">
        <v>45997</v>
      </c>
      <c r="X193" s="123">
        <v>1730.23</v>
      </c>
      <c r="Y193" s="123">
        <v>0</v>
      </c>
      <c r="Z193" s="125"/>
      <c r="AA193" s="273">
        <v>10.06</v>
      </c>
      <c r="AC193" s="240">
        <v>37.562479999999994</v>
      </c>
      <c r="AD193" s="53">
        <v>7.3501929999999902</v>
      </c>
      <c r="AE193" s="52"/>
      <c r="AF193" s="53">
        <f t="shared" si="87"/>
        <v>54.972672999999986</v>
      </c>
      <c r="AI193" s="122">
        <v>45997</v>
      </c>
      <c r="AJ193" s="123">
        <v>1420.76</v>
      </c>
      <c r="AK193" s="125"/>
      <c r="AL193" s="126"/>
      <c r="AN193" s="51"/>
      <c r="AO193" s="52"/>
      <c r="AP193" s="52"/>
      <c r="AQ193" s="53">
        <f t="shared" si="88"/>
        <v>0</v>
      </c>
      <c r="AS193" s="122">
        <v>45997</v>
      </c>
      <c r="AT193" s="123">
        <v>4408.72</v>
      </c>
      <c r="AU193" s="125"/>
      <c r="AV193" s="128"/>
      <c r="AX193" s="51"/>
      <c r="AY193" s="52"/>
      <c r="AZ193" s="52"/>
      <c r="BA193" s="53">
        <f t="shared" si="89"/>
        <v>0</v>
      </c>
      <c r="BC193" s="122">
        <v>45997</v>
      </c>
      <c r="BD193" s="123">
        <v>3021.25</v>
      </c>
      <c r="BE193" s="125"/>
      <c r="BF193" s="128">
        <v>0</v>
      </c>
      <c r="BH193" s="240">
        <v>17.041680000000014</v>
      </c>
      <c r="BI193" s="52"/>
      <c r="BJ193" s="52"/>
      <c r="BK193" s="53">
        <f t="shared" si="90"/>
        <v>17.041680000000014</v>
      </c>
      <c r="BM193" s="122">
        <v>45997</v>
      </c>
      <c r="BN193" s="123">
        <v>13473.64</v>
      </c>
      <c r="BO193" s="123">
        <v>3792.55</v>
      </c>
      <c r="BP193" s="123">
        <v>9367.6299999999992</v>
      </c>
      <c r="BQ193" s="125"/>
      <c r="BR193" s="125"/>
      <c r="BT193" s="240">
        <v>77.920499999999947</v>
      </c>
      <c r="BU193" s="53"/>
      <c r="BV193" s="53"/>
      <c r="BW193" s="53">
        <f t="shared" si="84"/>
        <v>77.920499999999947</v>
      </c>
      <c r="BY193" s="122">
        <v>45997</v>
      </c>
      <c r="BZ193" s="256">
        <v>2426.12</v>
      </c>
      <c r="CA193" s="257">
        <v>1235.07</v>
      </c>
      <c r="CB193" s="125"/>
      <c r="CC193" s="126"/>
      <c r="CE193" s="240"/>
      <c r="CF193" s="52"/>
      <c r="CG193" s="53"/>
      <c r="CH193" s="53">
        <f t="shared" si="91"/>
        <v>0</v>
      </c>
      <c r="CJ193" s="122">
        <v>45997</v>
      </c>
      <c r="CK193" s="123">
        <v>5175.43</v>
      </c>
      <c r="CL193" s="123">
        <v>617.54</v>
      </c>
      <c r="CM193" s="125"/>
      <c r="CN193" s="126">
        <v>17.559999999999999</v>
      </c>
      <c r="CP193" s="240">
        <v>39.803740000000019</v>
      </c>
      <c r="CQ193" s="52"/>
      <c r="CR193" s="52"/>
      <c r="CS193" s="53">
        <f t="shared" si="92"/>
        <v>57.363740000000021</v>
      </c>
      <c r="CU193" s="122">
        <v>45997</v>
      </c>
      <c r="CV193" s="123">
        <v>8704.58</v>
      </c>
      <c r="CW193" s="127">
        <v>746.78</v>
      </c>
      <c r="CX193" s="125"/>
      <c r="CY193" s="126">
        <v>96.67</v>
      </c>
      <c r="DA193" s="240">
        <v>4.0723200000000013</v>
      </c>
      <c r="DB193" s="435"/>
      <c r="DC193" s="52"/>
      <c r="DD193" s="52"/>
      <c r="DE193" s="53">
        <f t="shared" si="93"/>
        <v>100.74232000000001</v>
      </c>
      <c r="DH193" s="122">
        <v>45997</v>
      </c>
      <c r="DI193" s="123">
        <v>2597.44</v>
      </c>
      <c r="DJ193" s="259">
        <v>488.25</v>
      </c>
      <c r="DK193" s="259">
        <v>1387.59</v>
      </c>
      <c r="DL193" s="127"/>
      <c r="DM193" s="126">
        <v>0</v>
      </c>
      <c r="DO193" s="240"/>
      <c r="DP193" s="52"/>
      <c r="DQ193" s="52"/>
      <c r="DR193" s="53">
        <f t="shared" si="94"/>
        <v>0</v>
      </c>
      <c r="DT193" s="122">
        <v>45997</v>
      </c>
      <c r="DU193" s="123">
        <v>1402.32</v>
      </c>
      <c r="DV193" s="259">
        <v>907.56</v>
      </c>
      <c r="DW193" s="127"/>
      <c r="DX193" s="126">
        <v>55.05</v>
      </c>
      <c r="DZ193" s="51"/>
      <c r="EA193" s="52"/>
      <c r="EB193" s="52"/>
      <c r="EC193" s="53">
        <f t="shared" si="95"/>
        <v>55.05</v>
      </c>
      <c r="EE193" s="122">
        <v>45997</v>
      </c>
      <c r="EF193" s="123">
        <v>1077.47</v>
      </c>
      <c r="EG193" s="127">
        <v>917.27</v>
      </c>
      <c r="EH193" s="127"/>
      <c r="EI193" s="126">
        <v>3.19</v>
      </c>
      <c r="EK193" s="240">
        <v>311.94535999999982</v>
      </c>
      <c r="EL193" s="435"/>
      <c r="EM193" s="52">
        <v>64.416551428571438</v>
      </c>
      <c r="EN193" s="53"/>
      <c r="EO193" s="53">
        <f t="shared" si="96"/>
        <v>379.55191142857126</v>
      </c>
      <c r="EQ193" s="122">
        <v>45997</v>
      </c>
      <c r="ER193" s="123">
        <v>3302</v>
      </c>
      <c r="ES193" s="259">
        <v>491.93</v>
      </c>
      <c r="ET193" s="127"/>
      <c r="EU193" s="258">
        <v>436.61</v>
      </c>
      <c r="EW193" s="240">
        <v>62.384280000000103</v>
      </c>
      <c r="EX193" s="53"/>
      <c r="EY193" s="52"/>
      <c r="EZ193" s="53">
        <f t="shared" si="97"/>
        <v>498.99428000000012</v>
      </c>
      <c r="FB193" s="122">
        <v>45997</v>
      </c>
      <c r="FC193" s="123">
        <v>1212.3800000000001</v>
      </c>
      <c r="FD193" s="123">
        <v>142.75</v>
      </c>
      <c r="FE193" s="125"/>
      <c r="FF193" s="126"/>
      <c r="FH193" s="51"/>
      <c r="FI193" s="52"/>
      <c r="FJ193" s="52"/>
      <c r="FK193" s="53">
        <f t="shared" si="98"/>
        <v>0</v>
      </c>
    </row>
    <row r="194" spans="2:167" hidden="1" x14ac:dyDescent="0.25">
      <c r="B194" s="122">
        <v>45998</v>
      </c>
      <c r="C194" s="123">
        <v>11309.59</v>
      </c>
      <c r="D194" s="125"/>
      <c r="E194" s="125"/>
      <c r="F194" s="125">
        <v>0</v>
      </c>
      <c r="H194" s="240"/>
      <c r="I194" s="240"/>
      <c r="J194" s="240"/>
      <c r="K194" s="53">
        <f t="shared" si="85"/>
        <v>0</v>
      </c>
      <c r="M194" s="122">
        <v>45998</v>
      </c>
      <c r="N194" s="123">
        <v>3212.12</v>
      </c>
      <c r="O194" s="125"/>
      <c r="P194" s="126">
        <v>6.95</v>
      </c>
      <c r="R194" s="240"/>
      <c r="S194" s="52"/>
      <c r="T194" s="52"/>
      <c r="U194" s="53">
        <f t="shared" si="86"/>
        <v>6.95</v>
      </c>
      <c r="W194" s="122">
        <v>45998</v>
      </c>
      <c r="X194" s="123">
        <v>1491.4</v>
      </c>
      <c r="Y194" s="123">
        <v>0</v>
      </c>
      <c r="Z194" s="125"/>
      <c r="AA194" s="273">
        <v>0.89</v>
      </c>
      <c r="AC194" s="240">
        <v>22.751959999999997</v>
      </c>
      <c r="AD194" s="53"/>
      <c r="AE194" s="52"/>
      <c r="AF194" s="53">
        <f t="shared" si="87"/>
        <v>23.641959999999997</v>
      </c>
      <c r="AI194" s="122">
        <v>45998</v>
      </c>
      <c r="AJ194" s="123">
        <v>1450.81</v>
      </c>
      <c r="AK194" s="125"/>
      <c r="AL194" s="126"/>
      <c r="AN194" s="51"/>
      <c r="AO194" s="52"/>
      <c r="AP194" s="52"/>
      <c r="AQ194" s="53">
        <f t="shared" si="88"/>
        <v>0</v>
      </c>
      <c r="AS194" s="122">
        <v>45998</v>
      </c>
      <c r="AT194" s="123">
        <v>3173.33</v>
      </c>
      <c r="AU194" s="125"/>
      <c r="AV194" s="128"/>
      <c r="AX194" s="51"/>
      <c r="AY194" s="52"/>
      <c r="AZ194" s="52"/>
      <c r="BA194" s="53">
        <f t="shared" si="89"/>
        <v>0</v>
      </c>
      <c r="BC194" s="122">
        <v>45998</v>
      </c>
      <c r="BD194" s="123">
        <v>2511.77</v>
      </c>
      <c r="BE194" s="125"/>
      <c r="BF194" s="128">
        <v>0</v>
      </c>
      <c r="BH194" s="240"/>
      <c r="BI194" s="52"/>
      <c r="BJ194" s="52"/>
      <c r="BK194" s="53">
        <f t="shared" si="90"/>
        <v>0</v>
      </c>
      <c r="BM194" s="122">
        <v>45998</v>
      </c>
      <c r="BN194" s="123">
        <v>11086.25</v>
      </c>
      <c r="BO194" s="123">
        <v>2617.5300000000002</v>
      </c>
      <c r="BP194" s="123">
        <v>5116.8500000000004</v>
      </c>
      <c r="BQ194" s="125"/>
      <c r="BR194" s="125"/>
      <c r="BT194" s="240">
        <v>88.25727999999998</v>
      </c>
      <c r="BU194" s="53"/>
      <c r="BV194" s="53"/>
      <c r="BW194" s="53">
        <f t="shared" si="84"/>
        <v>88.25727999999998</v>
      </c>
      <c r="BY194" s="122">
        <v>45998</v>
      </c>
      <c r="BZ194" s="256">
        <v>3085.42</v>
      </c>
      <c r="CA194" s="257">
        <v>864.96</v>
      </c>
      <c r="CB194" s="125"/>
      <c r="CC194" s="126"/>
      <c r="CE194" s="240"/>
      <c r="CF194" s="52"/>
      <c r="CG194" s="53"/>
      <c r="CH194" s="53">
        <f t="shared" si="91"/>
        <v>0</v>
      </c>
      <c r="CJ194" s="122">
        <v>45998</v>
      </c>
      <c r="CK194" s="123">
        <v>2767.07</v>
      </c>
      <c r="CL194" s="123">
        <v>584.70000000000005</v>
      </c>
      <c r="CM194" s="125"/>
      <c r="CN194" s="126">
        <v>15.59</v>
      </c>
      <c r="CP194" s="240">
        <v>37.800380000000018</v>
      </c>
      <c r="CQ194" s="52"/>
      <c r="CR194" s="52"/>
      <c r="CS194" s="53">
        <f t="shared" si="92"/>
        <v>53.390380000000022</v>
      </c>
      <c r="CU194" s="122">
        <v>45998</v>
      </c>
      <c r="CV194" s="123">
        <v>4372.08</v>
      </c>
      <c r="CW194" s="127">
        <v>647.29</v>
      </c>
      <c r="CX194" s="125"/>
      <c r="CY194" s="126">
        <v>30</v>
      </c>
      <c r="DA194" s="240"/>
      <c r="DB194" s="435"/>
      <c r="DC194" s="52"/>
      <c r="DD194" s="52"/>
      <c r="DE194" s="53">
        <f t="shared" si="93"/>
        <v>30</v>
      </c>
      <c r="DH194" s="122">
        <v>45998</v>
      </c>
      <c r="DI194" s="123">
        <v>1679</v>
      </c>
      <c r="DJ194" s="127">
        <v>323.67</v>
      </c>
      <c r="DK194" s="127">
        <v>1222.5899999999999</v>
      </c>
      <c r="DL194" s="127"/>
      <c r="DM194" s="126">
        <v>0</v>
      </c>
      <c r="DO194" s="240">
        <v>13.650200000000012</v>
      </c>
      <c r="DP194" s="52"/>
      <c r="DQ194" s="52"/>
      <c r="DR194" s="53">
        <f t="shared" si="94"/>
        <v>13.650200000000012</v>
      </c>
      <c r="DT194" s="122">
        <v>45998</v>
      </c>
      <c r="DU194" s="123">
        <v>920.8</v>
      </c>
      <c r="DV194" s="127">
        <v>983.19</v>
      </c>
      <c r="DW194" s="127"/>
      <c r="DX194" s="126">
        <v>10.199999999999999</v>
      </c>
      <c r="DZ194" s="51"/>
      <c r="EA194" s="52">
        <v>8.2629710166666541</v>
      </c>
      <c r="EB194" s="52"/>
      <c r="EC194" s="53">
        <f t="shared" si="95"/>
        <v>18.462971016666653</v>
      </c>
      <c r="EE194" s="122">
        <v>45998</v>
      </c>
      <c r="EF194" s="123">
        <v>708.89</v>
      </c>
      <c r="EG194" s="127">
        <v>660.14</v>
      </c>
      <c r="EH194" s="127"/>
      <c r="EI194" s="126">
        <v>2.0299999999999998</v>
      </c>
      <c r="EK194" s="240">
        <v>79.388369999999952</v>
      </c>
      <c r="EL194" s="435"/>
      <c r="EM194" s="52"/>
      <c r="EN194" s="53"/>
      <c r="EO194" s="53">
        <f t="shared" si="96"/>
        <v>81.418369999999953</v>
      </c>
      <c r="EQ194" s="122">
        <v>45998</v>
      </c>
      <c r="ER194" s="123">
        <v>2699.56</v>
      </c>
      <c r="ES194" s="259">
        <v>183.05</v>
      </c>
      <c r="ET194" s="127"/>
      <c r="EU194" s="258">
        <v>141.03</v>
      </c>
      <c r="EW194" s="240"/>
      <c r="EX194" s="53"/>
      <c r="EY194" s="52"/>
      <c r="EZ194" s="53">
        <f t="shared" si="97"/>
        <v>141.03</v>
      </c>
      <c r="FB194" s="122">
        <v>45998</v>
      </c>
      <c r="FC194" s="123">
        <v>568.41999999999996</v>
      </c>
      <c r="FD194" s="123">
        <v>136.1</v>
      </c>
      <c r="FE194" s="125"/>
      <c r="FF194" s="126"/>
      <c r="FH194" s="51"/>
      <c r="FI194" s="52"/>
      <c r="FJ194" s="52"/>
      <c r="FK194" s="53">
        <f t="shared" si="98"/>
        <v>0</v>
      </c>
    </row>
    <row r="195" spans="2:167" hidden="1" x14ac:dyDescent="0.25">
      <c r="B195" s="122">
        <v>45999</v>
      </c>
      <c r="C195" s="123">
        <v>12542.68</v>
      </c>
      <c r="D195" s="125"/>
      <c r="E195" s="125"/>
      <c r="F195" s="125">
        <v>0</v>
      </c>
      <c r="H195" s="240"/>
      <c r="I195" s="240"/>
      <c r="J195" s="240"/>
      <c r="K195" s="53">
        <f t="shared" si="85"/>
        <v>0</v>
      </c>
      <c r="M195" s="122">
        <v>45999</v>
      </c>
      <c r="N195" s="123">
        <v>3843.9</v>
      </c>
      <c r="O195" s="125"/>
      <c r="P195" s="126">
        <v>20.92</v>
      </c>
      <c r="R195" s="240"/>
      <c r="S195" s="52"/>
      <c r="T195" s="52"/>
      <c r="U195" s="53">
        <f t="shared" si="86"/>
        <v>20.92</v>
      </c>
      <c r="W195" s="122">
        <v>45999</v>
      </c>
      <c r="X195" s="123">
        <v>2326.5</v>
      </c>
      <c r="Y195" s="123">
        <v>0</v>
      </c>
      <c r="Z195" s="125"/>
      <c r="AA195" s="273">
        <v>0.54</v>
      </c>
      <c r="AC195" s="240">
        <v>7.2365399999999909</v>
      </c>
      <c r="AD195" s="53"/>
      <c r="AE195" s="52"/>
      <c r="AF195" s="53">
        <f t="shared" si="87"/>
        <v>7.7765399999999909</v>
      </c>
      <c r="AI195" s="122">
        <v>45999</v>
      </c>
      <c r="AJ195" s="123">
        <v>1160.79</v>
      </c>
      <c r="AK195" s="125"/>
      <c r="AL195" s="126"/>
      <c r="AN195" s="51"/>
      <c r="AO195" s="52"/>
      <c r="AP195" s="52"/>
      <c r="AQ195" s="53">
        <f t="shared" si="88"/>
        <v>0</v>
      </c>
      <c r="AS195" s="122">
        <v>45999</v>
      </c>
      <c r="AT195" s="123">
        <v>3279.61</v>
      </c>
      <c r="AU195" s="125"/>
      <c r="AV195" s="128"/>
      <c r="AX195" s="51"/>
      <c r="AY195" s="52"/>
      <c r="AZ195" s="52"/>
      <c r="BA195" s="53">
        <f t="shared" si="89"/>
        <v>0</v>
      </c>
      <c r="BC195" s="122">
        <v>45999</v>
      </c>
      <c r="BD195" s="123">
        <v>1433.54</v>
      </c>
      <c r="BE195" s="125"/>
      <c r="BF195" s="128">
        <v>0</v>
      </c>
      <c r="BH195" s="240"/>
      <c r="BI195" s="52"/>
      <c r="BJ195" s="52"/>
      <c r="BK195" s="53">
        <f t="shared" si="90"/>
        <v>0</v>
      </c>
      <c r="BM195" s="122">
        <v>45999</v>
      </c>
      <c r="BN195" s="123">
        <v>7863.37</v>
      </c>
      <c r="BO195" s="123">
        <v>3073.1</v>
      </c>
      <c r="BP195" s="123">
        <v>5097.51</v>
      </c>
      <c r="BQ195" s="125"/>
      <c r="BR195" s="125"/>
      <c r="BT195" s="240">
        <v>72.822149999999993</v>
      </c>
      <c r="BU195" s="53"/>
      <c r="BV195" s="53"/>
      <c r="BW195" s="53">
        <f t="shared" si="84"/>
        <v>72.822149999999993</v>
      </c>
      <c r="BY195" s="122">
        <v>45999</v>
      </c>
      <c r="BZ195" s="256">
        <v>2074.52</v>
      </c>
      <c r="CA195" s="257">
        <v>785.24</v>
      </c>
      <c r="CB195" s="125"/>
      <c r="CC195" s="126"/>
      <c r="CE195" s="240"/>
      <c r="CF195" s="52"/>
      <c r="CG195" s="53"/>
      <c r="CH195" s="53">
        <f t="shared" si="91"/>
        <v>0</v>
      </c>
      <c r="CJ195" s="122">
        <v>45999</v>
      </c>
      <c r="CK195" s="123">
        <v>4479.43</v>
      </c>
      <c r="CL195" s="123">
        <v>489.1</v>
      </c>
      <c r="CM195" s="125"/>
      <c r="CN195" s="126">
        <v>0</v>
      </c>
      <c r="CP195" s="240">
        <v>210.04650000000026</v>
      </c>
      <c r="CQ195" s="52"/>
      <c r="CR195" s="52"/>
      <c r="CS195" s="53">
        <f t="shared" si="92"/>
        <v>210.04650000000026</v>
      </c>
      <c r="CU195" s="122">
        <v>45999</v>
      </c>
      <c r="CV195" s="123">
        <v>3741.32</v>
      </c>
      <c r="CW195" s="127">
        <v>890.17</v>
      </c>
      <c r="CX195" s="125"/>
      <c r="CY195" s="126">
        <v>16.440000000000001</v>
      </c>
      <c r="DA195" s="240"/>
      <c r="DB195" s="435"/>
      <c r="DC195" s="52"/>
      <c r="DD195" s="52"/>
      <c r="DE195" s="53">
        <f t="shared" si="93"/>
        <v>16.440000000000001</v>
      </c>
      <c r="DH195" s="122">
        <v>45999</v>
      </c>
      <c r="DI195" s="123">
        <v>1691.67</v>
      </c>
      <c r="DJ195" s="127">
        <v>162.15</v>
      </c>
      <c r="DK195" s="127">
        <v>1114.6300000000001</v>
      </c>
      <c r="DL195" s="127"/>
      <c r="DM195" s="126">
        <v>0</v>
      </c>
      <c r="DO195" s="240"/>
      <c r="DP195" s="52"/>
      <c r="DQ195" s="52"/>
      <c r="DR195" s="53">
        <f t="shared" si="94"/>
        <v>0</v>
      </c>
      <c r="DT195" s="122">
        <v>45999</v>
      </c>
      <c r="DU195" s="123">
        <v>1288.0999999999999</v>
      </c>
      <c r="DV195" s="127">
        <v>757.31</v>
      </c>
      <c r="DW195" s="127"/>
      <c r="DX195" s="126">
        <v>50.6</v>
      </c>
      <c r="DZ195" s="51"/>
      <c r="EA195" s="52"/>
      <c r="EB195" s="52"/>
      <c r="EC195" s="53">
        <f t="shared" si="95"/>
        <v>50.6</v>
      </c>
      <c r="EE195" s="122">
        <v>45999</v>
      </c>
      <c r="EF195" s="123">
        <v>453.42</v>
      </c>
      <c r="EG195" s="127">
        <v>744.21</v>
      </c>
      <c r="EH195" s="127"/>
      <c r="EI195" s="126">
        <v>6.07</v>
      </c>
      <c r="EK195" s="240">
        <v>78.304679999999962</v>
      </c>
      <c r="EL195" s="435"/>
      <c r="EM195" s="52"/>
      <c r="EN195" s="53"/>
      <c r="EO195" s="53">
        <f t="shared" si="96"/>
        <v>84.374679999999955</v>
      </c>
      <c r="EQ195" s="122">
        <v>45999</v>
      </c>
      <c r="ER195" s="123">
        <v>5161.1400000000003</v>
      </c>
      <c r="ES195" s="259">
        <v>231.48</v>
      </c>
      <c r="ET195" s="127"/>
      <c r="EU195" s="258">
        <v>103.96</v>
      </c>
      <c r="EW195" s="240">
        <v>74.510140000000092</v>
      </c>
      <c r="EX195" s="53"/>
      <c r="EY195" s="52"/>
      <c r="EZ195" s="53">
        <f t="shared" si="97"/>
        <v>178.47014000000007</v>
      </c>
      <c r="FB195" s="122">
        <v>45999</v>
      </c>
      <c r="FC195" s="123">
        <v>975.5</v>
      </c>
      <c r="FD195" s="123">
        <v>65</v>
      </c>
      <c r="FE195" s="125"/>
      <c r="FF195" s="126"/>
      <c r="FH195" s="51"/>
      <c r="FI195" s="52"/>
      <c r="FJ195" s="52"/>
      <c r="FK195" s="53">
        <f t="shared" si="98"/>
        <v>0</v>
      </c>
    </row>
    <row r="196" spans="2:167" hidden="1" x14ac:dyDescent="0.25">
      <c r="B196" s="122">
        <v>46000</v>
      </c>
      <c r="C196" s="123">
        <v>10265.32</v>
      </c>
      <c r="D196" s="125"/>
      <c r="E196" s="125"/>
      <c r="F196" s="125">
        <v>0</v>
      </c>
      <c r="H196" s="240"/>
      <c r="I196" s="240"/>
      <c r="J196" s="240"/>
      <c r="K196" s="53">
        <f t="shared" si="85"/>
        <v>0</v>
      </c>
      <c r="M196" s="122">
        <v>46000</v>
      </c>
      <c r="N196" s="126">
        <v>3150.34</v>
      </c>
      <c r="O196" s="125"/>
      <c r="P196" s="126">
        <v>15.6</v>
      </c>
      <c r="R196" s="240"/>
      <c r="S196" s="52"/>
      <c r="T196" s="52"/>
      <c r="U196" s="53">
        <f t="shared" si="86"/>
        <v>15.6</v>
      </c>
      <c r="W196" s="122">
        <v>46000</v>
      </c>
      <c r="X196" s="123">
        <v>8629.08</v>
      </c>
      <c r="Y196" s="123">
        <v>0</v>
      </c>
      <c r="Z196" s="125"/>
      <c r="AA196" s="273">
        <v>47.67</v>
      </c>
      <c r="AC196" s="240"/>
      <c r="AD196" s="53"/>
      <c r="AE196" s="52"/>
      <c r="AF196" s="53">
        <f t="shared" si="87"/>
        <v>47.67</v>
      </c>
      <c r="AI196" s="122">
        <v>46000</v>
      </c>
      <c r="AJ196" s="123">
        <v>1400.79</v>
      </c>
      <c r="AK196" s="125"/>
      <c r="AL196" s="126"/>
      <c r="AN196" s="51"/>
      <c r="AO196" s="52"/>
      <c r="AP196" s="52"/>
      <c r="AQ196" s="53">
        <f t="shared" si="88"/>
        <v>0</v>
      </c>
      <c r="AS196" s="122">
        <v>46000</v>
      </c>
      <c r="AT196" s="123">
        <v>3227.08</v>
      </c>
      <c r="AU196" s="125"/>
      <c r="AV196" s="128"/>
      <c r="AX196" s="51"/>
      <c r="AY196" s="52"/>
      <c r="AZ196" s="52"/>
      <c r="BA196" s="53">
        <f t="shared" si="89"/>
        <v>0</v>
      </c>
      <c r="BC196" s="122">
        <v>46000</v>
      </c>
      <c r="BD196" s="123">
        <v>2020.84</v>
      </c>
      <c r="BE196" s="125"/>
      <c r="BF196" s="128">
        <v>0</v>
      </c>
      <c r="BH196" s="240">
        <v>3.1479500000000087</v>
      </c>
      <c r="BI196" s="52"/>
      <c r="BJ196" s="52"/>
      <c r="BK196" s="53">
        <f t="shared" si="90"/>
        <v>3.1479500000000087</v>
      </c>
      <c r="BM196" s="122">
        <v>46000</v>
      </c>
      <c r="BN196" s="123">
        <v>8620</v>
      </c>
      <c r="BO196" s="123">
        <v>2309.3000000000002</v>
      </c>
      <c r="BP196" s="123">
        <v>5030.8999999999996</v>
      </c>
      <c r="BQ196" s="125"/>
      <c r="BR196" s="125"/>
      <c r="BT196" s="240">
        <v>48.326819999999998</v>
      </c>
      <c r="BU196" s="53"/>
      <c r="BV196" s="53"/>
      <c r="BW196" s="53">
        <f t="shared" si="84"/>
        <v>48.326819999999998</v>
      </c>
      <c r="BY196" s="122">
        <v>46000</v>
      </c>
      <c r="BZ196" s="256">
        <v>1222.94</v>
      </c>
      <c r="CA196" s="257">
        <v>499.76</v>
      </c>
      <c r="CB196" s="125"/>
      <c r="CC196" s="126"/>
      <c r="CE196" s="240"/>
      <c r="CF196" s="52"/>
      <c r="CG196" s="53"/>
      <c r="CH196" s="53">
        <f t="shared" si="91"/>
        <v>0</v>
      </c>
      <c r="CJ196" s="122">
        <v>46000</v>
      </c>
      <c r="CK196" s="123">
        <v>4286.91</v>
      </c>
      <c r="CL196" s="123">
        <v>793.82</v>
      </c>
      <c r="CM196" s="125"/>
      <c r="CN196" s="126">
        <v>8.39</v>
      </c>
      <c r="CP196" s="240">
        <v>10.689300000000003</v>
      </c>
      <c r="CQ196" s="52"/>
      <c r="CR196" s="52"/>
      <c r="CS196" s="53">
        <f t="shared" si="92"/>
        <v>19.079300000000003</v>
      </c>
      <c r="CU196" s="122">
        <v>46000</v>
      </c>
      <c r="CV196" s="123">
        <v>2902.57</v>
      </c>
      <c r="CW196" s="127">
        <v>666.67</v>
      </c>
      <c r="CX196" s="125"/>
      <c r="CY196" s="128">
        <v>69</v>
      </c>
      <c r="DA196" s="240">
        <v>549.95999999999958</v>
      </c>
      <c r="DB196" s="435"/>
      <c r="DC196" s="52"/>
      <c r="DD196" s="52"/>
      <c r="DE196" s="53">
        <f t="shared" si="93"/>
        <v>618.95999999999958</v>
      </c>
      <c r="DH196" s="122">
        <v>46000</v>
      </c>
      <c r="DI196" s="123">
        <v>3132.91</v>
      </c>
      <c r="DJ196" s="127">
        <v>607.64</v>
      </c>
      <c r="DK196" s="127">
        <v>1181.58</v>
      </c>
      <c r="DL196" s="127"/>
      <c r="DM196" s="126">
        <v>0</v>
      </c>
      <c r="DO196" s="240">
        <v>5.8770799999999781</v>
      </c>
      <c r="DP196" s="52"/>
      <c r="DQ196" s="52"/>
      <c r="DR196" s="53">
        <f t="shared" si="94"/>
        <v>5.8770799999999781</v>
      </c>
      <c r="DT196" s="122">
        <v>46000</v>
      </c>
      <c r="DU196" s="123">
        <v>1821.09</v>
      </c>
      <c r="DV196" s="127">
        <v>999.02</v>
      </c>
      <c r="DW196" s="127"/>
      <c r="DX196" s="126">
        <v>69.69</v>
      </c>
      <c r="DZ196" s="51"/>
      <c r="EA196" s="52"/>
      <c r="EB196" s="52"/>
      <c r="EC196" s="53">
        <f t="shared" si="95"/>
        <v>69.69</v>
      </c>
      <c r="EE196" s="122">
        <v>46000</v>
      </c>
      <c r="EF196" s="123">
        <v>826.58</v>
      </c>
      <c r="EG196" s="127">
        <v>932.31</v>
      </c>
      <c r="EH196" s="127"/>
      <c r="EI196" s="126">
        <v>6.61</v>
      </c>
      <c r="EK196" s="240">
        <v>80.998739999999941</v>
      </c>
      <c r="EL196" s="435"/>
      <c r="EM196" s="52"/>
      <c r="EN196" s="53"/>
      <c r="EO196" s="53">
        <f t="shared" si="96"/>
        <v>87.608739999999941</v>
      </c>
      <c r="EQ196" s="122">
        <v>46000</v>
      </c>
      <c r="ER196" s="123">
        <v>3320.24</v>
      </c>
      <c r="ES196" s="259">
        <v>295.57</v>
      </c>
      <c r="ET196" s="127"/>
      <c r="EU196" s="258">
        <v>137.83000000000001</v>
      </c>
      <c r="EW196" s="240">
        <v>117.62775000000016</v>
      </c>
      <c r="EX196" s="53"/>
      <c r="EY196" s="52"/>
      <c r="EZ196" s="53">
        <f t="shared" si="97"/>
        <v>255.45775000000017</v>
      </c>
      <c r="FB196" s="122">
        <v>46000</v>
      </c>
      <c r="FC196" s="123">
        <v>607.07000000000005</v>
      </c>
      <c r="FD196" s="123">
        <v>293.29000000000002</v>
      </c>
      <c r="FE196" s="125"/>
      <c r="FF196" s="126"/>
      <c r="FH196" s="51"/>
      <c r="FI196" s="52"/>
      <c r="FJ196" s="52"/>
      <c r="FK196" s="53">
        <f t="shared" si="98"/>
        <v>0</v>
      </c>
    </row>
    <row r="197" spans="2:167" hidden="1" x14ac:dyDescent="0.25">
      <c r="B197" s="122">
        <v>46001</v>
      </c>
      <c r="C197" s="123">
        <v>10328.280000000001</v>
      </c>
      <c r="D197" s="125"/>
      <c r="E197" s="125"/>
      <c r="F197" s="125">
        <v>0</v>
      </c>
      <c r="H197" s="240"/>
      <c r="I197" s="240"/>
      <c r="J197" s="240"/>
      <c r="K197" s="53">
        <f t="shared" si="85"/>
        <v>0</v>
      </c>
      <c r="M197" s="122">
        <v>46001</v>
      </c>
      <c r="N197" s="123">
        <v>3114.24</v>
      </c>
      <c r="O197" s="125"/>
      <c r="P197" s="126">
        <v>14.14</v>
      </c>
      <c r="R197" s="240"/>
      <c r="S197" s="52"/>
      <c r="T197" s="52"/>
      <c r="U197" s="53">
        <f t="shared" si="86"/>
        <v>14.14</v>
      </c>
      <c r="W197" s="122">
        <v>46001</v>
      </c>
      <c r="X197" s="123">
        <v>885.19</v>
      </c>
      <c r="Y197" s="123">
        <v>141.82</v>
      </c>
      <c r="Z197" s="125"/>
      <c r="AA197" s="273">
        <v>49.55</v>
      </c>
      <c r="AC197" s="240"/>
      <c r="AD197" s="53"/>
      <c r="AE197" s="52"/>
      <c r="AF197" s="53">
        <f t="shared" si="87"/>
        <v>49.55</v>
      </c>
      <c r="AI197" s="122">
        <v>46001</v>
      </c>
      <c r="AJ197" s="123">
        <v>887.01</v>
      </c>
      <c r="AK197" s="125"/>
      <c r="AL197" s="126"/>
      <c r="AN197" s="51"/>
      <c r="AO197" s="52"/>
      <c r="AP197" s="52"/>
      <c r="AQ197" s="53">
        <f t="shared" si="88"/>
        <v>0</v>
      </c>
      <c r="AS197" s="122">
        <v>46001</v>
      </c>
      <c r="AT197" s="123">
        <v>2792.09</v>
      </c>
      <c r="AU197" s="125"/>
      <c r="AV197" s="128"/>
      <c r="AX197" s="51"/>
      <c r="AY197" s="52"/>
      <c r="AZ197" s="52"/>
      <c r="BA197" s="53">
        <f t="shared" si="89"/>
        <v>0</v>
      </c>
      <c r="BC197" s="122">
        <v>46001</v>
      </c>
      <c r="BD197" s="123">
        <v>3462.92</v>
      </c>
      <c r="BE197" s="125"/>
      <c r="BF197" s="128">
        <v>0</v>
      </c>
      <c r="BH197" s="240">
        <v>5.5796399999999835</v>
      </c>
      <c r="BI197" s="52"/>
      <c r="BJ197" s="52"/>
      <c r="BK197" s="53">
        <f t="shared" si="90"/>
        <v>5.5796399999999835</v>
      </c>
      <c r="BM197" s="122">
        <v>46001</v>
      </c>
      <c r="BN197" s="123">
        <v>13119.02</v>
      </c>
      <c r="BO197" s="123">
        <v>3936.84</v>
      </c>
      <c r="BP197" s="123">
        <v>8939.58</v>
      </c>
      <c r="BQ197" s="125"/>
      <c r="BR197" s="125"/>
      <c r="BT197" s="240">
        <v>201.77589999999992</v>
      </c>
      <c r="BU197" s="53">
        <v>389.26486400000022</v>
      </c>
      <c r="BV197" s="53"/>
      <c r="BW197" s="53">
        <f t="shared" si="84"/>
        <v>591.04076400000008</v>
      </c>
      <c r="BY197" s="122">
        <v>46001</v>
      </c>
      <c r="BZ197" s="256">
        <v>740</v>
      </c>
      <c r="CA197" s="257">
        <v>499.98</v>
      </c>
      <c r="CB197" s="125"/>
      <c r="CC197" s="126"/>
      <c r="CE197" s="240"/>
      <c r="CF197" s="52"/>
      <c r="CG197" s="53"/>
      <c r="CH197" s="53">
        <f t="shared" si="91"/>
        <v>0</v>
      </c>
      <c r="CJ197" s="122">
        <v>46001</v>
      </c>
      <c r="CK197" s="123">
        <v>5425.97</v>
      </c>
      <c r="CL197" s="123">
        <v>523.35</v>
      </c>
      <c r="CM197" s="125"/>
      <c r="CN197" s="126">
        <v>0</v>
      </c>
      <c r="CP197" s="240">
        <v>57.760360000000041</v>
      </c>
      <c r="CQ197" s="52"/>
      <c r="CR197" s="52"/>
      <c r="CS197" s="53">
        <f t="shared" si="92"/>
        <v>57.760360000000041</v>
      </c>
      <c r="CU197" s="122">
        <v>46001</v>
      </c>
      <c r="CV197" s="123">
        <v>8660.83</v>
      </c>
      <c r="CW197" s="127">
        <v>900.53</v>
      </c>
      <c r="CX197" s="125"/>
      <c r="CY197" s="128">
        <v>429.86</v>
      </c>
      <c r="DA197" s="240">
        <v>952.32000000000312</v>
      </c>
      <c r="DB197" s="435"/>
      <c r="DC197" s="52"/>
      <c r="DD197" s="52"/>
      <c r="DE197" s="53">
        <f t="shared" si="93"/>
        <v>1382.180000000003</v>
      </c>
      <c r="DH197" s="122">
        <v>46001</v>
      </c>
      <c r="DI197" s="123">
        <v>1967.76</v>
      </c>
      <c r="DJ197" s="127">
        <v>573.64</v>
      </c>
      <c r="DK197" s="127">
        <v>1707.35</v>
      </c>
      <c r="DL197" s="127"/>
      <c r="DM197" s="126">
        <v>0</v>
      </c>
      <c r="DO197" s="240">
        <v>13.262439999999998</v>
      </c>
      <c r="DP197" s="52"/>
      <c r="DQ197" s="52"/>
      <c r="DR197" s="53">
        <f t="shared" si="94"/>
        <v>13.262439999999998</v>
      </c>
      <c r="DT197" s="122">
        <v>46001</v>
      </c>
      <c r="DU197" s="123">
        <v>1439.75</v>
      </c>
      <c r="DV197" s="127">
        <v>1479.4</v>
      </c>
      <c r="DW197" s="127"/>
      <c r="DX197" s="126">
        <v>13.2</v>
      </c>
      <c r="DZ197" s="51"/>
      <c r="EA197" s="52"/>
      <c r="EB197" s="52"/>
      <c r="EC197" s="53">
        <f t="shared" si="95"/>
        <v>13.2</v>
      </c>
      <c r="EE197" s="122">
        <v>46001</v>
      </c>
      <c r="EF197" s="123">
        <v>939.88</v>
      </c>
      <c r="EG197" s="127">
        <v>980.43</v>
      </c>
      <c r="EH197" s="127"/>
      <c r="EI197" s="126">
        <v>1.46</v>
      </c>
      <c r="EK197" s="240">
        <v>617.50111999999945</v>
      </c>
      <c r="EL197" s="435"/>
      <c r="EM197" s="52"/>
      <c r="EN197" s="53"/>
      <c r="EO197" s="53">
        <f t="shared" si="96"/>
        <v>618.96111999999948</v>
      </c>
      <c r="EQ197" s="122">
        <v>46001</v>
      </c>
      <c r="ER197" s="123">
        <v>2246.46</v>
      </c>
      <c r="ES197" s="259">
        <v>236.48</v>
      </c>
      <c r="ET197" s="127"/>
      <c r="EU197" s="258">
        <v>494.11</v>
      </c>
      <c r="EW197" s="240">
        <v>36.32574000000011</v>
      </c>
      <c r="EX197" s="53"/>
      <c r="EY197" s="52"/>
      <c r="EZ197" s="53">
        <f t="shared" si="97"/>
        <v>530.43574000000012</v>
      </c>
      <c r="FB197" s="122">
        <v>46001</v>
      </c>
      <c r="FC197" s="123">
        <v>1295.6500000000001</v>
      </c>
      <c r="FD197" s="123">
        <v>186</v>
      </c>
      <c r="FE197" s="125"/>
      <c r="FF197" s="126"/>
      <c r="FH197" s="51"/>
      <c r="FI197" s="52"/>
      <c r="FJ197" s="52"/>
      <c r="FK197" s="53">
        <f t="shared" si="98"/>
        <v>0</v>
      </c>
    </row>
    <row r="198" spans="2:167" hidden="1" x14ac:dyDescent="0.25">
      <c r="B198" s="122">
        <v>46002</v>
      </c>
      <c r="C198" s="123">
        <v>15398.64</v>
      </c>
      <c r="D198" s="126"/>
      <c r="E198" s="125"/>
      <c r="F198" s="126">
        <v>4.79</v>
      </c>
      <c r="H198" s="240"/>
      <c r="I198" s="240"/>
      <c r="J198" s="240"/>
      <c r="K198" s="53">
        <f t="shared" si="85"/>
        <v>4.79</v>
      </c>
      <c r="M198" s="122">
        <v>46002</v>
      </c>
      <c r="N198" s="123">
        <v>3351.77</v>
      </c>
      <c r="O198" s="125"/>
      <c r="P198" s="126">
        <v>15.4</v>
      </c>
      <c r="R198" s="240"/>
      <c r="S198" s="52"/>
      <c r="T198" s="52"/>
      <c r="U198" s="53">
        <f t="shared" si="86"/>
        <v>15.4</v>
      </c>
      <c r="W198" s="122">
        <v>46002</v>
      </c>
      <c r="X198" s="123">
        <v>3024.28</v>
      </c>
      <c r="Y198" s="123">
        <v>261.83999999999997</v>
      </c>
      <c r="Z198" s="125"/>
      <c r="AA198" s="273">
        <v>15.31</v>
      </c>
      <c r="AC198" s="240"/>
      <c r="AD198" s="53">
        <v>8.7430780457142987</v>
      </c>
      <c r="AE198" s="52"/>
      <c r="AF198" s="53">
        <f t="shared" si="87"/>
        <v>24.053078045714301</v>
      </c>
      <c r="AI198" s="122">
        <v>46002</v>
      </c>
      <c r="AJ198" s="123">
        <v>1299.76</v>
      </c>
      <c r="AK198" s="125"/>
      <c r="AL198" s="126"/>
      <c r="AN198" s="51"/>
      <c r="AO198" s="52"/>
      <c r="AP198" s="52"/>
      <c r="AQ198" s="53">
        <f t="shared" si="88"/>
        <v>0</v>
      </c>
      <c r="AS198" s="122">
        <v>46002</v>
      </c>
      <c r="AT198" s="123">
        <v>3488.03</v>
      </c>
      <c r="AU198" s="125"/>
      <c r="AV198" s="128"/>
      <c r="AX198" s="51"/>
      <c r="AY198" s="52"/>
      <c r="AZ198" s="52"/>
      <c r="BA198" s="53">
        <f t="shared" si="89"/>
        <v>0</v>
      </c>
      <c r="BC198" s="122">
        <v>46002</v>
      </c>
      <c r="BD198" s="123">
        <v>3083.29</v>
      </c>
      <c r="BE198" s="125"/>
      <c r="BF198" s="128">
        <v>0</v>
      </c>
      <c r="BH198" s="240">
        <v>30.409499999999952</v>
      </c>
      <c r="BI198" s="52"/>
      <c r="BJ198" s="52"/>
      <c r="BK198" s="53">
        <f t="shared" si="90"/>
        <v>30.409499999999952</v>
      </c>
      <c r="BM198" s="122">
        <v>46002</v>
      </c>
      <c r="BN198" s="123">
        <v>11391.02</v>
      </c>
      <c r="BO198" s="123">
        <v>3133.7</v>
      </c>
      <c r="BP198" s="123">
        <v>9771.25</v>
      </c>
      <c r="BQ198" s="125"/>
      <c r="BR198" s="125"/>
      <c r="BT198" s="240">
        <v>173.32232000000002</v>
      </c>
      <c r="BU198" s="53">
        <v>91.668261577714262</v>
      </c>
      <c r="BV198" s="53"/>
      <c r="BW198" s="53">
        <f t="shared" si="84"/>
        <v>264.99058157771429</v>
      </c>
      <c r="BY198" s="122">
        <v>46002</v>
      </c>
      <c r="BZ198" s="256">
        <v>1557.7</v>
      </c>
      <c r="CA198" s="257">
        <v>612.66</v>
      </c>
      <c r="CB198" s="125"/>
      <c r="CC198" s="126"/>
      <c r="CE198" s="240"/>
      <c r="CF198" s="52"/>
      <c r="CG198" s="53">
        <v>8.5834672000000012</v>
      </c>
      <c r="CH198" s="53">
        <f t="shared" si="91"/>
        <v>8.5834672000000012</v>
      </c>
      <c r="CJ198" s="122">
        <v>46002</v>
      </c>
      <c r="CK198" s="123">
        <v>8441.26</v>
      </c>
      <c r="CL198" s="123">
        <v>653.62</v>
      </c>
      <c r="CM198" s="125"/>
      <c r="CN198" s="126">
        <v>22.86</v>
      </c>
      <c r="CP198" s="240"/>
      <c r="CQ198" s="52">
        <v>19.272897012857186</v>
      </c>
      <c r="CR198" s="52"/>
      <c r="CS198" s="53">
        <f t="shared" si="92"/>
        <v>42.132897012857185</v>
      </c>
      <c r="CU198" s="122">
        <v>46002</v>
      </c>
      <c r="CV198" s="123">
        <v>7976.51</v>
      </c>
      <c r="CW198" s="127">
        <v>858.38</v>
      </c>
      <c r="CX198" s="125"/>
      <c r="CY198" s="128">
        <v>157.34</v>
      </c>
      <c r="DA198" s="240">
        <v>46.500000000000043</v>
      </c>
      <c r="DB198" s="435"/>
      <c r="DC198" s="52"/>
      <c r="DD198" s="52"/>
      <c r="DE198" s="53">
        <f t="shared" si="93"/>
        <v>203.84000000000003</v>
      </c>
      <c r="DH198" s="122">
        <v>46002</v>
      </c>
      <c r="DI198" s="123">
        <v>1547.76</v>
      </c>
      <c r="DJ198" s="127">
        <v>394.59</v>
      </c>
      <c r="DK198" s="127">
        <v>2002.37</v>
      </c>
      <c r="DL198" s="127"/>
      <c r="DM198" s="126">
        <v>0</v>
      </c>
      <c r="DO198" s="240">
        <v>16.748159999999999</v>
      </c>
      <c r="DP198" s="52"/>
      <c r="DQ198" s="52"/>
      <c r="DR198" s="53">
        <f t="shared" si="94"/>
        <v>16.748159999999999</v>
      </c>
      <c r="DT198" s="122">
        <v>46002</v>
      </c>
      <c r="DU198" s="123">
        <v>1328.04</v>
      </c>
      <c r="DV198" s="127">
        <v>1280.6500000000001</v>
      </c>
      <c r="DW198" s="127"/>
      <c r="DX198" s="126">
        <v>10.039999999999999</v>
      </c>
      <c r="DZ198" s="51"/>
      <c r="EA198" s="52"/>
      <c r="EB198" s="52"/>
      <c r="EC198" s="53">
        <f t="shared" si="95"/>
        <v>10.039999999999999</v>
      </c>
      <c r="EE198" s="122">
        <v>46002</v>
      </c>
      <c r="EF198" s="123">
        <v>1124.25</v>
      </c>
      <c r="EG198" s="127">
        <v>1028.33</v>
      </c>
      <c r="EH198" s="127"/>
      <c r="EI198" s="126">
        <v>3.77</v>
      </c>
      <c r="EK198" s="240">
        <v>259.05182999999982</v>
      </c>
      <c r="EL198" s="435"/>
      <c r="EM198" s="52"/>
      <c r="EN198" s="53"/>
      <c r="EO198" s="53">
        <f t="shared" si="96"/>
        <v>262.82182999999981</v>
      </c>
      <c r="EQ198" s="122">
        <v>46002</v>
      </c>
      <c r="ER198" s="123">
        <v>2595.6</v>
      </c>
      <c r="ES198" s="259">
        <v>332.19</v>
      </c>
      <c r="ET198" s="127"/>
      <c r="EU198" s="258">
        <v>138.97999999999999</v>
      </c>
      <c r="EW198" s="240"/>
      <c r="EX198" s="53">
        <v>183.47306646857169</v>
      </c>
      <c r="EY198" s="52"/>
      <c r="EZ198" s="53">
        <f t="shared" si="97"/>
        <v>322.45306646857171</v>
      </c>
      <c r="FB198" s="122">
        <v>46002</v>
      </c>
      <c r="FC198" s="123">
        <v>457.95</v>
      </c>
      <c r="FD198" s="123">
        <v>321</v>
      </c>
      <c r="FE198" s="125"/>
      <c r="FF198" s="126"/>
      <c r="FH198" s="51"/>
      <c r="FI198" s="52"/>
      <c r="FJ198" s="52"/>
      <c r="FK198" s="53">
        <f t="shared" si="98"/>
        <v>0</v>
      </c>
    </row>
    <row r="199" spans="2:167" hidden="1" x14ac:dyDescent="0.25">
      <c r="B199" s="122">
        <v>46003</v>
      </c>
      <c r="C199" s="123">
        <v>13423.15</v>
      </c>
      <c r="D199" s="125"/>
      <c r="E199" s="125"/>
      <c r="F199" s="125">
        <v>42.59</v>
      </c>
      <c r="H199" s="240"/>
      <c r="I199" s="240">
        <v>57.883019466000007</v>
      </c>
      <c r="J199" s="240"/>
      <c r="K199" s="53">
        <f t="shared" si="85"/>
        <v>100.47301946600001</v>
      </c>
      <c r="M199" s="122">
        <v>46003</v>
      </c>
      <c r="N199" s="123">
        <v>3064.48</v>
      </c>
      <c r="O199" s="125"/>
      <c r="P199" s="126">
        <v>0</v>
      </c>
      <c r="R199" s="240"/>
      <c r="S199" s="52"/>
      <c r="T199" s="52"/>
      <c r="U199" s="53">
        <f t="shared" si="86"/>
        <v>0</v>
      </c>
      <c r="W199" s="122">
        <v>46003</v>
      </c>
      <c r="X199" s="123">
        <v>987.99</v>
      </c>
      <c r="Y199" s="123">
        <v>298.19</v>
      </c>
      <c r="Z199" s="125"/>
      <c r="AA199" s="273">
        <v>7.7</v>
      </c>
      <c r="AC199" s="240"/>
      <c r="AD199" s="53"/>
      <c r="AE199" s="52"/>
      <c r="AF199" s="53">
        <f t="shared" si="87"/>
        <v>7.7</v>
      </c>
      <c r="AI199" s="122">
        <v>46003</v>
      </c>
      <c r="AJ199" s="123">
        <v>1733.63</v>
      </c>
      <c r="AK199" s="125"/>
      <c r="AL199" s="126"/>
      <c r="AN199" s="51"/>
      <c r="AO199" s="52"/>
      <c r="AP199" s="52"/>
      <c r="AQ199" s="53">
        <f t="shared" si="88"/>
        <v>0</v>
      </c>
      <c r="AS199" s="122">
        <v>46003</v>
      </c>
      <c r="AT199" s="123">
        <v>3378.15</v>
      </c>
      <c r="AU199" s="125"/>
      <c r="AV199" s="128"/>
      <c r="AX199" s="51"/>
      <c r="AY199" s="52"/>
      <c r="AZ199" s="52"/>
      <c r="BA199" s="53">
        <f t="shared" si="89"/>
        <v>0</v>
      </c>
      <c r="BC199" s="122">
        <v>46003</v>
      </c>
      <c r="BD199" s="123">
        <v>2006.8</v>
      </c>
      <c r="BE199" s="125"/>
      <c r="BF199" s="128">
        <v>0</v>
      </c>
      <c r="BH199" s="240">
        <v>36.244190000000003</v>
      </c>
      <c r="BI199" s="52"/>
      <c r="BJ199" s="52"/>
      <c r="BK199" s="53">
        <f t="shared" si="90"/>
        <v>36.244190000000003</v>
      </c>
      <c r="BM199" s="122">
        <v>46003</v>
      </c>
      <c r="BN199" s="123">
        <v>15688.38</v>
      </c>
      <c r="BO199" s="123">
        <v>3981.08</v>
      </c>
      <c r="BP199" s="123">
        <v>11176.63</v>
      </c>
      <c r="BQ199" s="125"/>
      <c r="BR199" s="125"/>
      <c r="BT199" s="240">
        <v>271.13945999999987</v>
      </c>
      <c r="BU199" s="53">
        <v>689.41587877714335</v>
      </c>
      <c r="BV199" s="53"/>
      <c r="BW199" s="53">
        <f t="shared" si="84"/>
        <v>960.55533877714322</v>
      </c>
      <c r="BY199" s="122">
        <v>46003</v>
      </c>
      <c r="BZ199" s="256">
        <v>2297.12</v>
      </c>
      <c r="CA199" s="257">
        <v>605.16</v>
      </c>
      <c r="CB199" s="125"/>
      <c r="CC199" s="126"/>
      <c r="CE199" s="240"/>
      <c r="CF199" s="52"/>
      <c r="CG199" s="53"/>
      <c r="CH199" s="53">
        <f t="shared" si="91"/>
        <v>0</v>
      </c>
      <c r="CJ199" s="122">
        <v>46003</v>
      </c>
      <c r="CK199" s="123">
        <v>5948.71</v>
      </c>
      <c r="CL199" s="123">
        <v>694.33</v>
      </c>
      <c r="CM199" s="125"/>
      <c r="CN199" s="126">
        <v>46.58</v>
      </c>
      <c r="CP199" s="240">
        <v>62.190189999999994</v>
      </c>
      <c r="CQ199" s="52">
        <v>14.195855828571382</v>
      </c>
      <c r="CR199" s="52"/>
      <c r="CS199" s="53">
        <f t="shared" si="92"/>
        <v>122.96604582857137</v>
      </c>
      <c r="CU199" s="122">
        <v>46003</v>
      </c>
      <c r="CV199" s="123">
        <v>6510.08</v>
      </c>
      <c r="CW199" s="127">
        <v>970.25</v>
      </c>
      <c r="CX199" s="125"/>
      <c r="CY199" s="128">
        <v>54.81</v>
      </c>
      <c r="DA199" s="240">
        <v>20.847120000000018</v>
      </c>
      <c r="DB199" s="435"/>
      <c r="DC199" s="52"/>
      <c r="DD199" s="52"/>
      <c r="DE199" s="53">
        <f t="shared" si="93"/>
        <v>75.65712000000002</v>
      </c>
      <c r="DH199" s="122">
        <v>46003</v>
      </c>
      <c r="DI199" s="123">
        <v>2159.29</v>
      </c>
      <c r="DJ199" s="127">
        <v>829.86</v>
      </c>
      <c r="DK199" s="127">
        <v>2099.23</v>
      </c>
      <c r="DL199" s="127"/>
      <c r="DM199" s="126">
        <v>0</v>
      </c>
      <c r="DO199" s="240"/>
      <c r="DP199" s="52">
        <v>7.3549587557142786</v>
      </c>
      <c r="DQ199" s="52"/>
      <c r="DR199" s="53">
        <f t="shared" si="94"/>
        <v>7.3549587557142786</v>
      </c>
      <c r="DT199" s="122">
        <v>46003</v>
      </c>
      <c r="DU199" s="123">
        <v>2298.61</v>
      </c>
      <c r="DV199" s="127">
        <v>1313.29</v>
      </c>
      <c r="DW199" s="127"/>
      <c r="DX199" s="126">
        <v>25.6</v>
      </c>
      <c r="DZ199" s="51"/>
      <c r="EA199" s="52">
        <v>20.395869340000019</v>
      </c>
      <c r="EB199" s="52"/>
      <c r="EC199" s="53">
        <f t="shared" si="95"/>
        <v>45.99586934000002</v>
      </c>
      <c r="EE199" s="122">
        <v>46003</v>
      </c>
      <c r="EF199" s="123">
        <v>1035.69</v>
      </c>
      <c r="EG199" s="127">
        <v>1150.98</v>
      </c>
      <c r="EH199" s="127"/>
      <c r="EI199" s="126">
        <v>3.41</v>
      </c>
      <c r="EK199" s="240">
        <v>555.05078999999955</v>
      </c>
      <c r="EL199" s="435"/>
      <c r="EM199" s="52">
        <v>85.820521628571427</v>
      </c>
      <c r="EN199" s="53"/>
      <c r="EO199" s="53">
        <f t="shared" si="96"/>
        <v>644.28131162857096</v>
      </c>
      <c r="EQ199" s="122">
        <v>46003</v>
      </c>
      <c r="ER199" s="123">
        <v>5683.35</v>
      </c>
      <c r="ES199" s="259">
        <v>341.54</v>
      </c>
      <c r="ET199" s="127"/>
      <c r="EU199" s="258">
        <v>225.72</v>
      </c>
      <c r="EW199" s="240">
        <v>112.44159999999997</v>
      </c>
      <c r="EX199" s="53">
        <v>158.86925975571441</v>
      </c>
      <c r="EY199" s="52"/>
      <c r="EZ199" s="53">
        <f t="shared" si="97"/>
        <v>497.03085975571435</v>
      </c>
      <c r="FB199" s="122">
        <v>46003</v>
      </c>
      <c r="FC199" s="123">
        <v>991.17</v>
      </c>
      <c r="FD199" s="123">
        <v>207.98</v>
      </c>
      <c r="FE199" s="125"/>
      <c r="FF199" s="126"/>
      <c r="FH199" s="51"/>
      <c r="FI199" s="52"/>
      <c r="FJ199" s="52"/>
      <c r="FK199" s="53">
        <f t="shared" si="98"/>
        <v>0</v>
      </c>
    </row>
    <row r="200" spans="2:167" hidden="1" x14ac:dyDescent="0.25">
      <c r="B200" s="122">
        <v>46004</v>
      </c>
      <c r="C200" s="123">
        <v>11898.03</v>
      </c>
      <c r="D200" s="125"/>
      <c r="E200" s="125"/>
      <c r="F200" s="125">
        <v>0</v>
      </c>
      <c r="H200" s="240"/>
      <c r="I200" s="240"/>
      <c r="J200" s="240"/>
      <c r="K200" s="53">
        <f t="shared" si="85"/>
        <v>0</v>
      </c>
      <c r="M200" s="122">
        <v>46004</v>
      </c>
      <c r="N200" s="123">
        <v>4601.79</v>
      </c>
      <c r="O200" s="125"/>
      <c r="P200" s="126">
        <v>25.08</v>
      </c>
      <c r="R200" s="240"/>
      <c r="S200" s="52"/>
      <c r="T200" s="52"/>
      <c r="U200" s="53">
        <f t="shared" si="86"/>
        <v>25.08</v>
      </c>
      <c r="W200" s="122">
        <v>46004</v>
      </c>
      <c r="X200" s="123">
        <v>2287.14</v>
      </c>
      <c r="Y200" s="123">
        <v>152.85</v>
      </c>
      <c r="Z200" s="125"/>
      <c r="AA200" s="273">
        <v>3.02</v>
      </c>
      <c r="AC200" s="240">
        <v>13.592880000000008</v>
      </c>
      <c r="AD200" s="53">
        <v>11.454722099999969</v>
      </c>
      <c r="AE200" s="52"/>
      <c r="AF200" s="53">
        <f t="shared" si="87"/>
        <v>28.067602099999977</v>
      </c>
      <c r="AI200" s="122">
        <v>46004</v>
      </c>
      <c r="AJ200" s="123">
        <v>1052.08</v>
      </c>
      <c r="AK200" s="125"/>
      <c r="AL200" s="126"/>
      <c r="AN200" s="51"/>
      <c r="AO200" s="52"/>
      <c r="AP200" s="52"/>
      <c r="AQ200" s="53">
        <f t="shared" si="88"/>
        <v>0</v>
      </c>
      <c r="AS200" s="122">
        <v>46004</v>
      </c>
      <c r="AT200" s="123">
        <v>5537.82</v>
      </c>
      <c r="AU200" s="125"/>
      <c r="AV200" s="128"/>
      <c r="AX200" s="51"/>
      <c r="AY200" s="52"/>
      <c r="AZ200" s="52"/>
      <c r="BA200" s="53">
        <f t="shared" si="89"/>
        <v>0</v>
      </c>
      <c r="BC200" s="122">
        <v>46004</v>
      </c>
      <c r="BD200" s="123">
        <v>1938.14</v>
      </c>
      <c r="BE200" s="125"/>
      <c r="BF200" s="128">
        <v>11.52</v>
      </c>
      <c r="BH200" s="240"/>
      <c r="BI200" s="52"/>
      <c r="BJ200" s="52"/>
      <c r="BK200" s="53">
        <f t="shared" si="90"/>
        <v>11.52</v>
      </c>
      <c r="BM200" s="122">
        <v>46004</v>
      </c>
      <c r="BN200" s="123">
        <v>12368.45</v>
      </c>
      <c r="BO200" s="123">
        <v>3836.43</v>
      </c>
      <c r="BP200" s="123">
        <v>9285.51</v>
      </c>
      <c r="BQ200" s="125"/>
      <c r="BR200" s="125"/>
      <c r="BT200" s="240">
        <v>150.28356999999994</v>
      </c>
      <c r="BU200" s="53">
        <v>191.15685285714301</v>
      </c>
      <c r="BV200" s="53"/>
      <c r="BW200" s="53">
        <f t="shared" si="84"/>
        <v>341.44042285714295</v>
      </c>
      <c r="BY200" s="122">
        <v>46004</v>
      </c>
      <c r="BZ200" s="256">
        <v>1152.94</v>
      </c>
      <c r="CA200" s="257">
        <v>1018.15</v>
      </c>
      <c r="CB200" s="125"/>
      <c r="CC200" s="126"/>
      <c r="CE200" s="240"/>
      <c r="CF200" s="52"/>
      <c r="CG200" s="53"/>
      <c r="CH200" s="53">
        <f t="shared" si="91"/>
        <v>0</v>
      </c>
      <c r="CJ200" s="122">
        <v>46004</v>
      </c>
      <c r="CK200" s="123">
        <v>5340.86</v>
      </c>
      <c r="CL200" s="123">
        <v>874.05</v>
      </c>
      <c r="CM200" s="125"/>
      <c r="CN200" s="126">
        <v>10</v>
      </c>
      <c r="CP200" s="240">
        <v>78.246329999999986</v>
      </c>
      <c r="CQ200" s="52"/>
      <c r="CR200" s="52"/>
      <c r="CS200" s="53">
        <f t="shared" si="92"/>
        <v>88.246329999999986</v>
      </c>
      <c r="CU200" s="122">
        <v>46004</v>
      </c>
      <c r="CV200" s="123">
        <v>4681.4399999999996</v>
      </c>
      <c r="CW200" s="127">
        <v>791.9</v>
      </c>
      <c r="CX200" s="125"/>
      <c r="CY200" s="128">
        <v>16.97</v>
      </c>
      <c r="DA200" s="240">
        <v>781.52999999999861</v>
      </c>
      <c r="DB200" s="435"/>
      <c r="DC200" s="52"/>
      <c r="DD200" s="52"/>
      <c r="DE200" s="53">
        <f t="shared" si="93"/>
        <v>798.49999999999864</v>
      </c>
      <c r="DH200" s="122">
        <v>46004</v>
      </c>
      <c r="DI200" s="123">
        <v>1676.43</v>
      </c>
      <c r="DJ200" s="127">
        <v>1404.23</v>
      </c>
      <c r="DK200" s="127">
        <v>940.97</v>
      </c>
      <c r="DL200" s="127"/>
      <c r="DM200" s="126">
        <v>0</v>
      </c>
      <c r="DO200" s="240">
        <v>9.0980000000000132</v>
      </c>
      <c r="DP200" s="52"/>
      <c r="DQ200" s="52"/>
      <c r="DR200" s="53">
        <f t="shared" si="94"/>
        <v>9.0980000000000132</v>
      </c>
      <c r="DT200" s="122">
        <v>46004</v>
      </c>
      <c r="DU200" s="123">
        <v>1086.04</v>
      </c>
      <c r="DV200" s="127">
        <v>1094.3499999999999</v>
      </c>
      <c r="DW200" s="127"/>
      <c r="DX200" s="126">
        <v>10.199999999999999</v>
      </c>
      <c r="DZ200" s="51"/>
      <c r="EA200" s="52"/>
      <c r="EB200" s="52"/>
      <c r="EC200" s="53">
        <f t="shared" si="95"/>
        <v>10.199999999999999</v>
      </c>
      <c r="EE200" s="122">
        <v>46004</v>
      </c>
      <c r="EF200" s="123">
        <v>1247.77</v>
      </c>
      <c r="EG200" s="127">
        <v>646.27</v>
      </c>
      <c r="EH200" s="127"/>
      <c r="EI200" s="126">
        <v>0.71</v>
      </c>
      <c r="EK200" s="240">
        <v>98.37224999999998</v>
      </c>
      <c r="EL200" s="435"/>
      <c r="EM200" s="52"/>
      <c r="EN200" s="53"/>
      <c r="EO200" s="53">
        <f t="shared" si="96"/>
        <v>99.082249999999974</v>
      </c>
      <c r="EQ200" s="122">
        <v>46004</v>
      </c>
      <c r="ER200" s="123">
        <v>5254.01</v>
      </c>
      <c r="ES200" s="259">
        <v>460.24</v>
      </c>
      <c r="ET200" s="127"/>
      <c r="EU200" s="258">
        <v>196.3</v>
      </c>
      <c r="EW200" s="240">
        <v>10.950000000000003</v>
      </c>
      <c r="EX200" s="53">
        <v>92.211857747142858</v>
      </c>
      <c r="EY200" s="52"/>
      <c r="EZ200" s="53">
        <f t="shared" si="97"/>
        <v>299.46185774714286</v>
      </c>
      <c r="FB200" s="122">
        <v>46004</v>
      </c>
      <c r="FC200" s="123">
        <v>948.9</v>
      </c>
      <c r="FD200" s="123">
        <v>224.79</v>
      </c>
      <c r="FE200" s="125"/>
      <c r="FF200" s="126"/>
      <c r="FH200" s="51"/>
      <c r="FI200" s="52"/>
      <c r="FJ200" s="52"/>
      <c r="FK200" s="53">
        <f t="shared" si="98"/>
        <v>0</v>
      </c>
    </row>
    <row r="201" spans="2:167" hidden="1" x14ac:dyDescent="0.25">
      <c r="B201" s="122">
        <v>46005</v>
      </c>
      <c r="C201" s="123">
        <v>14380.36</v>
      </c>
      <c r="D201" s="125"/>
      <c r="E201" s="125"/>
      <c r="F201" s="123">
        <v>0</v>
      </c>
      <c r="H201" s="240"/>
      <c r="I201" s="240"/>
      <c r="J201" s="240"/>
      <c r="K201" s="53">
        <f t="shared" si="85"/>
        <v>0</v>
      </c>
      <c r="M201" s="122">
        <v>46005</v>
      </c>
      <c r="N201" s="123">
        <v>2385.77</v>
      </c>
      <c r="O201" s="125"/>
      <c r="P201" s="126">
        <v>7.84</v>
      </c>
      <c r="R201" s="240"/>
      <c r="S201" s="52"/>
      <c r="T201" s="52"/>
      <c r="U201" s="53">
        <f t="shared" si="86"/>
        <v>7.84</v>
      </c>
      <c r="W201" s="122">
        <v>46005</v>
      </c>
      <c r="X201" s="123">
        <v>1661.6</v>
      </c>
      <c r="Y201" s="123">
        <v>60.13</v>
      </c>
      <c r="Z201" s="125"/>
      <c r="AA201" s="273">
        <v>0</v>
      </c>
      <c r="AC201" s="240"/>
      <c r="AD201" s="53">
        <v>25.464865590571421</v>
      </c>
      <c r="AE201" s="52"/>
      <c r="AF201" s="53">
        <f t="shared" si="87"/>
        <v>25.464865590571421</v>
      </c>
      <c r="AI201" s="122">
        <v>46005</v>
      </c>
      <c r="AJ201" s="123">
        <v>1225.22</v>
      </c>
      <c r="AK201" s="125"/>
      <c r="AL201" s="126"/>
      <c r="AN201" s="51"/>
      <c r="AO201" s="52"/>
      <c r="AP201" s="52"/>
      <c r="AQ201" s="53">
        <f t="shared" si="88"/>
        <v>0</v>
      </c>
      <c r="AS201" s="122">
        <v>46005</v>
      </c>
      <c r="AT201" s="123">
        <v>3369.39</v>
      </c>
      <c r="AU201" s="125"/>
      <c r="AV201" s="128"/>
      <c r="AX201" s="51"/>
      <c r="AY201" s="52"/>
      <c r="AZ201" s="52"/>
      <c r="BA201" s="53">
        <f t="shared" si="89"/>
        <v>0</v>
      </c>
      <c r="BC201" s="122">
        <v>46005</v>
      </c>
      <c r="BD201" s="123">
        <v>2276.91</v>
      </c>
      <c r="BE201" s="125"/>
      <c r="BF201" s="128">
        <v>0</v>
      </c>
      <c r="BH201" s="240">
        <v>21.190309999999982</v>
      </c>
      <c r="BI201" s="52"/>
      <c r="BJ201" s="52"/>
      <c r="BK201" s="53">
        <f t="shared" si="90"/>
        <v>21.190309999999982</v>
      </c>
      <c r="BM201" s="122">
        <v>46005</v>
      </c>
      <c r="BN201" s="123">
        <v>11465.07</v>
      </c>
      <c r="BO201" s="123">
        <v>3354.22</v>
      </c>
      <c r="BP201" s="123">
        <v>5090.68</v>
      </c>
      <c r="BQ201" s="125"/>
      <c r="BR201" s="125"/>
      <c r="BT201" s="240">
        <v>206.02648999999991</v>
      </c>
      <c r="BU201" s="53"/>
      <c r="BV201" s="53"/>
      <c r="BW201" s="53">
        <f t="shared" si="84"/>
        <v>206.02648999999991</v>
      </c>
      <c r="BY201" s="122">
        <v>46005</v>
      </c>
      <c r="BZ201" s="256">
        <v>1098.03</v>
      </c>
      <c r="CA201" s="257">
        <v>648.20000000000005</v>
      </c>
      <c r="CB201" s="125"/>
      <c r="CC201" s="126"/>
      <c r="CE201" s="240">
        <v>13.18416000000002</v>
      </c>
      <c r="CF201" s="52"/>
      <c r="CG201" s="53"/>
      <c r="CH201" s="53">
        <f t="shared" si="91"/>
        <v>13.18416000000002</v>
      </c>
      <c r="CJ201" s="122">
        <v>46005</v>
      </c>
      <c r="CK201" s="123">
        <v>3600.08</v>
      </c>
      <c r="CL201" s="123">
        <v>982.65</v>
      </c>
      <c r="CM201" s="125"/>
      <c r="CN201" s="126">
        <v>10</v>
      </c>
      <c r="CP201" s="240">
        <v>40.362200000000001</v>
      </c>
      <c r="CQ201" s="52">
        <v>11.755100305714279</v>
      </c>
      <c r="CR201" s="52"/>
      <c r="CS201" s="53">
        <f t="shared" si="92"/>
        <v>62.117300305714281</v>
      </c>
      <c r="CU201" s="122">
        <v>46005</v>
      </c>
      <c r="CV201" s="123">
        <v>4387.6899999999996</v>
      </c>
      <c r="CW201" s="127">
        <v>526.36</v>
      </c>
      <c r="CX201" s="125"/>
      <c r="CY201" s="128">
        <v>235.9</v>
      </c>
      <c r="DA201" s="240">
        <v>630.95999999999947</v>
      </c>
      <c r="DB201" s="435"/>
      <c r="DC201" s="52"/>
      <c r="DD201" s="52"/>
      <c r="DE201" s="53">
        <f t="shared" si="93"/>
        <v>866.85999999999945</v>
      </c>
      <c r="DH201" s="122">
        <v>46005</v>
      </c>
      <c r="DI201" s="123">
        <v>1383.22</v>
      </c>
      <c r="DJ201" s="127">
        <v>935.51</v>
      </c>
      <c r="DK201" s="127">
        <v>1743.23</v>
      </c>
      <c r="DL201" s="127"/>
      <c r="DM201" s="126">
        <v>0</v>
      </c>
      <c r="DO201" s="240"/>
      <c r="DP201" s="52"/>
      <c r="DQ201" s="52"/>
      <c r="DR201" s="53">
        <f t="shared" si="94"/>
        <v>0</v>
      </c>
      <c r="DT201" s="122">
        <v>46005</v>
      </c>
      <c r="DU201" s="123">
        <v>978.3</v>
      </c>
      <c r="DV201" s="127">
        <v>1261.18</v>
      </c>
      <c r="DW201" s="127"/>
      <c r="DX201" s="126">
        <v>0</v>
      </c>
      <c r="DZ201" s="51"/>
      <c r="EA201" s="52"/>
      <c r="EB201" s="52"/>
      <c r="EC201" s="53">
        <f t="shared" si="95"/>
        <v>0</v>
      </c>
      <c r="EE201" s="122">
        <v>46005</v>
      </c>
      <c r="EF201" s="123">
        <v>1234.2</v>
      </c>
      <c r="EG201" s="127">
        <v>606.49</v>
      </c>
      <c r="EH201" s="127"/>
      <c r="EI201" s="126">
        <v>4.3600000000000003</v>
      </c>
      <c r="EK201" s="240">
        <v>26.878350000000001</v>
      </c>
      <c r="EL201" s="435"/>
      <c r="EM201" s="52"/>
      <c r="EN201" s="53">
        <v>65.562550999999985</v>
      </c>
      <c r="EO201" s="53">
        <f t="shared" si="96"/>
        <v>96.800900999999982</v>
      </c>
      <c r="EQ201" s="122">
        <v>46005</v>
      </c>
      <c r="ER201" s="123">
        <v>3125.15</v>
      </c>
      <c r="ES201" s="259">
        <v>285.58</v>
      </c>
      <c r="ET201" s="127"/>
      <c r="EU201" s="258">
        <v>0</v>
      </c>
      <c r="EW201" s="240">
        <v>130.11759999999998</v>
      </c>
      <c r="EX201" s="53"/>
      <c r="EY201" s="52"/>
      <c r="EZ201" s="53">
        <f t="shared" si="97"/>
        <v>130.11759999999998</v>
      </c>
      <c r="FB201" s="122">
        <v>46005</v>
      </c>
      <c r="FC201" s="123">
        <v>646.30999999999995</v>
      </c>
      <c r="FD201" s="123">
        <v>221.8</v>
      </c>
      <c r="FE201" s="125"/>
      <c r="FF201" s="126"/>
      <c r="FH201" s="51"/>
      <c r="FI201" s="52"/>
      <c r="FJ201" s="52"/>
      <c r="FK201" s="53">
        <f t="shared" si="98"/>
        <v>0</v>
      </c>
    </row>
    <row r="202" spans="2:167" hidden="1" x14ac:dyDescent="0.25">
      <c r="B202" s="122">
        <v>46006</v>
      </c>
      <c r="C202" s="123">
        <v>14022.57</v>
      </c>
      <c r="D202" s="126"/>
      <c r="E202" s="125"/>
      <c r="F202" s="126">
        <v>0</v>
      </c>
      <c r="H202" s="240"/>
      <c r="I202" s="240">
        <v>21.250880907142857</v>
      </c>
      <c r="J202" s="240"/>
      <c r="K202" s="53">
        <f t="shared" si="85"/>
        <v>21.250880907142857</v>
      </c>
      <c r="M202" s="122">
        <v>46006</v>
      </c>
      <c r="N202" s="123">
        <v>3382.8</v>
      </c>
      <c r="O202" s="125"/>
      <c r="P202" s="126">
        <v>16.86</v>
      </c>
      <c r="R202" s="240"/>
      <c r="S202" s="52"/>
      <c r="T202" s="52"/>
      <c r="U202" s="53">
        <f t="shared" si="86"/>
        <v>16.86</v>
      </c>
      <c r="W202" s="122">
        <v>46006</v>
      </c>
      <c r="X202" s="123">
        <v>2151.2399999999998</v>
      </c>
      <c r="Y202" s="123">
        <v>130.09</v>
      </c>
      <c r="Z202" s="125"/>
      <c r="AA202" s="273">
        <v>28.27</v>
      </c>
      <c r="AC202" s="240">
        <v>30.545119999999997</v>
      </c>
      <c r="AD202" s="53"/>
      <c r="AE202" s="52"/>
      <c r="AF202" s="53">
        <f t="shared" si="87"/>
        <v>58.815119999999993</v>
      </c>
      <c r="AI202" s="122">
        <v>46006</v>
      </c>
      <c r="AJ202" s="123">
        <v>2067.15</v>
      </c>
      <c r="AK202" s="125"/>
      <c r="AL202" s="126"/>
      <c r="AN202" s="51"/>
      <c r="AO202" s="52"/>
      <c r="AP202" s="52"/>
      <c r="AQ202" s="53">
        <f t="shared" si="88"/>
        <v>0</v>
      </c>
      <c r="AS202" s="122">
        <v>46006</v>
      </c>
      <c r="AT202" s="123">
        <v>3104.37</v>
      </c>
      <c r="AU202" s="125"/>
      <c r="AV202" s="128"/>
      <c r="AX202" s="51"/>
      <c r="AY202" s="52"/>
      <c r="AZ202" s="52"/>
      <c r="BA202" s="53">
        <f t="shared" si="89"/>
        <v>0</v>
      </c>
      <c r="BC202" s="122">
        <v>46006</v>
      </c>
      <c r="BD202" s="123">
        <v>2469.31</v>
      </c>
      <c r="BE202" s="125"/>
      <c r="BF202" s="128">
        <v>2.66</v>
      </c>
      <c r="BH202" s="240">
        <v>25.474799999999988</v>
      </c>
      <c r="BI202" s="52"/>
      <c r="BJ202" s="52"/>
      <c r="BK202" s="53">
        <f t="shared" si="90"/>
        <v>28.134799999999988</v>
      </c>
      <c r="BM202" s="122">
        <v>46006</v>
      </c>
      <c r="BN202" s="123">
        <v>13485.42</v>
      </c>
      <c r="BO202" s="123">
        <v>3691.21</v>
      </c>
      <c r="BP202" s="123">
        <v>8696.8700000000008</v>
      </c>
      <c r="BQ202" s="125"/>
      <c r="BR202" s="125"/>
      <c r="BT202" s="240">
        <v>280.43604999999985</v>
      </c>
      <c r="BU202" s="53"/>
      <c r="BV202" s="53"/>
      <c r="BW202" s="53">
        <f t="shared" si="84"/>
        <v>280.43604999999985</v>
      </c>
      <c r="BY202" s="122">
        <v>46006</v>
      </c>
      <c r="BZ202" s="256">
        <v>750.75</v>
      </c>
      <c r="CA202" s="257">
        <v>845.42</v>
      </c>
      <c r="CB202" s="125"/>
      <c r="CC202" s="126"/>
      <c r="CE202" s="240"/>
      <c r="CF202" s="52"/>
      <c r="CG202" s="53">
        <v>7.7276600000000002</v>
      </c>
      <c r="CH202" s="53">
        <f t="shared" si="91"/>
        <v>7.7276600000000002</v>
      </c>
      <c r="CJ202" s="122">
        <v>46006</v>
      </c>
      <c r="CK202" s="123">
        <v>6160.44</v>
      </c>
      <c r="CL202" s="123">
        <v>808.58</v>
      </c>
      <c r="CM202" s="125"/>
      <c r="CN202" s="126">
        <v>0</v>
      </c>
      <c r="CP202" s="240">
        <v>3.0094899999999996</v>
      </c>
      <c r="CQ202" s="52">
        <v>12.45018236571434</v>
      </c>
      <c r="CR202" s="52"/>
      <c r="CS202" s="53">
        <f t="shared" si="92"/>
        <v>15.45967236571434</v>
      </c>
      <c r="CU202" s="122">
        <v>46006</v>
      </c>
      <c r="CV202" s="123">
        <v>11268.56</v>
      </c>
      <c r="CW202" s="127">
        <v>1335.16</v>
      </c>
      <c r="CX202" s="125"/>
      <c r="CY202" s="128">
        <v>436.02</v>
      </c>
      <c r="DA202" s="240">
        <v>580.52346309683151</v>
      </c>
      <c r="DB202" s="435"/>
      <c r="DC202" s="52"/>
      <c r="DD202" s="52"/>
      <c r="DE202" s="53">
        <f t="shared" si="93"/>
        <v>1016.5434630968315</v>
      </c>
      <c r="DH202" s="122">
        <v>46006</v>
      </c>
      <c r="DI202" s="123">
        <v>2712.54</v>
      </c>
      <c r="DJ202" s="127">
        <v>494.96</v>
      </c>
      <c r="DK202" s="127">
        <v>1648.01</v>
      </c>
      <c r="DL202" s="127"/>
      <c r="DM202" s="126">
        <v>14.4</v>
      </c>
      <c r="DO202" s="240">
        <v>48.009279999999997</v>
      </c>
      <c r="DP202" s="52"/>
      <c r="DQ202" s="52"/>
      <c r="DR202" s="53">
        <f t="shared" si="94"/>
        <v>62.409279999999995</v>
      </c>
      <c r="DT202" s="122">
        <v>46006</v>
      </c>
      <c r="DU202" s="123">
        <v>1565.97</v>
      </c>
      <c r="DV202" s="127">
        <v>1081.68</v>
      </c>
      <c r="DW202" s="127"/>
      <c r="DX202" s="126">
        <v>67.180000000000007</v>
      </c>
      <c r="DZ202" s="51"/>
      <c r="EA202" s="52"/>
      <c r="EB202" s="52"/>
      <c r="EC202" s="53">
        <f t="shared" si="95"/>
        <v>67.180000000000007</v>
      </c>
      <c r="EE202" s="122">
        <v>46006</v>
      </c>
      <c r="EF202" s="123">
        <v>1222.8699999999999</v>
      </c>
      <c r="EG202" s="127">
        <v>794.63</v>
      </c>
      <c r="EH202" s="127"/>
      <c r="EI202" s="126">
        <v>7.48</v>
      </c>
      <c r="EK202" s="240">
        <v>553.50560999999971</v>
      </c>
      <c r="EL202" s="435"/>
      <c r="EM202" s="52">
        <v>138.15331132485713</v>
      </c>
      <c r="EN202" s="53"/>
      <c r="EO202" s="53">
        <f t="shared" si="96"/>
        <v>699.13892132485682</v>
      </c>
      <c r="EQ202" s="122">
        <v>46006</v>
      </c>
      <c r="ER202" s="123">
        <v>5620.83</v>
      </c>
      <c r="ES202" s="259">
        <v>419.29</v>
      </c>
      <c r="ET202" s="127"/>
      <c r="EU202" s="258">
        <v>400.31</v>
      </c>
      <c r="EW202" s="240">
        <v>88.161689999999993</v>
      </c>
      <c r="EX202" s="53">
        <v>139.53318105857144</v>
      </c>
      <c r="EY202" s="52"/>
      <c r="EZ202" s="53">
        <f t="shared" si="97"/>
        <v>628.00487105857144</v>
      </c>
      <c r="FB202" s="122">
        <v>46006</v>
      </c>
      <c r="FC202" s="123">
        <v>563.91999999999996</v>
      </c>
      <c r="FD202" s="123">
        <v>190</v>
      </c>
      <c r="FE202" s="125"/>
      <c r="FF202" s="126"/>
      <c r="FH202" s="51"/>
      <c r="FI202" s="52"/>
      <c r="FJ202" s="52"/>
      <c r="FK202" s="53">
        <f t="shared" si="98"/>
        <v>0</v>
      </c>
    </row>
    <row r="203" spans="2:167" hidden="1" x14ac:dyDescent="0.25">
      <c r="B203" s="122">
        <v>46007</v>
      </c>
      <c r="C203" s="123">
        <v>14689.92</v>
      </c>
      <c r="D203" s="125"/>
      <c r="E203" s="125"/>
      <c r="F203" s="125">
        <v>51.68</v>
      </c>
      <c r="H203" s="240"/>
      <c r="I203" s="240"/>
      <c r="J203" s="240"/>
      <c r="K203" s="53">
        <f t="shared" si="85"/>
        <v>51.68</v>
      </c>
      <c r="M203" s="122">
        <v>46007</v>
      </c>
      <c r="N203" s="123">
        <v>3718.42</v>
      </c>
      <c r="O203" s="125"/>
      <c r="P203" s="126">
        <v>15.93</v>
      </c>
      <c r="R203" s="240"/>
      <c r="S203" s="52"/>
      <c r="T203" s="52"/>
      <c r="U203" s="53">
        <f t="shared" si="86"/>
        <v>15.93</v>
      </c>
      <c r="W203" s="122">
        <v>46007</v>
      </c>
      <c r="X203" s="123">
        <v>2051.98</v>
      </c>
      <c r="Y203" s="123">
        <v>107.3</v>
      </c>
      <c r="Z203" s="125"/>
      <c r="AA203" s="273">
        <v>3.44</v>
      </c>
      <c r="AC203" s="240"/>
      <c r="AD203" s="53">
        <v>12.784344902857143</v>
      </c>
      <c r="AE203" s="52"/>
      <c r="AF203" s="53">
        <f t="shared" si="87"/>
        <v>16.224344902857144</v>
      </c>
      <c r="AI203" s="122">
        <v>46007</v>
      </c>
      <c r="AJ203" s="123">
        <v>1325.06</v>
      </c>
      <c r="AK203" s="125"/>
      <c r="AL203" s="126"/>
      <c r="AN203" s="51"/>
      <c r="AO203" s="52"/>
      <c r="AP203" s="52"/>
      <c r="AQ203" s="53">
        <f t="shared" si="88"/>
        <v>0</v>
      </c>
      <c r="AS203" s="122">
        <v>46007</v>
      </c>
      <c r="AT203" s="123">
        <v>3459.83</v>
      </c>
      <c r="AU203" s="125"/>
      <c r="AV203" s="128"/>
      <c r="AX203" s="51"/>
      <c r="AY203" s="52"/>
      <c r="AZ203" s="52"/>
      <c r="BA203" s="53">
        <f t="shared" si="89"/>
        <v>0</v>
      </c>
      <c r="BC203" s="122">
        <v>46007</v>
      </c>
      <c r="BD203" s="123">
        <v>2554.13</v>
      </c>
      <c r="BE203" s="125"/>
      <c r="BF203" s="128">
        <v>3.2</v>
      </c>
      <c r="BH203" s="240"/>
      <c r="BI203" s="52"/>
      <c r="BJ203" s="52"/>
      <c r="BK203" s="53">
        <f t="shared" si="90"/>
        <v>3.2</v>
      </c>
      <c r="BM203" s="122">
        <v>46007</v>
      </c>
      <c r="BN203" s="123">
        <v>14459.51</v>
      </c>
      <c r="BO203" s="123">
        <v>3449.5</v>
      </c>
      <c r="BP203" s="123">
        <v>8238.32</v>
      </c>
      <c r="BQ203" s="125"/>
      <c r="BR203" s="125"/>
      <c r="BT203" s="240">
        <v>196.7496799999999</v>
      </c>
      <c r="BU203" s="53">
        <v>588.46391675400002</v>
      </c>
      <c r="BV203" s="53"/>
      <c r="BW203" s="53">
        <f t="shared" si="84"/>
        <v>785.21359675399992</v>
      </c>
      <c r="BY203" s="122">
        <v>46007</v>
      </c>
      <c r="BZ203" s="256">
        <v>1131.73</v>
      </c>
      <c r="CA203" s="257">
        <v>806.44</v>
      </c>
      <c r="CB203" s="125"/>
      <c r="CC203" s="126"/>
      <c r="CE203" s="240"/>
      <c r="CF203" s="52"/>
      <c r="CG203" s="53"/>
      <c r="CH203" s="53">
        <f t="shared" si="91"/>
        <v>0</v>
      </c>
      <c r="CJ203" s="122">
        <v>46007</v>
      </c>
      <c r="CK203" s="123">
        <v>8207.4500000000007</v>
      </c>
      <c r="CL203" s="123">
        <v>668.21</v>
      </c>
      <c r="CM203" s="125"/>
      <c r="CN203" s="126">
        <v>20.2</v>
      </c>
      <c r="CP203" s="240">
        <v>191.0244099999999</v>
      </c>
      <c r="CQ203" s="52">
        <v>41.766865678571449</v>
      </c>
      <c r="CR203" s="52"/>
      <c r="CS203" s="53">
        <f t="shared" si="92"/>
        <v>252.99127567857136</v>
      </c>
      <c r="CU203" s="122">
        <v>46007</v>
      </c>
      <c r="CV203" s="123">
        <v>4787.55</v>
      </c>
      <c r="CW203" s="127">
        <v>1229.93</v>
      </c>
      <c r="CX203" s="125"/>
      <c r="CY203" s="128">
        <v>129.82</v>
      </c>
      <c r="DA203" s="240">
        <v>790.19795999999872</v>
      </c>
      <c r="DB203" s="435"/>
      <c r="DC203" s="52"/>
      <c r="DD203" s="52"/>
      <c r="DE203" s="53">
        <f t="shared" si="93"/>
        <v>920.01795999999877</v>
      </c>
      <c r="DH203" s="122">
        <v>46007</v>
      </c>
      <c r="DI203" s="123">
        <v>2226.36</v>
      </c>
      <c r="DJ203" s="259">
        <v>1355.59</v>
      </c>
      <c r="DK203" s="259">
        <v>1658.55</v>
      </c>
      <c r="DL203" s="127"/>
      <c r="DM203" s="126">
        <v>0</v>
      </c>
      <c r="DO203" s="240"/>
      <c r="DP203" s="52"/>
      <c r="DQ203" s="52"/>
      <c r="DR203" s="53">
        <f t="shared" si="94"/>
        <v>0</v>
      </c>
      <c r="DT203" s="122">
        <v>46007</v>
      </c>
      <c r="DU203" s="123">
        <v>2002.89</v>
      </c>
      <c r="DV203" s="259">
        <v>1377.92</v>
      </c>
      <c r="DW203" s="127"/>
      <c r="DX203" s="126">
        <v>31.91</v>
      </c>
      <c r="DZ203" s="51"/>
      <c r="EA203" s="52">
        <v>39.643931378571466</v>
      </c>
      <c r="EB203" s="52"/>
      <c r="EC203" s="53">
        <f t="shared" si="95"/>
        <v>71.553931378571463</v>
      </c>
      <c r="EE203" s="122">
        <v>46007</v>
      </c>
      <c r="EF203" s="123">
        <v>1160.79</v>
      </c>
      <c r="EG203" s="127">
        <v>1112.6099999999999</v>
      </c>
      <c r="EH203" s="127"/>
      <c r="EI203" s="126">
        <v>1.26</v>
      </c>
      <c r="EK203" s="240">
        <v>619.70769999999993</v>
      </c>
      <c r="EL203" s="435"/>
      <c r="EM203" s="52"/>
      <c r="EN203" s="53"/>
      <c r="EO203" s="53">
        <f t="shared" si="96"/>
        <v>620.96769999999992</v>
      </c>
      <c r="EQ203" s="122">
        <v>46007</v>
      </c>
      <c r="ER203" s="123">
        <v>3346.54</v>
      </c>
      <c r="ES203" s="259">
        <v>134.76</v>
      </c>
      <c r="ET203" s="127"/>
      <c r="EU203" s="258">
        <v>60.12</v>
      </c>
      <c r="EW203" s="240">
        <v>41.051470000000023</v>
      </c>
      <c r="EX203" s="53"/>
      <c r="EY203" s="52"/>
      <c r="EZ203" s="53">
        <f t="shared" si="97"/>
        <v>101.17147000000003</v>
      </c>
      <c r="FB203" s="122">
        <v>46007</v>
      </c>
      <c r="FC203" s="123">
        <v>633</v>
      </c>
      <c r="FD203" s="123">
        <v>270</v>
      </c>
      <c r="FE203" s="125"/>
      <c r="FF203" s="126"/>
      <c r="FH203" s="51"/>
      <c r="FI203" s="52"/>
      <c r="FJ203" s="52"/>
      <c r="FK203" s="53">
        <f t="shared" si="98"/>
        <v>0</v>
      </c>
    </row>
    <row r="204" spans="2:167" hidden="1" x14ac:dyDescent="0.25">
      <c r="B204" s="122">
        <v>46008</v>
      </c>
      <c r="C204" s="123">
        <v>15127.81</v>
      </c>
      <c r="D204" s="125"/>
      <c r="E204" s="125"/>
      <c r="F204" s="125">
        <v>44.77</v>
      </c>
      <c r="H204" s="240"/>
      <c r="I204" s="240"/>
      <c r="J204" s="240"/>
      <c r="K204" s="53">
        <f t="shared" si="85"/>
        <v>44.77</v>
      </c>
      <c r="M204" s="122">
        <v>46008</v>
      </c>
      <c r="N204" s="123">
        <v>3513.82</v>
      </c>
      <c r="O204" s="125"/>
      <c r="P204" s="126">
        <v>22.89</v>
      </c>
      <c r="R204" s="240"/>
      <c r="S204" s="52"/>
      <c r="T204" s="52"/>
      <c r="U204" s="53">
        <f t="shared" si="86"/>
        <v>22.89</v>
      </c>
      <c r="W204" s="122">
        <v>46008</v>
      </c>
      <c r="X204" s="123">
        <v>1978.94</v>
      </c>
      <c r="Y204" s="123">
        <v>758.88</v>
      </c>
      <c r="Z204" s="125"/>
      <c r="AA204" s="273">
        <v>12.26</v>
      </c>
      <c r="AC204" s="240"/>
      <c r="AD204" s="53">
        <v>11.678418832285715</v>
      </c>
      <c r="AE204" s="52"/>
      <c r="AF204" s="53">
        <f t="shared" si="87"/>
        <v>23.938418832285713</v>
      </c>
      <c r="AI204" s="122">
        <v>46008</v>
      </c>
      <c r="AJ204" s="123">
        <v>1407.77</v>
      </c>
      <c r="AK204" s="125"/>
      <c r="AL204" s="126"/>
      <c r="AN204" s="51"/>
      <c r="AO204" s="52"/>
      <c r="AP204" s="52"/>
      <c r="AQ204" s="53">
        <f t="shared" si="88"/>
        <v>0</v>
      </c>
      <c r="AS204" s="122">
        <v>46008</v>
      </c>
      <c r="AT204" s="123">
        <v>3517.63</v>
      </c>
      <c r="AU204" s="125"/>
      <c r="AV204" s="128"/>
      <c r="AX204" s="51"/>
      <c r="AY204" s="52"/>
      <c r="AZ204" s="52"/>
      <c r="BA204" s="53">
        <f t="shared" si="89"/>
        <v>0</v>
      </c>
      <c r="BC204" s="122">
        <v>46008</v>
      </c>
      <c r="BD204" s="123">
        <v>2318.0100000000002</v>
      </c>
      <c r="BE204" s="125"/>
      <c r="BF204" s="128">
        <v>0</v>
      </c>
      <c r="BH204" s="240"/>
      <c r="BI204" s="52"/>
      <c r="BJ204" s="52"/>
      <c r="BK204" s="53">
        <f t="shared" si="90"/>
        <v>0</v>
      </c>
      <c r="BM204" s="122">
        <v>46008</v>
      </c>
      <c r="BN204" s="123">
        <v>14069.97</v>
      </c>
      <c r="BO204" s="123">
        <v>3516.2</v>
      </c>
      <c r="BP204" s="123">
        <v>8475.48</v>
      </c>
      <c r="BQ204" s="125"/>
      <c r="BR204" s="125"/>
      <c r="BT204" s="240">
        <v>133.62860999999992</v>
      </c>
      <c r="BU204" s="53"/>
      <c r="BV204" s="53"/>
      <c r="BW204" s="53">
        <f t="shared" si="84"/>
        <v>133.62860999999992</v>
      </c>
      <c r="BY204" s="122">
        <v>46008</v>
      </c>
      <c r="BZ204" s="256">
        <v>788.08</v>
      </c>
      <c r="CA204" s="257">
        <v>733.62</v>
      </c>
      <c r="CB204" s="125"/>
      <c r="CC204" s="126"/>
      <c r="CE204" s="240"/>
      <c r="CF204" s="52"/>
      <c r="CG204" s="53"/>
      <c r="CH204" s="53">
        <f t="shared" si="91"/>
        <v>0</v>
      </c>
      <c r="CJ204" s="122">
        <v>46008</v>
      </c>
      <c r="CK204" s="123">
        <v>4344.72</v>
      </c>
      <c r="CL204" s="123">
        <v>754.99</v>
      </c>
      <c r="CM204" s="125"/>
      <c r="CN204" s="126">
        <v>21.91</v>
      </c>
      <c r="CP204" s="240">
        <v>215.53644000000003</v>
      </c>
      <c r="CQ204" s="52">
        <v>45.933281554285699</v>
      </c>
      <c r="CR204" s="52"/>
      <c r="CS204" s="53">
        <f t="shared" si="92"/>
        <v>283.37972155428571</v>
      </c>
      <c r="CU204" s="122">
        <v>46008</v>
      </c>
      <c r="CV204" s="123">
        <v>8925.2900000000009</v>
      </c>
      <c r="CW204" s="127">
        <v>1352.85</v>
      </c>
      <c r="CX204" s="125"/>
      <c r="CY204" s="128">
        <v>253.16</v>
      </c>
      <c r="DA204" s="240"/>
      <c r="DB204" s="435"/>
      <c r="DC204" s="52"/>
      <c r="DD204" s="52"/>
      <c r="DE204" s="53">
        <f t="shared" si="93"/>
        <v>253.16</v>
      </c>
      <c r="DH204" s="122">
        <v>46008</v>
      </c>
      <c r="DI204" s="123">
        <v>1893.37</v>
      </c>
      <c r="DJ204" s="127">
        <v>622.27</v>
      </c>
      <c r="DK204" s="127">
        <v>701.63</v>
      </c>
      <c r="DL204" s="127"/>
      <c r="DM204" s="126">
        <v>0</v>
      </c>
      <c r="DO204" s="240">
        <v>59.090999999999994</v>
      </c>
      <c r="DP204" s="52"/>
      <c r="DQ204" s="52"/>
      <c r="DR204" s="53">
        <f t="shared" si="94"/>
        <v>59.090999999999994</v>
      </c>
      <c r="DT204" s="122">
        <v>46008</v>
      </c>
      <c r="DU204" s="123">
        <v>915.1</v>
      </c>
      <c r="DV204" s="127">
        <v>1495.18</v>
      </c>
      <c r="DW204" s="127"/>
      <c r="DX204" s="126">
        <v>0</v>
      </c>
      <c r="DZ204" s="51"/>
      <c r="EA204" s="52"/>
      <c r="EB204" s="52"/>
      <c r="EC204" s="53">
        <f t="shared" si="95"/>
        <v>0</v>
      </c>
      <c r="EE204" s="122">
        <v>46008</v>
      </c>
      <c r="EF204" s="123">
        <v>1419.03</v>
      </c>
      <c r="EG204" s="127">
        <v>1219.72</v>
      </c>
      <c r="EH204" s="127"/>
      <c r="EI204" s="126">
        <v>2.71</v>
      </c>
      <c r="EK204" s="240">
        <v>542.56733999999983</v>
      </c>
      <c r="EL204" s="435"/>
      <c r="EM204" s="52"/>
      <c r="EN204" s="53"/>
      <c r="EO204" s="53">
        <f t="shared" si="96"/>
        <v>545.27733999999987</v>
      </c>
      <c r="EQ204" s="122">
        <v>46008</v>
      </c>
      <c r="ER204" s="123">
        <v>3360.91</v>
      </c>
      <c r="ES204" s="259">
        <v>500.67</v>
      </c>
      <c r="ET204" s="127"/>
      <c r="EU204" s="258">
        <v>300.51</v>
      </c>
      <c r="EW204" s="240">
        <v>13.849379999999996</v>
      </c>
      <c r="EX204" s="53"/>
      <c r="EY204" s="52"/>
      <c r="EZ204" s="53">
        <f t="shared" si="97"/>
        <v>314.35937999999999</v>
      </c>
      <c r="FB204" s="122">
        <v>46008</v>
      </c>
      <c r="FC204" s="123">
        <v>1009.02</v>
      </c>
      <c r="FD204" s="123">
        <v>272.12</v>
      </c>
      <c r="FE204" s="125"/>
      <c r="FF204" s="126"/>
      <c r="FH204" s="51"/>
      <c r="FI204" s="52"/>
      <c r="FJ204" s="52"/>
      <c r="FK204" s="53">
        <f t="shared" si="98"/>
        <v>0</v>
      </c>
    </row>
    <row r="205" spans="2:167" hidden="1" x14ac:dyDescent="0.25">
      <c r="B205" s="122">
        <v>46009</v>
      </c>
      <c r="C205" s="123">
        <v>15287.56</v>
      </c>
      <c r="D205" s="125"/>
      <c r="E205" s="125"/>
      <c r="F205" s="125">
        <v>0</v>
      </c>
      <c r="H205" s="240">
        <v>143.88599999999997</v>
      </c>
      <c r="I205" s="240">
        <v>16.761258617142801</v>
      </c>
      <c r="J205" s="240"/>
      <c r="K205" s="53">
        <f t="shared" si="85"/>
        <v>160.64725861714277</v>
      </c>
      <c r="M205" s="122">
        <v>46009</v>
      </c>
      <c r="N205" s="123">
        <v>3737.14</v>
      </c>
      <c r="O205" s="125"/>
      <c r="P205" s="126">
        <v>0</v>
      </c>
      <c r="R205" s="240"/>
      <c r="S205" s="52"/>
      <c r="T205" s="52"/>
      <c r="U205" s="53">
        <f t="shared" si="86"/>
        <v>0</v>
      </c>
      <c r="W205" s="122">
        <v>46009</v>
      </c>
      <c r="X205" s="123">
        <v>1647.25</v>
      </c>
      <c r="Y205" s="123">
        <v>307.52</v>
      </c>
      <c r="Z205" s="125"/>
      <c r="AA205" s="273">
        <v>10.5</v>
      </c>
      <c r="AC205" s="240"/>
      <c r="AD205" s="53">
        <v>42.261463447999944</v>
      </c>
      <c r="AE205" s="52"/>
      <c r="AF205" s="53">
        <f t="shared" si="87"/>
        <v>52.761463447999944</v>
      </c>
      <c r="AI205" s="122">
        <v>46009</v>
      </c>
      <c r="AJ205" s="123">
        <v>918.6</v>
      </c>
      <c r="AK205" s="125"/>
      <c r="AL205" s="126"/>
      <c r="AN205" s="51"/>
      <c r="AO205" s="52"/>
      <c r="AP205" s="52"/>
      <c r="AQ205" s="53">
        <f t="shared" si="88"/>
        <v>0</v>
      </c>
      <c r="AS205" s="122">
        <v>46009</v>
      </c>
      <c r="AT205" s="123">
        <v>4153.72</v>
      </c>
      <c r="AU205" s="125"/>
      <c r="AV205" s="128"/>
      <c r="AX205" s="51"/>
      <c r="AY205" s="52"/>
      <c r="AZ205" s="52"/>
      <c r="BA205" s="53">
        <f t="shared" si="89"/>
        <v>0</v>
      </c>
      <c r="BC205" s="122">
        <v>46009</v>
      </c>
      <c r="BD205" s="123">
        <v>3345.98</v>
      </c>
      <c r="BE205" s="125"/>
      <c r="BF205" s="128">
        <v>0</v>
      </c>
      <c r="BH205" s="240">
        <v>9.897989999999993</v>
      </c>
      <c r="BI205" s="52"/>
      <c r="BJ205" s="52"/>
      <c r="BK205" s="53">
        <f t="shared" si="90"/>
        <v>9.897989999999993</v>
      </c>
      <c r="BM205" s="122">
        <v>46009</v>
      </c>
      <c r="BN205" s="123">
        <v>14992.14</v>
      </c>
      <c r="BO205" s="123">
        <v>4485.8999999999996</v>
      </c>
      <c r="BP205" s="123">
        <v>10699.98</v>
      </c>
      <c r="BQ205" s="125"/>
      <c r="BR205" s="125"/>
      <c r="BT205" s="240">
        <v>268.09141799999992</v>
      </c>
      <c r="BU205" s="53">
        <v>185.88154285714279</v>
      </c>
      <c r="BV205" s="53"/>
      <c r="BW205" s="53">
        <f t="shared" si="84"/>
        <v>453.97296085714271</v>
      </c>
      <c r="BY205" s="122">
        <v>46009</v>
      </c>
      <c r="BZ205" s="256">
        <v>765.2</v>
      </c>
      <c r="CA205" s="257">
        <v>649.66</v>
      </c>
      <c r="CB205" s="125"/>
      <c r="CC205" s="126"/>
      <c r="CE205" s="240"/>
      <c r="CF205" s="52"/>
      <c r="CG205" s="53">
        <v>19.479437999999988</v>
      </c>
      <c r="CH205" s="53">
        <f t="shared" si="91"/>
        <v>19.479437999999988</v>
      </c>
      <c r="CJ205" s="122">
        <v>46009</v>
      </c>
      <c r="CK205" s="123">
        <v>5570.6</v>
      </c>
      <c r="CL205" s="123">
        <v>597.98</v>
      </c>
      <c r="CM205" s="125"/>
      <c r="CN205" s="126">
        <v>8.75</v>
      </c>
      <c r="CP205" s="240">
        <v>629.28000000000009</v>
      </c>
      <c r="CQ205" s="52"/>
      <c r="CR205" s="52"/>
      <c r="CS205" s="53">
        <f t="shared" si="92"/>
        <v>638.03000000000009</v>
      </c>
      <c r="CU205" s="122">
        <v>46009</v>
      </c>
      <c r="CV205" s="123">
        <v>9358.94</v>
      </c>
      <c r="CW205" s="127">
        <v>678.59</v>
      </c>
      <c r="CX205" s="125"/>
      <c r="CY205" s="128">
        <v>153.74</v>
      </c>
      <c r="DA205" s="240"/>
      <c r="DB205" s="435"/>
      <c r="DC205" s="52"/>
      <c r="DD205" s="52"/>
      <c r="DE205" s="53">
        <f t="shared" si="93"/>
        <v>153.74</v>
      </c>
      <c r="DH205" s="122">
        <v>46009</v>
      </c>
      <c r="DI205" s="123">
        <v>1889.95</v>
      </c>
      <c r="DJ205" s="127">
        <v>773.41</v>
      </c>
      <c r="DK205" s="127">
        <v>1127.3499999999999</v>
      </c>
      <c r="DL205" s="127"/>
      <c r="DM205" s="126">
        <v>0</v>
      </c>
      <c r="DO205" s="240"/>
      <c r="DP205" s="52"/>
      <c r="DQ205" s="52"/>
      <c r="DR205" s="53">
        <f t="shared" si="94"/>
        <v>0</v>
      </c>
      <c r="DT205" s="122">
        <v>46009</v>
      </c>
      <c r="DU205" s="123">
        <v>1133.98</v>
      </c>
      <c r="DV205" s="127">
        <v>1088.77</v>
      </c>
      <c r="DW205" s="127"/>
      <c r="DX205" s="126">
        <v>32.869999999999997</v>
      </c>
      <c r="DZ205" s="51"/>
      <c r="EA205" s="52"/>
      <c r="EB205" s="52"/>
      <c r="EC205" s="53">
        <f t="shared" si="95"/>
        <v>32.869999999999997</v>
      </c>
      <c r="EE205" s="122">
        <v>46009</v>
      </c>
      <c r="EF205" s="123">
        <v>2192.48</v>
      </c>
      <c r="EG205" s="127">
        <v>909.43</v>
      </c>
      <c r="EH205" s="127"/>
      <c r="EI205" s="126">
        <v>1.79</v>
      </c>
      <c r="EK205" s="240">
        <v>554.45995999999968</v>
      </c>
      <c r="EL205" s="435"/>
      <c r="EM205" s="52">
        <v>63.723643131428531</v>
      </c>
      <c r="EN205" s="53"/>
      <c r="EO205" s="53">
        <f t="shared" si="96"/>
        <v>619.97360313142815</v>
      </c>
      <c r="EQ205" s="122">
        <v>46009</v>
      </c>
      <c r="ER205" s="123">
        <v>3275.28</v>
      </c>
      <c r="ES205" s="259">
        <v>130</v>
      </c>
      <c r="ET205" s="127"/>
      <c r="EU205" s="258">
        <v>262.01</v>
      </c>
      <c r="EW205" s="240">
        <v>247.84589000000005</v>
      </c>
      <c r="EX205" s="53"/>
      <c r="EY205" s="52"/>
      <c r="EZ205" s="53">
        <f t="shared" si="97"/>
        <v>509.85589000000004</v>
      </c>
      <c r="FB205" s="122">
        <v>46009</v>
      </c>
      <c r="FC205" s="123">
        <v>821.05</v>
      </c>
      <c r="FD205" s="123">
        <v>317.08999999999997</v>
      </c>
      <c r="FE205" s="125"/>
      <c r="FF205" s="126"/>
      <c r="FH205" s="51"/>
      <c r="FI205" s="52"/>
      <c r="FJ205" s="52"/>
      <c r="FK205" s="53">
        <f t="shared" si="98"/>
        <v>0</v>
      </c>
    </row>
    <row r="206" spans="2:167" hidden="1" x14ac:dyDescent="0.25">
      <c r="B206" s="122">
        <v>46010</v>
      </c>
      <c r="C206" s="123">
        <v>13173.77</v>
      </c>
      <c r="D206" s="125"/>
      <c r="E206" s="125"/>
      <c r="F206" s="125">
        <v>0</v>
      </c>
      <c r="H206" s="240"/>
      <c r="I206" s="240">
        <v>8.0830492885714307</v>
      </c>
      <c r="J206" s="240"/>
      <c r="K206" s="53">
        <f t="shared" si="85"/>
        <v>8.0830492885714307</v>
      </c>
      <c r="M206" s="122">
        <v>46010</v>
      </c>
      <c r="N206" s="123">
        <v>3897.66</v>
      </c>
      <c r="O206" s="125"/>
      <c r="P206" s="126">
        <v>14.89</v>
      </c>
      <c r="R206" s="240"/>
      <c r="S206" s="52"/>
      <c r="T206" s="52"/>
      <c r="U206" s="53">
        <f t="shared" si="86"/>
        <v>14.89</v>
      </c>
      <c r="W206" s="122">
        <v>46010</v>
      </c>
      <c r="X206" s="123">
        <v>2538.5</v>
      </c>
      <c r="Y206" s="123">
        <v>262.74</v>
      </c>
      <c r="Z206" s="125"/>
      <c r="AA206" s="273">
        <v>3.47</v>
      </c>
      <c r="AC206" s="240"/>
      <c r="AD206" s="53">
        <v>52.504812281904776</v>
      </c>
      <c r="AE206" s="52"/>
      <c r="AF206" s="53">
        <f t="shared" si="87"/>
        <v>55.974812281904775</v>
      </c>
      <c r="AI206" s="122">
        <v>46010</v>
      </c>
      <c r="AJ206" s="123">
        <v>1007.99</v>
      </c>
      <c r="AK206" s="125"/>
      <c r="AL206" s="126"/>
      <c r="AN206" s="51"/>
      <c r="AO206" s="52"/>
      <c r="AP206" s="52"/>
      <c r="AQ206" s="53">
        <f t="shared" si="88"/>
        <v>0</v>
      </c>
      <c r="AS206" s="122">
        <v>46010</v>
      </c>
      <c r="AT206" s="123">
        <v>4127.29</v>
      </c>
      <c r="AU206" s="125"/>
      <c r="AV206" s="128"/>
      <c r="AX206" s="51"/>
      <c r="AY206" s="52"/>
      <c r="AZ206" s="52"/>
      <c r="BA206" s="53">
        <f t="shared" si="89"/>
        <v>0</v>
      </c>
      <c r="BC206" s="122">
        <v>46010</v>
      </c>
      <c r="BD206" s="123">
        <v>3032.98</v>
      </c>
      <c r="BE206" s="125"/>
      <c r="BF206" s="128">
        <v>0</v>
      </c>
      <c r="BH206" s="240"/>
      <c r="BI206" s="52"/>
      <c r="BJ206" s="52"/>
      <c r="BK206" s="53">
        <f t="shared" si="90"/>
        <v>0</v>
      </c>
      <c r="BM206" s="122">
        <v>46010</v>
      </c>
      <c r="BN206" s="123">
        <v>16165.4</v>
      </c>
      <c r="BO206" s="123">
        <v>4453.68</v>
      </c>
      <c r="BP206" s="123">
        <v>10436.91</v>
      </c>
      <c r="BQ206" s="125"/>
      <c r="BR206" s="125"/>
      <c r="BT206" s="240">
        <v>94.327729999999974</v>
      </c>
      <c r="BU206" s="53">
        <v>368.08913053419053</v>
      </c>
      <c r="BV206" s="53"/>
      <c r="BW206" s="53">
        <f t="shared" si="84"/>
        <v>462.4168605341905</v>
      </c>
      <c r="BY206" s="122">
        <v>46010</v>
      </c>
      <c r="BZ206" s="256">
        <v>1347.19</v>
      </c>
      <c r="CA206" s="260">
        <v>648.80999999999995</v>
      </c>
      <c r="CB206" s="125"/>
      <c r="CC206" s="126"/>
      <c r="CE206" s="240"/>
      <c r="CF206" s="52"/>
      <c r="CG206" s="53"/>
      <c r="CH206" s="53">
        <f t="shared" si="91"/>
        <v>0</v>
      </c>
      <c r="CJ206" s="122">
        <v>46010</v>
      </c>
      <c r="CK206" s="123">
        <v>6328.71</v>
      </c>
      <c r="CL206" s="123">
        <v>627.1</v>
      </c>
      <c r="CM206" s="125"/>
      <c r="CN206" s="126">
        <v>11.69</v>
      </c>
      <c r="CP206" s="240">
        <v>72.746499999999997</v>
      </c>
      <c r="CQ206" s="52">
        <v>24.578296720000026</v>
      </c>
      <c r="CR206" s="52"/>
      <c r="CS206" s="53">
        <f t="shared" si="92"/>
        <v>109.01479672000002</v>
      </c>
      <c r="CU206" s="122">
        <v>46010</v>
      </c>
      <c r="CV206" s="123">
        <v>8990.31</v>
      </c>
      <c r="CW206" s="127">
        <v>1070.52</v>
      </c>
      <c r="CX206" s="125"/>
      <c r="CY206" s="128">
        <v>147.83000000000001</v>
      </c>
      <c r="DA206" s="240">
        <v>210</v>
      </c>
      <c r="DB206" s="435"/>
      <c r="DC206" s="52"/>
      <c r="DD206" s="52"/>
      <c r="DE206" s="53">
        <f t="shared" si="93"/>
        <v>357.83000000000004</v>
      </c>
      <c r="DH206" s="122">
        <v>46010</v>
      </c>
      <c r="DI206" s="123">
        <v>1738.58</v>
      </c>
      <c r="DJ206" s="127">
        <v>552.80999999999995</v>
      </c>
      <c r="DK206" s="127">
        <v>1701.37</v>
      </c>
      <c r="DL206" s="127"/>
      <c r="DM206" s="126">
        <v>0</v>
      </c>
      <c r="DO206" s="240">
        <v>20.587500000000006</v>
      </c>
      <c r="DP206" s="52"/>
      <c r="DQ206" s="52"/>
      <c r="DR206" s="53">
        <f t="shared" si="94"/>
        <v>20.587500000000006</v>
      </c>
      <c r="DT206" s="122">
        <v>46010</v>
      </c>
      <c r="DU206" s="123">
        <v>1737.85</v>
      </c>
      <c r="DV206" s="127">
        <v>1117.99</v>
      </c>
      <c r="DW206" s="127"/>
      <c r="DX206" s="126">
        <v>22.6</v>
      </c>
      <c r="DZ206" s="51"/>
      <c r="EA206" s="52"/>
      <c r="EB206" s="52"/>
      <c r="EC206" s="53">
        <f t="shared" si="95"/>
        <v>22.6</v>
      </c>
      <c r="EE206" s="122">
        <v>46010</v>
      </c>
      <c r="EF206" s="123">
        <v>1160.3399999999999</v>
      </c>
      <c r="EG206" s="127">
        <v>1187.9000000000001</v>
      </c>
      <c r="EH206" s="127"/>
      <c r="EI206" s="126">
        <v>7.39</v>
      </c>
      <c r="EK206" s="240">
        <v>459.35385999999971</v>
      </c>
      <c r="EL206" s="435"/>
      <c r="EM206" s="52"/>
      <c r="EN206" s="53"/>
      <c r="EO206" s="53">
        <f t="shared" si="96"/>
        <v>466.7438599999997</v>
      </c>
      <c r="EQ206" s="122">
        <v>46010</v>
      </c>
      <c r="ER206" s="123">
        <v>3988.58</v>
      </c>
      <c r="ES206" s="259">
        <v>328.37</v>
      </c>
      <c r="ET206" s="127"/>
      <c r="EU206" s="258">
        <v>143.69999999999999</v>
      </c>
      <c r="EW206" s="240">
        <v>31.499999999999972</v>
      </c>
      <c r="EX206" s="53">
        <v>115.43541834523813</v>
      </c>
      <c r="EY206" s="52"/>
      <c r="EZ206" s="53">
        <f t="shared" si="97"/>
        <v>290.63541834523812</v>
      </c>
      <c r="FB206" s="122">
        <v>46010</v>
      </c>
      <c r="FC206" s="123">
        <v>1393.69</v>
      </c>
      <c r="FD206" s="123">
        <v>300</v>
      </c>
      <c r="FE206" s="125"/>
      <c r="FF206" s="126"/>
      <c r="FH206" s="51"/>
      <c r="FI206" s="52"/>
      <c r="FJ206" s="52"/>
      <c r="FK206" s="53">
        <f t="shared" si="98"/>
        <v>0</v>
      </c>
    </row>
    <row r="207" spans="2:167" hidden="1" x14ac:dyDescent="0.25">
      <c r="B207" s="122">
        <v>46011</v>
      </c>
      <c r="C207" s="123">
        <v>13009.41</v>
      </c>
      <c r="D207" s="126"/>
      <c r="E207" s="125"/>
      <c r="F207" s="126">
        <v>0</v>
      </c>
      <c r="H207" s="240">
        <v>24.463799999999992</v>
      </c>
      <c r="I207" s="240"/>
      <c r="J207" s="240"/>
      <c r="K207" s="53">
        <f t="shared" si="85"/>
        <v>24.463799999999992</v>
      </c>
      <c r="M207" s="122">
        <v>46011</v>
      </c>
      <c r="N207" s="123">
        <v>3978.07</v>
      </c>
      <c r="O207" s="125"/>
      <c r="P207" s="126">
        <v>15.59</v>
      </c>
      <c r="R207" s="240"/>
      <c r="S207" s="52"/>
      <c r="T207" s="52"/>
      <c r="U207" s="53">
        <f t="shared" si="86"/>
        <v>15.59</v>
      </c>
      <c r="W207" s="122">
        <v>46011</v>
      </c>
      <c r="X207" s="123">
        <v>1723.19</v>
      </c>
      <c r="Y207" s="123">
        <v>253.02</v>
      </c>
      <c r="Z207" s="125"/>
      <c r="AA207" s="273">
        <v>48.03</v>
      </c>
      <c r="AC207" s="240">
        <v>45.094880000000003</v>
      </c>
      <c r="AD207" s="53">
        <v>11.876176677619057</v>
      </c>
      <c r="AE207" s="52"/>
      <c r="AF207" s="53">
        <f t="shared" si="87"/>
        <v>105.00105667761906</v>
      </c>
      <c r="AI207" s="122">
        <v>46011</v>
      </c>
      <c r="AJ207" s="123">
        <v>1741.19</v>
      </c>
      <c r="AK207" s="125"/>
      <c r="AL207" s="126"/>
      <c r="AN207" s="51"/>
      <c r="AO207" s="52"/>
      <c r="AP207" s="52"/>
      <c r="AQ207" s="53">
        <f t="shared" si="88"/>
        <v>0</v>
      </c>
      <c r="AS207" s="122">
        <v>46011</v>
      </c>
      <c r="AT207" s="123">
        <v>4376.13</v>
      </c>
      <c r="AU207" s="125"/>
      <c r="AV207" s="128"/>
      <c r="AX207" s="51"/>
      <c r="AY207" s="52"/>
      <c r="AZ207" s="52"/>
      <c r="BA207" s="53">
        <f t="shared" si="89"/>
        <v>0</v>
      </c>
      <c r="BC207" s="122">
        <v>46011</v>
      </c>
      <c r="BD207" s="123">
        <v>2497.75</v>
      </c>
      <c r="BE207" s="125"/>
      <c r="BF207" s="128">
        <v>4.4000000000000004</v>
      </c>
      <c r="BH207" s="240">
        <v>25.572800000000001</v>
      </c>
      <c r="BI207" s="52"/>
      <c r="BJ207" s="52"/>
      <c r="BK207" s="53">
        <f t="shared" si="90"/>
        <v>29.972799999999999</v>
      </c>
      <c r="BM207" s="122">
        <v>46011</v>
      </c>
      <c r="BN207" s="123">
        <v>12871.13</v>
      </c>
      <c r="BO207" s="123">
        <v>3931.37</v>
      </c>
      <c r="BP207" s="123">
        <v>8652.32</v>
      </c>
      <c r="BQ207" s="125"/>
      <c r="BR207" s="125"/>
      <c r="BT207" s="240">
        <v>195.62824999999998</v>
      </c>
      <c r="BU207" s="53"/>
      <c r="BV207" s="53"/>
      <c r="BW207" s="53">
        <f t="shared" si="84"/>
        <v>195.62824999999998</v>
      </c>
      <c r="BY207" s="122">
        <v>46011</v>
      </c>
      <c r="BZ207" s="256">
        <v>378.23</v>
      </c>
      <c r="CA207" s="260">
        <v>652.37</v>
      </c>
      <c r="CB207" s="125"/>
      <c r="CC207" s="126"/>
      <c r="CE207" s="240"/>
      <c r="CF207" s="52"/>
      <c r="CG207" s="53">
        <v>26.605571999999995</v>
      </c>
      <c r="CH207" s="53">
        <f t="shared" si="91"/>
        <v>26.605571999999995</v>
      </c>
      <c r="CJ207" s="122">
        <v>46011</v>
      </c>
      <c r="CK207" s="123">
        <v>5216.1000000000004</v>
      </c>
      <c r="CL207" s="123">
        <v>1138.8699999999999</v>
      </c>
      <c r="CM207" s="125"/>
      <c r="CN207" s="126">
        <v>51.99</v>
      </c>
      <c r="CP207" s="240">
        <v>76.389569999999992</v>
      </c>
      <c r="CQ207" s="52">
        <v>40.678305912380978</v>
      </c>
      <c r="CR207" s="52"/>
      <c r="CS207" s="53">
        <f t="shared" si="92"/>
        <v>169.05787591238098</v>
      </c>
      <c r="CU207" s="122">
        <v>46011</v>
      </c>
      <c r="CV207" s="123">
        <v>11699.45</v>
      </c>
      <c r="CW207" s="127">
        <v>1609.01</v>
      </c>
      <c r="CX207" s="125"/>
      <c r="CY207" s="128">
        <v>92.04</v>
      </c>
      <c r="DA207" s="240"/>
      <c r="DB207" s="435"/>
      <c r="DC207" s="52"/>
      <c r="DD207" s="52"/>
      <c r="DE207" s="53">
        <f t="shared" si="93"/>
        <v>92.04</v>
      </c>
      <c r="DH207" s="122">
        <v>46011</v>
      </c>
      <c r="DI207" s="123">
        <v>536.01</v>
      </c>
      <c r="DJ207" s="127">
        <v>346.19</v>
      </c>
      <c r="DK207" s="127">
        <v>2189.5300000000002</v>
      </c>
      <c r="DL207" s="127"/>
      <c r="DM207" s="126">
        <v>0</v>
      </c>
      <c r="DO207" s="240"/>
      <c r="DP207" s="52"/>
      <c r="DQ207" s="52"/>
      <c r="DR207" s="53">
        <f t="shared" si="94"/>
        <v>0</v>
      </c>
      <c r="DT207" s="122">
        <v>46011</v>
      </c>
      <c r="DU207" s="123">
        <v>1283.04</v>
      </c>
      <c r="DV207" s="127">
        <v>1027.1199999999999</v>
      </c>
      <c r="DW207" s="127"/>
      <c r="DX207" s="126">
        <v>10.199999999999999</v>
      </c>
      <c r="DZ207" s="51"/>
      <c r="EA207" s="52">
        <v>17.117049496190489</v>
      </c>
      <c r="EB207" s="52"/>
      <c r="EC207" s="53">
        <f t="shared" si="95"/>
        <v>27.317049496190489</v>
      </c>
      <c r="EE207" s="122">
        <v>46011</v>
      </c>
      <c r="EF207" s="123">
        <v>822.29</v>
      </c>
      <c r="EG207" s="127">
        <v>1023.61</v>
      </c>
      <c r="EH207" s="127"/>
      <c r="EI207" s="126">
        <v>14.37</v>
      </c>
      <c r="EK207" s="240">
        <v>308.81231999999983</v>
      </c>
      <c r="EL207" s="435"/>
      <c r="EM207" s="52"/>
      <c r="EN207" s="53"/>
      <c r="EO207" s="53">
        <f t="shared" si="96"/>
        <v>323.18231999999983</v>
      </c>
      <c r="EQ207" s="122">
        <v>46011</v>
      </c>
      <c r="ER207" s="123">
        <v>4490.6099999999997</v>
      </c>
      <c r="ES207" s="259">
        <v>316.61</v>
      </c>
      <c r="ET207" s="127"/>
      <c r="EU207" s="258">
        <v>170.04</v>
      </c>
      <c r="EW207" s="240">
        <v>93.155999999999949</v>
      </c>
      <c r="EX207" s="53"/>
      <c r="EY207" s="52"/>
      <c r="EZ207" s="53">
        <f t="shared" si="97"/>
        <v>263.19599999999991</v>
      </c>
      <c r="FB207" s="122">
        <v>46011</v>
      </c>
      <c r="FC207" s="123">
        <v>668.65</v>
      </c>
      <c r="FD207" s="123">
        <v>185</v>
      </c>
      <c r="FE207" s="125"/>
      <c r="FF207" s="126"/>
      <c r="FH207" s="51"/>
      <c r="FI207" s="52"/>
      <c r="FJ207" s="52"/>
      <c r="FK207" s="53">
        <f t="shared" si="98"/>
        <v>0</v>
      </c>
    </row>
    <row r="208" spans="2:167" hidden="1" x14ac:dyDescent="0.25">
      <c r="B208" s="122">
        <v>46012</v>
      </c>
      <c r="C208" s="123">
        <v>11462.6</v>
      </c>
      <c r="D208" s="126"/>
      <c r="E208" s="125"/>
      <c r="F208" s="126">
        <v>20.98</v>
      </c>
      <c r="H208" s="240">
        <v>29.645199999999988</v>
      </c>
      <c r="I208" s="240"/>
      <c r="J208" s="240"/>
      <c r="K208" s="53">
        <f t="shared" si="85"/>
        <v>50.625199999999992</v>
      </c>
      <c r="M208" s="122">
        <v>46012</v>
      </c>
      <c r="N208" s="123">
        <v>2248.4299999999998</v>
      </c>
      <c r="O208" s="125"/>
      <c r="P208" s="126">
        <v>0</v>
      </c>
      <c r="R208" s="240"/>
      <c r="S208" s="52"/>
      <c r="T208" s="52"/>
      <c r="U208" s="53">
        <f t="shared" si="86"/>
        <v>0</v>
      </c>
      <c r="W208" s="122">
        <v>46012</v>
      </c>
      <c r="X208" s="123">
        <v>842.58</v>
      </c>
      <c r="Y208" s="123">
        <v>95.28</v>
      </c>
      <c r="Z208" s="125"/>
      <c r="AA208" s="273">
        <v>2.8</v>
      </c>
      <c r="AC208" s="240"/>
      <c r="AD208" s="53"/>
      <c r="AE208" s="52"/>
      <c r="AF208" s="53">
        <f t="shared" si="87"/>
        <v>2.8</v>
      </c>
      <c r="AI208" s="122">
        <v>46012</v>
      </c>
      <c r="AJ208" s="123">
        <v>1104.1600000000001</v>
      </c>
      <c r="AK208" s="125"/>
      <c r="AL208" s="126"/>
      <c r="AN208" s="51"/>
      <c r="AO208" s="52"/>
      <c r="AP208" s="52"/>
      <c r="AQ208" s="53">
        <f t="shared" si="88"/>
        <v>0</v>
      </c>
      <c r="AS208" s="122">
        <v>46012</v>
      </c>
      <c r="AT208" s="123">
        <v>3583.65</v>
      </c>
      <c r="AU208" s="125"/>
      <c r="AV208" s="128"/>
      <c r="AX208" s="51"/>
      <c r="AY208" s="52"/>
      <c r="AZ208" s="52"/>
      <c r="BA208" s="53">
        <f t="shared" si="89"/>
        <v>0</v>
      </c>
      <c r="BC208" s="122">
        <v>46012</v>
      </c>
      <c r="BD208" s="123">
        <v>2219.4</v>
      </c>
      <c r="BE208" s="125"/>
      <c r="BF208" s="128">
        <v>4.8499999999999996</v>
      </c>
      <c r="BH208" s="240">
        <v>101.45920000000015</v>
      </c>
      <c r="BI208" s="52"/>
      <c r="BJ208" s="52"/>
      <c r="BK208" s="53">
        <f t="shared" si="90"/>
        <v>106.30920000000015</v>
      </c>
      <c r="BM208" s="122">
        <v>46012</v>
      </c>
      <c r="BN208" s="123">
        <v>10986.08</v>
      </c>
      <c r="BO208" s="123">
        <v>3001.43</v>
      </c>
      <c r="BP208" s="123">
        <v>6024.19</v>
      </c>
      <c r="BQ208" s="125"/>
      <c r="BR208" s="125"/>
      <c r="BT208" s="240">
        <v>253.7314299999999</v>
      </c>
      <c r="BU208" s="53"/>
      <c r="BV208" s="53"/>
      <c r="BW208" s="53">
        <f t="shared" si="84"/>
        <v>253.7314299999999</v>
      </c>
      <c r="BY208" s="122">
        <v>46012</v>
      </c>
      <c r="BZ208" s="256">
        <v>193.69</v>
      </c>
      <c r="CA208" s="257">
        <v>381.22</v>
      </c>
      <c r="CB208" s="125"/>
      <c r="CC208" s="126"/>
      <c r="CE208" s="240"/>
      <c r="CF208" s="52"/>
      <c r="CG208" s="53"/>
      <c r="CH208" s="53">
        <f t="shared" si="91"/>
        <v>0</v>
      </c>
      <c r="CJ208" s="122">
        <v>46012</v>
      </c>
      <c r="CK208" s="123">
        <v>2473.2199999999998</v>
      </c>
      <c r="CL208" s="123">
        <v>597.76</v>
      </c>
      <c r="CM208" s="125"/>
      <c r="CN208" s="126">
        <v>6.8</v>
      </c>
      <c r="CP208" s="240">
        <v>176.9675</v>
      </c>
      <c r="CQ208" s="52"/>
      <c r="CR208" s="52"/>
      <c r="CS208" s="53">
        <f t="shared" si="92"/>
        <v>183.76750000000001</v>
      </c>
      <c r="CU208" s="122">
        <v>46012</v>
      </c>
      <c r="CV208" s="123">
        <v>5233.8599999999997</v>
      </c>
      <c r="CW208" s="127">
        <v>928.68</v>
      </c>
      <c r="CX208" s="125"/>
      <c r="CY208" s="128">
        <v>76.430000000000007</v>
      </c>
      <c r="DA208" s="240"/>
      <c r="DB208" s="435"/>
      <c r="DC208" s="52"/>
      <c r="DD208" s="52"/>
      <c r="DE208" s="53">
        <f t="shared" si="93"/>
        <v>76.430000000000007</v>
      </c>
      <c r="DH208" s="122">
        <v>46012</v>
      </c>
      <c r="DI208" s="123">
        <v>1401.31</v>
      </c>
      <c r="DJ208" s="127">
        <v>627.73</v>
      </c>
      <c r="DK208" s="127">
        <v>1565.3</v>
      </c>
      <c r="DL208" s="127"/>
      <c r="DM208" s="126">
        <v>0</v>
      </c>
      <c r="DO208" s="240"/>
      <c r="DP208" s="52"/>
      <c r="DQ208" s="52"/>
      <c r="DR208" s="53">
        <f t="shared" si="94"/>
        <v>0</v>
      </c>
      <c r="DT208" s="122">
        <v>46012</v>
      </c>
      <c r="DU208" s="123">
        <v>1129.1099999999999</v>
      </c>
      <c r="DV208" s="127">
        <v>963.56</v>
      </c>
      <c r="DW208" s="127"/>
      <c r="DX208" s="126">
        <v>3</v>
      </c>
      <c r="DZ208" s="51"/>
      <c r="EA208" s="52"/>
      <c r="EB208" s="52"/>
      <c r="EC208" s="53">
        <f t="shared" si="95"/>
        <v>3</v>
      </c>
      <c r="EE208" s="122">
        <v>46012</v>
      </c>
      <c r="EF208" s="123">
        <v>1090.3599999999999</v>
      </c>
      <c r="EG208" s="127">
        <v>910.13</v>
      </c>
      <c r="EH208" s="127"/>
      <c r="EI208" s="126">
        <v>47.05</v>
      </c>
      <c r="EK208" s="240">
        <v>70.701839999999947</v>
      </c>
      <c r="EL208" s="435"/>
      <c r="EM208" s="52">
        <v>32.087981433809517</v>
      </c>
      <c r="EN208" s="53"/>
      <c r="EO208" s="53">
        <f t="shared" si="96"/>
        <v>149.83982143380945</v>
      </c>
      <c r="EQ208" s="122">
        <v>46012</v>
      </c>
      <c r="ER208" s="123">
        <v>3804.39</v>
      </c>
      <c r="ES208" s="259">
        <v>281.94</v>
      </c>
      <c r="ET208" s="127"/>
      <c r="EU208" s="258">
        <v>285.45999999999998</v>
      </c>
      <c r="EW208" s="240"/>
      <c r="EX208" s="53"/>
      <c r="EY208" s="52"/>
      <c r="EZ208" s="53">
        <f t="shared" si="97"/>
        <v>285.45999999999998</v>
      </c>
      <c r="FB208" s="122">
        <v>46012</v>
      </c>
      <c r="FC208" s="123">
        <v>802.02</v>
      </c>
      <c r="FD208" s="126">
        <v>177.35</v>
      </c>
      <c r="FE208" s="125"/>
      <c r="FF208" s="126"/>
      <c r="FH208" s="51"/>
      <c r="FI208" s="52"/>
      <c r="FJ208" s="52"/>
      <c r="FK208" s="53">
        <f t="shared" si="98"/>
        <v>0</v>
      </c>
    </row>
    <row r="209" spans="2:167" hidden="1" x14ac:dyDescent="0.25">
      <c r="B209" s="122">
        <v>46013</v>
      </c>
      <c r="C209" s="123">
        <v>9835.7900000000009</v>
      </c>
      <c r="D209" s="125"/>
      <c r="E209" s="125"/>
      <c r="F209" s="123">
        <v>0</v>
      </c>
      <c r="H209" s="240"/>
      <c r="I209" s="240"/>
      <c r="J209" s="240"/>
      <c r="K209" s="53">
        <f t="shared" si="85"/>
        <v>0</v>
      </c>
      <c r="M209" s="122">
        <v>46013</v>
      </c>
      <c r="N209" s="123">
        <v>3818.45</v>
      </c>
      <c r="O209" s="125"/>
      <c r="P209" s="126">
        <v>0</v>
      </c>
      <c r="R209" s="240"/>
      <c r="S209" s="52"/>
      <c r="T209" s="52"/>
      <c r="U209" s="53">
        <f t="shared" si="86"/>
        <v>0</v>
      </c>
      <c r="W209" s="122">
        <v>46013</v>
      </c>
      <c r="X209" s="123">
        <v>731.02</v>
      </c>
      <c r="Y209" s="123">
        <v>264.38</v>
      </c>
      <c r="Z209" s="125"/>
      <c r="AA209" s="273">
        <v>2.59</v>
      </c>
      <c r="AC209" s="240"/>
      <c r="AD209" s="53"/>
      <c r="AE209" s="52"/>
      <c r="AF209" s="53">
        <f t="shared" si="87"/>
        <v>2.59</v>
      </c>
      <c r="AI209" s="122">
        <v>46013</v>
      </c>
      <c r="AJ209" s="123">
        <v>1268.8</v>
      </c>
      <c r="AK209" s="125"/>
      <c r="AL209" s="126"/>
      <c r="AN209" s="51"/>
      <c r="AO209" s="52"/>
      <c r="AP209" s="52"/>
      <c r="AQ209" s="53">
        <f t="shared" si="88"/>
        <v>0</v>
      </c>
      <c r="AS209" s="122">
        <v>46013</v>
      </c>
      <c r="AT209" s="123">
        <v>4276.78</v>
      </c>
      <c r="AU209" s="125"/>
      <c r="AV209" s="128"/>
      <c r="AX209" s="51"/>
      <c r="AY209" s="52"/>
      <c r="AZ209" s="52"/>
      <c r="BA209" s="53">
        <f t="shared" si="89"/>
        <v>0</v>
      </c>
      <c r="BC209" s="122">
        <v>46013</v>
      </c>
      <c r="BD209" s="123">
        <v>2390.7600000000002</v>
      </c>
      <c r="BE209" s="125"/>
      <c r="BF209" s="128">
        <v>3.1</v>
      </c>
      <c r="BH209" s="240"/>
      <c r="BI209" s="52"/>
      <c r="BJ209" s="52"/>
      <c r="BK209" s="53">
        <f t="shared" si="90"/>
        <v>3.1</v>
      </c>
      <c r="BM209" s="122">
        <v>46013</v>
      </c>
      <c r="BN209" s="123">
        <v>13696.66</v>
      </c>
      <c r="BO209" s="123">
        <v>3198.37</v>
      </c>
      <c r="BP209" s="123">
        <v>8815.68</v>
      </c>
      <c r="BQ209" s="125"/>
      <c r="BR209" s="125"/>
      <c r="BT209" s="240">
        <v>237.23221999999998</v>
      </c>
      <c r="BU209" s="53"/>
      <c r="BV209" s="53"/>
      <c r="BW209" s="53">
        <f t="shared" si="84"/>
        <v>237.23221999999998</v>
      </c>
      <c r="BY209" s="122">
        <v>46013</v>
      </c>
      <c r="BZ209" s="256">
        <v>814.64</v>
      </c>
      <c r="CA209" s="257">
        <v>680.33</v>
      </c>
      <c r="CB209" s="125"/>
      <c r="CC209" s="126"/>
      <c r="CE209" s="240"/>
      <c r="CF209" s="52"/>
      <c r="CG209" s="53"/>
      <c r="CH209" s="53">
        <f t="shared" si="91"/>
        <v>0</v>
      </c>
      <c r="CJ209" s="122">
        <v>46013</v>
      </c>
      <c r="CK209" s="123">
        <v>6459.24</v>
      </c>
      <c r="CL209" s="123">
        <v>969.65</v>
      </c>
      <c r="CM209" s="125"/>
      <c r="CN209" s="126">
        <v>8.33</v>
      </c>
      <c r="CP209" s="240">
        <v>63.326240000000013</v>
      </c>
      <c r="CQ209" s="52">
        <v>40.341985506190497</v>
      </c>
      <c r="CR209" s="52"/>
      <c r="CS209" s="53">
        <f t="shared" si="92"/>
        <v>111.99822550619051</v>
      </c>
      <c r="CU209" s="122">
        <v>46013</v>
      </c>
      <c r="CV209" s="123">
        <v>11521.4</v>
      </c>
      <c r="CW209" s="127">
        <v>742.61</v>
      </c>
      <c r="CX209" s="125"/>
      <c r="CY209" s="126">
        <v>118.18</v>
      </c>
      <c r="DA209" s="240">
        <v>1188.1498116291864</v>
      </c>
      <c r="DB209" s="435"/>
      <c r="DC209" s="52"/>
      <c r="DD209" s="52"/>
      <c r="DE209" s="53">
        <f t="shared" si="93"/>
        <v>1306.3298116291865</v>
      </c>
      <c r="DH209" s="122">
        <v>46013</v>
      </c>
      <c r="DI209" s="123">
        <v>2593.33</v>
      </c>
      <c r="DJ209" s="127">
        <v>538.20000000000005</v>
      </c>
      <c r="DK209" s="127">
        <v>2228.23</v>
      </c>
      <c r="DL209" s="127"/>
      <c r="DM209" s="126">
        <v>8.4</v>
      </c>
      <c r="DO209" s="240">
        <v>56.693130000000011</v>
      </c>
      <c r="DP209" s="52"/>
      <c r="DQ209" s="52"/>
      <c r="DR209" s="53">
        <f t="shared" si="94"/>
        <v>65.093130000000016</v>
      </c>
      <c r="DT209" s="122">
        <v>46013</v>
      </c>
      <c r="DU209" s="123">
        <v>1889.54</v>
      </c>
      <c r="DV209" s="127">
        <v>1315.2</v>
      </c>
      <c r="DW209" s="127"/>
      <c r="DX209" s="126">
        <v>33.880000000000003</v>
      </c>
      <c r="DZ209" s="51"/>
      <c r="EA209" s="52"/>
      <c r="EB209" s="52"/>
      <c r="EC209" s="53">
        <f t="shared" si="95"/>
        <v>33.880000000000003</v>
      </c>
      <c r="EE209" s="122">
        <v>46013</v>
      </c>
      <c r="EF209" s="123">
        <v>897.02</v>
      </c>
      <c r="EG209" s="127">
        <v>969.44</v>
      </c>
      <c r="EH209" s="127"/>
      <c r="EI209" s="126">
        <v>9.85</v>
      </c>
      <c r="EK209" s="240">
        <v>754.59166999999968</v>
      </c>
      <c r="EL209" s="435"/>
      <c r="EM209" s="52">
        <v>62.672656398666646</v>
      </c>
      <c r="EN209" s="53"/>
      <c r="EO209" s="53">
        <f t="shared" si="96"/>
        <v>827.11432639866632</v>
      </c>
      <c r="EQ209" s="122">
        <v>46013</v>
      </c>
      <c r="ER209" s="123">
        <v>3494.32</v>
      </c>
      <c r="ES209" s="259">
        <v>219.46</v>
      </c>
      <c r="ET209" s="127"/>
      <c r="EU209" s="258">
        <v>322.94</v>
      </c>
      <c r="EW209" s="240">
        <v>109.26300000000003</v>
      </c>
      <c r="EX209" s="53"/>
      <c r="EY209" s="52"/>
      <c r="EZ209" s="53">
        <f t="shared" si="97"/>
        <v>432.20300000000003</v>
      </c>
      <c r="FB209" s="122">
        <v>46013</v>
      </c>
      <c r="FC209" s="123">
        <v>945.25</v>
      </c>
      <c r="FD209" s="123">
        <v>227.83</v>
      </c>
      <c r="FE209" s="125"/>
      <c r="FF209" s="126"/>
      <c r="FH209" s="51"/>
      <c r="FI209" s="52"/>
      <c r="FJ209" s="52"/>
      <c r="FK209" s="53">
        <f t="shared" si="98"/>
        <v>0</v>
      </c>
    </row>
    <row r="210" spans="2:167" hidden="1" x14ac:dyDescent="0.25">
      <c r="B210" s="122">
        <v>46014</v>
      </c>
      <c r="C210" s="123">
        <v>15683.75</v>
      </c>
      <c r="D210" s="125"/>
      <c r="E210" s="125"/>
      <c r="F210" s="125">
        <v>0</v>
      </c>
      <c r="H210" s="240"/>
      <c r="I210" s="240">
        <v>34.191375255999958</v>
      </c>
      <c r="J210" s="240"/>
      <c r="K210" s="53">
        <f t="shared" si="85"/>
        <v>34.191375255999958</v>
      </c>
      <c r="M210" s="122">
        <v>46014</v>
      </c>
      <c r="N210" s="123">
        <v>3213.2</v>
      </c>
      <c r="O210" s="125"/>
      <c r="P210" s="126">
        <v>15.9</v>
      </c>
      <c r="R210" s="240">
        <v>118.19999999999999</v>
      </c>
      <c r="S210" s="52"/>
      <c r="T210" s="52"/>
      <c r="U210" s="53">
        <f t="shared" si="86"/>
        <v>134.1</v>
      </c>
      <c r="W210" s="122">
        <v>46014</v>
      </c>
      <c r="X210" s="123">
        <v>2313.96</v>
      </c>
      <c r="Y210" s="123">
        <v>281.45</v>
      </c>
      <c r="Z210" s="125"/>
      <c r="AA210" s="273">
        <v>31.8</v>
      </c>
      <c r="AC210" s="240"/>
      <c r="AD210" s="53"/>
      <c r="AE210" s="52"/>
      <c r="AF210" s="53">
        <f t="shared" si="87"/>
        <v>31.8</v>
      </c>
      <c r="AI210" s="122">
        <v>46014</v>
      </c>
      <c r="AJ210" s="123">
        <v>1059.02</v>
      </c>
      <c r="AK210" s="125"/>
      <c r="AL210" s="126"/>
      <c r="AN210" s="51"/>
      <c r="AO210" s="52"/>
      <c r="AP210" s="52"/>
      <c r="AQ210" s="53">
        <f t="shared" si="88"/>
        <v>0</v>
      </c>
      <c r="AS210" s="122">
        <v>46014</v>
      </c>
      <c r="AT210" s="123">
        <v>4416.76</v>
      </c>
      <c r="AU210" s="125"/>
      <c r="AV210" s="128"/>
      <c r="AX210" s="51"/>
      <c r="AY210" s="52"/>
      <c r="AZ210" s="52"/>
      <c r="BA210" s="53">
        <f t="shared" si="89"/>
        <v>0</v>
      </c>
      <c r="BC210" s="122">
        <v>46014</v>
      </c>
      <c r="BD210" s="123">
        <v>2698.69</v>
      </c>
      <c r="BE210" s="125"/>
      <c r="BF210" s="128">
        <v>4.21</v>
      </c>
      <c r="BH210" s="240">
        <v>6.8503799999999941</v>
      </c>
      <c r="BI210" s="52"/>
      <c r="BJ210" s="52"/>
      <c r="BK210" s="53">
        <f t="shared" si="90"/>
        <v>11.060379999999995</v>
      </c>
      <c r="BM210" s="122">
        <v>46014</v>
      </c>
      <c r="BN210" s="123">
        <v>14720.58</v>
      </c>
      <c r="BO210" s="123">
        <v>3694.3</v>
      </c>
      <c r="BP210" s="123">
        <v>9879.42</v>
      </c>
      <c r="BQ210" s="125"/>
      <c r="BR210" s="125"/>
      <c r="BT210" s="240">
        <v>300.95369999999991</v>
      </c>
      <c r="BU210" s="53">
        <v>588.96709674857118</v>
      </c>
      <c r="BV210" s="53"/>
      <c r="BW210" s="53">
        <f t="shared" si="84"/>
        <v>889.92079674857109</v>
      </c>
      <c r="BY210" s="122">
        <v>46014</v>
      </c>
      <c r="BZ210" s="256">
        <v>678.08</v>
      </c>
      <c r="CA210" s="260">
        <v>589.35</v>
      </c>
      <c r="CB210" s="125"/>
      <c r="CC210" s="126"/>
      <c r="CE210" s="240"/>
      <c r="CF210" s="52"/>
      <c r="CG210" s="53">
        <v>20.25840869999999</v>
      </c>
      <c r="CH210" s="53">
        <f t="shared" si="91"/>
        <v>20.25840869999999</v>
      </c>
      <c r="CJ210" s="122">
        <v>46014</v>
      </c>
      <c r="CK210" s="123">
        <v>4459.33</v>
      </c>
      <c r="CL210" s="123">
        <v>1048.43</v>
      </c>
      <c r="CM210" s="125"/>
      <c r="CN210" s="126">
        <v>0</v>
      </c>
      <c r="CP210" s="240">
        <v>186.36810999999997</v>
      </c>
      <c r="CQ210" s="52">
        <v>26.033293371428584</v>
      </c>
      <c r="CR210" s="52"/>
      <c r="CS210" s="53">
        <f t="shared" si="92"/>
        <v>212.40140337142856</v>
      </c>
      <c r="CU210" s="122">
        <v>46014</v>
      </c>
      <c r="CV210" s="123">
        <v>8651.7099999999991</v>
      </c>
      <c r="CW210" s="127">
        <v>1627.12</v>
      </c>
      <c r="CX210" s="125"/>
      <c r="CY210" s="126">
        <v>71.599999999999994</v>
      </c>
      <c r="DA210" s="240">
        <v>456.47999999999979</v>
      </c>
      <c r="DB210" s="435"/>
      <c r="DC210" s="52"/>
      <c r="DD210" s="52"/>
      <c r="DE210" s="53">
        <f t="shared" si="93"/>
        <v>528.07999999999981</v>
      </c>
      <c r="DH210" s="122">
        <v>46014</v>
      </c>
      <c r="DI210" s="123">
        <v>1730.11</v>
      </c>
      <c r="DJ210" s="127">
        <v>447.17</v>
      </c>
      <c r="DK210" s="127">
        <v>2242.4</v>
      </c>
      <c r="DL210" s="127"/>
      <c r="DM210" s="126">
        <v>0</v>
      </c>
      <c r="DO210" s="240"/>
      <c r="DP210" s="52"/>
      <c r="DQ210" s="52"/>
      <c r="DR210" s="53">
        <f t="shared" si="94"/>
        <v>0</v>
      </c>
      <c r="DT210" s="122">
        <v>46014</v>
      </c>
      <c r="DU210" s="123">
        <v>1445.14</v>
      </c>
      <c r="DV210" s="127">
        <v>908.01</v>
      </c>
      <c r="DW210" s="127"/>
      <c r="DX210" s="126">
        <v>20.05</v>
      </c>
      <c r="DZ210" s="51"/>
      <c r="EA210" s="52"/>
      <c r="EB210" s="52"/>
      <c r="EC210" s="53">
        <f t="shared" si="95"/>
        <v>20.05</v>
      </c>
      <c r="EE210" s="122">
        <v>46014</v>
      </c>
      <c r="EF210" s="123">
        <v>1100.78</v>
      </c>
      <c r="EG210" s="127">
        <v>849.93</v>
      </c>
      <c r="EH210" s="127"/>
      <c r="EI210" s="126">
        <v>15.76</v>
      </c>
      <c r="EK210" s="240">
        <v>692.96566999999982</v>
      </c>
      <c r="EL210" s="435"/>
      <c r="EM210" s="52">
        <v>59.994358171428502</v>
      </c>
      <c r="EN210" s="53"/>
      <c r="EO210" s="53">
        <f t="shared" si="96"/>
        <v>768.72002817142834</v>
      </c>
      <c r="EQ210" s="122">
        <v>46014</v>
      </c>
      <c r="ER210" s="123">
        <v>4081.7</v>
      </c>
      <c r="ES210" s="259">
        <v>149.93</v>
      </c>
      <c r="ET210" s="127"/>
      <c r="EU210" s="258">
        <v>145.97999999999999</v>
      </c>
      <c r="EW210" s="240"/>
      <c r="EX210" s="53">
        <v>19.530256583999986</v>
      </c>
      <c r="EY210" s="52"/>
      <c r="EZ210" s="53">
        <f t="shared" si="97"/>
        <v>165.51025658399999</v>
      </c>
      <c r="FB210" s="122">
        <v>46014</v>
      </c>
      <c r="FC210" s="123">
        <v>616.17999999999995</v>
      </c>
      <c r="FD210" s="123">
        <v>334.2</v>
      </c>
      <c r="FE210" s="125"/>
      <c r="FF210" s="126"/>
      <c r="FH210" s="51"/>
      <c r="FI210" s="52"/>
      <c r="FJ210" s="52"/>
      <c r="FK210" s="53">
        <f t="shared" si="98"/>
        <v>0</v>
      </c>
    </row>
    <row r="211" spans="2:167" hidden="1" x14ac:dyDescent="0.25">
      <c r="B211" s="122">
        <v>46015</v>
      </c>
      <c r="C211" s="123">
        <v>10644.98</v>
      </c>
      <c r="D211" s="125"/>
      <c r="E211" s="125"/>
      <c r="F211" s="125">
        <v>0</v>
      </c>
      <c r="H211" s="240"/>
      <c r="I211" s="240">
        <v>24.444247937142848</v>
      </c>
      <c r="J211" s="240"/>
      <c r="K211" s="53">
        <f t="shared" si="85"/>
        <v>24.444247937142848</v>
      </c>
      <c r="M211" s="122">
        <v>46015</v>
      </c>
      <c r="N211" s="123">
        <v>3760.56</v>
      </c>
      <c r="O211" s="125"/>
      <c r="P211" s="126">
        <v>15.5</v>
      </c>
      <c r="R211" s="240"/>
      <c r="S211" s="52"/>
      <c r="T211" s="52"/>
      <c r="U211" s="53">
        <f t="shared" si="86"/>
        <v>15.5</v>
      </c>
      <c r="W211" s="122">
        <v>46015</v>
      </c>
      <c r="X211" s="123">
        <v>1537.38</v>
      </c>
      <c r="Y211" s="123">
        <v>187.28</v>
      </c>
      <c r="Z211" s="125"/>
      <c r="AA211" s="273">
        <v>20.149999999999999</v>
      </c>
      <c r="AC211" s="240">
        <v>32.279579999999982</v>
      </c>
      <c r="AD211" s="53">
        <v>11.714586192000013</v>
      </c>
      <c r="AE211" s="52"/>
      <c r="AF211" s="53">
        <f t="shared" si="87"/>
        <v>64.144166192</v>
      </c>
      <c r="AI211" s="122">
        <v>46015</v>
      </c>
      <c r="AJ211" s="123">
        <v>1145.05</v>
      </c>
      <c r="AK211" s="125"/>
      <c r="AL211" s="126"/>
      <c r="AN211" s="51"/>
      <c r="AO211" s="52"/>
      <c r="AP211" s="52"/>
      <c r="AQ211" s="53">
        <f t="shared" si="88"/>
        <v>0</v>
      </c>
      <c r="AS211" s="122">
        <v>46015</v>
      </c>
      <c r="AT211" s="123">
        <v>4209.2</v>
      </c>
      <c r="AU211" s="125"/>
      <c r="AV211" s="128"/>
      <c r="AX211" s="51"/>
      <c r="AY211" s="52"/>
      <c r="AZ211" s="52"/>
      <c r="BA211" s="53">
        <f t="shared" si="89"/>
        <v>0</v>
      </c>
      <c r="BC211" s="122">
        <v>46015</v>
      </c>
      <c r="BD211" s="123">
        <v>3470.69</v>
      </c>
      <c r="BE211" s="125"/>
      <c r="BF211" s="128">
        <v>0</v>
      </c>
      <c r="BH211" s="240"/>
      <c r="BI211" s="52"/>
      <c r="BJ211" s="52"/>
      <c r="BK211" s="53">
        <f t="shared" si="90"/>
        <v>0</v>
      </c>
      <c r="BM211" s="122">
        <v>46015</v>
      </c>
      <c r="BN211" s="123">
        <v>12849.44</v>
      </c>
      <c r="BO211" s="123">
        <v>3378.42</v>
      </c>
      <c r="BP211" s="123">
        <v>6225.56</v>
      </c>
      <c r="BQ211" s="125"/>
      <c r="BR211" s="125"/>
      <c r="BT211" s="240">
        <v>238.39058999999997</v>
      </c>
      <c r="BU211" s="53">
        <v>410.31478484342836</v>
      </c>
      <c r="BV211" s="53"/>
      <c r="BW211" s="53">
        <f t="shared" si="84"/>
        <v>648.70537484342833</v>
      </c>
      <c r="BY211" s="122">
        <v>46015</v>
      </c>
      <c r="BZ211" s="256">
        <v>770.45</v>
      </c>
      <c r="CA211" s="257">
        <v>1038.4100000000001</v>
      </c>
      <c r="CB211" s="125"/>
      <c r="CC211" s="126"/>
      <c r="CE211" s="240"/>
      <c r="CF211" s="52"/>
      <c r="CG211" s="53"/>
      <c r="CH211" s="53">
        <f t="shared" si="91"/>
        <v>0</v>
      </c>
      <c r="CJ211" s="122">
        <v>46015</v>
      </c>
      <c r="CK211" s="123">
        <v>3570.88</v>
      </c>
      <c r="CL211" s="123">
        <v>818.31</v>
      </c>
      <c r="CM211" s="125"/>
      <c r="CN211" s="126">
        <v>8.75</v>
      </c>
      <c r="CP211" s="240">
        <v>228.66908000000001</v>
      </c>
      <c r="CQ211" s="52"/>
      <c r="CR211" s="52"/>
      <c r="CS211" s="53">
        <f t="shared" si="92"/>
        <v>237.41908000000001</v>
      </c>
      <c r="CU211" s="122">
        <v>46015</v>
      </c>
      <c r="CV211" s="123">
        <v>5289.8</v>
      </c>
      <c r="CW211" s="127">
        <v>977.19</v>
      </c>
      <c r="CX211" s="125"/>
      <c r="CY211" s="126">
        <v>45.75</v>
      </c>
      <c r="DA211" s="240"/>
      <c r="DB211" s="435"/>
      <c r="DC211" s="52"/>
      <c r="DD211" s="52"/>
      <c r="DE211" s="53">
        <f t="shared" si="93"/>
        <v>45.75</v>
      </c>
      <c r="DH211" s="122">
        <v>46015</v>
      </c>
      <c r="DI211" s="123">
        <v>2553.13</v>
      </c>
      <c r="DJ211" s="127">
        <v>552.20000000000005</v>
      </c>
      <c r="DK211" s="127">
        <v>2769.49</v>
      </c>
      <c r="DL211" s="127"/>
      <c r="DM211" s="126">
        <v>0</v>
      </c>
      <c r="DO211" s="240">
        <v>61.822499999999977</v>
      </c>
      <c r="DP211" s="52"/>
      <c r="DQ211" s="52"/>
      <c r="DR211" s="53">
        <f t="shared" si="94"/>
        <v>61.822499999999977</v>
      </c>
      <c r="DT211" s="122">
        <v>46015</v>
      </c>
      <c r="DU211" s="123">
        <v>1079.1400000000001</v>
      </c>
      <c r="DV211" s="127">
        <v>956.95</v>
      </c>
      <c r="DW211" s="127"/>
      <c r="DX211" s="126">
        <v>27.26</v>
      </c>
      <c r="DZ211" s="51"/>
      <c r="EA211" s="52"/>
      <c r="EB211" s="52"/>
      <c r="EC211" s="53">
        <f t="shared" si="95"/>
        <v>27.26</v>
      </c>
      <c r="EE211" s="122">
        <v>46015</v>
      </c>
      <c r="EF211" s="123">
        <v>1095.93</v>
      </c>
      <c r="EG211" s="127">
        <v>728.22</v>
      </c>
      <c r="EH211" s="127"/>
      <c r="EI211" s="126">
        <v>6.05</v>
      </c>
      <c r="EK211" s="240">
        <v>844.80053999999961</v>
      </c>
      <c r="EL211" s="435"/>
      <c r="EM211" s="52"/>
      <c r="EN211" s="53"/>
      <c r="EO211" s="53">
        <f t="shared" si="96"/>
        <v>850.85053999999957</v>
      </c>
      <c r="EQ211" s="122">
        <v>46015</v>
      </c>
      <c r="ER211" s="123">
        <v>6824.52</v>
      </c>
      <c r="ES211" s="259">
        <v>342.4</v>
      </c>
      <c r="ET211" s="127"/>
      <c r="EU211" s="258">
        <v>135.18</v>
      </c>
      <c r="EW211" s="240">
        <v>36.836099999999988</v>
      </c>
      <c r="EX211" s="53">
        <v>9.7505364342857206</v>
      </c>
      <c r="EY211" s="52"/>
      <c r="EZ211" s="53">
        <f t="shared" si="97"/>
        <v>181.76663643428572</v>
      </c>
      <c r="FB211" s="122">
        <v>46015</v>
      </c>
      <c r="FC211" s="123">
        <v>701.7</v>
      </c>
      <c r="FD211" s="123">
        <v>174.6</v>
      </c>
      <c r="FE211" s="125"/>
      <c r="FF211" s="126"/>
      <c r="FH211" s="51"/>
      <c r="FI211" s="52"/>
      <c r="FJ211" s="52"/>
      <c r="FK211" s="53">
        <f t="shared" si="98"/>
        <v>0</v>
      </c>
    </row>
    <row r="212" spans="2:167" hidden="1" x14ac:dyDescent="0.25">
      <c r="B212" s="122">
        <v>46016</v>
      </c>
      <c r="C212" s="123">
        <v>6690.71</v>
      </c>
      <c r="D212" s="125"/>
      <c r="E212" s="125"/>
      <c r="F212" s="125">
        <v>0</v>
      </c>
      <c r="H212" s="240"/>
      <c r="I212" s="240"/>
      <c r="J212" s="240"/>
      <c r="K212" s="53">
        <f t="shared" si="85"/>
        <v>0</v>
      </c>
      <c r="M212" s="122">
        <v>46016</v>
      </c>
      <c r="N212" s="123">
        <v>3572.08</v>
      </c>
      <c r="O212" s="125"/>
      <c r="P212" s="126">
        <v>25.75</v>
      </c>
      <c r="R212" s="240"/>
      <c r="S212" s="52"/>
      <c r="T212" s="52"/>
      <c r="U212" s="53">
        <f t="shared" si="86"/>
        <v>25.75</v>
      </c>
      <c r="W212" s="122">
        <v>46016</v>
      </c>
      <c r="X212" s="123">
        <v>562.23</v>
      </c>
      <c r="Y212" s="123">
        <v>255.79</v>
      </c>
      <c r="Z212" s="125"/>
      <c r="AA212" s="273">
        <v>2.58</v>
      </c>
      <c r="AC212" s="240"/>
      <c r="AD212" s="53"/>
      <c r="AE212" s="52"/>
      <c r="AF212" s="53">
        <f t="shared" si="87"/>
        <v>2.58</v>
      </c>
      <c r="AI212" s="122">
        <v>46016</v>
      </c>
      <c r="AJ212" s="123">
        <v>772.66</v>
      </c>
      <c r="AK212" s="125"/>
      <c r="AL212" s="126"/>
      <c r="AN212" s="51"/>
      <c r="AO212" s="52"/>
      <c r="AP212" s="52"/>
      <c r="AQ212" s="53">
        <f t="shared" si="88"/>
        <v>0</v>
      </c>
      <c r="AS212" s="122">
        <v>46016</v>
      </c>
      <c r="AT212" s="123">
        <v>3055.72</v>
      </c>
      <c r="AU212" s="125"/>
      <c r="AV212" s="128"/>
      <c r="AX212" s="51"/>
      <c r="AY212" s="52"/>
      <c r="AZ212" s="52"/>
      <c r="BA212" s="53">
        <f t="shared" si="89"/>
        <v>0</v>
      </c>
      <c r="BC212" s="122">
        <v>46016</v>
      </c>
      <c r="BD212" s="123">
        <v>983.33</v>
      </c>
      <c r="BE212" s="125"/>
      <c r="BF212" s="128">
        <v>2.08</v>
      </c>
      <c r="BH212" s="240"/>
      <c r="BI212" s="52"/>
      <c r="BJ212" s="52"/>
      <c r="BK212" s="53">
        <f t="shared" si="90"/>
        <v>2.08</v>
      </c>
      <c r="BM212" s="122">
        <v>46016</v>
      </c>
      <c r="BN212" s="123">
        <v>5742.31</v>
      </c>
      <c r="BO212" s="123">
        <v>1300.56</v>
      </c>
      <c r="BP212" s="123">
        <v>3065.15</v>
      </c>
      <c r="BQ212" s="125"/>
      <c r="BR212" s="125"/>
      <c r="BT212" s="240">
        <v>143.43372999999997</v>
      </c>
      <c r="BU212" s="53"/>
      <c r="BV212" s="53"/>
      <c r="BW212" s="53">
        <f t="shared" si="84"/>
        <v>143.43372999999997</v>
      </c>
      <c r="BY212" s="122">
        <v>46016</v>
      </c>
      <c r="BZ212" s="256">
        <v>543.99</v>
      </c>
      <c r="CA212" s="257">
        <v>599.30999999999995</v>
      </c>
      <c r="CB212" s="125"/>
      <c r="CC212" s="126"/>
      <c r="CE212" s="240"/>
      <c r="CF212" s="52"/>
      <c r="CG212" s="53"/>
      <c r="CH212" s="53">
        <f t="shared" si="91"/>
        <v>0</v>
      </c>
      <c r="CJ212" s="122">
        <v>46016</v>
      </c>
      <c r="CK212" s="123">
        <v>2104.12</v>
      </c>
      <c r="CL212" s="123">
        <v>509.47</v>
      </c>
      <c r="CM212" s="125"/>
      <c r="CN212" s="126">
        <v>15.02</v>
      </c>
      <c r="CP212" s="240"/>
      <c r="CQ212" s="52"/>
      <c r="CR212" s="52"/>
      <c r="CS212" s="53">
        <f t="shared" si="92"/>
        <v>15.02</v>
      </c>
      <c r="CU212" s="122">
        <v>46016</v>
      </c>
      <c r="CV212" s="123">
        <v>3499.97</v>
      </c>
      <c r="CW212" s="127">
        <v>463</v>
      </c>
      <c r="CX212" s="125"/>
      <c r="CY212" s="126">
        <v>220.14</v>
      </c>
      <c r="DA212" s="240"/>
      <c r="DB212" s="435"/>
      <c r="DC212" s="52"/>
      <c r="DD212" s="52"/>
      <c r="DE212" s="53">
        <f t="shared" si="93"/>
        <v>220.14</v>
      </c>
      <c r="DH212" s="122">
        <v>46016</v>
      </c>
      <c r="DI212" s="123">
        <v>910.87</v>
      </c>
      <c r="DJ212" s="127">
        <v>216.43</v>
      </c>
      <c r="DK212" s="127">
        <v>1781.62</v>
      </c>
      <c r="DL212" s="127"/>
      <c r="DM212" s="126">
        <v>0</v>
      </c>
      <c r="DO212" s="240"/>
      <c r="DP212" s="52"/>
      <c r="DQ212" s="52"/>
      <c r="DR212" s="53">
        <f t="shared" si="94"/>
        <v>0</v>
      </c>
      <c r="DT212" s="122">
        <v>46016</v>
      </c>
      <c r="DU212" s="123">
        <v>966.94</v>
      </c>
      <c r="DV212" s="127">
        <v>628.33000000000004</v>
      </c>
      <c r="DW212" s="127"/>
      <c r="DX212" s="126">
        <v>0</v>
      </c>
      <c r="DZ212" s="51"/>
      <c r="EA212" s="52"/>
      <c r="EB212" s="52"/>
      <c r="EC212" s="53">
        <f t="shared" si="95"/>
        <v>0</v>
      </c>
      <c r="EE212" s="122">
        <v>46016</v>
      </c>
      <c r="EF212" s="123">
        <v>368.58</v>
      </c>
      <c r="EG212" s="127">
        <v>346.17</v>
      </c>
      <c r="EH212" s="127"/>
      <c r="EI212" s="126">
        <v>42.26</v>
      </c>
      <c r="EK212" s="240"/>
      <c r="EL212" s="435"/>
      <c r="EM212" s="52"/>
      <c r="EN212" s="53"/>
      <c r="EO212" s="53">
        <f t="shared" si="96"/>
        <v>42.26</v>
      </c>
      <c r="EQ212" s="122">
        <v>46016</v>
      </c>
      <c r="ER212" s="123">
        <v>2630.06</v>
      </c>
      <c r="ES212" s="259">
        <v>292.04000000000002</v>
      </c>
      <c r="ET212" s="127"/>
      <c r="EU212" s="258">
        <v>24.83</v>
      </c>
      <c r="EW212" s="240"/>
      <c r="EX212" s="53">
        <v>289.66824380571416</v>
      </c>
      <c r="EY212" s="52"/>
      <c r="EZ212" s="53">
        <f t="shared" si="97"/>
        <v>314.49824380571414</v>
      </c>
      <c r="FB212" s="122">
        <v>46016</v>
      </c>
      <c r="FC212" s="123">
        <v>683.66</v>
      </c>
      <c r="FD212" s="123">
        <v>155.69999999999999</v>
      </c>
      <c r="FE212" s="125"/>
      <c r="FF212" s="126"/>
      <c r="FH212" s="51"/>
      <c r="FI212" s="52"/>
      <c r="FJ212" s="52"/>
      <c r="FK212" s="53">
        <f t="shared" si="98"/>
        <v>0</v>
      </c>
    </row>
    <row r="213" spans="2:167" hidden="1" x14ac:dyDescent="0.25">
      <c r="B213" s="122">
        <v>46017</v>
      </c>
      <c r="C213" s="123">
        <v>14992.16</v>
      </c>
      <c r="D213" s="126"/>
      <c r="E213" s="125"/>
      <c r="F213" s="126">
        <v>0</v>
      </c>
      <c r="H213" s="240">
        <v>39.476969999999994</v>
      </c>
      <c r="I213" s="240"/>
      <c r="J213" s="240"/>
      <c r="K213" s="53">
        <f t="shared" si="85"/>
        <v>39.476969999999994</v>
      </c>
      <c r="M213" s="122">
        <v>46017</v>
      </c>
      <c r="N213" s="123">
        <v>2637.8</v>
      </c>
      <c r="O213" s="125"/>
      <c r="P213" s="126">
        <v>0</v>
      </c>
      <c r="R213" s="240"/>
      <c r="S213" s="52"/>
      <c r="T213" s="52"/>
      <c r="U213" s="53">
        <f t="shared" si="86"/>
        <v>0</v>
      </c>
      <c r="W213" s="122">
        <v>46017</v>
      </c>
      <c r="X213" s="123">
        <v>1392.81</v>
      </c>
      <c r="Y213" s="123">
        <v>59.02</v>
      </c>
      <c r="Z213" s="125"/>
      <c r="AA213" s="273">
        <v>10.1</v>
      </c>
      <c r="AC213" s="240"/>
      <c r="AD213" s="53"/>
      <c r="AE213" s="52"/>
      <c r="AF213" s="53">
        <f t="shared" si="87"/>
        <v>10.1</v>
      </c>
      <c r="AI213" s="122">
        <v>46017</v>
      </c>
      <c r="AJ213" s="123">
        <v>1412.91</v>
      </c>
      <c r="AK213" s="125"/>
      <c r="AL213" s="126"/>
      <c r="AN213" s="51"/>
      <c r="AO213" s="52"/>
      <c r="AP213" s="52"/>
      <c r="AQ213" s="53">
        <f t="shared" si="88"/>
        <v>0</v>
      </c>
      <c r="AS213" s="122">
        <v>46017</v>
      </c>
      <c r="AT213" s="123">
        <v>4600.68</v>
      </c>
      <c r="AU213" s="125"/>
      <c r="AV213" s="128"/>
      <c r="AX213" s="51"/>
      <c r="AY213" s="52"/>
      <c r="AZ213" s="52"/>
      <c r="BA213" s="53">
        <f t="shared" si="89"/>
        <v>0</v>
      </c>
      <c r="BC213" s="122">
        <v>46017</v>
      </c>
      <c r="BD213" s="123">
        <v>3592.66</v>
      </c>
      <c r="BE213" s="125"/>
      <c r="BF213" s="128">
        <v>0</v>
      </c>
      <c r="BH213" s="240"/>
      <c r="BI213" s="52"/>
      <c r="BJ213" s="52"/>
      <c r="BK213" s="53">
        <f t="shared" si="90"/>
        <v>0</v>
      </c>
      <c r="BM213" s="122">
        <v>46017</v>
      </c>
      <c r="BN213" s="123">
        <v>11497.35</v>
      </c>
      <c r="BO213" s="123">
        <v>2388.7800000000002</v>
      </c>
      <c r="BP213" s="123">
        <v>6350.07</v>
      </c>
      <c r="BQ213" s="125"/>
      <c r="BR213" s="125"/>
      <c r="BT213" s="240">
        <v>51.735390000000024</v>
      </c>
      <c r="BU213" s="53"/>
      <c r="BV213" s="53"/>
      <c r="BW213" s="53">
        <f t="shared" si="84"/>
        <v>51.735390000000024</v>
      </c>
      <c r="BY213" s="122">
        <v>46017</v>
      </c>
      <c r="BZ213" s="256">
        <v>1526.23</v>
      </c>
      <c r="CA213" s="257">
        <v>518.9</v>
      </c>
      <c r="CB213" s="125"/>
      <c r="CC213" s="126"/>
      <c r="CE213" s="240"/>
      <c r="CF213" s="52"/>
      <c r="CG213" s="53"/>
      <c r="CH213" s="53">
        <f t="shared" si="91"/>
        <v>0</v>
      </c>
      <c r="CJ213" s="122">
        <v>46017</v>
      </c>
      <c r="CK213" s="123">
        <v>4772.2299999999996</v>
      </c>
      <c r="CL213" s="123">
        <v>558.92999999999995</v>
      </c>
      <c r="CM213" s="125"/>
      <c r="CN213" s="126">
        <v>0</v>
      </c>
      <c r="CP213" s="240">
        <v>146.43873000000002</v>
      </c>
      <c r="CQ213" s="52"/>
      <c r="CR213" s="52"/>
      <c r="CS213" s="53">
        <f t="shared" si="92"/>
        <v>146.43873000000002</v>
      </c>
      <c r="CU213" s="122">
        <v>46017</v>
      </c>
      <c r="CV213" s="123">
        <v>10792.57</v>
      </c>
      <c r="CW213" s="127">
        <v>950.62</v>
      </c>
      <c r="CX213" s="125"/>
      <c r="CY213" s="126">
        <v>203.62</v>
      </c>
      <c r="DA213" s="240"/>
      <c r="DB213" s="435"/>
      <c r="DC213" s="52"/>
      <c r="DD213" s="52"/>
      <c r="DE213" s="53">
        <f t="shared" si="93"/>
        <v>203.62</v>
      </c>
      <c r="DH213" s="122">
        <v>46017</v>
      </c>
      <c r="DI213" s="123">
        <v>1113.52</v>
      </c>
      <c r="DJ213" s="259">
        <v>379.9</v>
      </c>
      <c r="DK213" s="259">
        <v>2098.6999999999998</v>
      </c>
      <c r="DL213" s="127"/>
      <c r="DM213" s="126">
        <v>0</v>
      </c>
      <c r="DO213" s="240"/>
      <c r="DP213" s="52"/>
      <c r="DQ213" s="52"/>
      <c r="DR213" s="53">
        <f t="shared" si="94"/>
        <v>0</v>
      </c>
      <c r="DT213" s="122">
        <v>46017</v>
      </c>
      <c r="DU213" s="123">
        <v>1691.68</v>
      </c>
      <c r="DV213" s="259">
        <v>1096.22</v>
      </c>
      <c r="DW213" s="127"/>
      <c r="DX213" s="126">
        <v>23.85</v>
      </c>
      <c r="DZ213" s="51"/>
      <c r="EA213" s="52"/>
      <c r="EB213" s="52"/>
      <c r="EC213" s="53">
        <f t="shared" si="95"/>
        <v>23.85</v>
      </c>
      <c r="EE213" s="122">
        <v>46017</v>
      </c>
      <c r="EF213" s="123">
        <v>826.91</v>
      </c>
      <c r="EG213" s="127">
        <v>1074.23</v>
      </c>
      <c r="EH213" s="127"/>
      <c r="EI213" s="126">
        <v>2.11</v>
      </c>
      <c r="EK213" s="240">
        <v>279.5536899999999</v>
      </c>
      <c r="EL213" s="435"/>
      <c r="EM213" s="52">
        <v>154.8111069234285</v>
      </c>
      <c r="EN213" s="53"/>
      <c r="EO213" s="53">
        <f t="shared" si="96"/>
        <v>436.47479692342841</v>
      </c>
      <c r="EQ213" s="122">
        <v>46017</v>
      </c>
      <c r="ER213" s="123">
        <v>2986.47</v>
      </c>
      <c r="ES213" s="259">
        <v>339.56</v>
      </c>
      <c r="ET213" s="127"/>
      <c r="EU213" s="258">
        <v>128.97999999999999</v>
      </c>
      <c r="EW213" s="240">
        <v>135.81403000000006</v>
      </c>
      <c r="EX213" s="53">
        <v>151.01654183999972</v>
      </c>
      <c r="EY213" s="52"/>
      <c r="EZ213" s="53">
        <f t="shared" si="97"/>
        <v>415.81057183999974</v>
      </c>
      <c r="FB213" s="122">
        <v>46017</v>
      </c>
      <c r="FC213" s="123">
        <v>909.06</v>
      </c>
      <c r="FD213" s="123">
        <v>181.1</v>
      </c>
      <c r="FE213" s="125"/>
      <c r="FF213" s="126"/>
      <c r="FH213" s="51"/>
      <c r="FI213" s="52"/>
      <c r="FJ213" s="52"/>
      <c r="FK213" s="53">
        <f t="shared" si="98"/>
        <v>0</v>
      </c>
    </row>
    <row r="214" spans="2:167" hidden="1" x14ac:dyDescent="0.25">
      <c r="B214" s="122">
        <v>46018</v>
      </c>
      <c r="C214" s="123">
        <v>13801.91</v>
      </c>
      <c r="D214" s="125"/>
      <c r="E214" s="125"/>
      <c r="F214" s="125">
        <v>0</v>
      </c>
      <c r="H214" s="240">
        <v>5.5913000000000004</v>
      </c>
      <c r="I214" s="240"/>
      <c r="J214" s="240"/>
      <c r="K214" s="53">
        <f t="shared" si="85"/>
        <v>5.5913000000000004</v>
      </c>
      <c r="M214" s="122">
        <v>46018</v>
      </c>
      <c r="N214" s="123">
        <v>4055.19</v>
      </c>
      <c r="O214" s="125"/>
      <c r="P214" s="126">
        <v>16.14</v>
      </c>
      <c r="R214" s="240"/>
      <c r="S214" s="52"/>
      <c r="T214" s="52"/>
      <c r="U214" s="53">
        <f t="shared" si="86"/>
        <v>16.14</v>
      </c>
      <c r="W214" s="122">
        <v>46018</v>
      </c>
      <c r="X214" s="123">
        <v>1540.69</v>
      </c>
      <c r="Y214" s="123">
        <v>387.28</v>
      </c>
      <c r="Z214" s="125"/>
      <c r="AA214" s="273">
        <v>1.24</v>
      </c>
      <c r="AC214" s="240"/>
      <c r="AD214" s="53"/>
      <c r="AE214" s="52"/>
      <c r="AF214" s="53">
        <f t="shared" si="87"/>
        <v>1.24</v>
      </c>
      <c r="AI214" s="122">
        <v>46018</v>
      </c>
      <c r="AJ214" s="123">
        <v>1229.06</v>
      </c>
      <c r="AK214" s="125"/>
      <c r="AL214" s="126"/>
      <c r="AN214" s="51"/>
      <c r="AO214" s="52"/>
      <c r="AP214" s="52"/>
      <c r="AQ214" s="53">
        <f t="shared" si="88"/>
        <v>0</v>
      </c>
      <c r="AS214" s="122">
        <v>46018</v>
      </c>
      <c r="AT214" s="123">
        <v>3771.16</v>
      </c>
      <c r="AU214" s="125"/>
      <c r="AV214" s="128"/>
      <c r="AX214" s="51"/>
      <c r="AY214" s="52"/>
      <c r="AZ214" s="52"/>
      <c r="BA214" s="53">
        <f t="shared" si="89"/>
        <v>0</v>
      </c>
      <c r="BC214" s="122">
        <v>46018</v>
      </c>
      <c r="BD214" s="123">
        <v>2444.0100000000002</v>
      </c>
      <c r="BE214" s="125"/>
      <c r="BF214" s="128">
        <v>0</v>
      </c>
      <c r="BH214" s="240">
        <v>19.588190000000026</v>
      </c>
      <c r="BI214" s="52"/>
      <c r="BJ214" s="52"/>
      <c r="BK214" s="53">
        <f t="shared" si="90"/>
        <v>19.588190000000026</v>
      </c>
      <c r="BM214" s="122">
        <v>46018</v>
      </c>
      <c r="BN214" s="123">
        <v>10706.94</v>
      </c>
      <c r="BO214" s="123">
        <v>2332.98</v>
      </c>
      <c r="BP214" s="123">
        <v>7726.03</v>
      </c>
      <c r="BQ214" s="125"/>
      <c r="BR214" s="125"/>
      <c r="BT214" s="240">
        <v>178.84377000000001</v>
      </c>
      <c r="BU214" s="53"/>
      <c r="BV214" s="53"/>
      <c r="BW214" s="53">
        <f t="shared" si="84"/>
        <v>178.84377000000001</v>
      </c>
      <c r="BY214" s="122">
        <v>46018</v>
      </c>
      <c r="BZ214" s="256">
        <v>1546.84</v>
      </c>
      <c r="CA214" s="260">
        <v>598.74</v>
      </c>
      <c r="CB214" s="125"/>
      <c r="CC214" s="126"/>
      <c r="CE214" s="240">
        <v>35.391600000000011</v>
      </c>
      <c r="CF214" s="52"/>
      <c r="CG214" s="53"/>
      <c r="CH214" s="53">
        <f t="shared" si="91"/>
        <v>35.391600000000011</v>
      </c>
      <c r="CJ214" s="122">
        <v>46018</v>
      </c>
      <c r="CK214" s="123">
        <v>7798.16</v>
      </c>
      <c r="CL214" s="123">
        <v>873.96</v>
      </c>
      <c r="CM214" s="125"/>
      <c r="CN214" s="126">
        <v>12.5</v>
      </c>
      <c r="CP214" s="240">
        <v>47.324160000000006</v>
      </c>
      <c r="CQ214" s="52"/>
      <c r="CR214" s="52"/>
      <c r="CS214" s="53">
        <f t="shared" si="92"/>
        <v>59.824160000000006</v>
      </c>
      <c r="CU214" s="122">
        <v>46018</v>
      </c>
      <c r="CV214" s="123">
        <v>7254.01</v>
      </c>
      <c r="CW214" s="127">
        <v>672.33</v>
      </c>
      <c r="CX214" s="125"/>
      <c r="CY214" s="126">
        <v>192.5</v>
      </c>
      <c r="DA214" s="240"/>
      <c r="DB214" s="435"/>
      <c r="DC214" s="52"/>
      <c r="DD214" s="52"/>
      <c r="DE214" s="53">
        <f t="shared" si="93"/>
        <v>192.5</v>
      </c>
      <c r="DH214" s="122">
        <v>46018</v>
      </c>
      <c r="DI214" s="123">
        <v>1463.13</v>
      </c>
      <c r="DJ214" s="127">
        <v>168.06</v>
      </c>
      <c r="DK214" s="127">
        <v>1806.95</v>
      </c>
      <c r="DL214" s="127"/>
      <c r="DM214" s="126">
        <v>0</v>
      </c>
      <c r="DO214" s="240"/>
      <c r="DP214" s="52"/>
      <c r="DQ214" s="52"/>
      <c r="DR214" s="53">
        <f t="shared" si="94"/>
        <v>0</v>
      </c>
      <c r="DT214" s="122">
        <v>46018</v>
      </c>
      <c r="DU214" s="123">
        <v>1557.97</v>
      </c>
      <c r="DV214" s="127">
        <v>1116.08</v>
      </c>
      <c r="DW214" s="127"/>
      <c r="DX214" s="126">
        <v>20.37</v>
      </c>
      <c r="DZ214" s="51"/>
      <c r="EA214" s="52"/>
      <c r="EB214" s="52"/>
      <c r="EC214" s="53">
        <f t="shared" si="95"/>
        <v>20.37</v>
      </c>
      <c r="EE214" s="122">
        <v>46018</v>
      </c>
      <c r="EF214" s="123">
        <v>1026.3900000000001</v>
      </c>
      <c r="EG214" s="127">
        <v>864.67</v>
      </c>
      <c r="EH214" s="127"/>
      <c r="EI214" s="126">
        <v>15.3</v>
      </c>
      <c r="EK214" s="240">
        <v>213.38020999999992</v>
      </c>
      <c r="EL214" s="435"/>
      <c r="EM214" s="52">
        <v>94.467704605714232</v>
      </c>
      <c r="EN214" s="53"/>
      <c r="EO214" s="53">
        <f t="shared" si="96"/>
        <v>323.14791460571416</v>
      </c>
      <c r="EQ214" s="122">
        <v>46018</v>
      </c>
      <c r="ER214" s="123">
        <v>4742.4799999999996</v>
      </c>
      <c r="ES214" s="259">
        <v>491.02</v>
      </c>
      <c r="ET214" s="127"/>
      <c r="EU214" s="258">
        <v>288.45999999999998</v>
      </c>
      <c r="EW214" s="240">
        <v>78.354760000000056</v>
      </c>
      <c r="EX214" s="53">
        <v>131.68559499428557</v>
      </c>
      <c r="EY214" s="52"/>
      <c r="EZ214" s="53">
        <f t="shared" si="97"/>
        <v>498.5003549942856</v>
      </c>
      <c r="FB214" s="122">
        <v>46018</v>
      </c>
      <c r="FC214" s="123">
        <v>961.5</v>
      </c>
      <c r="FD214" s="123">
        <v>137</v>
      </c>
      <c r="FE214" s="125"/>
      <c r="FF214" s="126"/>
      <c r="FH214" s="51"/>
      <c r="FI214" s="52"/>
      <c r="FJ214" s="52"/>
      <c r="FK214" s="53">
        <f t="shared" si="98"/>
        <v>0</v>
      </c>
    </row>
    <row r="215" spans="2:167" hidden="1" x14ac:dyDescent="0.25">
      <c r="B215" s="122">
        <v>46019</v>
      </c>
      <c r="C215" s="123">
        <v>13399.69</v>
      </c>
      <c r="D215" s="126"/>
      <c r="E215" s="125"/>
      <c r="F215" s="126">
        <v>0</v>
      </c>
      <c r="H215" s="240"/>
      <c r="I215" s="240"/>
      <c r="J215" s="240"/>
      <c r="K215" s="53">
        <f t="shared" si="85"/>
        <v>0</v>
      </c>
      <c r="M215" s="122">
        <v>46019</v>
      </c>
      <c r="N215" s="123">
        <v>2888.45</v>
      </c>
      <c r="O215" s="125"/>
      <c r="P215" s="126">
        <v>16.09</v>
      </c>
      <c r="R215" s="240"/>
      <c r="S215" s="52"/>
      <c r="T215" s="52"/>
      <c r="U215" s="53">
        <f t="shared" si="86"/>
        <v>16.09</v>
      </c>
      <c r="W215" s="122">
        <v>46019</v>
      </c>
      <c r="X215" s="123">
        <v>1698.88</v>
      </c>
      <c r="Y215" s="123">
        <v>561.91999999999996</v>
      </c>
      <c r="Z215" s="125"/>
      <c r="AA215" s="273">
        <v>1.84</v>
      </c>
      <c r="AC215" s="240"/>
      <c r="AD215" s="53">
        <v>26.621786468571457</v>
      </c>
      <c r="AE215" s="52"/>
      <c r="AF215" s="53">
        <f t="shared" si="87"/>
        <v>28.461786468571457</v>
      </c>
      <c r="AI215" s="122">
        <v>46019</v>
      </c>
      <c r="AJ215" s="123">
        <v>840.01</v>
      </c>
      <c r="AK215" s="125"/>
      <c r="AL215" s="126"/>
      <c r="AN215" s="51"/>
      <c r="AO215" s="52"/>
      <c r="AP215" s="52"/>
      <c r="AQ215" s="53">
        <f t="shared" si="88"/>
        <v>0</v>
      </c>
      <c r="AS215" s="122">
        <v>46019</v>
      </c>
      <c r="AT215" s="123">
        <v>3155.27</v>
      </c>
      <c r="AU215" s="125"/>
      <c r="AV215" s="128"/>
      <c r="AX215" s="51"/>
      <c r="AY215" s="52"/>
      <c r="AZ215" s="52"/>
      <c r="BA215" s="53">
        <f t="shared" si="89"/>
        <v>0</v>
      </c>
      <c r="BC215" s="122">
        <v>46019</v>
      </c>
      <c r="BD215" s="123">
        <v>990.02</v>
      </c>
      <c r="BE215" s="125"/>
      <c r="BF215" s="128">
        <v>0</v>
      </c>
      <c r="BH215" s="240">
        <v>7.4477200000000039</v>
      </c>
      <c r="BI215" s="52"/>
      <c r="BJ215" s="52"/>
      <c r="BK215" s="53">
        <f t="shared" si="90"/>
        <v>7.4477200000000039</v>
      </c>
      <c r="BM215" s="122">
        <v>46019</v>
      </c>
      <c r="BN215" s="123">
        <v>7919.93</v>
      </c>
      <c r="BO215" s="123">
        <v>1766.55</v>
      </c>
      <c r="BP215" s="123">
        <v>4914.2</v>
      </c>
      <c r="BQ215" s="125"/>
      <c r="BR215" s="125"/>
      <c r="BT215" s="240">
        <v>86.713409999999996</v>
      </c>
      <c r="BU215" s="53"/>
      <c r="BV215" s="53"/>
      <c r="BW215" s="53">
        <f t="shared" si="84"/>
        <v>86.713409999999996</v>
      </c>
      <c r="BY215" s="122">
        <v>46019</v>
      </c>
      <c r="BZ215" s="256">
        <v>701.06</v>
      </c>
      <c r="CA215" s="257">
        <v>600.15</v>
      </c>
      <c r="CB215" s="125"/>
      <c r="CC215" s="126"/>
      <c r="CE215" s="240">
        <v>88.225880000000018</v>
      </c>
      <c r="CF215" s="52"/>
      <c r="CG215" s="53">
        <v>7.1329499999999939</v>
      </c>
      <c r="CH215" s="53">
        <f t="shared" si="91"/>
        <v>95.358830000000012</v>
      </c>
      <c r="CJ215" s="122">
        <v>46019</v>
      </c>
      <c r="CK215" s="123">
        <v>4347.33</v>
      </c>
      <c r="CL215" s="123">
        <v>660.37</v>
      </c>
      <c r="CM215" s="125"/>
      <c r="CN215" s="126">
        <v>30.76</v>
      </c>
      <c r="CP215" s="240">
        <v>2.6032499999999992</v>
      </c>
      <c r="CQ215" s="52"/>
      <c r="CR215" s="52"/>
      <c r="CS215" s="53">
        <f t="shared" si="92"/>
        <v>33.363250000000001</v>
      </c>
      <c r="CU215" s="122">
        <v>46019</v>
      </c>
      <c r="CV215" s="123">
        <v>2412.4299999999998</v>
      </c>
      <c r="CW215" s="127">
        <v>959.59</v>
      </c>
      <c r="CX215" s="125"/>
      <c r="CY215" s="126">
        <v>131.88</v>
      </c>
      <c r="DA215" s="240"/>
      <c r="DB215" s="435"/>
      <c r="DC215" s="52"/>
      <c r="DD215" s="52"/>
      <c r="DE215" s="53">
        <f t="shared" si="93"/>
        <v>131.88</v>
      </c>
      <c r="DH215" s="122">
        <v>46019</v>
      </c>
      <c r="DI215" s="123">
        <v>680.78</v>
      </c>
      <c r="DJ215" s="127">
        <v>504.55</v>
      </c>
      <c r="DK215" s="127">
        <v>1767.88</v>
      </c>
      <c r="DL215" s="127"/>
      <c r="DM215" s="126">
        <v>0</v>
      </c>
      <c r="DO215" s="240"/>
      <c r="DP215" s="52"/>
      <c r="DQ215" s="52"/>
      <c r="DR215" s="53">
        <f t="shared" si="94"/>
        <v>0</v>
      </c>
      <c r="DT215" s="122">
        <v>46019</v>
      </c>
      <c r="DU215" s="123">
        <v>1616.48</v>
      </c>
      <c r="DV215" s="127">
        <v>844.45</v>
      </c>
      <c r="DW215" s="127"/>
      <c r="DX215" s="126">
        <v>4.3</v>
      </c>
      <c r="DZ215" s="51"/>
      <c r="EA215" s="52"/>
      <c r="EB215" s="52"/>
      <c r="EC215" s="53">
        <f t="shared" si="95"/>
        <v>4.3</v>
      </c>
      <c r="EE215" s="122">
        <v>46019</v>
      </c>
      <c r="EF215" s="123">
        <v>542.96</v>
      </c>
      <c r="EG215" s="127">
        <v>726.6</v>
      </c>
      <c r="EH215" s="127"/>
      <c r="EI215" s="126">
        <v>46.7</v>
      </c>
      <c r="EK215" s="240"/>
      <c r="EL215" s="435"/>
      <c r="EM215" s="52"/>
      <c r="EN215" s="53"/>
      <c r="EO215" s="53">
        <f t="shared" si="96"/>
        <v>46.7</v>
      </c>
      <c r="EQ215" s="122">
        <v>46019</v>
      </c>
      <c r="ER215" s="123">
        <v>2845.66</v>
      </c>
      <c r="ES215" s="259">
        <v>447.77</v>
      </c>
      <c r="ET215" s="127"/>
      <c r="EU215" s="258">
        <v>0</v>
      </c>
      <c r="EW215" s="240">
        <v>86.828210000000084</v>
      </c>
      <c r="EX215" s="53"/>
      <c r="EY215" s="52"/>
      <c r="EZ215" s="53">
        <f t="shared" si="97"/>
        <v>86.828210000000084</v>
      </c>
      <c r="FB215" s="122">
        <v>46019</v>
      </c>
      <c r="FC215" s="123">
        <v>784.4</v>
      </c>
      <c r="FD215" s="123">
        <v>169.98</v>
      </c>
      <c r="FE215" s="125"/>
      <c r="FF215" s="126"/>
      <c r="FH215" s="51"/>
      <c r="FI215" s="52"/>
      <c r="FJ215" s="52"/>
      <c r="FK215" s="53">
        <f t="shared" si="98"/>
        <v>0</v>
      </c>
    </row>
    <row r="216" spans="2:167" hidden="1" x14ac:dyDescent="0.25">
      <c r="B216" s="122">
        <v>46020</v>
      </c>
      <c r="C216" s="123">
        <v>15367.87</v>
      </c>
      <c r="D216" s="125"/>
      <c r="E216" s="125"/>
      <c r="F216" s="125">
        <v>0</v>
      </c>
      <c r="H216" s="240"/>
      <c r="I216" s="240"/>
      <c r="J216" s="240"/>
      <c r="K216" s="53">
        <f t="shared" si="85"/>
        <v>0</v>
      </c>
      <c r="M216" s="122">
        <v>46020</v>
      </c>
      <c r="N216" s="123">
        <v>3782.44</v>
      </c>
      <c r="O216" s="127"/>
      <c r="P216" s="261">
        <v>0</v>
      </c>
      <c r="R216" s="240"/>
      <c r="S216" s="52"/>
      <c r="T216" s="52"/>
      <c r="U216" s="53">
        <f t="shared" si="86"/>
        <v>0</v>
      </c>
      <c r="W216" s="122">
        <v>46020</v>
      </c>
      <c r="X216" s="123">
        <v>1234.6500000000001</v>
      </c>
      <c r="Y216" s="123">
        <v>185.77</v>
      </c>
      <c r="Z216" s="125"/>
      <c r="AA216" s="273">
        <v>52.41</v>
      </c>
      <c r="AC216" s="240"/>
      <c r="AD216" s="53"/>
      <c r="AE216" s="52"/>
      <c r="AF216" s="53">
        <f t="shared" si="87"/>
        <v>52.41</v>
      </c>
      <c r="AI216" s="122">
        <v>46020</v>
      </c>
      <c r="AJ216" s="123">
        <v>1568.58</v>
      </c>
      <c r="AK216" s="127"/>
      <c r="AL216" s="262"/>
      <c r="AN216" s="51"/>
      <c r="AO216" s="52"/>
      <c r="AP216" s="52"/>
      <c r="AQ216" s="53">
        <f t="shared" si="88"/>
        <v>0</v>
      </c>
      <c r="AS216" s="122">
        <v>46020</v>
      </c>
      <c r="AT216" s="123">
        <v>2864.28</v>
      </c>
      <c r="AU216" s="127"/>
      <c r="AV216" s="261"/>
      <c r="AX216" s="51"/>
      <c r="AY216" s="52"/>
      <c r="AZ216" s="52"/>
      <c r="BA216" s="53">
        <f t="shared" si="89"/>
        <v>0</v>
      </c>
      <c r="BC216" s="122">
        <v>46020</v>
      </c>
      <c r="BD216" s="123">
        <v>2366.34</v>
      </c>
      <c r="BE216" s="125"/>
      <c r="BF216" s="128">
        <v>0</v>
      </c>
      <c r="BH216" s="240">
        <v>19.154380000000032</v>
      </c>
      <c r="BI216" s="52"/>
      <c r="BJ216" s="52"/>
      <c r="BK216" s="53">
        <f t="shared" si="90"/>
        <v>19.154380000000032</v>
      </c>
      <c r="BM216" s="122">
        <v>46020</v>
      </c>
      <c r="BN216" s="123">
        <v>8744.42</v>
      </c>
      <c r="BO216" s="123">
        <v>2315.6999999999998</v>
      </c>
      <c r="BP216" s="123">
        <v>7525.85</v>
      </c>
      <c r="BQ216" s="125"/>
      <c r="BR216" s="125"/>
      <c r="BT216" s="240">
        <v>90.613500000000002</v>
      </c>
      <c r="BU216" s="53">
        <v>528.36186231542854</v>
      </c>
      <c r="BV216" s="53"/>
      <c r="BW216" s="53">
        <f t="shared" si="84"/>
        <v>618.97536231542858</v>
      </c>
      <c r="BY216" s="122">
        <v>46020</v>
      </c>
      <c r="BZ216" s="256">
        <v>775.83</v>
      </c>
      <c r="CA216" s="257">
        <v>505.43</v>
      </c>
      <c r="CB216" s="125"/>
      <c r="CC216" s="126"/>
      <c r="CE216" s="240"/>
      <c r="CF216" s="52"/>
      <c r="CG216" s="53"/>
      <c r="CH216" s="53">
        <f t="shared" si="91"/>
        <v>0</v>
      </c>
      <c r="CJ216" s="122">
        <v>46020</v>
      </c>
      <c r="CK216" s="123">
        <v>4714.6000000000004</v>
      </c>
      <c r="CL216" s="123">
        <v>867.32</v>
      </c>
      <c r="CM216" s="125"/>
      <c r="CN216" s="126">
        <v>10.82</v>
      </c>
      <c r="CP216" s="240">
        <v>232.75619000000003</v>
      </c>
      <c r="CQ216" s="52">
        <v>36.018333417142884</v>
      </c>
      <c r="CR216" s="52"/>
      <c r="CS216" s="53">
        <f t="shared" si="92"/>
        <v>279.59452341714291</v>
      </c>
      <c r="CU216" s="122">
        <v>46020</v>
      </c>
      <c r="CV216" s="123">
        <v>11260.15</v>
      </c>
      <c r="CW216" s="127">
        <v>1213.69</v>
      </c>
      <c r="CX216" s="125"/>
      <c r="CY216" s="126">
        <v>317.57</v>
      </c>
      <c r="DA216" s="240"/>
      <c r="DB216" s="435"/>
      <c r="DC216" s="52"/>
      <c r="DD216" s="52"/>
      <c r="DE216" s="53">
        <f t="shared" si="93"/>
        <v>317.57</v>
      </c>
      <c r="DH216" s="122">
        <v>46020</v>
      </c>
      <c r="DI216" s="123">
        <v>2459.37</v>
      </c>
      <c r="DJ216" s="127">
        <v>1163.54</v>
      </c>
      <c r="DK216" s="127">
        <v>2254.25</v>
      </c>
      <c r="DL216" s="127"/>
      <c r="DM216" s="126">
        <v>8.4</v>
      </c>
      <c r="DO216" s="240"/>
      <c r="DP216" s="52"/>
      <c r="DQ216" s="52"/>
      <c r="DR216" s="53">
        <f t="shared" si="94"/>
        <v>8.4</v>
      </c>
      <c r="DT216" s="122">
        <v>46020</v>
      </c>
      <c r="DU216" s="123">
        <v>798.77</v>
      </c>
      <c r="DV216" s="127">
        <v>1083.6500000000001</v>
      </c>
      <c r="DW216" s="127"/>
      <c r="DX216" s="126">
        <v>49.13</v>
      </c>
      <c r="DZ216" s="51"/>
      <c r="EA216" s="52"/>
      <c r="EB216" s="52"/>
      <c r="EC216" s="53">
        <f t="shared" si="95"/>
        <v>49.13</v>
      </c>
      <c r="EE216" s="122">
        <v>46020</v>
      </c>
      <c r="EF216" s="123">
        <v>1004.38</v>
      </c>
      <c r="EG216" s="127">
        <v>1183.01</v>
      </c>
      <c r="EH216" s="127"/>
      <c r="EI216" s="126">
        <v>25.9</v>
      </c>
      <c r="EK216" s="240">
        <v>681.95849999999973</v>
      </c>
      <c r="EL216" s="435"/>
      <c r="EM216" s="52"/>
      <c r="EN216" s="52"/>
      <c r="EO216" s="53">
        <f t="shared" si="96"/>
        <v>707.85849999999971</v>
      </c>
      <c r="EQ216" s="122">
        <v>46020</v>
      </c>
      <c r="ER216" s="123">
        <v>3697</v>
      </c>
      <c r="ES216" s="259">
        <v>322.39999999999998</v>
      </c>
      <c r="ET216" s="127"/>
      <c r="EU216" s="258">
        <v>90.85</v>
      </c>
      <c r="EW216" s="240">
        <v>60.219280000000026</v>
      </c>
      <c r="EX216" s="53">
        <v>8.2284621942857115</v>
      </c>
      <c r="EY216" s="52"/>
      <c r="EZ216" s="53">
        <f t="shared" si="97"/>
        <v>159.29774219428572</v>
      </c>
      <c r="FB216" s="122">
        <v>46020</v>
      </c>
      <c r="FC216" s="123">
        <v>751.75</v>
      </c>
      <c r="FD216" s="123">
        <v>442.76</v>
      </c>
      <c r="FE216" s="125"/>
      <c r="FF216" s="126"/>
      <c r="FH216" s="51"/>
      <c r="FI216" s="52"/>
      <c r="FJ216" s="52"/>
      <c r="FK216" s="53">
        <f t="shared" si="98"/>
        <v>0</v>
      </c>
    </row>
    <row r="217" spans="2:167" hidden="1" x14ac:dyDescent="0.25">
      <c r="B217" s="122">
        <v>46021</v>
      </c>
      <c r="C217" s="123">
        <v>14723.04</v>
      </c>
      <c r="D217" s="125"/>
      <c r="E217" s="125"/>
      <c r="F217" s="123">
        <v>0</v>
      </c>
      <c r="H217" s="240">
        <v>31.332459999999987</v>
      </c>
      <c r="I217" s="240"/>
      <c r="J217" s="240"/>
      <c r="K217" s="53">
        <f t="shared" si="85"/>
        <v>31.332459999999987</v>
      </c>
      <c r="M217" s="122">
        <v>46021</v>
      </c>
      <c r="N217" s="123">
        <v>4300.78</v>
      </c>
      <c r="O217" s="127"/>
      <c r="P217" s="261">
        <v>24.37</v>
      </c>
      <c r="R217" s="51"/>
      <c r="S217" s="52"/>
      <c r="T217" s="52"/>
      <c r="U217" s="53">
        <f t="shared" si="86"/>
        <v>24.37</v>
      </c>
      <c r="W217" s="122">
        <v>46021</v>
      </c>
      <c r="X217" s="123">
        <v>1288.52</v>
      </c>
      <c r="Y217" s="123">
        <v>581.97</v>
      </c>
      <c r="Z217" s="125"/>
      <c r="AA217" s="273">
        <v>3.76</v>
      </c>
      <c r="AC217" s="240"/>
      <c r="AD217" s="53">
        <v>9.3068536628571223</v>
      </c>
      <c r="AE217" s="52"/>
      <c r="AF217" s="53">
        <f t="shared" si="87"/>
        <v>13.066853662857122</v>
      </c>
      <c r="AI217" s="122">
        <v>46021</v>
      </c>
      <c r="AJ217" s="123">
        <v>1370.52</v>
      </c>
      <c r="AK217" s="127"/>
      <c r="AL217" s="262"/>
      <c r="AN217" s="51"/>
      <c r="AO217" s="52"/>
      <c r="AP217" s="52"/>
      <c r="AQ217" s="53">
        <f t="shared" si="88"/>
        <v>0</v>
      </c>
      <c r="AS217" s="122">
        <v>46021</v>
      </c>
      <c r="AT217" s="123">
        <v>4163.26</v>
      </c>
      <c r="AU217" s="127"/>
      <c r="AV217" s="261"/>
      <c r="AX217" s="51"/>
      <c r="AY217" s="52"/>
      <c r="AZ217" s="52"/>
      <c r="BA217" s="53">
        <f t="shared" si="89"/>
        <v>0</v>
      </c>
      <c r="BC217" s="122">
        <v>46021</v>
      </c>
      <c r="BD217" s="123">
        <v>2051.1999999999998</v>
      </c>
      <c r="BE217" s="125"/>
      <c r="BF217" s="128">
        <v>0</v>
      </c>
      <c r="BH217" s="240"/>
      <c r="BI217" s="52"/>
      <c r="BJ217" s="52"/>
      <c r="BK217" s="53">
        <f t="shared" si="90"/>
        <v>0</v>
      </c>
      <c r="BM217" s="122">
        <v>46021</v>
      </c>
      <c r="BN217" s="123">
        <v>10007.15</v>
      </c>
      <c r="BO217" s="123">
        <v>2602.0300000000002</v>
      </c>
      <c r="BP217" s="123">
        <v>8381.59</v>
      </c>
      <c r="BQ217" s="125"/>
      <c r="BR217" s="125"/>
      <c r="BT217" s="240">
        <v>319.63864999999998</v>
      </c>
      <c r="BU217" s="53"/>
      <c r="BV217" s="53"/>
      <c r="BW217" s="53">
        <f t="shared" si="84"/>
        <v>319.63864999999998</v>
      </c>
      <c r="BY217" s="122">
        <v>46021</v>
      </c>
      <c r="BZ217" s="256">
        <v>659.45</v>
      </c>
      <c r="CA217" s="257">
        <v>623.54999999999995</v>
      </c>
      <c r="CB217" s="125"/>
      <c r="CC217" s="126"/>
      <c r="CE217" s="240"/>
      <c r="CF217" s="52"/>
      <c r="CG217" s="53">
        <v>13.5992751</v>
      </c>
      <c r="CH217" s="53">
        <f t="shared" si="91"/>
        <v>13.5992751</v>
      </c>
      <c r="CJ217" s="122">
        <v>46021</v>
      </c>
      <c r="CK217" s="123">
        <v>6785.3</v>
      </c>
      <c r="CL217" s="123">
        <v>529.79</v>
      </c>
      <c r="CM217" s="125"/>
      <c r="CN217" s="126">
        <v>11.68</v>
      </c>
      <c r="CP217" s="240">
        <v>216.87709000000004</v>
      </c>
      <c r="CQ217" s="52">
        <v>37.924725851428633</v>
      </c>
      <c r="CR217" s="52"/>
      <c r="CS217" s="53">
        <f t="shared" si="92"/>
        <v>266.48181585142868</v>
      </c>
      <c r="CU217" s="122">
        <v>46021</v>
      </c>
      <c r="CV217" s="123">
        <v>7428.42</v>
      </c>
      <c r="CW217" s="127">
        <v>1563.23</v>
      </c>
      <c r="CX217" s="125"/>
      <c r="CY217" s="126">
        <v>75.849999999999994</v>
      </c>
      <c r="DA217" s="240"/>
      <c r="DB217" s="435"/>
      <c r="DC217" s="52"/>
      <c r="DD217" s="52"/>
      <c r="DE217" s="53">
        <f t="shared" si="93"/>
        <v>75.849999999999994</v>
      </c>
      <c r="DH217" s="122">
        <v>46021</v>
      </c>
      <c r="DI217" s="123">
        <v>2160.65</v>
      </c>
      <c r="DJ217" s="127">
        <v>404.9</v>
      </c>
      <c r="DK217" s="127">
        <v>1279.4000000000001</v>
      </c>
      <c r="DL217" s="127"/>
      <c r="DM217" s="126">
        <v>18.43</v>
      </c>
      <c r="DO217" s="240">
        <v>75.126890000000031</v>
      </c>
      <c r="DP217" s="52">
        <v>-1.8869409428571657</v>
      </c>
      <c r="DQ217" s="52"/>
      <c r="DR217" s="53">
        <f t="shared" si="94"/>
        <v>91.669949057142873</v>
      </c>
      <c r="DT217" s="122">
        <v>46021</v>
      </c>
      <c r="DU217" s="123">
        <v>1826.17</v>
      </c>
      <c r="DV217" s="127">
        <v>1135.19</v>
      </c>
      <c r="DW217" s="127"/>
      <c r="DX217" s="126">
        <v>51.44</v>
      </c>
      <c r="DZ217" s="51"/>
      <c r="EA217" s="52"/>
      <c r="EB217" s="52"/>
      <c r="EC217" s="53">
        <f t="shared" si="95"/>
        <v>51.44</v>
      </c>
      <c r="EE217" s="122">
        <v>46021</v>
      </c>
      <c r="EF217" s="123">
        <v>693.44</v>
      </c>
      <c r="EG217" s="127">
        <v>909.15</v>
      </c>
      <c r="EH217" s="127"/>
      <c r="EI217" s="126">
        <v>4.38</v>
      </c>
      <c r="EK217" s="240">
        <v>539.95710999999983</v>
      </c>
      <c r="EL217" s="435"/>
      <c r="EM217" s="52">
        <v>107.99710686857139</v>
      </c>
      <c r="EN217" s="52"/>
      <c r="EO217" s="53">
        <f t="shared" si="96"/>
        <v>652.33421686857127</v>
      </c>
      <c r="EQ217" s="122">
        <v>46021</v>
      </c>
      <c r="ER217" s="123">
        <v>3647.31</v>
      </c>
      <c r="ES217" s="259">
        <v>270.43</v>
      </c>
      <c r="ET217" s="127"/>
      <c r="EU217" s="258">
        <v>19.260000000000002</v>
      </c>
      <c r="EW217" s="240"/>
      <c r="EX217" s="53">
        <v>11.546034332571423</v>
      </c>
      <c r="EY217" s="52"/>
      <c r="EZ217" s="53">
        <f t="shared" si="97"/>
        <v>30.806034332571425</v>
      </c>
      <c r="FB217" s="122">
        <v>46021</v>
      </c>
      <c r="FC217" s="123">
        <v>879.06</v>
      </c>
      <c r="FD217" s="123">
        <v>224.1</v>
      </c>
      <c r="FE217" s="125"/>
      <c r="FF217" s="126"/>
      <c r="FH217" s="51"/>
      <c r="FI217" s="52"/>
      <c r="FJ217" s="52"/>
      <c r="FK217" s="53">
        <f t="shared" si="98"/>
        <v>0</v>
      </c>
    </row>
    <row r="218" spans="2:167" hidden="1" x14ac:dyDescent="0.25">
      <c r="B218" s="122">
        <v>46022</v>
      </c>
      <c r="C218" s="123">
        <v>17596.169999999998</v>
      </c>
      <c r="D218" s="125"/>
      <c r="E218" s="125"/>
      <c r="F218" s="125">
        <v>217.17</v>
      </c>
      <c r="H218" s="240">
        <v>18.587360000000004</v>
      </c>
      <c r="I218" s="240"/>
      <c r="J218" s="240"/>
      <c r="K218" s="53">
        <f t="shared" si="85"/>
        <v>235.75736000000001</v>
      </c>
      <c r="M218" s="122">
        <v>46022</v>
      </c>
      <c r="N218" s="123">
        <v>4880.2700000000004</v>
      </c>
      <c r="O218" s="127"/>
      <c r="P218" s="261">
        <v>15.8</v>
      </c>
      <c r="R218" s="51"/>
      <c r="S218" s="52"/>
      <c r="T218" s="52"/>
      <c r="U218" s="53">
        <f t="shared" si="86"/>
        <v>15.8</v>
      </c>
      <c r="W218" s="122">
        <v>46022</v>
      </c>
      <c r="X218" s="123">
        <v>1388.41</v>
      </c>
      <c r="Y218" s="123">
        <v>336.14</v>
      </c>
      <c r="Z218" s="125"/>
      <c r="AA218" s="273">
        <v>35.24</v>
      </c>
      <c r="AC218" s="240"/>
      <c r="AD218" s="52"/>
      <c r="AE218" s="52"/>
      <c r="AF218" s="53">
        <f t="shared" si="87"/>
        <v>35.24</v>
      </c>
      <c r="AI218" s="122">
        <v>46022</v>
      </c>
      <c r="AJ218" s="123">
        <v>1778.49</v>
      </c>
      <c r="AK218" s="127"/>
      <c r="AL218" s="262"/>
      <c r="AN218" s="51"/>
      <c r="AO218" s="52"/>
      <c r="AP218" s="52"/>
      <c r="AQ218" s="53">
        <f t="shared" si="88"/>
        <v>0</v>
      </c>
      <c r="AS218" s="122">
        <v>46022</v>
      </c>
      <c r="AT218" s="123">
        <v>3814.16</v>
      </c>
      <c r="AU218" s="127"/>
      <c r="AV218" s="261"/>
      <c r="AX218" s="51"/>
      <c r="AY218" s="52"/>
      <c r="AZ218" s="52"/>
      <c r="BA218" s="53">
        <f t="shared" si="89"/>
        <v>0</v>
      </c>
      <c r="BC218" s="122">
        <v>46022</v>
      </c>
      <c r="BD218" s="123">
        <v>3312.94</v>
      </c>
      <c r="BE218" s="125"/>
      <c r="BF218" s="128">
        <v>0</v>
      </c>
      <c r="BH218" s="240"/>
      <c r="BI218" s="52"/>
      <c r="BJ218" s="52"/>
      <c r="BK218" s="53">
        <f t="shared" si="90"/>
        <v>0</v>
      </c>
      <c r="BM218" s="122">
        <v>46022</v>
      </c>
      <c r="BN218" s="123">
        <v>8887.01</v>
      </c>
      <c r="BO218" s="123">
        <v>1965.06</v>
      </c>
      <c r="BP218" s="123">
        <v>7209.62</v>
      </c>
      <c r="BQ218" s="125"/>
      <c r="BR218" s="125"/>
      <c r="BT218" s="240">
        <v>269.82522999999998</v>
      </c>
      <c r="BU218" s="53"/>
      <c r="BV218" s="53"/>
      <c r="BW218" s="53">
        <f t="shared" si="84"/>
        <v>269.82522999999998</v>
      </c>
      <c r="BY218" s="122">
        <v>46022</v>
      </c>
      <c r="BZ218" s="256">
        <v>600</v>
      </c>
      <c r="CA218" s="257">
        <v>631.86</v>
      </c>
      <c r="CB218" s="125"/>
      <c r="CC218" s="126"/>
      <c r="CE218" s="240">
        <v>181.46669999999983</v>
      </c>
      <c r="CF218" s="52"/>
      <c r="CG218" s="53"/>
      <c r="CH218" s="53">
        <f t="shared" si="91"/>
        <v>181.46669999999983</v>
      </c>
      <c r="CJ218" s="122">
        <v>46022</v>
      </c>
      <c r="CK218" s="123">
        <v>4639.6400000000003</v>
      </c>
      <c r="CL218" s="123">
        <v>780.42</v>
      </c>
      <c r="CM218" s="125"/>
      <c r="CN218" s="126">
        <v>16.77</v>
      </c>
      <c r="CP218" s="240">
        <v>154.02438999999998</v>
      </c>
      <c r="CQ218" s="52"/>
      <c r="CR218" s="52"/>
      <c r="CS218" s="53">
        <f t="shared" si="92"/>
        <v>170.79438999999999</v>
      </c>
      <c r="CU218" s="122">
        <v>46022</v>
      </c>
      <c r="CV218" s="123">
        <v>3336.88</v>
      </c>
      <c r="CW218" s="127">
        <v>1350.86</v>
      </c>
      <c r="CX218" s="125"/>
      <c r="CY218" s="126">
        <v>35.19</v>
      </c>
      <c r="DA218" s="240"/>
      <c r="DB218" s="435"/>
      <c r="DC218" s="52"/>
      <c r="DD218" s="52"/>
      <c r="DE218" s="53">
        <f t="shared" si="93"/>
        <v>35.19</v>
      </c>
      <c r="DH218" s="122">
        <v>46387</v>
      </c>
      <c r="DI218" s="123">
        <v>2462.42</v>
      </c>
      <c r="DJ218" s="127">
        <v>398.53</v>
      </c>
      <c r="DK218" s="127">
        <v>2717.28</v>
      </c>
      <c r="DL218" s="127"/>
      <c r="DM218" s="126">
        <v>0</v>
      </c>
      <c r="DO218" s="240">
        <v>15.700090000000003</v>
      </c>
      <c r="DP218" s="52"/>
      <c r="DQ218" s="52"/>
      <c r="DR218" s="53">
        <f t="shared" si="94"/>
        <v>15.700090000000003</v>
      </c>
      <c r="DT218" s="122">
        <v>46387</v>
      </c>
      <c r="DU218" s="123">
        <v>1708.36</v>
      </c>
      <c r="DV218" s="127">
        <v>1598.9</v>
      </c>
      <c r="DW218" s="127"/>
      <c r="DX218" s="126">
        <v>0</v>
      </c>
      <c r="DZ218" s="51"/>
      <c r="EA218" s="52"/>
      <c r="EB218" s="52"/>
      <c r="EC218" s="53">
        <f t="shared" si="95"/>
        <v>0</v>
      </c>
      <c r="EE218" s="122">
        <v>46387</v>
      </c>
      <c r="EF218" s="123">
        <v>1215.67</v>
      </c>
      <c r="EG218" s="127">
        <v>863.76</v>
      </c>
      <c r="EH218" s="127"/>
      <c r="EI218" s="126">
        <v>36.42</v>
      </c>
      <c r="EK218" s="240">
        <v>389.70008999999982</v>
      </c>
      <c r="EL218" s="435"/>
      <c r="EM218" s="52"/>
      <c r="EN218" s="52"/>
      <c r="EO218" s="53">
        <f t="shared" si="96"/>
        <v>426.12008999999983</v>
      </c>
      <c r="EQ218" s="122">
        <v>46387</v>
      </c>
      <c r="ER218" s="123">
        <v>7036.86</v>
      </c>
      <c r="ES218" s="263">
        <v>339.9</v>
      </c>
      <c r="ET218" s="127"/>
      <c r="EU218" s="258">
        <v>12.86</v>
      </c>
      <c r="EW218" s="240">
        <v>46.63113000000007</v>
      </c>
      <c r="EX218" s="53">
        <v>13.791926163428556</v>
      </c>
      <c r="EY218" s="52"/>
      <c r="EZ218" s="53">
        <f t="shared" si="97"/>
        <v>73.283056163428625</v>
      </c>
      <c r="FB218" s="122">
        <v>46022</v>
      </c>
      <c r="FC218" s="123">
        <v>918.04</v>
      </c>
      <c r="FD218" s="123">
        <v>389.45</v>
      </c>
      <c r="FE218" s="125"/>
      <c r="FF218" s="126"/>
      <c r="FH218" s="51"/>
      <c r="FI218" s="52"/>
      <c r="FJ218" s="52"/>
      <c r="FK218" s="53">
        <f t="shared" si="98"/>
        <v>0</v>
      </c>
    </row>
    <row r="219" spans="2:167" s="274" customFormat="1" ht="16.5" hidden="1" thickBot="1" x14ac:dyDescent="0.3">
      <c r="B219" s="86"/>
      <c r="C219" s="270">
        <f>SUM(C188:C218)</f>
        <v>406514.47999999981</v>
      </c>
      <c r="D219" s="270">
        <f>SUM(D188:D218)</f>
        <v>0</v>
      </c>
      <c r="E219" s="86"/>
      <c r="F219" s="270">
        <f>SUM(F188:F218)</f>
        <v>510.44000000000005</v>
      </c>
      <c r="H219" s="84">
        <f t="shared" ref="H219:J219" si="99">SUM(H188:H218)</f>
        <v>292.98308999999989</v>
      </c>
      <c r="I219" s="84">
        <f t="shared" si="99"/>
        <v>212.25287732676182</v>
      </c>
      <c r="J219" s="84">
        <f t="shared" si="99"/>
        <v>0</v>
      </c>
      <c r="K219" s="84">
        <f>SUM(K188:K218)</f>
        <v>1015.6759673267616</v>
      </c>
      <c r="M219" s="86"/>
      <c r="N219" s="270">
        <f>SUM(N188:N218)</f>
        <v>106671.47</v>
      </c>
      <c r="O219" s="270"/>
      <c r="P219" s="270">
        <f>SUM(P188:P218)</f>
        <v>372.79999999999995</v>
      </c>
      <c r="R219" s="84">
        <f t="shared" ref="R219:T219" si="100">SUM(R188:R218)</f>
        <v>118.19999999999999</v>
      </c>
      <c r="S219" s="84">
        <f t="shared" si="100"/>
        <v>0</v>
      </c>
      <c r="T219" s="84">
        <f t="shared" si="100"/>
        <v>0</v>
      </c>
      <c r="U219" s="84">
        <f>SUM(U188:U218)</f>
        <v>490.99999999999994</v>
      </c>
      <c r="W219" s="86"/>
      <c r="X219" s="270">
        <f>SUM(X188:X218)</f>
        <v>58629.73</v>
      </c>
      <c r="Y219" s="270">
        <f>SUM(Y188:Y218)</f>
        <v>6260.3800000000019</v>
      </c>
      <c r="Z219" s="86"/>
      <c r="AA219" s="270">
        <f>SUM(AA188:AA218)</f>
        <v>490.47</v>
      </c>
      <c r="AC219" s="84">
        <f t="shared" ref="AC219:AE219" si="101">SUM(AC188:AC218)</f>
        <v>195.11197999999999</v>
      </c>
      <c r="AD219" s="84">
        <f t="shared" si="101"/>
        <v>261.8992185138095</v>
      </c>
      <c r="AE219" s="84">
        <f t="shared" si="101"/>
        <v>0</v>
      </c>
      <c r="AF219" s="84">
        <f>SUM(AF188:AF218)</f>
        <v>947.48119851380932</v>
      </c>
      <c r="AI219" s="86"/>
      <c r="AJ219" s="270">
        <f>SUM(AJ188:AJ218)</f>
        <v>40520.949999999997</v>
      </c>
      <c r="AK219" s="86"/>
      <c r="AL219" s="86"/>
      <c r="AN219" s="84">
        <f t="shared" ref="AN219:AP219" si="102">SUM(AN188:AN218)</f>
        <v>0</v>
      </c>
      <c r="AO219" s="84">
        <f t="shared" si="102"/>
        <v>0</v>
      </c>
      <c r="AP219" s="84">
        <f t="shared" si="102"/>
        <v>0</v>
      </c>
      <c r="AQ219" s="84">
        <f>SUM(AQ188:AQ218)</f>
        <v>0</v>
      </c>
      <c r="AS219" s="86"/>
      <c r="AT219" s="270">
        <f>SUM(AT188:AT218)</f>
        <v>115827.84</v>
      </c>
      <c r="AU219" s="86"/>
      <c r="AV219" s="270">
        <f>SUM(AV188:AV218)</f>
        <v>0</v>
      </c>
      <c r="AX219" s="84">
        <f t="shared" ref="AX219:AZ219" si="103">SUM(AX188:AX218)</f>
        <v>0</v>
      </c>
      <c r="AY219" s="84">
        <f t="shared" si="103"/>
        <v>0</v>
      </c>
      <c r="AZ219" s="84">
        <f t="shared" si="103"/>
        <v>0</v>
      </c>
      <c r="BA219" s="84">
        <f>SUM(BA188:BA218)</f>
        <v>0</v>
      </c>
      <c r="BC219" s="86"/>
      <c r="BD219" s="270">
        <f>SUM(BD188:BD218)</f>
        <v>82013.750000000015</v>
      </c>
      <c r="BE219" s="86"/>
      <c r="BF219" s="270">
        <f>SUM(BF188:BF218)</f>
        <v>46.49</v>
      </c>
      <c r="BH219" s="84">
        <f t="shared" ref="BH219:BJ219" si="104">SUM(BH188:BH218)</f>
        <v>354.95142000000021</v>
      </c>
      <c r="BI219" s="84">
        <f t="shared" si="104"/>
        <v>0</v>
      </c>
      <c r="BJ219" s="84">
        <f t="shared" si="104"/>
        <v>0</v>
      </c>
      <c r="BK219" s="84">
        <f>SUM(BK188:BK218)</f>
        <v>401.44142000000022</v>
      </c>
      <c r="BM219" s="86"/>
      <c r="BN219" s="270">
        <f>SUM(BN188:BN218)</f>
        <v>376285.37</v>
      </c>
      <c r="BO219" s="270">
        <f>SUM(BO188:BO218)</f>
        <v>99752.249999999971</v>
      </c>
      <c r="BP219" s="270">
        <f>SUM(BP188:BP218)</f>
        <v>240474.49000000005</v>
      </c>
      <c r="BQ219" s="270">
        <f>SUM(BQ188:BQ218)</f>
        <v>0</v>
      </c>
      <c r="BR219" s="270">
        <f>SUM(BR188:BR218)</f>
        <v>0</v>
      </c>
      <c r="BT219" s="84">
        <f t="shared" ref="BT219:BV219" si="105">SUM(BT188:BT218)</f>
        <v>5746.9289279999994</v>
      </c>
      <c r="BU219" s="84">
        <f t="shared" si="105"/>
        <v>5158.1166143704768</v>
      </c>
      <c r="BV219" s="84">
        <f t="shared" si="105"/>
        <v>0</v>
      </c>
      <c r="BW219" s="84">
        <f>SUM(BW188:BW218)</f>
        <v>10905.045542370475</v>
      </c>
      <c r="BY219" s="86"/>
      <c r="BZ219" s="270">
        <f>SUM(BZ188:BZ218)</f>
        <v>35077.360000000001</v>
      </c>
      <c r="CA219" s="270">
        <f>SUM(CA188:CA218)</f>
        <v>20385.030000000006</v>
      </c>
      <c r="CB219" s="86"/>
      <c r="CC219" s="270"/>
      <c r="CE219" s="84">
        <f t="shared" ref="CE219:CG219" si="106">SUM(CE188:CE218)</f>
        <v>318.26833999999985</v>
      </c>
      <c r="CF219" s="84">
        <f t="shared" si="106"/>
        <v>0</v>
      </c>
      <c r="CG219" s="84">
        <f t="shared" si="106"/>
        <v>103.38677099999997</v>
      </c>
      <c r="CH219" s="84">
        <f>SUM(CH188:CH218)</f>
        <v>421.65511099999986</v>
      </c>
      <c r="CJ219" s="86"/>
      <c r="CK219" s="270">
        <f>SUM(CK188:CK218)</f>
        <v>159233.83000000002</v>
      </c>
      <c r="CL219" s="270">
        <f>SUM(CL188:CL218)</f>
        <v>22741.919999999998</v>
      </c>
      <c r="CM219" s="86"/>
      <c r="CN219" s="270">
        <v>0</v>
      </c>
      <c r="CP219" s="84">
        <f t="shared" ref="CP219:CR219" si="107">SUM(CP188:CP218)</f>
        <v>3469.1248800000008</v>
      </c>
      <c r="CQ219" s="84">
        <f t="shared" si="107"/>
        <v>353.17516243619082</v>
      </c>
      <c r="CR219" s="84">
        <f t="shared" si="107"/>
        <v>0</v>
      </c>
      <c r="CS219" s="84">
        <f>SUM(CS188:CS218)</f>
        <v>4263.8600424361903</v>
      </c>
      <c r="CU219" s="86"/>
      <c r="CV219" s="270">
        <f>SUM(CV188:CV218)</f>
        <v>238246.42</v>
      </c>
      <c r="CW219" s="270">
        <f>SUM(CW188:CW218)</f>
        <v>30829.099999999995</v>
      </c>
      <c r="CX219" s="86"/>
      <c r="CY219" s="270">
        <f>SUM(CY188:CY218)</f>
        <v>4518.1999999999989</v>
      </c>
      <c r="DA219" s="84">
        <f t="shared" ref="DA219:DD219" si="108">SUM(DA188:DA218)</f>
        <v>7125.4606747260168</v>
      </c>
      <c r="DB219" s="84"/>
      <c r="DC219" s="84">
        <f t="shared" si="108"/>
        <v>0</v>
      </c>
      <c r="DD219" s="84">
        <f t="shared" si="108"/>
        <v>0</v>
      </c>
      <c r="DE219" s="84">
        <f>SUM(DE188:DE218)</f>
        <v>11643.660674726019</v>
      </c>
      <c r="DH219" s="86"/>
      <c r="DI219" s="270">
        <f>SUM(DI188:DI218)</f>
        <v>60239.040000000001</v>
      </c>
      <c r="DJ219" s="270">
        <f>SUM(DJ188:DJ218)</f>
        <v>16985.329999999998</v>
      </c>
      <c r="DK219" s="270"/>
      <c r="DL219" s="86"/>
      <c r="DM219" s="270">
        <f>SUM(DM188:DM218)</f>
        <v>80.03</v>
      </c>
      <c r="DO219" s="84">
        <f t="shared" ref="DO219:DQ219" si="109">SUM(DO188:DO218)</f>
        <v>474.50839999999988</v>
      </c>
      <c r="DP219" s="84">
        <f t="shared" si="109"/>
        <v>5.4680178128571129</v>
      </c>
      <c r="DQ219" s="84">
        <f t="shared" si="109"/>
        <v>0</v>
      </c>
      <c r="DR219" s="84">
        <f>SUM(DR188:DR218)</f>
        <v>560.00641781285708</v>
      </c>
      <c r="DT219" s="86"/>
      <c r="DU219" s="271">
        <f>SUM(DU188:DU218)</f>
        <v>47171.490000000005</v>
      </c>
      <c r="DV219" s="270">
        <f>SUM(DV188:DV218)</f>
        <v>34471.040000000008</v>
      </c>
      <c r="DW219" s="86"/>
      <c r="DX219" s="271">
        <f>SUM(DX188:DX218)</f>
        <v>961.39999999999986</v>
      </c>
      <c r="DZ219" s="84">
        <f t="shared" ref="DZ219:EB219" si="110">SUM(DZ188:DZ218)</f>
        <v>0</v>
      </c>
      <c r="EA219" s="84">
        <f t="shared" si="110"/>
        <v>92.868092234761974</v>
      </c>
      <c r="EB219" s="84">
        <f t="shared" si="110"/>
        <v>0</v>
      </c>
      <c r="EC219" s="84">
        <f>SUM(EC188:EC218)</f>
        <v>1054.268092234762</v>
      </c>
      <c r="EE219" s="86"/>
      <c r="EF219" s="270">
        <f>SUM(EF188:EF218)</f>
        <v>32277.89</v>
      </c>
      <c r="EG219" s="270">
        <f>SUM(EG188:EG218)</f>
        <v>28380.939999999995</v>
      </c>
      <c r="EH219" s="86"/>
      <c r="EI219" s="270">
        <f>SUM(EI188:EI218)</f>
        <v>335.21000000000004</v>
      </c>
      <c r="EK219" s="84">
        <f t="shared" ref="EK219:EN219" si="111">SUM(EK188:EK218)</f>
        <v>11809.747829999995</v>
      </c>
      <c r="EL219" s="84"/>
      <c r="EM219" s="84">
        <f t="shared" si="111"/>
        <v>939.93323611314258</v>
      </c>
      <c r="EN219" s="84">
        <f t="shared" si="111"/>
        <v>114.46317419999997</v>
      </c>
      <c r="EO219" s="84">
        <f>SUM(EO188:EO218)</f>
        <v>13199.354240313136</v>
      </c>
      <c r="EQ219" s="272"/>
      <c r="ER219" s="270">
        <f>SUM(ER188:ER218)</f>
        <v>119433.85</v>
      </c>
      <c r="ES219" s="270">
        <f>SUM(ES188:ES218)</f>
        <v>9587.2999999999993</v>
      </c>
      <c r="ET219" s="86"/>
      <c r="EU219" s="270">
        <f>SUM(EU188:EU218)</f>
        <v>5269.2699999999986</v>
      </c>
      <c r="EW219" s="84">
        <f t="shared" ref="EW219:EY219" si="112">SUM(EW188:EW218)</f>
        <v>1774.6486800000011</v>
      </c>
      <c r="EX219" s="84">
        <f t="shared" si="112"/>
        <v>1725.5952532804772</v>
      </c>
      <c r="EY219" s="84">
        <f t="shared" si="112"/>
        <v>0</v>
      </c>
      <c r="EZ219" s="84">
        <f>SUM(EZ188:EZ218)</f>
        <v>8769.5139332804756</v>
      </c>
      <c r="FB219" s="86"/>
      <c r="FC219" s="270">
        <f>SUM(FC188:FC218)</f>
        <v>26100.670000000006</v>
      </c>
      <c r="FD219" s="270">
        <f>SUM(FD188:FD218)</f>
        <v>7038.9800000000005</v>
      </c>
      <c r="FE219" s="86"/>
      <c r="FF219" s="270">
        <f>SUM(FF188:FF218)</f>
        <v>0</v>
      </c>
      <c r="FH219" s="84">
        <f t="shared" ref="FH219:FJ219" si="113">SUM(FH188:FH218)</f>
        <v>0</v>
      </c>
      <c r="FI219" s="84">
        <f t="shared" si="113"/>
        <v>0</v>
      </c>
      <c r="FJ219" s="84">
        <f t="shared" si="113"/>
        <v>0</v>
      </c>
      <c r="FK219" s="84">
        <f>SUM(FK188:FK218)</f>
        <v>0</v>
      </c>
    </row>
    <row r="220" spans="2:167" hidden="1" x14ac:dyDescent="0.25"/>
    <row r="221" spans="2:167" hidden="1" x14ac:dyDescent="0.25"/>
    <row r="222" spans="2:167" ht="23.25" hidden="1" x14ac:dyDescent="0.35">
      <c r="B222" s="249" t="s">
        <v>56</v>
      </c>
      <c r="C222" s="249"/>
      <c r="D222" s="249"/>
      <c r="E222" s="249"/>
      <c r="F222" s="249"/>
      <c r="G222" s="130"/>
      <c r="H222" s="130"/>
      <c r="I222" s="130"/>
      <c r="J222" s="130"/>
      <c r="K222" s="130"/>
      <c r="M222" s="451" t="s">
        <v>57</v>
      </c>
      <c r="N222" s="451"/>
      <c r="O222" s="451"/>
      <c r="P222" s="451"/>
      <c r="Q222" s="130"/>
      <c r="R222" s="130"/>
      <c r="S222" s="130"/>
      <c r="T222" s="130"/>
      <c r="U222" s="130"/>
      <c r="W222" s="249" t="s">
        <v>58</v>
      </c>
      <c r="X222" s="249"/>
      <c r="Y222" s="249"/>
      <c r="Z222" s="249"/>
      <c r="AA222" s="249"/>
      <c r="AB222" s="130"/>
      <c r="AC222" s="130"/>
      <c r="AD222" s="130"/>
      <c r="AE222" s="130"/>
      <c r="AF222" s="130"/>
      <c r="AI222" s="451" t="s">
        <v>59</v>
      </c>
      <c r="AJ222" s="451"/>
      <c r="AK222" s="451"/>
      <c r="AL222" s="451"/>
      <c r="AM222" s="451"/>
      <c r="AN222" s="451"/>
      <c r="AO222" s="451"/>
      <c r="AP222" s="451"/>
      <c r="AQ222" s="451"/>
      <c r="AS222" s="451" t="s">
        <v>60</v>
      </c>
      <c r="AT222" s="451"/>
      <c r="AU222" s="451"/>
      <c r="AV222" s="451"/>
      <c r="AW222" s="451"/>
      <c r="AX222" s="451"/>
      <c r="AY222" s="451"/>
      <c r="AZ222" s="451"/>
      <c r="BA222" s="451"/>
      <c r="BC222" s="451" t="s">
        <v>61</v>
      </c>
      <c r="BD222" s="451"/>
      <c r="BE222" s="451"/>
      <c r="BF222" s="451"/>
      <c r="BG222" s="451"/>
      <c r="BH222" s="451"/>
      <c r="BI222" s="451"/>
      <c r="BJ222" s="451"/>
      <c r="BK222" s="451"/>
      <c r="BM222" s="249" t="s">
        <v>62</v>
      </c>
      <c r="BN222" s="249"/>
      <c r="BO222" s="249"/>
      <c r="BP222" s="249"/>
      <c r="BQ222" s="250"/>
      <c r="BR222" s="249"/>
      <c r="BS222" s="250"/>
      <c r="BT222" s="250"/>
      <c r="BU222" s="250"/>
      <c r="BV222" s="250"/>
      <c r="BW222" s="250"/>
      <c r="BY222" s="249" t="s">
        <v>63</v>
      </c>
      <c r="BZ222" s="249"/>
      <c r="CA222" s="249"/>
      <c r="CB222" s="249"/>
      <c r="CC222" s="249"/>
      <c r="CD222" s="250"/>
      <c r="CE222" s="250"/>
      <c r="CF222" s="250"/>
      <c r="CG222" s="250"/>
      <c r="CH222" s="250"/>
      <c r="CJ222" s="249" t="s">
        <v>64</v>
      </c>
      <c r="CK222" s="249"/>
      <c r="CL222" s="249"/>
      <c r="CM222" s="249"/>
      <c r="CN222" s="249"/>
      <c r="CO222" s="250"/>
      <c r="CP222" s="250"/>
      <c r="CQ222" s="250"/>
      <c r="CR222" s="250"/>
      <c r="CS222" s="250"/>
      <c r="CU222" s="249" t="s">
        <v>65</v>
      </c>
      <c r="CV222" s="249"/>
      <c r="CW222" s="249"/>
      <c r="CX222" s="249"/>
      <c r="CY222" s="249"/>
      <c r="CZ222" s="250"/>
      <c r="DA222" s="250"/>
      <c r="DB222" s="250"/>
      <c r="DC222" s="250"/>
      <c r="DD222" s="250"/>
      <c r="DE222" s="250"/>
      <c r="DH222" s="249" t="s">
        <v>66</v>
      </c>
      <c r="DI222" s="249"/>
      <c r="DJ222" s="249"/>
      <c r="DK222" s="249"/>
      <c r="DL222" s="249"/>
      <c r="DM222" s="249"/>
      <c r="DN222" s="250"/>
      <c r="DO222" s="250"/>
      <c r="DP222" s="250"/>
      <c r="DQ222" s="250"/>
      <c r="DR222" s="250"/>
      <c r="DT222" s="249" t="s">
        <v>67</v>
      </c>
      <c r="DU222" s="249"/>
      <c r="DV222" s="249"/>
      <c r="DW222" s="249"/>
      <c r="DX222" s="249"/>
      <c r="DY222" s="250"/>
      <c r="DZ222" s="250"/>
      <c r="EA222" s="250"/>
      <c r="EB222" s="250"/>
      <c r="EC222" s="250"/>
      <c r="EE222" s="249" t="s">
        <v>68</v>
      </c>
      <c r="EF222" s="249"/>
      <c r="EG222" s="249"/>
      <c r="EH222" s="249"/>
      <c r="EI222" s="249"/>
      <c r="EJ222" s="250"/>
      <c r="EK222" s="250"/>
      <c r="EL222" s="250"/>
      <c r="EM222" s="250"/>
      <c r="EN222" s="250"/>
      <c r="EO222" s="250"/>
      <c r="EQ222" s="249" t="s">
        <v>69</v>
      </c>
      <c r="ER222" s="249"/>
      <c r="ES222" s="249"/>
      <c r="ET222" s="249"/>
      <c r="EU222" s="249"/>
      <c r="EV222" s="250"/>
      <c r="EW222" s="250"/>
      <c r="EX222" s="250"/>
      <c r="EY222" s="250"/>
      <c r="EZ222" s="250"/>
      <c r="FB222" s="249" t="s">
        <v>70</v>
      </c>
      <c r="FC222" s="249"/>
      <c r="FD222" s="249"/>
      <c r="FE222" s="249"/>
      <c r="FF222" s="249"/>
      <c r="FG222" s="250"/>
      <c r="FH222" s="250"/>
      <c r="FI222" s="250"/>
      <c r="FJ222" s="250"/>
      <c r="FK222" s="250"/>
    </row>
    <row r="223" spans="2:167" ht="15.75" hidden="1" customHeight="1" x14ac:dyDescent="0.25">
      <c r="B223" s="119" t="s">
        <v>14</v>
      </c>
      <c r="C223" s="120" t="s">
        <v>15</v>
      </c>
      <c r="D223" s="120" t="s">
        <v>15</v>
      </c>
      <c r="E223" s="121" t="s">
        <v>16</v>
      </c>
      <c r="F223" s="121" t="s">
        <v>16</v>
      </c>
      <c r="G223" s="6"/>
      <c r="H223" s="7" t="s">
        <v>16</v>
      </c>
      <c r="I223" s="8" t="s">
        <v>16</v>
      </c>
      <c r="J223" s="9" t="s">
        <v>16</v>
      </c>
      <c r="K223" s="10" t="s">
        <v>17</v>
      </c>
      <c r="M223" s="119" t="s">
        <v>14</v>
      </c>
      <c r="N223" s="120" t="s">
        <v>15</v>
      </c>
      <c r="O223" s="120" t="s">
        <v>15</v>
      </c>
      <c r="P223" s="121" t="s">
        <v>16</v>
      </c>
      <c r="R223" s="134" t="s">
        <v>16</v>
      </c>
      <c r="S223" s="135" t="s">
        <v>16</v>
      </c>
      <c r="T223" s="136" t="s">
        <v>16</v>
      </c>
      <c r="U223" s="10" t="s">
        <v>17</v>
      </c>
      <c r="W223" s="119" t="s">
        <v>14</v>
      </c>
      <c r="X223" s="120" t="s">
        <v>15</v>
      </c>
      <c r="Y223" s="120" t="s">
        <v>15</v>
      </c>
      <c r="Z223" s="121" t="s">
        <v>16</v>
      </c>
      <c r="AA223" s="121" t="s">
        <v>16</v>
      </c>
      <c r="AC223" s="134" t="s">
        <v>16</v>
      </c>
      <c r="AD223" s="135" t="s">
        <v>16</v>
      </c>
      <c r="AE223" s="136" t="s">
        <v>16</v>
      </c>
      <c r="AF223" s="10" t="s">
        <v>17</v>
      </c>
      <c r="AI223" s="119" t="s">
        <v>14</v>
      </c>
      <c r="AJ223" s="120" t="s">
        <v>15</v>
      </c>
      <c r="AK223" s="120" t="s">
        <v>15</v>
      </c>
      <c r="AL223" s="121" t="s">
        <v>16</v>
      </c>
      <c r="AN223" s="134" t="s">
        <v>16</v>
      </c>
      <c r="AO223" s="135" t="s">
        <v>16</v>
      </c>
      <c r="AP223" s="136" t="s">
        <v>16</v>
      </c>
      <c r="AQ223" s="10" t="s">
        <v>17</v>
      </c>
      <c r="AS223" s="119" t="s">
        <v>14</v>
      </c>
      <c r="AT223" s="120" t="s">
        <v>15</v>
      </c>
      <c r="AU223" s="120" t="s">
        <v>15</v>
      </c>
      <c r="AV223" s="121" t="s">
        <v>16</v>
      </c>
      <c r="AX223" s="134" t="s">
        <v>16</v>
      </c>
      <c r="AY223" s="135" t="s">
        <v>16</v>
      </c>
      <c r="AZ223" s="136" t="s">
        <v>16</v>
      </c>
      <c r="BA223" s="10" t="s">
        <v>17</v>
      </c>
      <c r="BC223" s="119" t="s">
        <v>14</v>
      </c>
      <c r="BD223" s="120" t="s">
        <v>15</v>
      </c>
      <c r="BE223" s="120" t="s">
        <v>15</v>
      </c>
      <c r="BF223" s="121" t="s">
        <v>16</v>
      </c>
      <c r="BH223" s="134" t="s">
        <v>16</v>
      </c>
      <c r="BI223" s="135" t="s">
        <v>16</v>
      </c>
      <c r="BJ223" s="136" t="s">
        <v>16</v>
      </c>
      <c r="BK223" s="10" t="s">
        <v>17</v>
      </c>
      <c r="BM223" s="119" t="s">
        <v>14</v>
      </c>
      <c r="BN223" s="120" t="s">
        <v>15</v>
      </c>
      <c r="BO223" s="120" t="s">
        <v>15</v>
      </c>
      <c r="BP223" s="120" t="s">
        <v>15</v>
      </c>
      <c r="BQ223" s="121" t="s">
        <v>16</v>
      </c>
      <c r="BR223" s="121" t="s">
        <v>16</v>
      </c>
      <c r="BT223" s="134" t="s">
        <v>16</v>
      </c>
      <c r="BU223" s="135" t="s">
        <v>16</v>
      </c>
      <c r="BV223" s="136" t="s">
        <v>16</v>
      </c>
      <c r="BW223" s="10" t="s">
        <v>17</v>
      </c>
      <c r="BY223" s="119" t="s">
        <v>14</v>
      </c>
      <c r="BZ223" s="252" t="s">
        <v>15</v>
      </c>
      <c r="CA223" s="253" t="s">
        <v>15</v>
      </c>
      <c r="CB223" s="121" t="s">
        <v>16</v>
      </c>
      <c r="CC223" s="121" t="s">
        <v>16</v>
      </c>
      <c r="CE223" s="134" t="s">
        <v>16</v>
      </c>
      <c r="CF223" s="135" t="s">
        <v>16</v>
      </c>
      <c r="CG223" s="136" t="s">
        <v>16</v>
      </c>
      <c r="CH223" s="10" t="s">
        <v>17</v>
      </c>
      <c r="CJ223" s="119" t="s">
        <v>14</v>
      </c>
      <c r="CK223" s="120" t="s">
        <v>15</v>
      </c>
      <c r="CL223" s="120" t="s">
        <v>15</v>
      </c>
      <c r="CM223" s="121" t="s">
        <v>16</v>
      </c>
      <c r="CN223" s="121" t="s">
        <v>16</v>
      </c>
      <c r="CP223" s="134" t="s">
        <v>16</v>
      </c>
      <c r="CQ223" s="135" t="s">
        <v>16</v>
      </c>
      <c r="CR223" s="136" t="s">
        <v>16</v>
      </c>
      <c r="CS223" s="10" t="s">
        <v>17</v>
      </c>
      <c r="CU223" s="119" t="s">
        <v>14</v>
      </c>
      <c r="CV223" s="120" t="s">
        <v>15</v>
      </c>
      <c r="CW223" s="120" t="s">
        <v>15</v>
      </c>
      <c r="CX223" s="121" t="s">
        <v>16</v>
      </c>
      <c r="CY223" s="121" t="s">
        <v>16</v>
      </c>
      <c r="CZ223" s="6"/>
      <c r="DA223" s="7" t="s">
        <v>16</v>
      </c>
      <c r="DB223" s="7"/>
      <c r="DC223" s="8" t="s">
        <v>16</v>
      </c>
      <c r="DD223" s="9" t="s">
        <v>16</v>
      </c>
      <c r="DE223" s="10" t="s">
        <v>17</v>
      </c>
      <c r="DH223" s="119" t="s">
        <v>14</v>
      </c>
      <c r="DI223" s="120" t="s">
        <v>15</v>
      </c>
      <c r="DJ223" s="120" t="s">
        <v>15</v>
      </c>
      <c r="DK223" s="120" t="s">
        <v>15</v>
      </c>
      <c r="DL223" s="121" t="s">
        <v>16</v>
      </c>
      <c r="DM223" s="121" t="s">
        <v>16</v>
      </c>
      <c r="DO223" s="134" t="s">
        <v>16</v>
      </c>
      <c r="DP223" s="135" t="s">
        <v>16</v>
      </c>
      <c r="DQ223" s="136" t="s">
        <v>16</v>
      </c>
      <c r="DR223" s="10" t="s">
        <v>17</v>
      </c>
      <c r="DT223" s="119" t="s">
        <v>14</v>
      </c>
      <c r="DU223" s="120" t="s">
        <v>15</v>
      </c>
      <c r="DV223" s="120" t="s">
        <v>15</v>
      </c>
      <c r="DW223" s="121" t="s">
        <v>16</v>
      </c>
      <c r="DX223" s="121" t="s">
        <v>16</v>
      </c>
      <c r="DZ223" s="134" t="s">
        <v>16</v>
      </c>
      <c r="EA223" s="135" t="s">
        <v>16</v>
      </c>
      <c r="EB223" s="136" t="s">
        <v>16</v>
      </c>
      <c r="EC223" s="10" t="s">
        <v>17</v>
      </c>
      <c r="EE223" s="119" t="s">
        <v>14</v>
      </c>
      <c r="EF223" s="120" t="s">
        <v>15</v>
      </c>
      <c r="EG223" s="252" t="s">
        <v>15</v>
      </c>
      <c r="EH223" s="121" t="s">
        <v>16</v>
      </c>
      <c r="EI223" s="121" t="s">
        <v>16</v>
      </c>
      <c r="EK223" s="134" t="s">
        <v>16</v>
      </c>
      <c r="EL223" s="134"/>
      <c r="EM223" s="135" t="s">
        <v>16</v>
      </c>
      <c r="EN223" s="136" t="s">
        <v>16</v>
      </c>
      <c r="EO223" s="10" t="s">
        <v>17</v>
      </c>
      <c r="EQ223" s="119" t="s">
        <v>14</v>
      </c>
      <c r="ER223" s="120" t="s">
        <v>15</v>
      </c>
      <c r="ES223" s="120" t="s">
        <v>15</v>
      </c>
      <c r="ET223" s="121" t="s">
        <v>16</v>
      </c>
      <c r="EU223" s="121" t="s">
        <v>16</v>
      </c>
      <c r="EW223" s="134" t="s">
        <v>16</v>
      </c>
      <c r="EX223" s="135" t="s">
        <v>16</v>
      </c>
      <c r="EY223" s="136" t="s">
        <v>16</v>
      </c>
      <c r="EZ223" s="10" t="s">
        <v>17</v>
      </c>
      <c r="FB223" s="119" t="s">
        <v>14</v>
      </c>
      <c r="FC223" s="120" t="s">
        <v>15</v>
      </c>
      <c r="FD223" s="120" t="s">
        <v>15</v>
      </c>
      <c r="FE223" s="121" t="s">
        <v>16</v>
      </c>
      <c r="FF223" s="121" t="s">
        <v>16</v>
      </c>
      <c r="FH223" s="134" t="s">
        <v>16</v>
      </c>
      <c r="FI223" s="135" t="s">
        <v>16</v>
      </c>
      <c r="FJ223" s="136" t="s">
        <v>16</v>
      </c>
      <c r="FK223" s="10" t="s">
        <v>17</v>
      </c>
    </row>
    <row r="224" spans="2:167" ht="15.75" hidden="1" thickBot="1" x14ac:dyDescent="0.3">
      <c r="B224" s="119"/>
      <c r="C224" s="120" t="s">
        <v>18</v>
      </c>
      <c r="D224" s="120" t="s">
        <v>19</v>
      </c>
      <c r="E224" s="121" t="s">
        <v>19</v>
      </c>
      <c r="F224" s="121" t="s">
        <v>25</v>
      </c>
      <c r="G224" s="6"/>
      <c r="H224" s="16" t="s">
        <v>21</v>
      </c>
      <c r="I224" s="17" t="s">
        <v>22</v>
      </c>
      <c r="J224" s="18" t="s">
        <v>23</v>
      </c>
      <c r="K224" s="19" t="s">
        <v>24</v>
      </c>
      <c r="M224" s="119"/>
      <c r="N224" s="120" t="s">
        <v>18</v>
      </c>
      <c r="O224" s="120" t="s">
        <v>19</v>
      </c>
      <c r="P224" s="121" t="s">
        <v>25</v>
      </c>
      <c r="R224" s="145" t="s">
        <v>21</v>
      </c>
      <c r="S224" s="146" t="s">
        <v>22</v>
      </c>
      <c r="T224" s="147" t="s">
        <v>23</v>
      </c>
      <c r="U224" s="148" t="s">
        <v>24</v>
      </c>
      <c r="W224" s="119"/>
      <c r="X224" s="120" t="s">
        <v>18</v>
      </c>
      <c r="Y224" s="120" t="s">
        <v>19</v>
      </c>
      <c r="Z224" s="121" t="s">
        <v>19</v>
      </c>
      <c r="AA224" s="121" t="s">
        <v>25</v>
      </c>
      <c r="AC224" s="145" t="s">
        <v>21</v>
      </c>
      <c r="AD224" s="146" t="s">
        <v>22</v>
      </c>
      <c r="AE224" s="147" t="s">
        <v>23</v>
      </c>
      <c r="AF224" s="148" t="s">
        <v>24</v>
      </c>
      <c r="AI224" s="119"/>
      <c r="AJ224" s="120" t="s">
        <v>18</v>
      </c>
      <c r="AK224" s="120" t="s">
        <v>19</v>
      </c>
      <c r="AL224" s="121" t="s">
        <v>25</v>
      </c>
      <c r="AN224" s="145" t="s">
        <v>21</v>
      </c>
      <c r="AO224" s="146" t="s">
        <v>22</v>
      </c>
      <c r="AP224" s="147" t="s">
        <v>23</v>
      </c>
      <c r="AQ224" s="148" t="s">
        <v>24</v>
      </c>
      <c r="AS224" s="119"/>
      <c r="AT224" s="120" t="s">
        <v>18</v>
      </c>
      <c r="AU224" s="120" t="s">
        <v>19</v>
      </c>
      <c r="AV224" s="121" t="s">
        <v>25</v>
      </c>
      <c r="AX224" s="145" t="s">
        <v>21</v>
      </c>
      <c r="AY224" s="146" t="s">
        <v>22</v>
      </c>
      <c r="AZ224" s="147" t="s">
        <v>23</v>
      </c>
      <c r="BA224" s="148" t="s">
        <v>24</v>
      </c>
      <c r="BC224" s="119"/>
      <c r="BD224" s="120" t="s">
        <v>18</v>
      </c>
      <c r="BE224" s="120" t="s">
        <v>19</v>
      </c>
      <c r="BF224" s="121" t="s">
        <v>25</v>
      </c>
      <c r="BH224" s="145" t="s">
        <v>21</v>
      </c>
      <c r="BI224" s="146" t="s">
        <v>22</v>
      </c>
      <c r="BJ224" s="147" t="s">
        <v>23</v>
      </c>
      <c r="BK224" s="148" t="s">
        <v>24</v>
      </c>
      <c r="BM224" s="119"/>
      <c r="BN224" s="120" t="s">
        <v>18</v>
      </c>
      <c r="BO224" s="120" t="s">
        <v>19</v>
      </c>
      <c r="BP224" s="120" t="s">
        <v>20</v>
      </c>
      <c r="BQ224" s="121" t="s">
        <v>19</v>
      </c>
      <c r="BR224" s="121" t="s">
        <v>25</v>
      </c>
      <c r="BT224" s="145" t="s">
        <v>21</v>
      </c>
      <c r="BU224" s="146" t="s">
        <v>22</v>
      </c>
      <c r="BV224" s="147" t="s">
        <v>23</v>
      </c>
      <c r="BW224" s="148" t="s">
        <v>24</v>
      </c>
      <c r="BY224" s="119"/>
      <c r="BZ224" s="252" t="s">
        <v>18</v>
      </c>
      <c r="CA224" s="253" t="s">
        <v>19</v>
      </c>
      <c r="CB224" s="121" t="s">
        <v>19</v>
      </c>
      <c r="CC224" s="121" t="s">
        <v>25</v>
      </c>
      <c r="CE224" s="145" t="s">
        <v>21</v>
      </c>
      <c r="CF224" s="146" t="s">
        <v>22</v>
      </c>
      <c r="CG224" s="147" t="s">
        <v>23</v>
      </c>
      <c r="CH224" s="148" t="s">
        <v>24</v>
      </c>
      <c r="CJ224" s="119"/>
      <c r="CK224" s="120" t="s">
        <v>18</v>
      </c>
      <c r="CL224" s="120" t="s">
        <v>19</v>
      </c>
      <c r="CM224" s="121" t="s">
        <v>19</v>
      </c>
      <c r="CN224" s="121" t="s">
        <v>25</v>
      </c>
      <c r="CP224" s="145" t="s">
        <v>21</v>
      </c>
      <c r="CQ224" s="146" t="s">
        <v>22</v>
      </c>
      <c r="CR224" s="147" t="s">
        <v>23</v>
      </c>
      <c r="CS224" s="148" t="s">
        <v>24</v>
      </c>
      <c r="CU224" s="119"/>
      <c r="CV224" s="120" t="s">
        <v>18</v>
      </c>
      <c r="CW224" s="120" t="s">
        <v>19</v>
      </c>
      <c r="CX224" s="121" t="s">
        <v>19</v>
      </c>
      <c r="CY224" s="121" t="s">
        <v>25</v>
      </c>
      <c r="CZ224" s="6"/>
      <c r="DA224" s="16" t="s">
        <v>21</v>
      </c>
      <c r="DB224" s="16"/>
      <c r="DC224" s="17" t="s">
        <v>22</v>
      </c>
      <c r="DD224" s="18" t="s">
        <v>23</v>
      </c>
      <c r="DE224" s="19" t="s">
        <v>24</v>
      </c>
      <c r="DH224" s="119"/>
      <c r="DI224" s="120" t="s">
        <v>18</v>
      </c>
      <c r="DJ224" s="120" t="s">
        <v>19</v>
      </c>
      <c r="DK224" s="120" t="s">
        <v>20</v>
      </c>
      <c r="DL224" s="121" t="s">
        <v>19</v>
      </c>
      <c r="DM224" s="121" t="s">
        <v>25</v>
      </c>
      <c r="DO224" s="145" t="s">
        <v>21</v>
      </c>
      <c r="DP224" s="146" t="s">
        <v>22</v>
      </c>
      <c r="DQ224" s="147" t="s">
        <v>23</v>
      </c>
      <c r="DR224" s="148" t="s">
        <v>24</v>
      </c>
      <c r="DT224" s="119"/>
      <c r="DU224" s="120" t="s">
        <v>18</v>
      </c>
      <c r="DV224" s="120" t="s">
        <v>19</v>
      </c>
      <c r="DW224" s="121" t="s">
        <v>19</v>
      </c>
      <c r="DX224" s="121" t="s">
        <v>25</v>
      </c>
      <c r="DZ224" s="145" t="s">
        <v>21</v>
      </c>
      <c r="EA224" s="146" t="s">
        <v>22</v>
      </c>
      <c r="EB224" s="147" t="s">
        <v>23</v>
      </c>
      <c r="EC224" s="148" t="s">
        <v>24</v>
      </c>
      <c r="EE224" s="119"/>
      <c r="EF224" s="120" t="s">
        <v>18</v>
      </c>
      <c r="EG224" s="252" t="s">
        <v>19</v>
      </c>
      <c r="EH224" s="121" t="s">
        <v>19</v>
      </c>
      <c r="EI224" s="121" t="s">
        <v>25</v>
      </c>
      <c r="EK224" s="145" t="s">
        <v>21</v>
      </c>
      <c r="EL224" s="145"/>
      <c r="EM224" s="146" t="s">
        <v>22</v>
      </c>
      <c r="EN224" s="147" t="s">
        <v>23</v>
      </c>
      <c r="EO224" s="148" t="s">
        <v>24</v>
      </c>
      <c r="EQ224" s="119"/>
      <c r="ER224" s="120" t="s">
        <v>18</v>
      </c>
      <c r="ES224" s="120" t="s">
        <v>19</v>
      </c>
      <c r="ET224" s="121" t="s">
        <v>19</v>
      </c>
      <c r="EU224" s="121" t="s">
        <v>25</v>
      </c>
      <c r="EW224" s="145" t="s">
        <v>21</v>
      </c>
      <c r="EX224" s="146" t="s">
        <v>22</v>
      </c>
      <c r="EY224" s="147" t="s">
        <v>23</v>
      </c>
      <c r="EZ224" s="148" t="s">
        <v>24</v>
      </c>
      <c r="FB224" s="119"/>
      <c r="FC224" s="254" t="s">
        <v>18</v>
      </c>
      <c r="FD224" s="254" t="s">
        <v>19</v>
      </c>
      <c r="FE224" s="255" t="s">
        <v>19</v>
      </c>
      <c r="FF224" s="255" t="s">
        <v>25</v>
      </c>
      <c r="FH224" s="145" t="s">
        <v>21</v>
      </c>
      <c r="FI224" s="146" t="s">
        <v>22</v>
      </c>
      <c r="FJ224" s="147" t="s">
        <v>23</v>
      </c>
      <c r="FK224" s="148" t="s">
        <v>24</v>
      </c>
    </row>
    <row r="225" spans="2:167" hidden="1" x14ac:dyDescent="0.25">
      <c r="B225" s="122">
        <v>46023</v>
      </c>
      <c r="C225" s="123">
        <v>17911.32</v>
      </c>
      <c r="D225" s="126"/>
      <c r="E225" s="125"/>
      <c r="F225" s="126">
        <v>14.29</v>
      </c>
      <c r="G225" s="27"/>
      <c r="H225" s="239">
        <v>39.198899999999981</v>
      </c>
      <c r="I225" s="30"/>
      <c r="J225" s="29"/>
      <c r="K225" s="30">
        <f>SUM(F225:J225)</f>
        <v>53.48889999999998</v>
      </c>
      <c r="M225" s="122">
        <v>46023</v>
      </c>
      <c r="N225" s="123">
        <v>2490.36</v>
      </c>
      <c r="O225" s="125"/>
      <c r="P225" s="126">
        <v>0</v>
      </c>
      <c r="R225" s="239"/>
      <c r="S225" s="30"/>
      <c r="T225" s="29"/>
      <c r="U225" s="30">
        <f>SUM(P225:T225)</f>
        <v>0</v>
      </c>
      <c r="W225" s="122">
        <v>46023</v>
      </c>
      <c r="X225" s="123">
        <v>678.19</v>
      </c>
      <c r="Y225" s="123">
        <v>109.82</v>
      </c>
      <c r="Z225" s="125"/>
      <c r="AA225" s="273">
        <v>1.92</v>
      </c>
      <c r="AC225" s="239"/>
      <c r="AD225" s="30"/>
      <c r="AE225" s="29"/>
      <c r="AF225" s="30">
        <f>SUM(AA225:AE225)</f>
        <v>1.92</v>
      </c>
      <c r="AI225" s="122">
        <v>46023</v>
      </c>
      <c r="AJ225" s="123">
        <v>928</v>
      </c>
      <c r="AK225" s="125"/>
      <c r="AL225" s="126"/>
      <c r="AN225" s="28"/>
      <c r="AO225" s="29"/>
      <c r="AP225" s="29"/>
      <c r="AQ225" s="30"/>
      <c r="AS225" s="122">
        <v>46023</v>
      </c>
      <c r="AT225" s="123">
        <v>1942.97</v>
      </c>
      <c r="AU225" s="125"/>
      <c r="AV225" s="128"/>
      <c r="AX225" s="28"/>
      <c r="AY225" s="29"/>
      <c r="AZ225" s="29"/>
      <c r="BA225" s="30"/>
      <c r="BC225" s="122">
        <v>46023</v>
      </c>
      <c r="BD225" s="123">
        <v>623.04</v>
      </c>
      <c r="BE225" s="125"/>
      <c r="BF225" s="128">
        <v>0</v>
      </c>
      <c r="BH225" s="239"/>
      <c r="BI225" s="29"/>
      <c r="BJ225" s="29"/>
      <c r="BK225" s="30">
        <f>SUM(BF225:BJ225)</f>
        <v>0</v>
      </c>
      <c r="BM225" s="122">
        <v>46023</v>
      </c>
      <c r="BN225" s="123">
        <v>3479.96</v>
      </c>
      <c r="BO225" s="123">
        <v>1007.48</v>
      </c>
      <c r="BP225" s="123">
        <v>2825.37</v>
      </c>
      <c r="BQ225" s="125"/>
      <c r="BR225" s="125"/>
      <c r="BT225" s="239">
        <v>93.964149999999961</v>
      </c>
      <c r="BU225" s="30"/>
      <c r="BV225" s="30"/>
      <c r="BW225" s="30">
        <f t="shared" ref="BW225:BW255" si="114">SUM(BR225:BV225)</f>
        <v>93.964149999999961</v>
      </c>
      <c r="BY225" s="122">
        <v>46023</v>
      </c>
      <c r="BZ225" s="256">
        <v>760.44</v>
      </c>
      <c r="CA225" s="257">
        <v>224.01</v>
      </c>
      <c r="CB225" s="125"/>
      <c r="CC225" s="126"/>
      <c r="CE225" s="239"/>
      <c r="CF225" s="29"/>
      <c r="CG225" s="30"/>
      <c r="CH225" s="30">
        <f>SUM(CC225:CG225)</f>
        <v>0</v>
      </c>
      <c r="CJ225" s="122">
        <v>46023</v>
      </c>
      <c r="CK225" s="123">
        <v>3137.65</v>
      </c>
      <c r="CL225" s="123">
        <v>701.31</v>
      </c>
      <c r="CM225" s="125"/>
      <c r="CN225" s="126">
        <v>0</v>
      </c>
      <c r="CP225" s="239">
        <v>3.5076600000000013</v>
      </c>
      <c r="CQ225" s="30"/>
      <c r="CR225" s="29"/>
      <c r="CS225" s="30">
        <f>SUM(CN225:CR225)</f>
        <v>3.5076600000000013</v>
      </c>
      <c r="CU225" s="122">
        <v>46023</v>
      </c>
      <c r="CV225" s="123">
        <v>3255.59</v>
      </c>
      <c r="CW225" s="124">
        <v>799.53</v>
      </c>
      <c r="CX225" s="125"/>
      <c r="CY225" s="126">
        <v>53.36</v>
      </c>
      <c r="CZ225" s="27"/>
      <c r="DA225" s="239"/>
      <c r="DB225" s="402"/>
      <c r="DC225" s="29"/>
      <c r="DD225" s="29"/>
      <c r="DE225" s="30">
        <f>SUM(CY225:DD225)</f>
        <v>53.36</v>
      </c>
      <c r="DH225" s="122">
        <v>46023</v>
      </c>
      <c r="DI225" s="123">
        <v>1304.78</v>
      </c>
      <c r="DJ225" s="127">
        <v>0.14000000000000001</v>
      </c>
      <c r="DK225" s="127">
        <v>1374.06</v>
      </c>
      <c r="DL225" s="127"/>
      <c r="DM225" s="126">
        <v>0</v>
      </c>
      <c r="DO225" s="239"/>
      <c r="DP225" s="30"/>
      <c r="DQ225" s="29"/>
      <c r="DR225" s="30">
        <f>SUM(DM225:DQ225)</f>
        <v>0</v>
      </c>
      <c r="DT225" s="122">
        <v>46023</v>
      </c>
      <c r="DU225" s="123">
        <v>1186.93</v>
      </c>
      <c r="DV225" s="127">
        <v>705.57</v>
      </c>
      <c r="DW225" s="127"/>
      <c r="DX225" s="126">
        <v>4.5</v>
      </c>
      <c r="DZ225" s="28"/>
      <c r="EA225" s="30"/>
      <c r="EB225" s="29"/>
      <c r="EC225" s="30">
        <f>SUM(DX225:EB225)</f>
        <v>4.5</v>
      </c>
      <c r="EE225" s="122">
        <v>46023</v>
      </c>
      <c r="EF225" s="123">
        <v>210.89</v>
      </c>
      <c r="EG225" s="127">
        <v>320.47000000000003</v>
      </c>
      <c r="EH225" s="127"/>
      <c r="EI225" s="126">
        <v>44.07</v>
      </c>
      <c r="EK225" s="239">
        <v>87.086749999999967</v>
      </c>
      <c r="EL225" s="402"/>
      <c r="EM225" s="30">
        <v>50.416933677714241</v>
      </c>
      <c r="EN225" s="30"/>
      <c r="EO225" s="30">
        <f>SUM(EI225:EN225)</f>
        <v>181.5736836777142</v>
      </c>
      <c r="EQ225" s="122">
        <v>46023</v>
      </c>
      <c r="ER225" s="123">
        <v>1902.66</v>
      </c>
      <c r="ES225" s="259">
        <v>289.25</v>
      </c>
      <c r="ET225" s="127"/>
      <c r="EU225" s="258">
        <v>0</v>
      </c>
      <c r="EW225" s="239"/>
      <c r="EX225" s="30"/>
      <c r="EY225" s="29"/>
      <c r="EZ225" s="30">
        <f>SUM(EU225:EY225)</f>
        <v>0</v>
      </c>
      <c r="FB225" s="122">
        <v>46023</v>
      </c>
      <c r="FC225" s="123">
        <v>365.33</v>
      </c>
      <c r="FD225" s="123">
        <v>131.24</v>
      </c>
      <c r="FE225" s="125"/>
      <c r="FF225" s="126"/>
      <c r="FH225" s="28"/>
      <c r="FI225" s="29"/>
      <c r="FJ225" s="29"/>
      <c r="FK225" s="30"/>
    </row>
    <row r="226" spans="2:167" hidden="1" x14ac:dyDescent="0.25">
      <c r="B226" s="122">
        <v>46024</v>
      </c>
      <c r="C226" s="123">
        <v>20409.55</v>
      </c>
      <c r="D226" s="125"/>
      <c r="E226" s="125"/>
      <c r="F226" s="123">
        <v>0</v>
      </c>
      <c r="G226" s="27"/>
      <c r="H226" s="240">
        <v>18.8232</v>
      </c>
      <c r="I226" s="53"/>
      <c r="J226" s="52"/>
      <c r="K226" s="53">
        <f t="shared" ref="K226:K255" si="115">SUM(F226:J226)</f>
        <v>18.8232</v>
      </c>
      <c r="M226" s="122">
        <v>46024</v>
      </c>
      <c r="N226" s="123">
        <v>3677.5</v>
      </c>
      <c r="O226" s="125"/>
      <c r="P226" s="126">
        <v>21.77</v>
      </c>
      <c r="R226" s="240"/>
      <c r="S226" s="53"/>
      <c r="T226" s="52"/>
      <c r="U226" s="53">
        <f t="shared" ref="U226:U255" si="116">SUM(P226:T226)</f>
        <v>21.77</v>
      </c>
      <c r="W226" s="122">
        <v>46024</v>
      </c>
      <c r="X226" s="123">
        <v>2309.5300000000002</v>
      </c>
      <c r="Y226" s="123">
        <v>416.56</v>
      </c>
      <c r="Z226" s="125"/>
      <c r="AA226" s="273">
        <v>15.23</v>
      </c>
      <c r="AC226" s="240"/>
      <c r="AD226" s="53"/>
      <c r="AE226" s="52"/>
      <c r="AF226" s="53">
        <f t="shared" ref="AF226:AF255" si="117">SUM(AA226:AE226)</f>
        <v>15.23</v>
      </c>
      <c r="AI226" s="122">
        <v>46024</v>
      </c>
      <c r="AJ226" s="123">
        <v>1099.45</v>
      </c>
      <c r="AK226" s="125"/>
      <c r="AL226" s="126"/>
      <c r="AN226" s="51"/>
      <c r="AO226" s="52"/>
      <c r="AP226" s="52"/>
      <c r="AQ226" s="53"/>
      <c r="AS226" s="122">
        <v>46024</v>
      </c>
      <c r="AT226" s="123">
        <v>3457.81</v>
      </c>
      <c r="AU226" s="125"/>
      <c r="AV226" s="128"/>
      <c r="AX226" s="51"/>
      <c r="AY226" s="52"/>
      <c r="AZ226" s="52"/>
      <c r="BA226" s="53"/>
      <c r="BC226" s="122">
        <v>46024</v>
      </c>
      <c r="BD226" s="123">
        <v>1894.64</v>
      </c>
      <c r="BE226" s="125"/>
      <c r="BF226" s="128">
        <v>0</v>
      </c>
      <c r="BH226" s="240">
        <v>12.334830000000011</v>
      </c>
      <c r="BI226" s="52"/>
      <c r="BJ226" s="52"/>
      <c r="BK226" s="53">
        <f t="shared" ref="BK226:BK255" si="118">SUM(BF226:BJ226)</f>
        <v>12.334830000000011</v>
      </c>
      <c r="BM226" s="122">
        <v>46024</v>
      </c>
      <c r="BN226" s="123">
        <v>9186.7900000000009</v>
      </c>
      <c r="BO226" s="123">
        <v>2617.6</v>
      </c>
      <c r="BP226" s="123">
        <v>5551.73</v>
      </c>
      <c r="BQ226" s="125"/>
      <c r="BR226" s="125"/>
      <c r="BT226" s="240">
        <v>99.330479999999966</v>
      </c>
      <c r="BU226" s="53"/>
      <c r="BV226" s="53"/>
      <c r="BW226" s="53">
        <f t="shared" si="114"/>
        <v>99.330479999999966</v>
      </c>
      <c r="BY226" s="122">
        <v>46024</v>
      </c>
      <c r="BZ226" s="256">
        <v>2866.41</v>
      </c>
      <c r="CA226" s="257">
        <v>825.93</v>
      </c>
      <c r="CB226" s="125"/>
      <c r="CC226" s="126"/>
      <c r="CE226" s="240">
        <v>26.322800000000001</v>
      </c>
      <c r="CF226" s="52"/>
      <c r="CG226" s="53"/>
      <c r="CH226" s="53">
        <f t="shared" ref="CH226:CH255" si="119">SUM(CC226:CG226)</f>
        <v>26.322800000000001</v>
      </c>
      <c r="CJ226" s="122">
        <v>46024</v>
      </c>
      <c r="CK226" s="123">
        <v>3695.54</v>
      </c>
      <c r="CL226" s="123">
        <v>977.7</v>
      </c>
      <c r="CM226" s="125"/>
      <c r="CN226" s="126">
        <v>10.76</v>
      </c>
      <c r="CP226" s="240">
        <v>1011.7030799999998</v>
      </c>
      <c r="CQ226" s="53">
        <v>40.858941245714306</v>
      </c>
      <c r="CR226" s="52"/>
      <c r="CS226" s="53">
        <f t="shared" ref="CS226:CS255" si="120">SUM(CN226:CR226)</f>
        <v>1063.322021245714</v>
      </c>
      <c r="CU226" s="122">
        <v>46024</v>
      </c>
      <c r="CV226" s="123">
        <v>8705.65</v>
      </c>
      <c r="CW226" s="127">
        <v>1084.95</v>
      </c>
      <c r="CX226" s="125"/>
      <c r="CY226" s="128">
        <v>171.91</v>
      </c>
      <c r="CZ226" s="27"/>
      <c r="DA226" s="240">
        <v>520.82999999999959</v>
      </c>
      <c r="DB226" s="435"/>
      <c r="DC226" s="52"/>
      <c r="DD226" s="52"/>
      <c r="DE226" s="53">
        <f t="shared" ref="DE226:DE255" si="121">SUM(CY226:DD226)</f>
        <v>692.73999999999955</v>
      </c>
      <c r="DH226" s="122">
        <v>46024</v>
      </c>
      <c r="DI226" s="123">
        <v>1806.96</v>
      </c>
      <c r="DJ226" s="127">
        <v>303.70999999999998</v>
      </c>
      <c r="DK226" s="127">
        <v>2015.43</v>
      </c>
      <c r="DL226" s="127"/>
      <c r="DM226" s="126">
        <v>0</v>
      </c>
      <c r="DO226" s="240"/>
      <c r="DP226" s="53"/>
      <c r="DQ226" s="52"/>
      <c r="DR226" s="53">
        <f t="shared" ref="DR226:DR255" si="122">SUM(DM226:DQ226)</f>
        <v>0</v>
      </c>
      <c r="DT226" s="122">
        <v>46024</v>
      </c>
      <c r="DU226" s="123">
        <v>998.96</v>
      </c>
      <c r="DV226" s="127">
        <v>900.7</v>
      </c>
      <c r="DW226" s="127"/>
      <c r="DX226" s="126">
        <v>24.92</v>
      </c>
      <c r="DZ226" s="51"/>
      <c r="EA226" s="53"/>
      <c r="EB226" s="52"/>
      <c r="EC226" s="53">
        <f t="shared" ref="EC226:EC255" si="123">SUM(DX226:EB226)</f>
        <v>24.92</v>
      </c>
      <c r="EE226" s="122">
        <v>46024</v>
      </c>
      <c r="EF226" s="123">
        <v>981.95</v>
      </c>
      <c r="EG226" s="127">
        <v>614.67999999999995</v>
      </c>
      <c r="EH226" s="127"/>
      <c r="EI226" s="126">
        <v>3.4</v>
      </c>
      <c r="EK226" s="240">
        <v>416.83648999999986</v>
      </c>
      <c r="EL226" s="435"/>
      <c r="EM226" s="53">
        <v>124.85324216571422</v>
      </c>
      <c r="EN226" s="53"/>
      <c r="EO226" s="53">
        <f t="shared" ref="EO226:EO255" si="124">SUM(EI226:EN226)</f>
        <v>545.08973216571405</v>
      </c>
      <c r="EQ226" s="122">
        <v>46024</v>
      </c>
      <c r="ER226" s="123">
        <v>3934.73</v>
      </c>
      <c r="ES226" s="259">
        <v>397.25</v>
      </c>
      <c r="ET226" s="127"/>
      <c r="EU226" s="258">
        <v>54.87</v>
      </c>
      <c r="EW226" s="240"/>
      <c r="EX226" s="53"/>
      <c r="EY226" s="52"/>
      <c r="EZ226" s="53">
        <f t="shared" ref="EZ226:EZ255" si="125">SUM(EU226:EY226)</f>
        <v>54.87</v>
      </c>
      <c r="FB226" s="122">
        <v>46024</v>
      </c>
      <c r="FC226" s="123">
        <v>981.41</v>
      </c>
      <c r="FD226" s="123">
        <v>283</v>
      </c>
      <c r="FE226" s="125"/>
      <c r="FF226" s="126"/>
      <c r="FH226" s="51"/>
      <c r="FI226" s="52"/>
      <c r="FJ226" s="52"/>
      <c r="FK226" s="53"/>
    </row>
    <row r="227" spans="2:167" hidden="1" x14ac:dyDescent="0.25">
      <c r="B227" s="122">
        <v>46025</v>
      </c>
      <c r="C227" s="123">
        <v>19248.71</v>
      </c>
      <c r="D227" s="125"/>
      <c r="E227" s="125"/>
      <c r="F227" s="123">
        <v>0</v>
      </c>
      <c r="G227" s="27"/>
      <c r="H227" s="240"/>
      <c r="I227" s="53"/>
      <c r="J227" s="52"/>
      <c r="K227" s="53">
        <f t="shared" si="115"/>
        <v>0</v>
      </c>
      <c r="M227" s="122">
        <v>46025</v>
      </c>
      <c r="N227" s="123">
        <v>3491.67</v>
      </c>
      <c r="O227" s="125"/>
      <c r="P227" s="126">
        <v>0</v>
      </c>
      <c r="R227" s="240"/>
      <c r="S227" s="53"/>
      <c r="T227" s="52"/>
      <c r="U227" s="53">
        <f t="shared" si="116"/>
        <v>0</v>
      </c>
      <c r="W227" s="122">
        <v>46025</v>
      </c>
      <c r="X227" s="123">
        <v>2930.32</v>
      </c>
      <c r="Y227" s="123">
        <v>151.03</v>
      </c>
      <c r="Z227" s="125"/>
      <c r="AA227" s="273">
        <v>4.83</v>
      </c>
      <c r="AC227" s="240"/>
      <c r="AD227" s="53">
        <v>15.958706355428561</v>
      </c>
      <c r="AE227" s="52"/>
      <c r="AF227" s="53">
        <f t="shared" si="117"/>
        <v>20.788706355428559</v>
      </c>
      <c r="AI227" s="122">
        <v>46025</v>
      </c>
      <c r="AJ227" s="123">
        <v>754.15</v>
      </c>
      <c r="AK227" s="125"/>
      <c r="AL227" s="126"/>
      <c r="AN227" s="51"/>
      <c r="AO227" s="52"/>
      <c r="AP227" s="52"/>
      <c r="AQ227" s="53"/>
      <c r="AS227" s="122">
        <v>46025</v>
      </c>
      <c r="AT227" s="123">
        <v>3828.29</v>
      </c>
      <c r="AU227" s="125"/>
      <c r="AV227" s="128"/>
      <c r="AX227" s="51"/>
      <c r="AY227" s="52"/>
      <c r="AZ227" s="52"/>
      <c r="BA227" s="53"/>
      <c r="BC227" s="122">
        <v>46025</v>
      </c>
      <c r="BD227" s="123">
        <v>2675.4</v>
      </c>
      <c r="BE227" s="125"/>
      <c r="BF227" s="128">
        <v>7.58</v>
      </c>
      <c r="BH227" s="240">
        <v>8.8746600000000342</v>
      </c>
      <c r="BI227" s="52"/>
      <c r="BJ227" s="52"/>
      <c r="BK227" s="53">
        <f t="shared" si="118"/>
        <v>16.454660000000032</v>
      </c>
      <c r="BM227" s="122">
        <v>46025</v>
      </c>
      <c r="BN227" s="123">
        <v>6381.1</v>
      </c>
      <c r="BO227" s="123">
        <v>1797.56</v>
      </c>
      <c r="BP227" s="123">
        <v>5874.8</v>
      </c>
      <c r="BQ227" s="125"/>
      <c r="BR227" s="125"/>
      <c r="BT227" s="240">
        <v>143.56105999999994</v>
      </c>
      <c r="BU227" s="53"/>
      <c r="BV227" s="53"/>
      <c r="BW227" s="53">
        <f t="shared" si="114"/>
        <v>143.56105999999994</v>
      </c>
      <c r="BY227" s="122">
        <v>46025</v>
      </c>
      <c r="BZ227" s="256">
        <v>969.66</v>
      </c>
      <c r="CA227" s="257">
        <v>460.25</v>
      </c>
      <c r="CB227" s="125"/>
      <c r="CC227" s="126"/>
      <c r="CE227" s="240">
        <v>7.7335199999999986</v>
      </c>
      <c r="CF227" s="52"/>
      <c r="CG227" s="53">
        <v>30.181494000000043</v>
      </c>
      <c r="CH227" s="53">
        <f t="shared" si="119"/>
        <v>37.915014000000042</v>
      </c>
      <c r="CJ227" s="122">
        <v>46025</v>
      </c>
      <c r="CK227" s="123">
        <v>6791.95</v>
      </c>
      <c r="CL227" s="123">
        <v>775.11</v>
      </c>
      <c r="CM227" s="125"/>
      <c r="CN227" s="126">
        <v>27.48</v>
      </c>
      <c r="CP227" s="240">
        <v>135.75461000000001</v>
      </c>
      <c r="CQ227" s="53"/>
      <c r="CR227" s="52"/>
      <c r="CS227" s="53">
        <f t="shared" si="120"/>
        <v>163.23461</v>
      </c>
      <c r="CU227" s="122">
        <v>46025</v>
      </c>
      <c r="CV227" s="123">
        <v>7603.54</v>
      </c>
      <c r="CW227" s="127">
        <v>1140.48</v>
      </c>
      <c r="CX227" s="125"/>
      <c r="CY227" s="126">
        <v>146.61000000000001</v>
      </c>
      <c r="CZ227" s="27"/>
      <c r="DA227" s="240">
        <v>580.1400000000001</v>
      </c>
      <c r="DB227" s="435"/>
      <c r="DC227" s="52"/>
      <c r="DD227" s="52"/>
      <c r="DE227" s="53">
        <f t="shared" si="121"/>
        <v>726.75000000000011</v>
      </c>
      <c r="DH227" s="122">
        <v>46025</v>
      </c>
      <c r="DI227" s="123">
        <v>1646.38</v>
      </c>
      <c r="DJ227" s="126">
        <v>328.88</v>
      </c>
      <c r="DK227" s="126">
        <v>3726.59</v>
      </c>
      <c r="DL227" s="127"/>
      <c r="DM227" s="126">
        <v>0</v>
      </c>
      <c r="DO227" s="240"/>
      <c r="DP227" s="53"/>
      <c r="DQ227" s="52"/>
      <c r="DR227" s="53">
        <f t="shared" si="122"/>
        <v>0</v>
      </c>
      <c r="DT227" s="122">
        <v>46025</v>
      </c>
      <c r="DU227" s="123">
        <v>1500.75</v>
      </c>
      <c r="DV227" s="127">
        <v>1258.19</v>
      </c>
      <c r="DW227" s="127"/>
      <c r="DX227" s="126">
        <v>9.08</v>
      </c>
      <c r="DZ227" s="51"/>
      <c r="EA227" s="53"/>
      <c r="EB227" s="52"/>
      <c r="EC227" s="53">
        <f t="shared" si="123"/>
        <v>9.08</v>
      </c>
      <c r="EE227" s="122">
        <v>46025</v>
      </c>
      <c r="EF227" s="123">
        <v>761.19</v>
      </c>
      <c r="EG227" s="127">
        <v>964.24</v>
      </c>
      <c r="EH227" s="127"/>
      <c r="EI227" s="126">
        <v>9.01</v>
      </c>
      <c r="EK227" s="240">
        <v>178.54029999999989</v>
      </c>
      <c r="EL227" s="435"/>
      <c r="EM227" s="53">
        <v>183.52146722857131</v>
      </c>
      <c r="EN227" s="53"/>
      <c r="EO227" s="53">
        <f t="shared" si="124"/>
        <v>371.07176722857116</v>
      </c>
      <c r="EQ227" s="122">
        <v>46025</v>
      </c>
      <c r="ER227" s="123">
        <v>4950.1499999999996</v>
      </c>
      <c r="ES227" s="259">
        <v>386.86</v>
      </c>
      <c r="ET227" s="127"/>
      <c r="EU227" s="258">
        <v>15.31</v>
      </c>
      <c r="EW227" s="240"/>
      <c r="EX227" s="53">
        <v>264.36168954285688</v>
      </c>
      <c r="EY227" s="52"/>
      <c r="EZ227" s="53">
        <f t="shared" si="125"/>
        <v>279.67168954285688</v>
      </c>
      <c r="FB227" s="122">
        <v>46025</v>
      </c>
      <c r="FC227" s="123">
        <v>570.04</v>
      </c>
      <c r="FD227" s="123">
        <v>234.07</v>
      </c>
      <c r="FE227" s="125"/>
      <c r="FF227" s="126"/>
      <c r="FH227" s="51"/>
      <c r="FI227" s="52"/>
      <c r="FJ227" s="52"/>
      <c r="FK227" s="53"/>
    </row>
    <row r="228" spans="2:167" hidden="1" x14ac:dyDescent="0.25">
      <c r="B228" s="122">
        <v>46026</v>
      </c>
      <c r="C228" s="123">
        <v>14724.58</v>
      </c>
      <c r="D228" s="125"/>
      <c r="E228" s="125"/>
      <c r="F228" s="123">
        <v>0</v>
      </c>
      <c r="G228" s="27"/>
      <c r="H228" s="240">
        <v>5.1970799999999926</v>
      </c>
      <c r="I228" s="53"/>
      <c r="J228" s="52"/>
      <c r="K228" s="53">
        <f t="shared" si="115"/>
        <v>5.1970799999999926</v>
      </c>
      <c r="M228" s="122">
        <v>46026</v>
      </c>
      <c r="N228" s="123">
        <v>2922.36</v>
      </c>
      <c r="O228" s="125"/>
      <c r="P228" s="126">
        <v>0</v>
      </c>
      <c r="R228" s="240"/>
      <c r="S228" s="53"/>
      <c r="T228" s="52"/>
      <c r="U228" s="53">
        <f t="shared" si="116"/>
        <v>0</v>
      </c>
      <c r="W228" s="122">
        <v>46026</v>
      </c>
      <c r="X228" s="123">
        <v>2300.5</v>
      </c>
      <c r="Y228" s="123">
        <v>719.55</v>
      </c>
      <c r="Z228" s="125"/>
      <c r="AA228" s="273">
        <v>3.07</v>
      </c>
      <c r="AC228" s="240"/>
      <c r="AD228" s="53"/>
      <c r="AE228" s="52"/>
      <c r="AF228" s="53">
        <f t="shared" si="117"/>
        <v>3.07</v>
      </c>
      <c r="AI228" s="122">
        <v>46026</v>
      </c>
      <c r="AJ228" s="123">
        <v>1445.02</v>
      </c>
      <c r="AK228" s="125"/>
      <c r="AL228" s="126"/>
      <c r="AN228" s="51"/>
      <c r="AO228" s="52"/>
      <c r="AP228" s="52"/>
      <c r="AQ228" s="53"/>
      <c r="AS228" s="122">
        <v>46026</v>
      </c>
      <c r="AT228" s="123">
        <v>2907.41</v>
      </c>
      <c r="AU228" s="125"/>
      <c r="AV228" s="128"/>
      <c r="AX228" s="51"/>
      <c r="AY228" s="52"/>
      <c r="AZ228" s="52"/>
      <c r="BA228" s="53"/>
      <c r="BC228" s="122">
        <v>46026</v>
      </c>
      <c r="BD228" s="123">
        <v>2126.7199999999998</v>
      </c>
      <c r="BE228" s="125"/>
      <c r="BF228" s="128">
        <v>2.83</v>
      </c>
      <c r="BH228" s="240"/>
      <c r="BI228" s="52"/>
      <c r="BJ228" s="52"/>
      <c r="BK228" s="53">
        <f t="shared" si="118"/>
        <v>2.83</v>
      </c>
      <c r="BM228" s="122">
        <v>46026</v>
      </c>
      <c r="BN228" s="123">
        <v>7732.38</v>
      </c>
      <c r="BO228" s="123">
        <v>2386.64</v>
      </c>
      <c r="BP228" s="123">
        <v>4532.2</v>
      </c>
      <c r="BQ228" s="125"/>
      <c r="BR228" s="125"/>
      <c r="BT228" s="240">
        <v>182.76390999999995</v>
      </c>
      <c r="BU228" s="53"/>
      <c r="BV228" s="53"/>
      <c r="BW228" s="53">
        <f t="shared" si="114"/>
        <v>182.76390999999995</v>
      </c>
      <c r="BY228" s="122">
        <v>46026</v>
      </c>
      <c r="BZ228" s="256">
        <v>694.49</v>
      </c>
      <c r="CA228" s="257">
        <v>983.54</v>
      </c>
      <c r="CB228" s="126"/>
      <c r="CC228" s="126"/>
      <c r="CE228" s="240"/>
      <c r="CF228" s="52"/>
      <c r="CG228" s="53"/>
      <c r="CH228" s="53">
        <f t="shared" si="119"/>
        <v>0</v>
      </c>
      <c r="CJ228" s="122">
        <v>46026</v>
      </c>
      <c r="CK228" s="123">
        <v>3623.73</v>
      </c>
      <c r="CL228" s="123">
        <v>546.9</v>
      </c>
      <c r="CM228" s="125"/>
      <c r="CN228" s="126">
        <v>0</v>
      </c>
      <c r="CP228" s="240">
        <v>84.265059999999977</v>
      </c>
      <c r="CQ228" s="53"/>
      <c r="CR228" s="52"/>
      <c r="CS228" s="53">
        <f t="shared" si="120"/>
        <v>84.265059999999977</v>
      </c>
      <c r="CU228" s="122">
        <v>46026</v>
      </c>
      <c r="CV228" s="123">
        <v>1584.72</v>
      </c>
      <c r="CW228" s="127">
        <v>1168.29</v>
      </c>
      <c r="CX228" s="125"/>
      <c r="CY228" s="126">
        <v>194.78</v>
      </c>
      <c r="CZ228" s="27"/>
      <c r="DA228" s="240">
        <v>31.860000000000014</v>
      </c>
      <c r="DB228" s="435"/>
      <c r="DC228" s="52"/>
      <c r="DD228" s="52"/>
      <c r="DE228" s="53">
        <f t="shared" si="121"/>
        <v>226.64000000000001</v>
      </c>
      <c r="DH228" s="122">
        <v>46026</v>
      </c>
      <c r="DI228" s="123">
        <v>786.13</v>
      </c>
      <c r="DJ228" s="127">
        <v>398.61</v>
      </c>
      <c r="DK228" s="127">
        <v>2151.34</v>
      </c>
      <c r="DL228" s="127"/>
      <c r="DM228" s="126">
        <v>0</v>
      </c>
      <c r="DO228" s="240"/>
      <c r="DP228" s="53"/>
      <c r="DQ228" s="52"/>
      <c r="DR228" s="53">
        <f t="shared" si="122"/>
        <v>0</v>
      </c>
      <c r="DT228" s="122">
        <v>46026</v>
      </c>
      <c r="DU228" s="123">
        <v>1320.04</v>
      </c>
      <c r="DV228" s="127">
        <v>1026.33</v>
      </c>
      <c r="DW228" s="127"/>
      <c r="DX228" s="126">
        <v>4.5</v>
      </c>
      <c r="DZ228" s="51"/>
      <c r="EA228" s="53"/>
      <c r="EB228" s="52"/>
      <c r="EC228" s="53">
        <f t="shared" si="123"/>
        <v>4.5</v>
      </c>
      <c r="EE228" s="122">
        <v>46026</v>
      </c>
      <c r="EF228" s="123">
        <v>596.67999999999995</v>
      </c>
      <c r="EG228" s="127">
        <v>458.85</v>
      </c>
      <c r="EH228" s="127"/>
      <c r="EI228" s="126">
        <v>40.82</v>
      </c>
      <c r="EK228" s="240"/>
      <c r="EL228" s="435"/>
      <c r="EM228" s="53"/>
      <c r="EN228" s="53"/>
      <c r="EO228" s="53">
        <f t="shared" si="124"/>
        <v>40.82</v>
      </c>
      <c r="EQ228" s="122">
        <v>46026</v>
      </c>
      <c r="ER228" s="123">
        <v>3987.15</v>
      </c>
      <c r="ES228" s="259">
        <v>345.61</v>
      </c>
      <c r="ET228" s="127"/>
      <c r="EU228" s="258">
        <v>426.54</v>
      </c>
      <c r="EW228" s="240"/>
      <c r="EX228" s="53"/>
      <c r="EY228" s="52"/>
      <c r="EZ228" s="53">
        <f t="shared" si="125"/>
        <v>426.54</v>
      </c>
      <c r="FB228" s="122">
        <v>46026</v>
      </c>
      <c r="FC228" s="123">
        <v>1057.24</v>
      </c>
      <c r="FD228" s="123">
        <v>182.18</v>
      </c>
      <c r="FE228" s="125"/>
      <c r="FF228" s="126"/>
      <c r="FH228" s="51"/>
      <c r="FI228" s="52"/>
      <c r="FJ228" s="52"/>
      <c r="FK228" s="53"/>
    </row>
    <row r="229" spans="2:167" hidden="1" x14ac:dyDescent="0.25">
      <c r="B229" s="122">
        <v>46027</v>
      </c>
      <c r="C229" s="123">
        <v>16566.599999999999</v>
      </c>
      <c r="D229" s="125"/>
      <c r="E229" s="125"/>
      <c r="F229" s="125">
        <v>118.21</v>
      </c>
      <c r="G229" s="27"/>
      <c r="H229" s="240"/>
      <c r="I229" s="53"/>
      <c r="J229" s="52"/>
      <c r="K229" s="53">
        <f t="shared" si="115"/>
        <v>118.21</v>
      </c>
      <c r="M229" s="122">
        <v>46027</v>
      </c>
      <c r="N229" s="123">
        <v>3540.92</v>
      </c>
      <c r="O229" s="125"/>
      <c r="P229" s="126">
        <v>15.5</v>
      </c>
      <c r="R229" s="240"/>
      <c r="S229" s="53">
        <v>3.5564928914285758</v>
      </c>
      <c r="T229" s="52"/>
      <c r="U229" s="53">
        <f t="shared" si="116"/>
        <v>19.056492891428576</v>
      </c>
      <c r="W229" s="122">
        <v>46027</v>
      </c>
      <c r="X229" s="123">
        <v>1524.29</v>
      </c>
      <c r="Y229" s="123">
        <v>132.01</v>
      </c>
      <c r="Z229" s="125"/>
      <c r="AA229" s="273">
        <v>42.58</v>
      </c>
      <c r="AC229" s="240"/>
      <c r="AD229" s="53"/>
      <c r="AE229" s="52"/>
      <c r="AF229" s="53">
        <f t="shared" si="117"/>
        <v>42.58</v>
      </c>
      <c r="AI229" s="122">
        <v>46027</v>
      </c>
      <c r="AJ229" s="123">
        <v>1487.68</v>
      </c>
      <c r="AK229" s="125"/>
      <c r="AL229" s="126"/>
      <c r="AN229" s="51"/>
      <c r="AO229" s="52"/>
      <c r="AP229" s="52"/>
      <c r="AQ229" s="53"/>
      <c r="AS229" s="122">
        <v>46027</v>
      </c>
      <c r="AT229" s="123">
        <v>4196.84</v>
      </c>
      <c r="AU229" s="125"/>
      <c r="AV229" s="128"/>
      <c r="AX229" s="51"/>
      <c r="AY229" s="52"/>
      <c r="AZ229" s="52"/>
      <c r="BA229" s="53"/>
      <c r="BC229" s="122">
        <v>46027</v>
      </c>
      <c r="BD229" s="123">
        <v>1804.98</v>
      </c>
      <c r="BE229" s="125"/>
      <c r="BF229" s="128">
        <v>0</v>
      </c>
      <c r="BH229" s="240">
        <v>20.00748999999999</v>
      </c>
      <c r="BI229" s="52"/>
      <c r="BJ229" s="52"/>
      <c r="BK229" s="53">
        <f t="shared" si="118"/>
        <v>20.00748999999999</v>
      </c>
      <c r="BM229" s="122">
        <v>46027</v>
      </c>
      <c r="BN229" s="123">
        <v>9655.5</v>
      </c>
      <c r="BO229" s="123">
        <v>2603.6999999999998</v>
      </c>
      <c r="BP229" s="123">
        <v>8007.38</v>
      </c>
      <c r="BQ229" s="125"/>
      <c r="BR229" s="125"/>
      <c r="BT229" s="240">
        <v>98.942880000000002</v>
      </c>
      <c r="BU229" s="53">
        <v>642.49662857142869</v>
      </c>
      <c r="BV229" s="53"/>
      <c r="BW229" s="53">
        <f t="shared" si="114"/>
        <v>741.43950857142863</v>
      </c>
      <c r="BY229" s="122">
        <v>46027</v>
      </c>
      <c r="BZ229" s="256">
        <v>498.99</v>
      </c>
      <c r="CA229" s="257">
        <v>707.53</v>
      </c>
      <c r="CB229" s="125"/>
      <c r="CC229" s="126"/>
      <c r="CE229" s="240"/>
      <c r="CF229" s="52"/>
      <c r="CG229" s="53"/>
      <c r="CH229" s="53">
        <f t="shared" si="119"/>
        <v>0</v>
      </c>
      <c r="CJ229" s="122">
        <v>46027</v>
      </c>
      <c r="CK229" s="123">
        <v>5724.16</v>
      </c>
      <c r="CL229" s="123">
        <v>394.18</v>
      </c>
      <c r="CM229" s="125"/>
      <c r="CN229" s="126">
        <v>26.83</v>
      </c>
      <c r="CP229" s="240">
        <v>173.01163000000003</v>
      </c>
      <c r="CQ229" s="53">
        <v>11.337323833142847</v>
      </c>
      <c r="CR229" s="52"/>
      <c r="CS229" s="53">
        <f t="shared" si="120"/>
        <v>211.17895383314286</v>
      </c>
      <c r="CU229" s="122">
        <v>46027</v>
      </c>
      <c r="CV229" s="123">
        <v>8484.08</v>
      </c>
      <c r="CW229" s="127">
        <v>782.81</v>
      </c>
      <c r="CX229" s="125"/>
      <c r="CY229" s="126">
        <v>303.45999999999998</v>
      </c>
      <c r="CZ229" s="27"/>
      <c r="DA229" s="240">
        <v>145.35000000000008</v>
      </c>
      <c r="DB229" s="435"/>
      <c r="DC229" s="52"/>
      <c r="DD229" s="52"/>
      <c r="DE229" s="53">
        <f t="shared" si="121"/>
        <v>448.81000000000006</v>
      </c>
      <c r="DH229" s="122">
        <v>46027</v>
      </c>
      <c r="DI229" s="123">
        <v>3109.56</v>
      </c>
      <c r="DJ229" s="127">
        <v>352.92</v>
      </c>
      <c r="DK229" s="127">
        <v>2209.5100000000002</v>
      </c>
      <c r="DL229" s="127"/>
      <c r="DM229" s="126">
        <v>28.4</v>
      </c>
      <c r="DO229" s="240">
        <v>24.151219999999995</v>
      </c>
      <c r="DP229" s="53"/>
      <c r="DQ229" s="52"/>
      <c r="DR229" s="53">
        <f t="shared" si="122"/>
        <v>52.551219999999994</v>
      </c>
      <c r="DT229" s="122">
        <v>46027</v>
      </c>
      <c r="DU229" s="123">
        <v>2141.1999999999998</v>
      </c>
      <c r="DV229" s="127">
        <v>1240.18</v>
      </c>
      <c r="DW229" s="127"/>
      <c r="DX229" s="126">
        <v>22.6</v>
      </c>
      <c r="DZ229" s="51"/>
      <c r="EA229" s="53"/>
      <c r="EB229" s="52"/>
      <c r="EC229" s="53">
        <f t="shared" si="123"/>
        <v>22.6</v>
      </c>
      <c r="EE229" s="122">
        <v>46027</v>
      </c>
      <c r="EF229" s="123">
        <v>677.9</v>
      </c>
      <c r="EG229" s="127">
        <v>605.19000000000005</v>
      </c>
      <c r="EH229" s="127"/>
      <c r="EI229" s="126">
        <v>6.36</v>
      </c>
      <c r="EK229" s="240">
        <v>1141.1623499999998</v>
      </c>
      <c r="EL229" s="435"/>
      <c r="EM229" s="53">
        <v>208.83764242285704</v>
      </c>
      <c r="EN229" s="53"/>
      <c r="EO229" s="53">
        <f t="shared" si="124"/>
        <v>1356.3599924228567</v>
      </c>
      <c r="EQ229" s="122">
        <v>46027</v>
      </c>
      <c r="ER229" s="123">
        <v>3566.51</v>
      </c>
      <c r="ES229" s="259">
        <v>174.69</v>
      </c>
      <c r="ET229" s="127"/>
      <c r="EU229" s="258">
        <v>252.58</v>
      </c>
      <c r="EW229" s="240">
        <v>9.2425500000000227</v>
      </c>
      <c r="EX229" s="53"/>
      <c r="EY229" s="52"/>
      <c r="EZ229" s="53">
        <f t="shared" si="125"/>
        <v>261.82255000000004</v>
      </c>
      <c r="FB229" s="122">
        <v>46027</v>
      </c>
      <c r="FC229" s="123">
        <v>657.84</v>
      </c>
      <c r="FD229" s="123">
        <v>243.65</v>
      </c>
      <c r="FE229" s="125"/>
      <c r="FF229" s="126"/>
      <c r="FH229" s="51"/>
      <c r="FI229" s="52"/>
      <c r="FJ229" s="52"/>
      <c r="FK229" s="53"/>
    </row>
    <row r="230" spans="2:167" hidden="1" x14ac:dyDescent="0.25">
      <c r="B230" s="122">
        <v>46028</v>
      </c>
      <c r="C230" s="123">
        <v>12231.54</v>
      </c>
      <c r="D230" s="125"/>
      <c r="E230" s="125"/>
      <c r="F230" s="123">
        <v>0</v>
      </c>
      <c r="G230" s="27"/>
      <c r="H230" s="240">
        <v>38.905659999999983</v>
      </c>
      <c r="I230" s="53"/>
      <c r="J230" s="52"/>
      <c r="K230" s="53">
        <f t="shared" si="115"/>
        <v>38.905659999999983</v>
      </c>
      <c r="M230" s="122">
        <v>46028</v>
      </c>
      <c r="N230" s="123">
        <v>3445.46</v>
      </c>
      <c r="O230" s="125"/>
      <c r="P230" s="126">
        <v>24.25</v>
      </c>
      <c r="R230" s="240"/>
      <c r="S230" s="53"/>
      <c r="T230" s="52"/>
      <c r="U230" s="53">
        <f t="shared" si="116"/>
        <v>24.25</v>
      </c>
      <c r="W230" s="122">
        <v>46028</v>
      </c>
      <c r="X230" s="123">
        <v>1609.04</v>
      </c>
      <c r="Y230" s="123">
        <v>85.58</v>
      </c>
      <c r="Z230" s="125"/>
      <c r="AA230" s="273">
        <v>6.62</v>
      </c>
      <c r="AC230" s="240"/>
      <c r="AD230" s="53"/>
      <c r="AE230" s="52"/>
      <c r="AF230" s="53">
        <f t="shared" si="117"/>
        <v>6.62</v>
      </c>
      <c r="AI230" s="122">
        <v>46028</v>
      </c>
      <c r="AJ230" s="123">
        <v>1002.02</v>
      </c>
      <c r="AK230" s="125"/>
      <c r="AL230" s="126"/>
      <c r="AN230" s="51"/>
      <c r="AO230" s="52"/>
      <c r="AP230" s="52"/>
      <c r="AQ230" s="53"/>
      <c r="AS230" s="122">
        <v>46028</v>
      </c>
      <c r="AT230" s="123">
        <v>3747.58</v>
      </c>
      <c r="AU230" s="125"/>
      <c r="AV230" s="128"/>
      <c r="AX230" s="51"/>
      <c r="AY230" s="52"/>
      <c r="AZ230" s="52"/>
      <c r="BA230" s="53"/>
      <c r="BC230" s="122">
        <v>46028</v>
      </c>
      <c r="BD230" s="123">
        <v>2650.99</v>
      </c>
      <c r="BE230" s="125"/>
      <c r="BF230" s="128">
        <v>0</v>
      </c>
      <c r="BH230" s="240">
        <v>14.64950000000001</v>
      </c>
      <c r="BI230" s="52"/>
      <c r="BJ230" s="52"/>
      <c r="BK230" s="53">
        <f t="shared" si="118"/>
        <v>14.64950000000001</v>
      </c>
      <c r="BM230" s="122">
        <v>46028</v>
      </c>
      <c r="BN230" s="123">
        <v>9261.77</v>
      </c>
      <c r="BO230" s="123">
        <v>2468.63</v>
      </c>
      <c r="BP230" s="123">
        <v>8158.99</v>
      </c>
      <c r="BQ230" s="125"/>
      <c r="BR230" s="125"/>
      <c r="BT230" s="240">
        <v>171.33539999999991</v>
      </c>
      <c r="BU230" s="53"/>
      <c r="BV230" s="53"/>
      <c r="BW230" s="53">
        <f t="shared" si="114"/>
        <v>171.33539999999991</v>
      </c>
      <c r="BY230" s="122">
        <v>46028</v>
      </c>
      <c r="BZ230" s="256">
        <v>1235.94</v>
      </c>
      <c r="CA230" s="257">
        <v>306.86</v>
      </c>
      <c r="CB230" s="125"/>
      <c r="CC230" s="126"/>
      <c r="CE230" s="240"/>
      <c r="CF230" s="52"/>
      <c r="CG230" s="53"/>
      <c r="CH230" s="53">
        <f t="shared" si="119"/>
        <v>0</v>
      </c>
      <c r="CJ230" s="122">
        <v>46028</v>
      </c>
      <c r="CK230" s="123">
        <v>4243.58</v>
      </c>
      <c r="CL230" s="123">
        <v>1090.0899999999999</v>
      </c>
      <c r="CM230" s="125"/>
      <c r="CN230" s="126">
        <v>5</v>
      </c>
      <c r="CP230" s="240">
        <v>73.28625999999997</v>
      </c>
      <c r="CQ230" s="53">
        <v>43.895059165714315</v>
      </c>
      <c r="CR230" s="52"/>
      <c r="CS230" s="53">
        <f t="shared" si="120"/>
        <v>122.18131916571429</v>
      </c>
      <c r="CU230" s="122">
        <v>46028</v>
      </c>
      <c r="CV230" s="123">
        <v>16420.849999999999</v>
      </c>
      <c r="CW230" s="127">
        <v>1248.6600000000001</v>
      </c>
      <c r="CX230" s="125"/>
      <c r="CY230" s="126">
        <v>134.41999999999999</v>
      </c>
      <c r="CZ230" s="27"/>
      <c r="DA230" s="240">
        <v>51.300000000000026</v>
      </c>
      <c r="DB230" s="435"/>
      <c r="DC230" s="52"/>
      <c r="DD230" s="52"/>
      <c r="DE230" s="53">
        <f t="shared" si="121"/>
        <v>185.72000000000003</v>
      </c>
      <c r="DH230" s="122">
        <v>46028</v>
      </c>
      <c r="DI230" s="123">
        <v>1209.96</v>
      </c>
      <c r="DJ230" s="259">
        <v>461.08</v>
      </c>
      <c r="DK230" s="259">
        <v>2046.29</v>
      </c>
      <c r="DL230" s="127"/>
      <c r="DM230" s="126">
        <v>0</v>
      </c>
      <c r="DO230" s="240">
        <v>36.13509999999998</v>
      </c>
      <c r="DP230" s="53"/>
      <c r="DQ230" s="52"/>
      <c r="DR230" s="53">
        <f t="shared" si="122"/>
        <v>36.13509999999998</v>
      </c>
      <c r="DT230" s="122">
        <v>46028</v>
      </c>
      <c r="DU230" s="123">
        <v>2276.61</v>
      </c>
      <c r="DV230" s="259">
        <v>1214.26</v>
      </c>
      <c r="DW230" s="127"/>
      <c r="DX230" s="126">
        <v>2.7</v>
      </c>
      <c r="DZ230" s="51"/>
      <c r="EA230" s="53"/>
      <c r="EB230" s="52"/>
      <c r="EC230" s="53">
        <f t="shared" si="123"/>
        <v>2.7</v>
      </c>
      <c r="EE230" s="122">
        <v>46028</v>
      </c>
      <c r="EF230" s="123">
        <v>708.57</v>
      </c>
      <c r="EG230" s="127">
        <v>1021.36</v>
      </c>
      <c r="EH230" s="127"/>
      <c r="EI230" s="126">
        <v>23.7</v>
      </c>
      <c r="EK230" s="240">
        <v>458.83928999999989</v>
      </c>
      <c r="EL230" s="435"/>
      <c r="EM230" s="53">
        <v>408.24461983999976</v>
      </c>
      <c r="EN230" s="53"/>
      <c r="EO230" s="53">
        <f t="shared" si="124"/>
        <v>890.78390983999964</v>
      </c>
      <c r="EQ230" s="122">
        <v>46028</v>
      </c>
      <c r="ER230" s="123">
        <v>3530.36</v>
      </c>
      <c r="ES230" s="259">
        <v>350.27</v>
      </c>
      <c r="ET230" s="127"/>
      <c r="EU230" s="258">
        <v>16.02</v>
      </c>
      <c r="EW230" s="240">
        <v>29.47070999999994</v>
      </c>
      <c r="EX230" s="53">
        <v>347.54413823999971</v>
      </c>
      <c r="EY230" s="52"/>
      <c r="EZ230" s="53">
        <f t="shared" si="125"/>
        <v>393.03484823999963</v>
      </c>
      <c r="FB230" s="122">
        <v>46028</v>
      </c>
      <c r="FC230" s="123">
        <v>878.37</v>
      </c>
      <c r="FD230" s="123">
        <v>119.86</v>
      </c>
      <c r="FE230" s="125"/>
      <c r="FF230" s="126"/>
      <c r="FH230" s="51"/>
      <c r="FI230" s="52"/>
      <c r="FJ230" s="52"/>
      <c r="FK230" s="53"/>
    </row>
    <row r="231" spans="2:167" hidden="1" x14ac:dyDescent="0.25">
      <c r="B231" s="122">
        <v>46029</v>
      </c>
      <c r="C231" s="123">
        <v>14627.69</v>
      </c>
      <c r="D231" s="125"/>
      <c r="E231" s="125"/>
      <c r="F231" s="125">
        <v>96.97</v>
      </c>
      <c r="G231" s="27"/>
      <c r="H231" s="240">
        <v>19.840000000000003</v>
      </c>
      <c r="I231" s="53"/>
      <c r="J231" s="52"/>
      <c r="K231" s="53">
        <f t="shared" si="115"/>
        <v>116.81</v>
      </c>
      <c r="M231" s="122">
        <v>46029</v>
      </c>
      <c r="N231" s="123">
        <v>3512.37</v>
      </c>
      <c r="O231" s="125"/>
      <c r="P231" s="126">
        <v>0</v>
      </c>
      <c r="R231" s="240"/>
      <c r="S231" s="53">
        <v>13.633658177142863</v>
      </c>
      <c r="T231" s="52"/>
      <c r="U231" s="53">
        <f t="shared" si="116"/>
        <v>13.633658177142863</v>
      </c>
      <c r="W231" s="122">
        <v>46029</v>
      </c>
      <c r="X231" s="123">
        <v>1655.18</v>
      </c>
      <c r="Y231" s="123">
        <v>153.31</v>
      </c>
      <c r="Z231" s="125"/>
      <c r="AA231" s="273">
        <v>15.14</v>
      </c>
      <c r="AC231" s="240"/>
      <c r="AD231" s="53"/>
      <c r="AE231" s="52"/>
      <c r="AF231" s="53">
        <f t="shared" si="117"/>
        <v>15.14</v>
      </c>
      <c r="AI231" s="122">
        <v>46029</v>
      </c>
      <c r="AJ231" s="123">
        <v>1585.34</v>
      </c>
      <c r="AK231" s="125"/>
      <c r="AL231" s="126"/>
      <c r="AN231" s="51"/>
      <c r="AO231" s="52"/>
      <c r="AP231" s="52"/>
      <c r="AQ231" s="53"/>
      <c r="AS231" s="122">
        <v>46029</v>
      </c>
      <c r="AT231" s="123">
        <v>3179.64</v>
      </c>
      <c r="AU231" s="125"/>
      <c r="AV231" s="128"/>
      <c r="AX231" s="51"/>
      <c r="AY231" s="52"/>
      <c r="AZ231" s="52"/>
      <c r="BA231" s="53"/>
      <c r="BC231" s="122">
        <v>46029</v>
      </c>
      <c r="BD231" s="123">
        <v>2629.22</v>
      </c>
      <c r="BE231" s="125"/>
      <c r="BF231" s="128">
        <v>0</v>
      </c>
      <c r="BH231" s="240"/>
      <c r="BI231" s="52"/>
      <c r="BJ231" s="52"/>
      <c r="BK231" s="53">
        <f t="shared" si="118"/>
        <v>0</v>
      </c>
      <c r="BM231" s="122">
        <v>46029</v>
      </c>
      <c r="BN231" s="123">
        <v>11724.26</v>
      </c>
      <c r="BO231" s="123">
        <v>3267.51</v>
      </c>
      <c r="BP231" s="123">
        <v>7810.87</v>
      </c>
      <c r="BQ231" s="125"/>
      <c r="BR231" s="125"/>
      <c r="BT231" s="240">
        <v>295.62335999999993</v>
      </c>
      <c r="BU231" s="53"/>
      <c r="BV231" s="53"/>
      <c r="BW231" s="53">
        <f t="shared" si="114"/>
        <v>295.62335999999993</v>
      </c>
      <c r="BY231" s="122">
        <v>46029</v>
      </c>
      <c r="BZ231" s="256">
        <v>537.02</v>
      </c>
      <c r="CA231" s="257">
        <v>437.45</v>
      </c>
      <c r="CB231" s="125"/>
      <c r="CC231" s="126"/>
      <c r="CE231" s="240"/>
      <c r="CF231" s="52"/>
      <c r="CG231" s="53">
        <v>11.458065000000005</v>
      </c>
      <c r="CH231" s="53">
        <f t="shared" si="119"/>
        <v>11.458065000000005</v>
      </c>
      <c r="CJ231" s="122">
        <v>46029</v>
      </c>
      <c r="CK231" s="123">
        <v>5972.48</v>
      </c>
      <c r="CL231" s="123">
        <v>565</v>
      </c>
      <c r="CM231" s="125"/>
      <c r="CN231" s="126">
        <v>34.950000000000003</v>
      </c>
      <c r="CP231" s="240">
        <v>212.40453999999997</v>
      </c>
      <c r="CQ231" s="53">
        <v>53.492619839999975</v>
      </c>
      <c r="CR231" s="52"/>
      <c r="CS231" s="53">
        <f t="shared" si="120"/>
        <v>300.84715983999996</v>
      </c>
      <c r="CU231" s="122">
        <v>46029</v>
      </c>
      <c r="CV231" s="123">
        <v>6781.87</v>
      </c>
      <c r="CW231" s="127">
        <v>1722.38</v>
      </c>
      <c r="CX231" s="125"/>
      <c r="CY231" s="126">
        <v>122.97</v>
      </c>
      <c r="CZ231" s="27"/>
      <c r="DA231" s="240"/>
      <c r="DB231" s="435"/>
      <c r="DC231" s="52"/>
      <c r="DD231" s="52"/>
      <c r="DE231" s="53">
        <f t="shared" si="121"/>
        <v>122.97</v>
      </c>
      <c r="DH231" s="122">
        <v>46029</v>
      </c>
      <c r="DI231" s="123">
        <v>2327.25</v>
      </c>
      <c r="DJ231" s="127">
        <v>459.9</v>
      </c>
      <c r="DK231" s="127">
        <v>2380.0500000000002</v>
      </c>
      <c r="DL231" s="127"/>
      <c r="DM231" s="126">
        <v>0</v>
      </c>
      <c r="DO231" s="240">
        <v>42.63167999999996</v>
      </c>
      <c r="DP231" s="53"/>
      <c r="DQ231" s="52"/>
      <c r="DR231" s="53">
        <f t="shared" si="122"/>
        <v>42.63167999999996</v>
      </c>
      <c r="DT231" s="122">
        <v>46029</v>
      </c>
      <c r="DU231" s="123">
        <v>1158.3599999999999</v>
      </c>
      <c r="DV231" s="127">
        <v>944.04</v>
      </c>
      <c r="DW231" s="127"/>
      <c r="DX231" s="126">
        <v>16.489999999999998</v>
      </c>
      <c r="DZ231" s="51"/>
      <c r="EA231" s="53"/>
      <c r="EB231" s="52"/>
      <c r="EC231" s="53">
        <f t="shared" si="123"/>
        <v>16.489999999999998</v>
      </c>
      <c r="EE231" s="122">
        <v>46029</v>
      </c>
      <c r="EF231" s="123">
        <v>235.01</v>
      </c>
      <c r="EG231" s="127">
        <v>1023.95</v>
      </c>
      <c r="EH231" s="127"/>
      <c r="EI231" s="126">
        <v>14.47</v>
      </c>
      <c r="EK231" s="240">
        <v>462.4763699999998</v>
      </c>
      <c r="EL231" s="435"/>
      <c r="EM231" s="53">
        <v>458.90021459085688</v>
      </c>
      <c r="EN231" s="53"/>
      <c r="EO231" s="53">
        <f t="shared" si="124"/>
        <v>935.84658459085676</v>
      </c>
      <c r="EQ231" s="122">
        <v>46029</v>
      </c>
      <c r="ER231" s="123">
        <v>2633.55</v>
      </c>
      <c r="ES231" s="259">
        <v>162.57</v>
      </c>
      <c r="ET231" s="127"/>
      <c r="EU231" s="258">
        <v>18.66</v>
      </c>
      <c r="EW231" s="240">
        <v>35.821739999999977</v>
      </c>
      <c r="EX231" s="53"/>
      <c r="EY231" s="52"/>
      <c r="EZ231" s="53">
        <f t="shared" si="125"/>
        <v>54.481739999999974</v>
      </c>
      <c r="FB231" s="122">
        <v>46029</v>
      </c>
      <c r="FC231" s="123">
        <v>755.57</v>
      </c>
      <c r="FD231" s="123">
        <v>125</v>
      </c>
      <c r="FE231" s="125"/>
      <c r="FF231" s="126"/>
      <c r="FH231" s="51"/>
      <c r="FI231" s="52"/>
      <c r="FJ231" s="52"/>
      <c r="FK231" s="53"/>
    </row>
    <row r="232" spans="2:167" hidden="1" x14ac:dyDescent="0.25">
      <c r="B232" s="122">
        <v>46030</v>
      </c>
      <c r="C232" s="123">
        <v>11071.13</v>
      </c>
      <c r="D232" s="125"/>
      <c r="E232" s="125"/>
      <c r="F232" s="123">
        <v>0</v>
      </c>
      <c r="G232" s="27"/>
      <c r="H232" s="240">
        <v>19.840000000000003</v>
      </c>
      <c r="I232" s="53"/>
      <c r="J232" s="52"/>
      <c r="K232" s="53">
        <f t="shared" si="115"/>
        <v>19.840000000000003</v>
      </c>
      <c r="M232" s="122">
        <v>46030</v>
      </c>
      <c r="N232" s="123">
        <v>3116.2</v>
      </c>
      <c r="O232" s="125"/>
      <c r="P232" s="126">
        <v>16.79</v>
      </c>
      <c r="R232" s="240"/>
      <c r="S232" s="53"/>
      <c r="T232" s="52"/>
      <c r="U232" s="53">
        <f t="shared" si="116"/>
        <v>16.79</v>
      </c>
      <c r="W232" s="122">
        <v>46030</v>
      </c>
      <c r="X232" s="123">
        <v>1285.32</v>
      </c>
      <c r="Y232" s="123">
        <v>138.97999999999999</v>
      </c>
      <c r="Z232" s="125"/>
      <c r="AA232" s="273">
        <v>22.5</v>
      </c>
      <c r="AC232" s="240"/>
      <c r="AD232" s="53"/>
      <c r="AE232" s="52"/>
      <c r="AF232" s="53">
        <f t="shared" si="117"/>
        <v>22.5</v>
      </c>
      <c r="AI232" s="122">
        <v>46030</v>
      </c>
      <c r="AJ232" s="123">
        <v>1040.02</v>
      </c>
      <c r="AK232" s="125"/>
      <c r="AL232" s="126"/>
      <c r="AN232" s="51"/>
      <c r="AO232" s="52"/>
      <c r="AP232" s="52"/>
      <c r="AQ232" s="53"/>
      <c r="AS232" s="122">
        <v>46030</v>
      </c>
      <c r="AT232" s="123">
        <v>2922.95</v>
      </c>
      <c r="AU232" s="125"/>
      <c r="AV232" s="128"/>
      <c r="AX232" s="51"/>
      <c r="AY232" s="52"/>
      <c r="AZ232" s="52"/>
      <c r="BA232" s="53"/>
      <c r="BC232" s="122">
        <v>46030</v>
      </c>
      <c r="BD232" s="123">
        <v>3141.86</v>
      </c>
      <c r="BE232" s="125"/>
      <c r="BF232" s="128">
        <v>0</v>
      </c>
      <c r="BH232" s="240"/>
      <c r="BI232" s="52"/>
      <c r="BJ232" s="52"/>
      <c r="BK232" s="53">
        <f t="shared" si="118"/>
        <v>0</v>
      </c>
      <c r="BM232" s="122">
        <v>46030</v>
      </c>
      <c r="BN232" s="123">
        <v>12174.21</v>
      </c>
      <c r="BO232" s="123">
        <v>2763.1</v>
      </c>
      <c r="BP232" s="123">
        <v>8242.3799999999992</v>
      </c>
      <c r="BQ232" s="125"/>
      <c r="BR232" s="125"/>
      <c r="BT232" s="240">
        <v>201.49922999999998</v>
      </c>
      <c r="BU232" s="53">
        <v>171.8421942857143</v>
      </c>
      <c r="BV232" s="53"/>
      <c r="BW232" s="53">
        <f t="shared" si="114"/>
        <v>373.34142428571431</v>
      </c>
      <c r="BY232" s="122">
        <v>46030</v>
      </c>
      <c r="BZ232" s="256">
        <v>1070.52</v>
      </c>
      <c r="CA232" s="257">
        <v>678.72</v>
      </c>
      <c r="CB232" s="125"/>
      <c r="CC232" s="126"/>
      <c r="CE232" s="240"/>
      <c r="CF232" s="52"/>
      <c r="CG232" s="53"/>
      <c r="CH232" s="53">
        <f t="shared" si="119"/>
        <v>0</v>
      </c>
      <c r="CJ232" s="122">
        <v>46030</v>
      </c>
      <c r="CK232" s="123">
        <v>4423.62</v>
      </c>
      <c r="CL232" s="123">
        <v>435</v>
      </c>
      <c r="CM232" s="125"/>
      <c r="CN232" s="126">
        <v>10</v>
      </c>
      <c r="CP232" s="240">
        <v>178.57616000000004</v>
      </c>
      <c r="CQ232" s="53">
        <v>44.365749920000013</v>
      </c>
      <c r="CR232" s="52"/>
      <c r="CS232" s="53">
        <f t="shared" si="120"/>
        <v>232.94190992000006</v>
      </c>
      <c r="CU232" s="122">
        <v>46030</v>
      </c>
      <c r="CV232" s="123">
        <v>13284.84</v>
      </c>
      <c r="CW232" s="127">
        <v>1256.71</v>
      </c>
      <c r="CX232" s="125"/>
      <c r="CY232" s="126">
        <v>266.25</v>
      </c>
      <c r="CZ232" s="27"/>
      <c r="DA232" s="240"/>
      <c r="DB232" s="435"/>
      <c r="DC232" s="52"/>
      <c r="DD232" s="52"/>
      <c r="DE232" s="53">
        <f t="shared" si="121"/>
        <v>266.25</v>
      </c>
      <c r="DH232" s="122">
        <v>46030</v>
      </c>
      <c r="DI232" s="123">
        <v>1478.61</v>
      </c>
      <c r="DJ232" s="127">
        <v>880.35</v>
      </c>
      <c r="DK232" s="127">
        <v>163.83000000000001</v>
      </c>
      <c r="DL232" s="127"/>
      <c r="DM232" s="126">
        <v>21.42</v>
      </c>
      <c r="DO232" s="240"/>
      <c r="DP232" s="53"/>
      <c r="DQ232" s="52"/>
      <c r="DR232" s="53">
        <f t="shared" si="122"/>
        <v>21.42</v>
      </c>
      <c r="DT232" s="122">
        <v>46030</v>
      </c>
      <c r="DU232" s="123">
        <v>1891.92</v>
      </c>
      <c r="DV232" s="127">
        <v>1129.98</v>
      </c>
      <c r="DW232" s="127"/>
      <c r="DX232" s="126">
        <v>16.82</v>
      </c>
      <c r="DZ232" s="51"/>
      <c r="EA232" s="53">
        <v>54.992004697142846</v>
      </c>
      <c r="EB232" s="52"/>
      <c r="EC232" s="53">
        <f t="shared" si="123"/>
        <v>71.812004697142839</v>
      </c>
      <c r="EE232" s="122">
        <v>46030</v>
      </c>
      <c r="EF232" s="123">
        <v>760.72</v>
      </c>
      <c r="EG232" s="127">
        <v>798.3</v>
      </c>
      <c r="EH232" s="127"/>
      <c r="EI232" s="126">
        <v>15.56</v>
      </c>
      <c r="EK232" s="240">
        <v>748.81489999999985</v>
      </c>
      <c r="EL232" s="435"/>
      <c r="EM232" s="53">
        <v>45.942232857142812</v>
      </c>
      <c r="EN232" s="53"/>
      <c r="EO232" s="53">
        <f t="shared" si="124"/>
        <v>810.31713285714261</v>
      </c>
      <c r="EQ232" s="122">
        <v>46030</v>
      </c>
      <c r="ER232" s="123">
        <v>4101.84</v>
      </c>
      <c r="ES232" s="259">
        <v>424.91</v>
      </c>
      <c r="ET232" s="127"/>
      <c r="EU232" s="258">
        <v>101.23</v>
      </c>
      <c r="EW232" s="240">
        <v>17.741299999999995</v>
      </c>
      <c r="EX232" s="53"/>
      <c r="EY232" s="52"/>
      <c r="EZ232" s="53">
        <f t="shared" si="125"/>
        <v>118.9713</v>
      </c>
      <c r="FB232" s="122">
        <v>46030</v>
      </c>
      <c r="FC232" s="123">
        <v>1146.46</v>
      </c>
      <c r="FD232" s="123">
        <v>224.15</v>
      </c>
      <c r="FE232" s="125"/>
      <c r="FF232" s="126"/>
      <c r="FH232" s="51"/>
      <c r="FI232" s="52"/>
      <c r="FJ232" s="52"/>
      <c r="FK232" s="53"/>
    </row>
    <row r="233" spans="2:167" hidden="1" x14ac:dyDescent="0.25">
      <c r="B233" s="122">
        <v>46031</v>
      </c>
      <c r="C233" s="123">
        <v>18038.939999999999</v>
      </c>
      <c r="D233" s="125"/>
      <c r="E233" s="125"/>
      <c r="F233" s="125">
        <v>98.04</v>
      </c>
      <c r="G233" s="27"/>
      <c r="H233" s="240"/>
      <c r="I233" s="53">
        <v>117.28079879999996</v>
      </c>
      <c r="J233" s="52"/>
      <c r="K233" s="53">
        <f t="shared" si="115"/>
        <v>215.32079879999998</v>
      </c>
      <c r="M233" s="122">
        <v>46031</v>
      </c>
      <c r="N233" s="126">
        <v>3926.69</v>
      </c>
      <c r="O233" s="125"/>
      <c r="P233" s="126">
        <v>16.399999999999999</v>
      </c>
      <c r="R233" s="240"/>
      <c r="S233" s="53"/>
      <c r="T233" s="52"/>
      <c r="U233" s="53">
        <f t="shared" si="116"/>
        <v>16.399999999999999</v>
      </c>
      <c r="W233" s="122">
        <v>46031</v>
      </c>
      <c r="X233" s="123">
        <v>806.47</v>
      </c>
      <c r="Y233" s="123">
        <v>279.27</v>
      </c>
      <c r="Z233" s="125"/>
      <c r="AA233" s="273">
        <v>16.489999999999998</v>
      </c>
      <c r="AC233" s="240"/>
      <c r="AD233" s="53">
        <v>16.669834354285712</v>
      </c>
      <c r="AE233" s="52"/>
      <c r="AF233" s="53">
        <f t="shared" si="117"/>
        <v>33.159834354285707</v>
      </c>
      <c r="AI233" s="122">
        <v>46031</v>
      </c>
      <c r="AJ233" s="123">
        <v>986.36</v>
      </c>
      <c r="AK233" s="125"/>
      <c r="AL233" s="126"/>
      <c r="AN233" s="51"/>
      <c r="AO233" s="52"/>
      <c r="AP233" s="52"/>
      <c r="AQ233" s="53"/>
      <c r="AS233" s="122">
        <v>46031</v>
      </c>
      <c r="AT233" s="123">
        <v>3840.84</v>
      </c>
      <c r="AU233" s="125"/>
      <c r="AV233" s="128"/>
      <c r="AX233" s="51"/>
      <c r="AY233" s="52"/>
      <c r="AZ233" s="52"/>
      <c r="BA233" s="53"/>
      <c r="BC233" s="122">
        <v>46031</v>
      </c>
      <c r="BD233" s="123">
        <v>2630.8</v>
      </c>
      <c r="BE233" s="125"/>
      <c r="BF233" s="128">
        <v>0</v>
      </c>
      <c r="BH233" s="240">
        <v>4.4381999999999948</v>
      </c>
      <c r="BI233" s="52"/>
      <c r="BJ233" s="52"/>
      <c r="BK233" s="53">
        <f t="shared" si="118"/>
        <v>4.4381999999999948</v>
      </c>
      <c r="BM233" s="122">
        <v>46031</v>
      </c>
      <c r="BN233" s="123">
        <v>10866.71</v>
      </c>
      <c r="BO233" s="123">
        <v>2755.09</v>
      </c>
      <c r="BP233" s="123">
        <v>9250.93</v>
      </c>
      <c r="BQ233" s="125"/>
      <c r="BR233" s="125"/>
      <c r="BT233" s="240">
        <v>177.52587999999997</v>
      </c>
      <c r="BU233" s="53">
        <v>644.40822857142837</v>
      </c>
      <c r="BV233" s="53"/>
      <c r="BW233" s="53">
        <f t="shared" si="114"/>
        <v>821.9341085714284</v>
      </c>
      <c r="BY233" s="122">
        <v>46031</v>
      </c>
      <c r="BZ233" s="256">
        <v>548.04</v>
      </c>
      <c r="CA233" s="257">
        <v>377.41</v>
      </c>
      <c r="CB233" s="125"/>
      <c r="CC233" s="126"/>
      <c r="CE233" s="240"/>
      <c r="CF233" s="52"/>
      <c r="CG233" s="53">
        <v>9.2594259999999906</v>
      </c>
      <c r="CH233" s="53">
        <f t="shared" si="119"/>
        <v>9.2594259999999906</v>
      </c>
      <c r="CJ233" s="122">
        <v>46031</v>
      </c>
      <c r="CK233" s="123">
        <v>6104.73</v>
      </c>
      <c r="CL233" s="123">
        <v>629.13</v>
      </c>
      <c r="CM233" s="125"/>
      <c r="CN233" s="126">
        <v>8.41</v>
      </c>
      <c r="CP233" s="240">
        <v>583.18079000000012</v>
      </c>
      <c r="CQ233" s="53"/>
      <c r="CR233" s="52"/>
      <c r="CS233" s="53">
        <f t="shared" si="120"/>
        <v>591.59079000000008</v>
      </c>
      <c r="CU233" s="122">
        <v>46031</v>
      </c>
      <c r="CV233" s="123">
        <v>10018.31</v>
      </c>
      <c r="CW233" s="127">
        <v>1641.95</v>
      </c>
      <c r="CX233" s="125"/>
      <c r="CY233" s="128">
        <v>245.81</v>
      </c>
      <c r="CZ233" s="27"/>
      <c r="DA233" s="240">
        <v>4.82</v>
      </c>
      <c r="DB233" s="435"/>
      <c r="DC233" s="52"/>
      <c r="DD233" s="52"/>
      <c r="DE233" s="53">
        <f t="shared" si="121"/>
        <v>250.63</v>
      </c>
      <c r="DH233" s="122">
        <v>46031</v>
      </c>
      <c r="DI233" s="123">
        <v>1501.61</v>
      </c>
      <c r="DJ233" s="127">
        <v>520.47</v>
      </c>
      <c r="DK233" s="127">
        <v>131.72</v>
      </c>
      <c r="DL233" s="127"/>
      <c r="DM233" s="126">
        <v>0</v>
      </c>
      <c r="DO233" s="240">
        <v>18.299999999999969</v>
      </c>
      <c r="DP233" s="53"/>
      <c r="DQ233" s="52"/>
      <c r="DR233" s="53">
        <f t="shared" si="122"/>
        <v>18.299999999999969</v>
      </c>
      <c r="DT233" s="122">
        <v>46031</v>
      </c>
      <c r="DU233" s="123">
        <v>1008.81</v>
      </c>
      <c r="DV233" s="127">
        <v>1468.23</v>
      </c>
      <c r="DW233" s="127"/>
      <c r="DX233" s="126">
        <v>33</v>
      </c>
      <c r="DZ233" s="51"/>
      <c r="EA233" s="53"/>
      <c r="EB233" s="52"/>
      <c r="EC233" s="53">
        <f t="shared" si="123"/>
        <v>33</v>
      </c>
      <c r="EE233" s="122">
        <v>46031</v>
      </c>
      <c r="EF233" s="123">
        <v>619.15</v>
      </c>
      <c r="EG233" s="127">
        <v>788.67</v>
      </c>
      <c r="EH233" s="127"/>
      <c r="EI233" s="126">
        <v>12.97</v>
      </c>
      <c r="EK233" s="240">
        <v>727.32085999999981</v>
      </c>
      <c r="EL233" s="435"/>
      <c r="EM233" s="53">
        <v>123.04679203085703</v>
      </c>
      <c r="EN233" s="53"/>
      <c r="EO233" s="53">
        <f t="shared" si="124"/>
        <v>863.33765203085682</v>
      </c>
      <c r="EQ233" s="122">
        <v>46031</v>
      </c>
      <c r="ER233" s="123">
        <v>2500.46</v>
      </c>
      <c r="ES233" s="259">
        <v>348.94</v>
      </c>
      <c r="ET233" s="127"/>
      <c r="EU233" s="258">
        <v>22.97</v>
      </c>
      <c r="EW233" s="240"/>
      <c r="EX233" s="53"/>
      <c r="EY233" s="52"/>
      <c r="EZ233" s="53">
        <f t="shared" si="125"/>
        <v>22.97</v>
      </c>
      <c r="FB233" s="122">
        <v>46031</v>
      </c>
      <c r="FC233" s="123">
        <v>874.83</v>
      </c>
      <c r="FD233" s="123">
        <v>146.79</v>
      </c>
      <c r="FE233" s="125"/>
      <c r="FF233" s="126"/>
      <c r="FH233" s="51"/>
      <c r="FI233" s="52"/>
      <c r="FJ233" s="52"/>
      <c r="FK233" s="53"/>
    </row>
    <row r="234" spans="2:167" hidden="1" x14ac:dyDescent="0.25">
      <c r="B234" s="122">
        <v>46032</v>
      </c>
      <c r="C234" s="123">
        <v>17382.98</v>
      </c>
      <c r="D234" s="125"/>
      <c r="E234" s="125"/>
      <c r="F234" s="123">
        <v>0</v>
      </c>
      <c r="G234" s="27"/>
      <c r="H234" s="240"/>
      <c r="I234" s="53"/>
      <c r="J234" s="52"/>
      <c r="K234" s="53">
        <f t="shared" si="115"/>
        <v>0</v>
      </c>
      <c r="M234" s="122">
        <v>46032</v>
      </c>
      <c r="N234" s="123">
        <v>3024.37</v>
      </c>
      <c r="O234" s="125"/>
      <c r="P234" s="126">
        <v>21.33</v>
      </c>
      <c r="R234" s="240"/>
      <c r="S234" s="53"/>
      <c r="T234" s="52"/>
      <c r="U234" s="53">
        <f t="shared" si="116"/>
        <v>21.33</v>
      </c>
      <c r="W234" s="122">
        <v>46032</v>
      </c>
      <c r="X234" s="123">
        <v>1008.83</v>
      </c>
      <c r="Y234" s="123">
        <v>313.75</v>
      </c>
      <c r="Z234" s="125"/>
      <c r="AA234" s="273">
        <v>5.18</v>
      </c>
      <c r="AC234" s="240"/>
      <c r="AD234" s="53"/>
      <c r="AE234" s="52"/>
      <c r="AF234" s="53">
        <f t="shared" si="117"/>
        <v>5.18</v>
      </c>
      <c r="AI234" s="122">
        <v>46032</v>
      </c>
      <c r="AJ234" s="123">
        <v>1330.32</v>
      </c>
      <c r="AK234" s="125"/>
      <c r="AL234" s="126"/>
      <c r="AN234" s="51"/>
      <c r="AO234" s="52"/>
      <c r="AP234" s="52"/>
      <c r="AQ234" s="53"/>
      <c r="AS234" s="122">
        <v>46032</v>
      </c>
      <c r="AT234" s="123">
        <v>3526.97</v>
      </c>
      <c r="AU234" s="125"/>
      <c r="AV234" s="128"/>
      <c r="AX234" s="51"/>
      <c r="AY234" s="52"/>
      <c r="AZ234" s="52"/>
      <c r="BA234" s="53"/>
      <c r="BC234" s="122">
        <v>46032</v>
      </c>
      <c r="BD234" s="123">
        <v>2350.2600000000002</v>
      </c>
      <c r="BE234" s="125"/>
      <c r="BF234" s="128">
        <v>2.87</v>
      </c>
      <c r="BH234" s="240">
        <v>2.3400000000000034</v>
      </c>
      <c r="BI234" s="52"/>
      <c r="BJ234" s="52"/>
      <c r="BK234" s="53">
        <f t="shared" si="118"/>
        <v>5.2100000000000035</v>
      </c>
      <c r="BM234" s="122">
        <v>46032</v>
      </c>
      <c r="BN234" s="123">
        <v>9988.68</v>
      </c>
      <c r="BO234" s="123">
        <v>2423.3200000000002</v>
      </c>
      <c r="BP234" s="123">
        <v>7929.28</v>
      </c>
      <c r="BQ234" s="125"/>
      <c r="BR234" s="125"/>
      <c r="BT234" s="240">
        <v>122.01426999999997</v>
      </c>
      <c r="BU234" s="53"/>
      <c r="BV234" s="53"/>
      <c r="BW234" s="53">
        <f t="shared" si="114"/>
        <v>122.01426999999997</v>
      </c>
      <c r="BY234" s="122">
        <v>46032</v>
      </c>
      <c r="BZ234" s="256">
        <v>1785.21</v>
      </c>
      <c r="CA234" s="257">
        <v>728.26</v>
      </c>
      <c r="CB234" s="125"/>
      <c r="CC234" s="126"/>
      <c r="CE234" s="240"/>
      <c r="CF234" s="52"/>
      <c r="CG234" s="53">
        <v>29.921386000000012</v>
      </c>
      <c r="CH234" s="53">
        <f t="shared" si="119"/>
        <v>29.921386000000012</v>
      </c>
      <c r="CJ234" s="122">
        <v>46032</v>
      </c>
      <c r="CK234" s="123">
        <v>4356.29</v>
      </c>
      <c r="CL234" s="123">
        <v>1013.2</v>
      </c>
      <c r="CM234" s="125"/>
      <c r="CN234" s="126">
        <v>0</v>
      </c>
      <c r="CP234" s="240">
        <v>87.51132000000004</v>
      </c>
      <c r="CQ234" s="53"/>
      <c r="CR234" s="52"/>
      <c r="CS234" s="53">
        <f t="shared" si="120"/>
        <v>87.51132000000004</v>
      </c>
      <c r="CU234" s="122">
        <v>46032</v>
      </c>
      <c r="CV234" s="123">
        <v>4710.21</v>
      </c>
      <c r="CW234" s="127">
        <v>1022.01</v>
      </c>
      <c r="CX234" s="125"/>
      <c r="CY234" s="128">
        <v>106.58</v>
      </c>
      <c r="CZ234" s="27"/>
      <c r="DA234" s="240"/>
      <c r="DB234" s="435"/>
      <c r="DC234" s="52"/>
      <c r="DD234" s="52"/>
      <c r="DE234" s="53">
        <f t="shared" si="121"/>
        <v>106.58</v>
      </c>
      <c r="DH234" s="122">
        <v>46032</v>
      </c>
      <c r="DI234" s="123">
        <v>2605.29</v>
      </c>
      <c r="DJ234" s="127">
        <v>364.3</v>
      </c>
      <c r="DK234" s="127">
        <v>0</v>
      </c>
      <c r="DL234" s="127"/>
      <c r="DM234" s="126">
        <v>0</v>
      </c>
      <c r="DO234" s="240"/>
      <c r="DP234" s="53"/>
      <c r="DQ234" s="52"/>
      <c r="DR234" s="53">
        <f t="shared" si="122"/>
        <v>0</v>
      </c>
      <c r="DT234" s="122">
        <v>46032</v>
      </c>
      <c r="DU234" s="123">
        <v>1369.29</v>
      </c>
      <c r="DV234" s="127">
        <v>1022.47</v>
      </c>
      <c r="DW234" s="127"/>
      <c r="DX234" s="126">
        <v>22.39</v>
      </c>
      <c r="DZ234" s="51"/>
      <c r="EA234" s="53"/>
      <c r="EB234" s="52"/>
      <c r="EC234" s="53">
        <f t="shared" si="123"/>
        <v>22.39</v>
      </c>
      <c r="EE234" s="122">
        <v>46032</v>
      </c>
      <c r="EF234" s="123">
        <v>1450.9</v>
      </c>
      <c r="EG234" s="127">
        <v>1064.05</v>
      </c>
      <c r="EH234" s="127"/>
      <c r="EI234" s="126">
        <v>16.190000000000001</v>
      </c>
      <c r="EK234" s="240">
        <v>181.38824999999997</v>
      </c>
      <c r="EL234" s="435"/>
      <c r="EM234" s="53">
        <v>314.29075118628555</v>
      </c>
      <c r="EN234" s="53"/>
      <c r="EO234" s="53">
        <f t="shared" si="124"/>
        <v>511.86900118628552</v>
      </c>
      <c r="EQ234" s="122">
        <v>46032</v>
      </c>
      <c r="ER234" s="123">
        <v>4135.6499999999996</v>
      </c>
      <c r="ES234" s="259">
        <v>429.18</v>
      </c>
      <c r="ET234" s="127"/>
      <c r="EU234" s="258">
        <v>11.04</v>
      </c>
      <c r="EW234" s="240"/>
      <c r="EX234" s="53"/>
      <c r="EY234" s="52"/>
      <c r="EZ234" s="53">
        <f t="shared" si="125"/>
        <v>11.04</v>
      </c>
      <c r="FB234" s="122">
        <v>46032</v>
      </c>
      <c r="FC234" s="123">
        <v>481.62</v>
      </c>
      <c r="FD234" s="123">
        <v>184</v>
      </c>
      <c r="FE234" s="125"/>
      <c r="FF234" s="126"/>
      <c r="FH234" s="51"/>
      <c r="FI234" s="52"/>
      <c r="FJ234" s="52"/>
      <c r="FK234" s="53"/>
    </row>
    <row r="235" spans="2:167" hidden="1" x14ac:dyDescent="0.25">
      <c r="B235" s="122">
        <v>46033</v>
      </c>
      <c r="C235" s="123">
        <v>15112.54</v>
      </c>
      <c r="D235" s="126"/>
      <c r="E235" s="125"/>
      <c r="F235" s="126">
        <v>0</v>
      </c>
      <c r="G235" s="27"/>
      <c r="H235" s="240"/>
      <c r="I235" s="53"/>
      <c r="J235" s="52"/>
      <c r="K235" s="53">
        <f t="shared" si="115"/>
        <v>0</v>
      </c>
      <c r="M235" s="122">
        <v>46033</v>
      </c>
      <c r="N235" s="123">
        <v>2887.52</v>
      </c>
      <c r="O235" s="125"/>
      <c r="P235" s="126">
        <v>0</v>
      </c>
      <c r="R235" s="240"/>
      <c r="S235" s="53"/>
      <c r="T235" s="52"/>
      <c r="U235" s="53">
        <f t="shared" si="116"/>
        <v>0</v>
      </c>
      <c r="W235" s="122">
        <v>46033</v>
      </c>
      <c r="X235" s="123">
        <v>1142.51</v>
      </c>
      <c r="Y235" s="123">
        <v>267.94</v>
      </c>
      <c r="Z235" s="125"/>
      <c r="AA235" s="273">
        <v>1.07</v>
      </c>
      <c r="AC235" s="240"/>
      <c r="AD235" s="53"/>
      <c r="AE235" s="52"/>
      <c r="AF235" s="53">
        <f t="shared" si="117"/>
        <v>1.07</v>
      </c>
      <c r="AI235" s="122">
        <v>46033</v>
      </c>
      <c r="AJ235" s="123">
        <v>964.09</v>
      </c>
      <c r="AK235" s="125"/>
      <c r="AL235" s="126"/>
      <c r="AN235" s="51"/>
      <c r="AO235" s="52"/>
      <c r="AP235" s="52"/>
      <c r="AQ235" s="53"/>
      <c r="AS235" s="122">
        <v>46033</v>
      </c>
      <c r="AT235" s="123">
        <v>2385.33</v>
      </c>
      <c r="AU235" s="125"/>
      <c r="AV235" s="128"/>
      <c r="AX235" s="51"/>
      <c r="AY235" s="52"/>
      <c r="AZ235" s="52"/>
      <c r="BA235" s="53"/>
      <c r="BC235" s="122">
        <v>46033</v>
      </c>
      <c r="BD235" s="123">
        <v>2088.7199999999998</v>
      </c>
      <c r="BE235" s="125"/>
      <c r="BF235" s="128">
        <v>0</v>
      </c>
      <c r="BH235" s="240"/>
      <c r="BI235" s="52"/>
      <c r="BJ235" s="52"/>
      <c r="BK235" s="53">
        <f t="shared" si="118"/>
        <v>0</v>
      </c>
      <c r="BM235" s="122">
        <v>46033</v>
      </c>
      <c r="BN235" s="123">
        <v>8547.36</v>
      </c>
      <c r="BO235" s="123">
        <v>2450.8000000000002</v>
      </c>
      <c r="BP235" s="123">
        <v>5104.5200000000004</v>
      </c>
      <c r="BQ235" s="125"/>
      <c r="BR235" s="125"/>
      <c r="BT235" s="240">
        <v>219.13087000000002</v>
      </c>
      <c r="BU235" s="53">
        <v>51.165964050285694</v>
      </c>
      <c r="BV235" s="53"/>
      <c r="BW235" s="53">
        <f t="shared" si="114"/>
        <v>270.29683405028572</v>
      </c>
      <c r="BY235" s="122">
        <v>46033</v>
      </c>
      <c r="BZ235" s="256">
        <v>639</v>
      </c>
      <c r="CA235" s="257">
        <v>534.42999999999995</v>
      </c>
      <c r="CB235" s="125"/>
      <c r="CC235" s="126"/>
      <c r="CE235" s="240"/>
      <c r="CF235" s="52"/>
      <c r="CG235" s="53"/>
      <c r="CH235" s="53">
        <f t="shared" si="119"/>
        <v>0</v>
      </c>
      <c r="CJ235" s="122">
        <v>46033</v>
      </c>
      <c r="CK235" s="123">
        <v>5592.3</v>
      </c>
      <c r="CL235" s="123">
        <v>603.70000000000005</v>
      </c>
      <c r="CM235" s="125"/>
      <c r="CN235" s="126">
        <v>33.07</v>
      </c>
      <c r="CP235" s="240">
        <v>2.5378499999999988</v>
      </c>
      <c r="CQ235" s="53"/>
      <c r="CR235" s="52"/>
      <c r="CS235" s="53">
        <f t="shared" si="120"/>
        <v>35.607849999999999</v>
      </c>
      <c r="CU235" s="122">
        <v>46033</v>
      </c>
      <c r="CV235" s="123">
        <v>3861.21</v>
      </c>
      <c r="CW235" s="127">
        <v>1049.25</v>
      </c>
      <c r="CX235" s="125"/>
      <c r="CY235" s="128">
        <v>167.41</v>
      </c>
      <c r="CZ235" s="27"/>
      <c r="DA235" s="240"/>
      <c r="DB235" s="435"/>
      <c r="DC235" s="52"/>
      <c r="DD235" s="52"/>
      <c r="DE235" s="53">
        <f t="shared" si="121"/>
        <v>167.41</v>
      </c>
      <c r="DH235" s="122">
        <v>46033</v>
      </c>
      <c r="DI235" s="123">
        <v>1155.4000000000001</v>
      </c>
      <c r="DJ235" s="127">
        <v>441.19</v>
      </c>
      <c r="DK235" s="127">
        <v>1043.8800000000001</v>
      </c>
      <c r="DL235" s="127"/>
      <c r="DM235" s="126">
        <v>0</v>
      </c>
      <c r="DO235" s="240"/>
      <c r="DP235" s="53"/>
      <c r="DQ235" s="52"/>
      <c r="DR235" s="53">
        <f t="shared" si="122"/>
        <v>0</v>
      </c>
      <c r="DT235" s="122">
        <v>46033</v>
      </c>
      <c r="DU235" s="123">
        <v>1426.6</v>
      </c>
      <c r="DV235" s="127">
        <v>1107.94</v>
      </c>
      <c r="DW235" s="127"/>
      <c r="DX235" s="126">
        <v>0</v>
      </c>
      <c r="DZ235" s="51"/>
      <c r="EA235" s="53"/>
      <c r="EB235" s="52"/>
      <c r="EC235" s="53">
        <f t="shared" si="123"/>
        <v>0</v>
      </c>
      <c r="EE235" s="122">
        <v>46033</v>
      </c>
      <c r="EF235" s="123">
        <v>497.46</v>
      </c>
      <c r="EG235" s="127">
        <v>451.43</v>
      </c>
      <c r="EH235" s="127"/>
      <c r="EI235" s="126">
        <v>40.549999999999997</v>
      </c>
      <c r="EK235" s="240">
        <v>319.33899999999994</v>
      </c>
      <c r="EL235" s="435"/>
      <c r="EM235" s="53">
        <v>87.919079245714215</v>
      </c>
      <c r="EN235" s="53"/>
      <c r="EO235" s="53">
        <f t="shared" si="124"/>
        <v>447.80807924571417</v>
      </c>
      <c r="EQ235" s="122">
        <v>46033</v>
      </c>
      <c r="ER235" s="123">
        <v>1763.99</v>
      </c>
      <c r="ES235" s="259">
        <v>334.42</v>
      </c>
      <c r="ET235" s="127"/>
      <c r="EU235" s="258">
        <v>0</v>
      </c>
      <c r="EW235" s="240">
        <v>9.5331199999999683</v>
      </c>
      <c r="EX235" s="53">
        <v>162.68021105142839</v>
      </c>
      <c r="EY235" s="52"/>
      <c r="EZ235" s="53">
        <f t="shared" si="125"/>
        <v>172.21333105142836</v>
      </c>
      <c r="FB235" s="122">
        <v>46033</v>
      </c>
      <c r="FC235" s="123">
        <v>599.04</v>
      </c>
      <c r="FD235" s="123">
        <v>216.88</v>
      </c>
      <c r="FE235" s="125"/>
      <c r="FF235" s="126"/>
      <c r="FH235" s="51"/>
      <c r="FI235" s="52"/>
      <c r="FJ235" s="52"/>
      <c r="FK235" s="53"/>
    </row>
    <row r="236" spans="2:167" hidden="1" x14ac:dyDescent="0.25">
      <c r="B236" s="122">
        <v>46034</v>
      </c>
      <c r="C236" s="123">
        <v>14702.22</v>
      </c>
      <c r="D236" s="125"/>
      <c r="E236" s="125"/>
      <c r="F236" s="123">
        <v>0</v>
      </c>
      <c r="G236" s="27"/>
      <c r="H236" s="240">
        <v>23.777389999999997</v>
      </c>
      <c r="I236" s="53">
        <v>29.083592394285688</v>
      </c>
      <c r="J236" s="52"/>
      <c r="K236" s="53">
        <f t="shared" si="115"/>
        <v>52.860982394285685</v>
      </c>
      <c r="M236" s="122">
        <v>46034</v>
      </c>
      <c r="N236" s="123">
        <v>2706.61</v>
      </c>
      <c r="O236" s="125"/>
      <c r="P236" s="126">
        <v>4.58</v>
      </c>
      <c r="R236" s="240">
        <v>97.25</v>
      </c>
      <c r="S236" s="53"/>
      <c r="T236" s="52"/>
      <c r="U236" s="53">
        <f t="shared" si="116"/>
        <v>101.83</v>
      </c>
      <c r="W236" s="122">
        <v>46034</v>
      </c>
      <c r="X236" s="123">
        <v>700.38</v>
      </c>
      <c r="Y236" s="123">
        <v>256.07</v>
      </c>
      <c r="Z236" s="125"/>
      <c r="AA236" s="273">
        <v>33.82</v>
      </c>
      <c r="AC236" s="240"/>
      <c r="AD236" s="53">
        <v>39.054583302857125</v>
      </c>
      <c r="AE236" s="52"/>
      <c r="AF236" s="53">
        <f t="shared" si="117"/>
        <v>72.874583302857133</v>
      </c>
      <c r="AI236" s="122">
        <v>46034</v>
      </c>
      <c r="AJ236" s="123">
        <v>903.6</v>
      </c>
      <c r="AK236" s="125"/>
      <c r="AL236" s="126"/>
      <c r="AN236" s="51"/>
      <c r="AO236" s="52"/>
      <c r="AP236" s="52"/>
      <c r="AQ236" s="53"/>
      <c r="AS236" s="122">
        <v>46034</v>
      </c>
      <c r="AT236" s="123">
        <v>3876.63</v>
      </c>
      <c r="AU236" s="125"/>
      <c r="AV236" s="128"/>
      <c r="AX236" s="51"/>
      <c r="AY236" s="52"/>
      <c r="AZ236" s="52"/>
      <c r="BA236" s="53"/>
      <c r="BC236" s="122">
        <v>46034</v>
      </c>
      <c r="BD236" s="123">
        <v>3538.69</v>
      </c>
      <c r="BE236" s="125"/>
      <c r="BF236" s="128">
        <v>7.74</v>
      </c>
      <c r="BH236" s="240"/>
      <c r="BI236" s="52"/>
      <c r="BJ236" s="52"/>
      <c r="BK236" s="53">
        <f t="shared" si="118"/>
        <v>7.74</v>
      </c>
      <c r="BM236" s="122">
        <v>46034</v>
      </c>
      <c r="BN236" s="123">
        <v>10023.299999999999</v>
      </c>
      <c r="BO236" s="123">
        <v>2995.63</v>
      </c>
      <c r="BP236" s="123">
        <v>8306.26</v>
      </c>
      <c r="BQ236" s="125"/>
      <c r="BR236" s="125"/>
      <c r="BT236" s="240">
        <v>111.89617999999999</v>
      </c>
      <c r="BU236" s="53">
        <v>215.57603273142851</v>
      </c>
      <c r="BV236" s="53"/>
      <c r="BW236" s="53">
        <f t="shared" si="114"/>
        <v>327.4722127314285</v>
      </c>
      <c r="BY236" s="122">
        <v>46034</v>
      </c>
      <c r="BZ236" s="256">
        <v>915.18</v>
      </c>
      <c r="CA236" s="257">
        <v>798.59</v>
      </c>
      <c r="CB236" s="125"/>
      <c r="CC236" s="126"/>
      <c r="CE236" s="240"/>
      <c r="CF236" s="52"/>
      <c r="CG236" s="53"/>
      <c r="CH236" s="53">
        <f t="shared" si="119"/>
        <v>0</v>
      </c>
      <c r="CJ236" s="122">
        <v>46034</v>
      </c>
      <c r="CK236" s="123">
        <v>6366.99</v>
      </c>
      <c r="CL236" s="123">
        <v>830.31</v>
      </c>
      <c r="CM236" s="125"/>
      <c r="CN236" s="126">
        <v>24.94</v>
      </c>
      <c r="CP236" s="240">
        <v>296.48590000000007</v>
      </c>
      <c r="CQ236" s="53">
        <v>96.808754548571471</v>
      </c>
      <c r="CR236" s="52"/>
      <c r="CS236" s="53">
        <f t="shared" si="120"/>
        <v>418.23465454857154</v>
      </c>
      <c r="CU236" s="122">
        <v>46034</v>
      </c>
      <c r="CV236" s="123">
        <v>13529.95</v>
      </c>
      <c r="CW236" s="127">
        <v>1692.28</v>
      </c>
      <c r="CX236" s="125"/>
      <c r="CY236" s="128">
        <v>261.41000000000003</v>
      </c>
      <c r="CZ236" s="27"/>
      <c r="DA236" s="240">
        <v>33.477310000000017</v>
      </c>
      <c r="DB236" s="435"/>
      <c r="DC236" s="52"/>
      <c r="DD236" s="52"/>
      <c r="DE236" s="53">
        <f t="shared" si="121"/>
        <v>294.88731000000007</v>
      </c>
      <c r="DH236" s="122">
        <v>46034</v>
      </c>
      <c r="DI236" s="123">
        <v>2537.73</v>
      </c>
      <c r="DJ236" s="127">
        <v>195</v>
      </c>
      <c r="DK236" s="127">
        <v>656.64</v>
      </c>
      <c r="DL236" s="127"/>
      <c r="DM236" s="126">
        <v>0</v>
      </c>
      <c r="DO236" s="240"/>
      <c r="DP236" s="53"/>
      <c r="DQ236" s="52"/>
      <c r="DR236" s="53">
        <f t="shared" si="122"/>
        <v>0</v>
      </c>
      <c r="DT236" s="122">
        <v>46034</v>
      </c>
      <c r="DU236" s="123">
        <v>868.27</v>
      </c>
      <c r="DV236" s="127">
        <v>1108.3499999999999</v>
      </c>
      <c r="DW236" s="127"/>
      <c r="DX236" s="126">
        <v>49.84</v>
      </c>
      <c r="DZ236" s="51"/>
      <c r="EA236" s="53"/>
      <c r="EB236" s="52"/>
      <c r="EC236" s="53">
        <f t="shared" si="123"/>
        <v>49.84</v>
      </c>
      <c r="EE236" s="122">
        <v>46034</v>
      </c>
      <c r="EF236" s="123">
        <v>535.42999999999995</v>
      </c>
      <c r="EG236" s="127">
        <v>502.46</v>
      </c>
      <c r="EH236" s="127"/>
      <c r="EI236" s="126">
        <v>15.65</v>
      </c>
      <c r="EK236" s="240">
        <v>730.55035999999984</v>
      </c>
      <c r="EL236" s="435"/>
      <c r="EM236" s="53">
        <v>79.392482022857081</v>
      </c>
      <c r="EN236" s="53"/>
      <c r="EO236" s="53">
        <f t="shared" si="124"/>
        <v>825.59284202285687</v>
      </c>
      <c r="EQ236" s="122">
        <v>46034</v>
      </c>
      <c r="ER236" s="123">
        <v>2107.81</v>
      </c>
      <c r="ES236" s="259">
        <v>194.37</v>
      </c>
      <c r="ET236" s="127"/>
      <c r="EU236" s="258">
        <v>311.79000000000002</v>
      </c>
      <c r="EW236" s="240">
        <v>59.761799999999937</v>
      </c>
      <c r="EX236" s="53">
        <v>14.813949691428562</v>
      </c>
      <c r="EY236" s="52"/>
      <c r="EZ236" s="53">
        <f t="shared" si="125"/>
        <v>386.3657496914285</v>
      </c>
      <c r="FB236" s="122">
        <v>46034</v>
      </c>
      <c r="FC236" s="123">
        <v>1060</v>
      </c>
      <c r="FD236" s="123">
        <v>167.41</v>
      </c>
      <c r="FE236" s="125"/>
      <c r="FF236" s="126"/>
      <c r="FH236" s="51"/>
      <c r="FI236" s="52"/>
      <c r="FJ236" s="52"/>
      <c r="FK236" s="53"/>
    </row>
    <row r="237" spans="2:167" hidden="1" x14ac:dyDescent="0.25">
      <c r="B237" s="122">
        <v>46035</v>
      </c>
      <c r="C237" s="123">
        <v>15711.78</v>
      </c>
      <c r="D237" s="125"/>
      <c r="E237" s="125"/>
      <c r="F237" s="125">
        <v>99.66</v>
      </c>
      <c r="G237" s="27"/>
      <c r="H237" s="240"/>
      <c r="I237" s="53"/>
      <c r="J237" s="52"/>
      <c r="K237" s="53">
        <f t="shared" si="115"/>
        <v>99.66</v>
      </c>
      <c r="M237" s="122">
        <v>46035</v>
      </c>
      <c r="N237" s="123">
        <v>3517.75</v>
      </c>
      <c r="O237" s="125"/>
      <c r="P237" s="126">
        <v>24.37</v>
      </c>
      <c r="R237" s="240"/>
      <c r="S237" s="53"/>
      <c r="T237" s="52"/>
      <c r="U237" s="53">
        <f t="shared" si="116"/>
        <v>24.37</v>
      </c>
      <c r="W237" s="122">
        <v>46035</v>
      </c>
      <c r="X237" s="123">
        <v>1325.52</v>
      </c>
      <c r="Y237" s="123">
        <v>217.03</v>
      </c>
      <c r="Z237" s="125"/>
      <c r="AA237" s="273">
        <v>7.44</v>
      </c>
      <c r="AC237" s="240"/>
      <c r="AD237" s="53"/>
      <c r="AE237" s="52"/>
      <c r="AF237" s="53">
        <f t="shared" si="117"/>
        <v>7.44</v>
      </c>
      <c r="AI237" s="122">
        <v>46035</v>
      </c>
      <c r="AJ237" s="123">
        <v>782.03</v>
      </c>
      <c r="AK237" s="125"/>
      <c r="AL237" s="126"/>
      <c r="AN237" s="51"/>
      <c r="AO237" s="52"/>
      <c r="AP237" s="52"/>
      <c r="AQ237" s="53"/>
      <c r="AS237" s="122">
        <v>46035</v>
      </c>
      <c r="AT237" s="123">
        <v>2353</v>
      </c>
      <c r="AU237" s="125"/>
      <c r="AV237" s="128"/>
      <c r="AX237" s="51"/>
      <c r="AY237" s="52"/>
      <c r="AZ237" s="52"/>
      <c r="BA237" s="53"/>
      <c r="BC237" s="122">
        <v>46035</v>
      </c>
      <c r="BD237" s="123">
        <v>2445.33</v>
      </c>
      <c r="BE237" s="125"/>
      <c r="BF237" s="128">
        <v>0</v>
      </c>
      <c r="BH237" s="240">
        <v>10.837460000000021</v>
      </c>
      <c r="BI237" s="52"/>
      <c r="BJ237" s="52"/>
      <c r="BK237" s="53">
        <f t="shared" si="118"/>
        <v>10.837460000000021</v>
      </c>
      <c r="BM237" s="122">
        <v>46035</v>
      </c>
      <c r="BN237" s="123">
        <v>8854.5300000000007</v>
      </c>
      <c r="BO237" s="123">
        <v>2419.12</v>
      </c>
      <c r="BP237" s="123">
        <v>8742.77</v>
      </c>
      <c r="BQ237" s="125"/>
      <c r="BR237" s="125"/>
      <c r="BT237" s="240">
        <v>125.34972999999999</v>
      </c>
      <c r="BU237" s="53">
        <v>856.61621476876189</v>
      </c>
      <c r="BV237" s="53"/>
      <c r="BW237" s="53">
        <f t="shared" si="114"/>
        <v>981.96594476876191</v>
      </c>
      <c r="BY237" s="122">
        <v>46035</v>
      </c>
      <c r="BZ237" s="256">
        <v>922.35</v>
      </c>
      <c r="CA237" s="257">
        <v>575.91</v>
      </c>
      <c r="CB237" s="125"/>
      <c r="CC237" s="126"/>
      <c r="CE237" s="240"/>
      <c r="CF237" s="52"/>
      <c r="CG237" s="53"/>
      <c r="CH237" s="53">
        <f t="shared" si="119"/>
        <v>0</v>
      </c>
      <c r="CJ237" s="122">
        <v>46035</v>
      </c>
      <c r="CK237" s="123">
        <v>3510.3029999999999</v>
      </c>
      <c r="CL237" s="123">
        <v>494.57</v>
      </c>
      <c r="CM237" s="125"/>
      <c r="CN237" s="126">
        <v>0</v>
      </c>
      <c r="CP237" s="240">
        <v>276.08634000000006</v>
      </c>
      <c r="CQ237" s="53"/>
      <c r="CR237" s="52"/>
      <c r="CS237" s="53">
        <f t="shared" si="120"/>
        <v>276.08634000000006</v>
      </c>
      <c r="CU237" s="122">
        <v>46035</v>
      </c>
      <c r="CV237" s="123">
        <v>7335</v>
      </c>
      <c r="CW237" s="127">
        <v>1258.04</v>
      </c>
      <c r="CX237" s="125"/>
      <c r="CY237" s="128">
        <v>241.8</v>
      </c>
      <c r="CZ237" s="27"/>
      <c r="DA237" s="240"/>
      <c r="DB237" s="435"/>
      <c r="DC237" s="52"/>
      <c r="DD237" s="52"/>
      <c r="DE237" s="53">
        <f t="shared" si="121"/>
        <v>241.8</v>
      </c>
      <c r="DH237" s="122">
        <v>46035</v>
      </c>
      <c r="DI237" s="123">
        <v>1124.56</v>
      </c>
      <c r="DJ237" s="127">
        <v>471.61</v>
      </c>
      <c r="DK237" s="127">
        <v>980.47</v>
      </c>
      <c r="DL237" s="127"/>
      <c r="DM237" s="126">
        <v>0</v>
      </c>
      <c r="DO237" s="240">
        <v>13.259069999999994</v>
      </c>
      <c r="DP237" s="53"/>
      <c r="DQ237" s="52"/>
      <c r="DR237" s="53">
        <f t="shared" si="122"/>
        <v>13.259069999999994</v>
      </c>
      <c r="DT237" s="122">
        <v>46035</v>
      </c>
      <c r="DU237" s="123">
        <v>1253.6500000000001</v>
      </c>
      <c r="DV237" s="127">
        <v>920.12</v>
      </c>
      <c r="DW237" s="127"/>
      <c r="DX237" s="126">
        <v>12.9</v>
      </c>
      <c r="DZ237" s="51"/>
      <c r="EA237" s="53"/>
      <c r="EB237" s="52"/>
      <c r="EC237" s="53">
        <f t="shared" si="123"/>
        <v>12.9</v>
      </c>
      <c r="EE237" s="122">
        <v>46035</v>
      </c>
      <c r="EF237" s="123">
        <v>789.92</v>
      </c>
      <c r="EG237" s="127">
        <v>413.44</v>
      </c>
      <c r="EH237" s="127"/>
      <c r="EI237" s="126">
        <v>1.99</v>
      </c>
      <c r="EK237" s="240">
        <v>630.65057999999965</v>
      </c>
      <c r="EL237" s="435"/>
      <c r="EM237" s="53">
        <v>66.465831238476227</v>
      </c>
      <c r="EN237" s="53"/>
      <c r="EO237" s="53">
        <f t="shared" si="124"/>
        <v>699.10641123847586</v>
      </c>
      <c r="EQ237" s="122">
        <v>46035</v>
      </c>
      <c r="ER237" s="123">
        <v>3440.68</v>
      </c>
      <c r="ES237" s="259">
        <v>137.06</v>
      </c>
      <c r="ET237" s="127"/>
      <c r="EU237" s="258">
        <v>48.03</v>
      </c>
      <c r="EW237" s="240">
        <v>52.627480000000006</v>
      </c>
      <c r="EX237" s="53"/>
      <c r="EY237" s="52"/>
      <c r="EZ237" s="53">
        <f t="shared" si="125"/>
        <v>100.65748000000001</v>
      </c>
      <c r="FB237" s="122">
        <v>46035</v>
      </c>
      <c r="FC237" s="123">
        <v>640.07000000000005</v>
      </c>
      <c r="FD237" s="123">
        <v>138.6</v>
      </c>
      <c r="FE237" s="125"/>
      <c r="FF237" s="126"/>
      <c r="FH237" s="51"/>
      <c r="FI237" s="52"/>
      <c r="FJ237" s="52"/>
      <c r="FK237" s="53"/>
    </row>
    <row r="238" spans="2:167" hidden="1" x14ac:dyDescent="0.25">
      <c r="B238" s="122">
        <v>46036</v>
      </c>
      <c r="C238" s="123">
        <v>11230.52</v>
      </c>
      <c r="D238" s="125"/>
      <c r="E238" s="125"/>
      <c r="F238" s="123">
        <v>8.56</v>
      </c>
      <c r="G238" s="27"/>
      <c r="H238" s="240"/>
      <c r="I238" s="53">
        <v>136.25416175238104</v>
      </c>
      <c r="J238" s="52"/>
      <c r="K238" s="53">
        <f t="shared" si="115"/>
        <v>144.81416175238104</v>
      </c>
      <c r="M238" s="122">
        <v>46036</v>
      </c>
      <c r="N238" s="123">
        <v>2913.51</v>
      </c>
      <c r="O238" s="125"/>
      <c r="P238" s="126">
        <v>16.68</v>
      </c>
      <c r="R238" s="240"/>
      <c r="S238" s="53"/>
      <c r="T238" s="52"/>
      <c r="U238" s="53">
        <f t="shared" si="116"/>
        <v>16.68</v>
      </c>
      <c r="W238" s="122">
        <v>46036</v>
      </c>
      <c r="X238" s="123">
        <v>1366.81</v>
      </c>
      <c r="Y238" s="123">
        <v>310.87</v>
      </c>
      <c r="Z238" s="125"/>
      <c r="AA238" s="273">
        <v>9.2100000000000009</v>
      </c>
      <c r="AC238" s="240"/>
      <c r="AD238" s="53"/>
      <c r="AE238" s="52"/>
      <c r="AF238" s="53">
        <f t="shared" si="117"/>
        <v>9.2100000000000009</v>
      </c>
      <c r="AI238" s="122">
        <v>46036</v>
      </c>
      <c r="AJ238" s="123">
        <v>1492.07</v>
      </c>
      <c r="AK238" s="125"/>
      <c r="AL238" s="126"/>
      <c r="AN238" s="51"/>
      <c r="AO238" s="52"/>
      <c r="AP238" s="52"/>
      <c r="AQ238" s="53"/>
      <c r="AS238" s="122">
        <v>46036</v>
      </c>
      <c r="AT238" s="123">
        <v>3381.93</v>
      </c>
      <c r="AU238" s="125"/>
      <c r="AV238" s="128"/>
      <c r="AX238" s="51"/>
      <c r="AY238" s="52"/>
      <c r="AZ238" s="52"/>
      <c r="BA238" s="53"/>
      <c r="BC238" s="122">
        <v>46036</v>
      </c>
      <c r="BD238" s="123">
        <v>2826.65</v>
      </c>
      <c r="BE238" s="125"/>
      <c r="BF238" s="128">
        <v>0</v>
      </c>
      <c r="BH238" s="240"/>
      <c r="BI238" s="52"/>
      <c r="BJ238" s="52"/>
      <c r="BK238" s="53">
        <f t="shared" si="118"/>
        <v>0</v>
      </c>
      <c r="BM238" s="122">
        <v>46036</v>
      </c>
      <c r="BN238" s="123">
        <v>11429.48</v>
      </c>
      <c r="BO238" s="123">
        <v>3086.9</v>
      </c>
      <c r="BP238" s="123">
        <v>8601.85</v>
      </c>
      <c r="BQ238" s="125"/>
      <c r="BR238" s="125"/>
      <c r="BT238" s="240"/>
      <c r="BU238" s="53"/>
      <c r="BV238" s="53"/>
      <c r="BW238" s="53">
        <f t="shared" si="114"/>
        <v>0</v>
      </c>
      <c r="BY238" s="122">
        <v>46036</v>
      </c>
      <c r="BZ238" s="256">
        <v>862.03</v>
      </c>
      <c r="CA238" s="257">
        <v>168.05</v>
      </c>
      <c r="CB238" s="125"/>
      <c r="CC238" s="126"/>
      <c r="CE238" s="240"/>
      <c r="CF238" s="52"/>
      <c r="CG238" s="53"/>
      <c r="CH238" s="53">
        <f t="shared" si="119"/>
        <v>0</v>
      </c>
      <c r="CJ238" s="122">
        <v>46036</v>
      </c>
      <c r="CK238" s="123">
        <v>6167.99</v>
      </c>
      <c r="CL238" s="123">
        <v>616</v>
      </c>
      <c r="CM238" s="125"/>
      <c r="CN238" s="126">
        <v>36.04</v>
      </c>
      <c r="CP238" s="240">
        <v>131.75261000000006</v>
      </c>
      <c r="CQ238" s="53"/>
      <c r="CR238" s="52"/>
      <c r="CS238" s="53">
        <f t="shared" si="120"/>
        <v>167.79261000000005</v>
      </c>
      <c r="CU238" s="122">
        <v>46036</v>
      </c>
      <c r="CV238" s="123">
        <v>6351.9</v>
      </c>
      <c r="CW238" s="127">
        <v>1538.63</v>
      </c>
      <c r="CX238" s="125"/>
      <c r="CY238" s="128">
        <v>199.63</v>
      </c>
      <c r="CZ238" s="27"/>
      <c r="DA238" s="240">
        <v>221.09999999999974</v>
      </c>
      <c r="DB238" s="435"/>
      <c r="DC238" s="52"/>
      <c r="DD238" s="52"/>
      <c r="DE238" s="53">
        <f t="shared" si="121"/>
        <v>420.72999999999973</v>
      </c>
      <c r="DH238" s="122">
        <v>46036</v>
      </c>
      <c r="DI238" s="123">
        <v>1316.86</v>
      </c>
      <c r="DJ238" s="127">
        <v>364.81</v>
      </c>
      <c r="DK238" s="127">
        <v>1454.77</v>
      </c>
      <c r="DL238" s="127"/>
      <c r="DM238" s="126">
        <v>0</v>
      </c>
      <c r="DO238" s="240"/>
      <c r="DP238" s="53"/>
      <c r="DQ238" s="52"/>
      <c r="DR238" s="53">
        <f t="shared" si="122"/>
        <v>0</v>
      </c>
      <c r="DT238" s="122">
        <v>46036</v>
      </c>
      <c r="DU238" s="123">
        <v>1267.0899999999999</v>
      </c>
      <c r="DV238" s="127">
        <v>985.09</v>
      </c>
      <c r="DW238" s="127"/>
      <c r="DX238" s="126">
        <v>4.78</v>
      </c>
      <c r="DZ238" s="51"/>
      <c r="EA238" s="53"/>
      <c r="EB238" s="52"/>
      <c r="EC238" s="53">
        <f t="shared" si="123"/>
        <v>4.78</v>
      </c>
      <c r="EE238" s="122">
        <v>46036</v>
      </c>
      <c r="EF238" s="123">
        <v>713.76</v>
      </c>
      <c r="EG238" s="127">
        <v>896.16</v>
      </c>
      <c r="EH238" s="127"/>
      <c r="EI238" s="126">
        <v>11.95</v>
      </c>
      <c r="EK238" s="240">
        <v>1173.6925099999999</v>
      </c>
      <c r="EL238" s="435"/>
      <c r="EM238" s="53"/>
      <c r="EN238" s="53"/>
      <c r="EO238" s="53">
        <f t="shared" si="124"/>
        <v>1185.6425099999999</v>
      </c>
      <c r="EQ238" s="122">
        <v>46036</v>
      </c>
      <c r="ER238" s="123">
        <v>3471.36</v>
      </c>
      <c r="ES238" s="259">
        <v>407.01</v>
      </c>
      <c r="ET238" s="127"/>
      <c r="EU238" s="258">
        <v>159.69999999999999</v>
      </c>
      <c r="EW238" s="240">
        <v>49.611780000000039</v>
      </c>
      <c r="EX238" s="53"/>
      <c r="EY238" s="52"/>
      <c r="EZ238" s="53">
        <f t="shared" si="125"/>
        <v>209.31178000000003</v>
      </c>
      <c r="FB238" s="122">
        <v>46036</v>
      </c>
      <c r="FC238" s="123">
        <v>909.36</v>
      </c>
      <c r="FD238" s="123">
        <v>261</v>
      </c>
      <c r="FE238" s="125"/>
      <c r="FF238" s="126"/>
      <c r="FH238" s="51"/>
      <c r="FI238" s="52"/>
      <c r="FJ238" s="52"/>
      <c r="FK238" s="53"/>
    </row>
    <row r="239" spans="2:167" hidden="1" x14ac:dyDescent="0.25">
      <c r="B239" s="122">
        <v>46037</v>
      </c>
      <c r="C239" s="123">
        <v>18941.39</v>
      </c>
      <c r="D239" s="126"/>
      <c r="E239" s="125"/>
      <c r="F239" s="126">
        <v>90.14</v>
      </c>
      <c r="G239" s="27"/>
      <c r="H239" s="240">
        <v>22.746570000000006</v>
      </c>
      <c r="I239" s="53">
        <v>43.227528896000031</v>
      </c>
      <c r="J239" s="52"/>
      <c r="K239" s="53">
        <f t="shared" si="115"/>
        <v>156.11409889600003</v>
      </c>
      <c r="M239" s="122">
        <v>46037</v>
      </c>
      <c r="N239" s="123">
        <v>2583.58</v>
      </c>
      <c r="O239" s="125"/>
      <c r="P239" s="126">
        <v>15.52</v>
      </c>
      <c r="R239" s="240"/>
      <c r="S239" s="53">
        <v>20.524632201904765</v>
      </c>
      <c r="T239" s="52"/>
      <c r="U239" s="53">
        <f t="shared" si="116"/>
        <v>36.044632201904761</v>
      </c>
      <c r="W239" s="122">
        <v>46037</v>
      </c>
      <c r="X239" s="123">
        <v>1822.4</v>
      </c>
      <c r="Y239" s="123">
        <v>32.93</v>
      </c>
      <c r="Z239" s="125"/>
      <c r="AA239" s="273">
        <v>16</v>
      </c>
      <c r="AC239" s="240"/>
      <c r="AD239" s="53">
        <v>25.257846641904763</v>
      </c>
      <c r="AE239" s="52"/>
      <c r="AF239" s="53">
        <f t="shared" si="117"/>
        <v>41.257846641904763</v>
      </c>
      <c r="AI239" s="122">
        <v>46037</v>
      </c>
      <c r="AJ239" s="123">
        <v>2118.62</v>
      </c>
      <c r="AK239" s="125"/>
      <c r="AL239" s="126"/>
      <c r="AN239" s="51"/>
      <c r="AO239" s="52"/>
      <c r="AP239" s="52"/>
      <c r="AQ239" s="53"/>
      <c r="AS239" s="122">
        <v>46037</v>
      </c>
      <c r="AT239" s="123">
        <v>2904.24</v>
      </c>
      <c r="AU239" s="125"/>
      <c r="AV239" s="128"/>
      <c r="AX239" s="51"/>
      <c r="AY239" s="52"/>
      <c r="AZ239" s="52"/>
      <c r="BA239" s="53"/>
      <c r="BC239" s="122">
        <v>46037</v>
      </c>
      <c r="BD239" s="123">
        <v>1917.63</v>
      </c>
      <c r="BE239" s="125"/>
      <c r="BF239" s="128">
        <v>2.16</v>
      </c>
      <c r="BH239" s="240">
        <v>18.138599999999997</v>
      </c>
      <c r="BI239" s="52"/>
      <c r="BJ239" s="52"/>
      <c r="BK239" s="53">
        <f t="shared" si="118"/>
        <v>20.298599999999997</v>
      </c>
      <c r="BM239" s="122">
        <v>46037</v>
      </c>
      <c r="BN239" s="123">
        <v>9981.81</v>
      </c>
      <c r="BO239" s="123">
        <v>2893</v>
      </c>
      <c r="BP239" s="123">
        <v>9297.01</v>
      </c>
      <c r="BQ239" s="125"/>
      <c r="BR239" s="125"/>
      <c r="BT239" s="240">
        <v>310.33229</v>
      </c>
      <c r="BU239" s="53"/>
      <c r="BV239" s="53"/>
      <c r="BW239" s="53">
        <f t="shared" si="114"/>
        <v>310.33229</v>
      </c>
      <c r="BY239" s="122">
        <v>46037</v>
      </c>
      <c r="BZ239" s="256">
        <v>965.05</v>
      </c>
      <c r="CA239" s="257">
        <v>539.85</v>
      </c>
      <c r="CB239" s="125"/>
      <c r="CC239" s="126"/>
      <c r="CE239" s="240"/>
      <c r="CF239" s="52"/>
      <c r="CG239" s="53"/>
      <c r="CH239" s="53">
        <f t="shared" si="119"/>
        <v>0</v>
      </c>
      <c r="CJ239" s="122">
        <v>46037</v>
      </c>
      <c r="CK239" s="123">
        <v>3945.07</v>
      </c>
      <c r="CL239" s="123">
        <v>571.45000000000005</v>
      </c>
      <c r="CM239" s="125"/>
      <c r="CN239" s="126">
        <v>0</v>
      </c>
      <c r="CP239" s="240">
        <v>684.72828000000004</v>
      </c>
      <c r="CQ239" s="53"/>
      <c r="CR239" s="52"/>
      <c r="CS239" s="53">
        <f t="shared" si="120"/>
        <v>684.72828000000004</v>
      </c>
      <c r="CU239" s="122">
        <v>46037</v>
      </c>
      <c r="CV239" s="123">
        <v>3228.58</v>
      </c>
      <c r="CW239" s="127">
        <v>1054.69</v>
      </c>
      <c r="CX239" s="125"/>
      <c r="CY239" s="128">
        <v>106.58</v>
      </c>
      <c r="CZ239" s="27"/>
      <c r="DA239" s="240">
        <v>203.99999999999977</v>
      </c>
      <c r="DB239" s="435"/>
      <c r="DC239" s="52"/>
      <c r="DD239" s="52"/>
      <c r="DE239" s="53">
        <f t="shared" si="121"/>
        <v>310.57999999999976</v>
      </c>
      <c r="DH239" s="122">
        <v>46037</v>
      </c>
      <c r="DI239" s="123">
        <v>1289.58</v>
      </c>
      <c r="DJ239" s="127">
        <v>188.01</v>
      </c>
      <c r="DK239" s="127">
        <v>1618.43</v>
      </c>
      <c r="DL239" s="127"/>
      <c r="DM239" s="126">
        <v>0</v>
      </c>
      <c r="DO239" s="240">
        <v>28.536249999999995</v>
      </c>
      <c r="DP239" s="53"/>
      <c r="DQ239" s="52"/>
      <c r="DR239" s="53">
        <f t="shared" si="122"/>
        <v>28.536249999999995</v>
      </c>
      <c r="DT239" s="122">
        <v>46037</v>
      </c>
      <c r="DU239" s="123">
        <v>1928.95</v>
      </c>
      <c r="DV239" s="127">
        <v>895.19</v>
      </c>
      <c r="DW239" s="127"/>
      <c r="DX239" s="126">
        <v>24.19</v>
      </c>
      <c r="DZ239" s="51"/>
      <c r="EA239" s="53"/>
      <c r="EB239" s="52"/>
      <c r="EC239" s="53">
        <f t="shared" si="123"/>
        <v>24.19</v>
      </c>
      <c r="EE239" s="122">
        <v>46037</v>
      </c>
      <c r="EF239" s="123">
        <v>737.94</v>
      </c>
      <c r="EG239" s="127">
        <v>822.37</v>
      </c>
      <c r="EH239" s="127"/>
      <c r="EI239" s="126">
        <v>7.67</v>
      </c>
      <c r="EK239" s="240">
        <v>388.75717999999972</v>
      </c>
      <c r="EL239" s="435"/>
      <c r="EM239" s="53">
        <v>30.930995428571421</v>
      </c>
      <c r="EN239" s="53"/>
      <c r="EO239" s="53">
        <f t="shared" si="124"/>
        <v>427.35817542857114</v>
      </c>
      <c r="EQ239" s="122">
        <v>46037</v>
      </c>
      <c r="ER239" s="123">
        <v>1583.66</v>
      </c>
      <c r="ES239" s="259">
        <v>495.4</v>
      </c>
      <c r="ET239" s="127"/>
      <c r="EU239" s="258">
        <v>341.25</v>
      </c>
      <c r="EW239" s="240"/>
      <c r="EX239" s="53">
        <v>20.752425716190487</v>
      </c>
      <c r="EY239" s="52"/>
      <c r="EZ239" s="53">
        <f t="shared" si="125"/>
        <v>362.00242571619049</v>
      </c>
      <c r="FB239" s="122">
        <v>46037</v>
      </c>
      <c r="FC239" s="123">
        <v>697.18</v>
      </c>
      <c r="FD239" s="123">
        <v>140</v>
      </c>
      <c r="FE239" s="125"/>
      <c r="FF239" s="126"/>
      <c r="FH239" s="51"/>
      <c r="FI239" s="52"/>
      <c r="FJ239" s="52"/>
      <c r="FK239" s="53"/>
    </row>
    <row r="240" spans="2:167" hidden="1" x14ac:dyDescent="0.25">
      <c r="B240" s="122">
        <v>46038</v>
      </c>
      <c r="C240" s="123">
        <v>14911.08</v>
      </c>
      <c r="D240" s="125"/>
      <c r="E240" s="125"/>
      <c r="F240" s="123">
        <v>0</v>
      </c>
      <c r="G240" s="27"/>
      <c r="H240" s="240">
        <v>34.462890000000016</v>
      </c>
      <c r="I240" s="53">
        <v>15.98989900190476</v>
      </c>
      <c r="J240" s="52"/>
      <c r="K240" s="53">
        <f t="shared" si="115"/>
        <v>50.452789001904776</v>
      </c>
      <c r="M240" s="122">
        <v>46038</v>
      </c>
      <c r="N240" s="123">
        <v>2720.43</v>
      </c>
      <c r="O240" s="125"/>
      <c r="P240" s="126">
        <v>0</v>
      </c>
      <c r="R240" s="240"/>
      <c r="S240" s="53"/>
      <c r="T240" s="52"/>
      <c r="U240" s="53">
        <f t="shared" si="116"/>
        <v>0</v>
      </c>
      <c r="W240" s="122">
        <v>46038</v>
      </c>
      <c r="X240" s="123">
        <v>1494.13</v>
      </c>
      <c r="Y240" s="123">
        <v>153.49</v>
      </c>
      <c r="Z240" s="125"/>
      <c r="AA240" s="273">
        <v>12.5</v>
      </c>
      <c r="AC240" s="240"/>
      <c r="AD240" s="53">
        <v>16.626075374476187</v>
      </c>
      <c r="AE240" s="52"/>
      <c r="AF240" s="53">
        <f t="shared" si="117"/>
        <v>29.126075374476187</v>
      </c>
      <c r="AI240" s="122">
        <v>46038</v>
      </c>
      <c r="AJ240" s="123">
        <v>2048.98</v>
      </c>
      <c r="AK240" s="125"/>
      <c r="AL240" s="126"/>
      <c r="AN240" s="51"/>
      <c r="AO240" s="52"/>
      <c r="AP240" s="52"/>
      <c r="AQ240" s="53"/>
      <c r="AS240" s="122">
        <v>46038</v>
      </c>
      <c r="AT240" s="123">
        <v>2892.51</v>
      </c>
      <c r="AU240" s="125"/>
      <c r="AV240" s="128"/>
      <c r="AX240" s="51"/>
      <c r="AY240" s="52"/>
      <c r="AZ240" s="52"/>
      <c r="BA240" s="53"/>
      <c r="BC240" s="122">
        <v>46038</v>
      </c>
      <c r="BD240" s="123">
        <v>2578.0100000000002</v>
      </c>
      <c r="BE240" s="125"/>
      <c r="BF240" s="128">
        <v>0</v>
      </c>
      <c r="BH240" s="240">
        <v>44.829719999999952</v>
      </c>
      <c r="BI240" s="52"/>
      <c r="BJ240" s="52"/>
      <c r="BK240" s="53">
        <f t="shared" si="118"/>
        <v>44.829719999999952</v>
      </c>
      <c r="BM240" s="122">
        <v>46038</v>
      </c>
      <c r="BN240" s="123">
        <v>12892.99</v>
      </c>
      <c r="BO240" s="123">
        <v>3420.56</v>
      </c>
      <c r="BP240" s="123">
        <v>9233.93</v>
      </c>
      <c r="BQ240" s="125"/>
      <c r="BR240" s="125"/>
      <c r="BT240" s="240">
        <v>211.80296000000001</v>
      </c>
      <c r="BU240" s="53"/>
      <c r="BV240" s="53"/>
      <c r="BW240" s="53">
        <f t="shared" si="114"/>
        <v>211.80296000000001</v>
      </c>
      <c r="BY240" s="122">
        <v>46038</v>
      </c>
      <c r="BZ240" s="256">
        <v>491.71</v>
      </c>
      <c r="CA240" s="257">
        <v>345.57</v>
      </c>
      <c r="CB240" s="125"/>
      <c r="CC240" s="126"/>
      <c r="CE240" s="240"/>
      <c r="CF240" s="52"/>
      <c r="CG240" s="53">
        <v>9.3167271000000085</v>
      </c>
      <c r="CH240" s="53">
        <f t="shared" si="119"/>
        <v>9.3167271000000085</v>
      </c>
      <c r="CJ240" s="122">
        <v>46038</v>
      </c>
      <c r="CK240" s="123">
        <v>6397.87</v>
      </c>
      <c r="CL240" s="123">
        <v>641.22</v>
      </c>
      <c r="CM240" s="125"/>
      <c r="CN240" s="126">
        <v>25.71</v>
      </c>
      <c r="CP240" s="240">
        <v>153.17757000000006</v>
      </c>
      <c r="CQ240" s="53"/>
      <c r="CR240" s="52"/>
      <c r="CS240" s="53">
        <f t="shared" si="120"/>
        <v>178.88757000000007</v>
      </c>
      <c r="CU240" s="122">
        <v>46038</v>
      </c>
      <c r="CV240" s="123">
        <v>6486.56</v>
      </c>
      <c r="CW240" s="127">
        <v>1473.9</v>
      </c>
      <c r="CX240" s="125"/>
      <c r="CY240" s="128">
        <v>96.09</v>
      </c>
      <c r="CZ240" s="27"/>
      <c r="DA240" s="240">
        <v>40.799999999999955</v>
      </c>
      <c r="DB240" s="435"/>
      <c r="DC240" s="52"/>
      <c r="DD240" s="52"/>
      <c r="DE240" s="53">
        <f t="shared" si="121"/>
        <v>136.88999999999996</v>
      </c>
      <c r="DH240" s="122">
        <v>46038</v>
      </c>
      <c r="DI240" s="123">
        <v>1283.25</v>
      </c>
      <c r="DJ240" s="259">
        <v>167.73</v>
      </c>
      <c r="DK240" s="259">
        <v>1386.59</v>
      </c>
      <c r="DL240" s="127"/>
      <c r="DM240" s="126">
        <v>0</v>
      </c>
      <c r="DO240" s="240">
        <v>52.380899999999968</v>
      </c>
      <c r="DP240" s="53"/>
      <c r="DQ240" s="52"/>
      <c r="DR240" s="53">
        <f t="shared" si="122"/>
        <v>52.380899999999968</v>
      </c>
      <c r="DT240" s="122">
        <v>46038</v>
      </c>
      <c r="DU240" s="123">
        <v>1673.25</v>
      </c>
      <c r="DV240" s="259">
        <v>1112.79</v>
      </c>
      <c r="DW240" s="127"/>
      <c r="DX240" s="126">
        <v>34.82</v>
      </c>
      <c r="DZ240" s="51"/>
      <c r="EA240" s="53">
        <v>56.199607950476235</v>
      </c>
      <c r="EB240" s="52"/>
      <c r="EC240" s="53">
        <f t="shared" si="123"/>
        <v>91.019607950476228</v>
      </c>
      <c r="EE240" s="122">
        <v>46038</v>
      </c>
      <c r="EF240" s="123">
        <v>1289.4100000000001</v>
      </c>
      <c r="EG240" s="127">
        <v>802.88</v>
      </c>
      <c r="EH240" s="127"/>
      <c r="EI240" s="126">
        <v>65.760000000000005</v>
      </c>
      <c r="EK240" s="240">
        <v>324.87341999999984</v>
      </c>
      <c r="EL240" s="435"/>
      <c r="EM240" s="53">
        <v>78.086504487618981</v>
      </c>
      <c r="EN240" s="53"/>
      <c r="EO240" s="53">
        <f t="shared" si="124"/>
        <v>468.71992448761881</v>
      </c>
      <c r="EQ240" s="122">
        <v>46038</v>
      </c>
      <c r="ER240" s="123">
        <v>2730.04</v>
      </c>
      <c r="ES240" s="259">
        <v>407.27</v>
      </c>
      <c r="ET240" s="127"/>
      <c r="EU240" s="258">
        <v>0</v>
      </c>
      <c r="EW240" s="240"/>
      <c r="EX240" s="53"/>
      <c r="EY240" s="52"/>
      <c r="EZ240" s="53">
        <f t="shared" si="125"/>
        <v>0</v>
      </c>
      <c r="FB240" s="122">
        <v>46038</v>
      </c>
      <c r="FC240" s="123">
        <v>345.1</v>
      </c>
      <c r="FD240" s="123">
        <v>234.6</v>
      </c>
      <c r="FE240" s="125"/>
      <c r="FF240" s="126"/>
      <c r="FH240" s="51"/>
      <c r="FI240" s="52"/>
      <c r="FJ240" s="52"/>
      <c r="FK240" s="53"/>
    </row>
    <row r="241" spans="2:167" hidden="1" x14ac:dyDescent="0.25">
      <c r="B241" s="122">
        <v>46039</v>
      </c>
      <c r="C241" s="123">
        <v>17905.55</v>
      </c>
      <c r="D241" s="125"/>
      <c r="E241" s="125"/>
      <c r="F241" s="123">
        <v>0</v>
      </c>
      <c r="G241" s="27"/>
      <c r="H241" s="240">
        <v>26.465669999999989</v>
      </c>
      <c r="I241" s="53"/>
      <c r="J241" s="52"/>
      <c r="K241" s="53">
        <f t="shared" si="115"/>
        <v>26.465669999999989</v>
      </c>
      <c r="M241" s="122">
        <v>46039</v>
      </c>
      <c r="N241" s="123">
        <v>4058.67</v>
      </c>
      <c r="O241" s="125"/>
      <c r="P241" s="126">
        <v>0</v>
      </c>
      <c r="R241" s="240"/>
      <c r="S241" s="53"/>
      <c r="T241" s="52"/>
      <c r="U241" s="53">
        <f t="shared" si="116"/>
        <v>0</v>
      </c>
      <c r="W241" s="122">
        <v>46039</v>
      </c>
      <c r="X241" s="123">
        <v>3529.21</v>
      </c>
      <c r="Y241" s="123">
        <v>120.18</v>
      </c>
      <c r="Z241" s="125"/>
      <c r="AA241" s="273">
        <v>2.75</v>
      </c>
      <c r="AC241" s="240"/>
      <c r="AD241" s="53"/>
      <c r="AE241" s="52"/>
      <c r="AF241" s="53">
        <f t="shared" si="117"/>
        <v>2.75</v>
      </c>
      <c r="AI241" s="122">
        <v>46039</v>
      </c>
      <c r="AJ241" s="123">
        <v>1263.9000000000001</v>
      </c>
      <c r="AK241" s="125"/>
      <c r="AL241" s="126"/>
      <c r="AN241" s="51"/>
      <c r="AO241" s="52"/>
      <c r="AP241" s="52"/>
      <c r="AQ241" s="53"/>
      <c r="AS241" s="122">
        <v>46039</v>
      </c>
      <c r="AT241" s="123">
        <v>3831.41</v>
      </c>
      <c r="AU241" s="125"/>
      <c r="AV241" s="128"/>
      <c r="AX241" s="51"/>
      <c r="AY241" s="52"/>
      <c r="AZ241" s="52"/>
      <c r="BA241" s="53"/>
      <c r="BC241" s="122">
        <v>46039</v>
      </c>
      <c r="BD241" s="123">
        <v>3179.77</v>
      </c>
      <c r="BE241" s="125"/>
      <c r="BF241" s="128">
        <v>0</v>
      </c>
      <c r="BH241" s="240">
        <v>18.350279999999998</v>
      </c>
      <c r="BI241" s="52"/>
      <c r="BJ241" s="52"/>
      <c r="BK241" s="53">
        <f t="shared" si="118"/>
        <v>18.350279999999998</v>
      </c>
      <c r="BM241" s="122">
        <v>46039</v>
      </c>
      <c r="BN241" s="123">
        <v>9038.8799999999992</v>
      </c>
      <c r="BO241" s="123">
        <v>3180.09</v>
      </c>
      <c r="BP241" s="123">
        <v>7772.74</v>
      </c>
      <c r="BQ241" s="125"/>
      <c r="BR241" s="125"/>
      <c r="BT241" s="240">
        <v>523.8071299999998</v>
      </c>
      <c r="BU241" s="53"/>
      <c r="BV241" s="53"/>
      <c r="BW241" s="53">
        <f t="shared" si="114"/>
        <v>523.8071299999998</v>
      </c>
      <c r="BY241" s="122">
        <v>46039</v>
      </c>
      <c r="BZ241" s="256">
        <v>739.05</v>
      </c>
      <c r="CA241" s="257">
        <v>632.08000000000004</v>
      </c>
      <c r="CB241" s="125"/>
      <c r="CC241" s="126"/>
      <c r="CE241" s="240"/>
      <c r="CF241" s="52"/>
      <c r="CG241" s="53">
        <v>20.973668799999984</v>
      </c>
      <c r="CH241" s="53">
        <f t="shared" si="119"/>
        <v>20.973668799999984</v>
      </c>
      <c r="CJ241" s="122">
        <v>46039</v>
      </c>
      <c r="CK241" s="123">
        <v>3638.71</v>
      </c>
      <c r="CL241" s="123">
        <v>875.84</v>
      </c>
      <c r="CM241" s="125"/>
      <c r="CN241" s="126">
        <v>8.75</v>
      </c>
      <c r="CP241" s="240">
        <v>77.752199999999959</v>
      </c>
      <c r="CQ241" s="53">
        <v>42.098104920000026</v>
      </c>
      <c r="CR241" s="52"/>
      <c r="CS241" s="53">
        <f t="shared" si="120"/>
        <v>128.60030491999999</v>
      </c>
      <c r="CU241" s="122">
        <v>46039</v>
      </c>
      <c r="CV241" s="123">
        <v>4455.54</v>
      </c>
      <c r="CW241" s="127">
        <v>1071.1400000000001</v>
      </c>
      <c r="CX241" s="125"/>
      <c r="CY241" s="128">
        <v>63.7</v>
      </c>
      <c r="CZ241" s="27"/>
      <c r="DA241" s="240">
        <v>310.07999999999987</v>
      </c>
      <c r="DB241" s="435"/>
      <c r="DC241" s="52"/>
      <c r="DD241" s="52"/>
      <c r="DE241" s="53">
        <f t="shared" si="121"/>
        <v>373.77999999999986</v>
      </c>
      <c r="DH241" s="122">
        <v>46039</v>
      </c>
      <c r="DI241" s="123">
        <v>1909.25</v>
      </c>
      <c r="DJ241" s="127">
        <v>638.44000000000005</v>
      </c>
      <c r="DK241" s="127">
        <v>172.55</v>
      </c>
      <c r="DL241" s="127"/>
      <c r="DM241" s="126">
        <v>8.4</v>
      </c>
      <c r="DO241" s="240"/>
      <c r="DP241" s="53"/>
      <c r="DQ241" s="52"/>
      <c r="DR241" s="53">
        <f t="shared" si="122"/>
        <v>8.4</v>
      </c>
      <c r="DT241" s="122">
        <v>46039</v>
      </c>
      <c r="DU241" s="123">
        <v>1186.3</v>
      </c>
      <c r="DV241" s="127">
        <v>1148.3900000000001</v>
      </c>
      <c r="DW241" s="127"/>
      <c r="DX241" s="126">
        <v>10.199999999999999</v>
      </c>
      <c r="DZ241" s="51"/>
      <c r="EA241" s="53"/>
      <c r="EB241" s="52"/>
      <c r="EC241" s="53">
        <f t="shared" si="123"/>
        <v>10.199999999999999</v>
      </c>
      <c r="EE241" s="122">
        <v>46039</v>
      </c>
      <c r="EF241" s="123">
        <v>1022.93</v>
      </c>
      <c r="EG241" s="127">
        <v>1040.44</v>
      </c>
      <c r="EH241" s="127"/>
      <c r="EI241" s="126">
        <v>1.72</v>
      </c>
      <c r="EK241" s="240">
        <v>332.08359999999993</v>
      </c>
      <c r="EL241" s="435"/>
      <c r="EM241" s="53"/>
      <c r="EN241" s="53"/>
      <c r="EO241" s="53">
        <f t="shared" si="124"/>
        <v>333.80359999999996</v>
      </c>
      <c r="EQ241" s="122">
        <v>46039</v>
      </c>
      <c r="ER241" s="123">
        <v>4601.91</v>
      </c>
      <c r="ES241" s="259">
        <v>521.08000000000004</v>
      </c>
      <c r="ET241" s="127"/>
      <c r="EU241" s="258">
        <v>49.74</v>
      </c>
      <c r="EW241" s="240">
        <v>50.698080000000004</v>
      </c>
      <c r="EX241" s="53">
        <v>613.51716879047683</v>
      </c>
      <c r="EY241" s="52"/>
      <c r="EZ241" s="53">
        <f t="shared" si="125"/>
        <v>713.95524879047684</v>
      </c>
      <c r="FB241" s="122">
        <v>46039</v>
      </c>
      <c r="FC241" s="123">
        <v>505.02</v>
      </c>
      <c r="FD241" s="123">
        <v>203.29</v>
      </c>
      <c r="FE241" s="125"/>
      <c r="FF241" s="126"/>
      <c r="FH241" s="51"/>
      <c r="FI241" s="52"/>
      <c r="FJ241" s="52"/>
      <c r="FK241" s="53"/>
    </row>
    <row r="242" spans="2:167" hidden="1" x14ac:dyDescent="0.25">
      <c r="B242" s="122">
        <v>46040</v>
      </c>
      <c r="C242" s="123">
        <v>20103.32</v>
      </c>
      <c r="D242" s="125"/>
      <c r="E242" s="125"/>
      <c r="F242" s="125">
        <v>99.13</v>
      </c>
      <c r="G242" s="27"/>
      <c r="H242" s="240"/>
      <c r="I242" s="53"/>
      <c r="J242" s="52"/>
      <c r="K242" s="53">
        <f t="shared" si="115"/>
        <v>99.13</v>
      </c>
      <c r="M242" s="122">
        <v>46040</v>
      </c>
      <c r="N242" s="123">
        <v>4056.33</v>
      </c>
      <c r="O242" s="125"/>
      <c r="P242" s="126">
        <v>0</v>
      </c>
      <c r="R242" s="240"/>
      <c r="S242" s="53"/>
      <c r="T242" s="52"/>
      <c r="U242" s="53">
        <f t="shared" si="116"/>
        <v>0</v>
      </c>
      <c r="W242" s="122">
        <v>46040</v>
      </c>
      <c r="X242" s="123">
        <v>1486.41</v>
      </c>
      <c r="Y242" s="123">
        <v>392.12</v>
      </c>
      <c r="Z242" s="125"/>
      <c r="AA242" s="273">
        <v>1.83</v>
      </c>
      <c r="AC242" s="240"/>
      <c r="AD242" s="53"/>
      <c r="AE242" s="52"/>
      <c r="AF242" s="53">
        <f t="shared" si="117"/>
        <v>1.83</v>
      </c>
      <c r="AI242" s="122">
        <v>46040</v>
      </c>
      <c r="AJ242" s="123">
        <v>1390.98</v>
      </c>
      <c r="AK242" s="125"/>
      <c r="AL242" s="126"/>
      <c r="AN242" s="51"/>
      <c r="AO242" s="52"/>
      <c r="AP242" s="52"/>
      <c r="AQ242" s="53"/>
      <c r="AS242" s="122">
        <v>46040</v>
      </c>
      <c r="AT242" s="123">
        <v>3609.63</v>
      </c>
      <c r="AU242" s="125"/>
      <c r="AV242" s="128"/>
      <c r="AX242" s="51"/>
      <c r="AY242" s="52"/>
      <c r="AZ242" s="52"/>
      <c r="BA242" s="53"/>
      <c r="BC242" s="122">
        <v>46040</v>
      </c>
      <c r="BD242" s="123">
        <v>1493.55</v>
      </c>
      <c r="BE242" s="125"/>
      <c r="BF242" s="128">
        <v>0</v>
      </c>
      <c r="BH242" s="240"/>
      <c r="BI242" s="52"/>
      <c r="BJ242" s="52"/>
      <c r="BK242" s="53">
        <f t="shared" si="118"/>
        <v>0</v>
      </c>
      <c r="BM242" s="122">
        <v>46040</v>
      </c>
      <c r="BN242" s="123">
        <v>8904.33</v>
      </c>
      <c r="BO242" s="123">
        <v>2614.2600000000002</v>
      </c>
      <c r="BP242" s="123">
        <v>5758.28</v>
      </c>
      <c r="BQ242" s="125"/>
      <c r="BR242" s="125"/>
      <c r="BT242" s="240">
        <v>108.05262000000002</v>
      </c>
      <c r="BU242" s="53"/>
      <c r="BV242" s="53"/>
      <c r="BW242" s="53">
        <f t="shared" si="114"/>
        <v>108.05262000000002</v>
      </c>
      <c r="BY242" s="122">
        <v>46040</v>
      </c>
      <c r="BZ242" s="256">
        <v>1703.46</v>
      </c>
      <c r="CA242" s="257">
        <v>233.71</v>
      </c>
      <c r="CB242" s="125"/>
      <c r="CC242" s="126"/>
      <c r="CE242" s="240"/>
      <c r="CF242" s="52"/>
      <c r="CG242" s="53"/>
      <c r="CH242" s="53">
        <f t="shared" si="119"/>
        <v>0</v>
      </c>
      <c r="CJ242" s="122">
        <v>46040</v>
      </c>
      <c r="CK242" s="123">
        <v>4181.8999999999996</v>
      </c>
      <c r="CL242" s="123">
        <v>572.5</v>
      </c>
      <c r="CM242" s="125"/>
      <c r="CN242" s="126">
        <v>24.83</v>
      </c>
      <c r="CP242" s="240">
        <v>62.961949999999973</v>
      </c>
      <c r="CQ242" s="53"/>
      <c r="CR242" s="52"/>
      <c r="CS242" s="53">
        <f t="shared" si="120"/>
        <v>87.791949999999972</v>
      </c>
      <c r="CU242" s="122">
        <v>46040</v>
      </c>
      <c r="CV242" s="123">
        <v>1663.35</v>
      </c>
      <c r="CW242" s="127">
        <v>751.6</v>
      </c>
      <c r="CX242" s="125"/>
      <c r="CY242" s="128">
        <v>61.55</v>
      </c>
      <c r="CZ242" s="27"/>
      <c r="DA242" s="240">
        <v>3247.6800000000057</v>
      </c>
      <c r="DB242" s="435"/>
      <c r="DC242" s="52"/>
      <c r="DD242" s="52"/>
      <c r="DE242" s="53">
        <f t="shared" si="121"/>
        <v>3309.2300000000059</v>
      </c>
      <c r="DH242" s="122">
        <v>46040</v>
      </c>
      <c r="DI242" s="123">
        <v>1571.16</v>
      </c>
      <c r="DJ242" s="127">
        <v>0</v>
      </c>
      <c r="DK242" s="127">
        <v>1791.3</v>
      </c>
      <c r="DL242" s="127"/>
      <c r="DM242" s="126">
        <v>0</v>
      </c>
      <c r="DO242" s="240"/>
      <c r="DP242" s="53"/>
      <c r="DQ242" s="52"/>
      <c r="DR242" s="53">
        <f t="shared" si="122"/>
        <v>0</v>
      </c>
      <c r="DT242" s="122">
        <v>46040</v>
      </c>
      <c r="DU242" s="123">
        <v>785.48</v>
      </c>
      <c r="DV242" s="127">
        <v>850.9</v>
      </c>
      <c r="DW242" s="127"/>
      <c r="DX242" s="126">
        <v>10.199999999999999</v>
      </c>
      <c r="DZ242" s="51"/>
      <c r="EA242" s="53"/>
      <c r="EB242" s="52"/>
      <c r="EC242" s="53">
        <f t="shared" si="123"/>
        <v>10.199999999999999</v>
      </c>
      <c r="EE242" s="122">
        <v>46040</v>
      </c>
      <c r="EF242" s="123">
        <v>541.83000000000004</v>
      </c>
      <c r="EG242" s="127">
        <v>580.47</v>
      </c>
      <c r="EH242" s="127"/>
      <c r="EI242" s="126">
        <v>32.14</v>
      </c>
      <c r="EK242" s="240">
        <v>242.62219999999991</v>
      </c>
      <c r="EL242" s="435"/>
      <c r="EM242" s="53"/>
      <c r="EN242" s="53"/>
      <c r="EO242" s="53">
        <f t="shared" si="124"/>
        <v>274.76219999999989</v>
      </c>
      <c r="EQ242" s="122">
        <v>46040</v>
      </c>
      <c r="ER242" s="123">
        <v>1858.99</v>
      </c>
      <c r="ES242" s="259">
        <v>272.93</v>
      </c>
      <c r="ET242" s="127"/>
      <c r="EU242" s="258">
        <v>11.32</v>
      </c>
      <c r="EW242" s="240">
        <v>28.052449999999993</v>
      </c>
      <c r="EX242" s="53">
        <v>332.62125880571466</v>
      </c>
      <c r="EY242" s="52"/>
      <c r="EZ242" s="53">
        <f t="shared" si="125"/>
        <v>371.99370880571468</v>
      </c>
      <c r="FB242" s="122">
        <v>46040</v>
      </c>
      <c r="FC242" s="123">
        <v>535.29999999999995</v>
      </c>
      <c r="FD242" s="123">
        <v>140.19999999999999</v>
      </c>
      <c r="FE242" s="125"/>
      <c r="FF242" s="126"/>
      <c r="FH242" s="51"/>
      <c r="FI242" s="52"/>
      <c r="FJ242" s="52"/>
      <c r="FK242" s="53"/>
    </row>
    <row r="243" spans="2:167" hidden="1" x14ac:dyDescent="0.25">
      <c r="B243" s="122">
        <v>46041</v>
      </c>
      <c r="C243" s="123">
        <v>13098.43</v>
      </c>
      <c r="D243" s="125"/>
      <c r="E243" s="125"/>
      <c r="F243" s="123">
        <v>0</v>
      </c>
      <c r="G243" s="27"/>
      <c r="H243" s="240"/>
      <c r="I243" s="53"/>
      <c r="J243" s="52"/>
      <c r="K243" s="53">
        <f t="shared" si="115"/>
        <v>0</v>
      </c>
      <c r="M243" s="122">
        <v>46041</v>
      </c>
      <c r="N243" s="123">
        <v>3263.17</v>
      </c>
      <c r="O243" s="125"/>
      <c r="P243" s="126">
        <v>18.46</v>
      </c>
      <c r="R243" s="240"/>
      <c r="S243" s="53"/>
      <c r="T243" s="52"/>
      <c r="U243" s="53">
        <f t="shared" si="116"/>
        <v>18.46</v>
      </c>
      <c r="W243" s="122">
        <v>46041</v>
      </c>
      <c r="X243" s="123">
        <v>1405.7</v>
      </c>
      <c r="Y243" s="123">
        <v>330.51</v>
      </c>
      <c r="Z243" s="125"/>
      <c r="AA243" s="273">
        <v>11.47</v>
      </c>
      <c r="AC243" s="240"/>
      <c r="AD243" s="53"/>
      <c r="AE243" s="52"/>
      <c r="AF243" s="53">
        <f t="shared" si="117"/>
        <v>11.47</v>
      </c>
      <c r="AI243" s="122">
        <v>46041</v>
      </c>
      <c r="AJ243" s="123">
        <v>845.81</v>
      </c>
      <c r="AK243" s="125"/>
      <c r="AL243" s="126"/>
      <c r="AN243" s="51"/>
      <c r="AO243" s="52"/>
      <c r="AP243" s="52"/>
      <c r="AQ243" s="53"/>
      <c r="AS243" s="122">
        <v>46041</v>
      </c>
      <c r="AT243" s="123">
        <v>3155.45</v>
      </c>
      <c r="AU243" s="125"/>
      <c r="AV243" s="128"/>
      <c r="AX243" s="51"/>
      <c r="AY243" s="52"/>
      <c r="AZ243" s="52"/>
      <c r="BA243" s="53"/>
      <c r="BC243" s="122">
        <v>46041</v>
      </c>
      <c r="BD243" s="123">
        <v>1539.98</v>
      </c>
      <c r="BE243" s="125"/>
      <c r="BF243" s="128">
        <v>0</v>
      </c>
      <c r="BH243" s="240">
        <v>31.726079999999996</v>
      </c>
      <c r="BI243" s="52"/>
      <c r="BJ243" s="52"/>
      <c r="BK243" s="53">
        <f t="shared" si="118"/>
        <v>31.726079999999996</v>
      </c>
      <c r="BM243" s="122">
        <v>46041</v>
      </c>
      <c r="BN243" s="123">
        <v>9759.36</v>
      </c>
      <c r="BO243" s="123">
        <v>2118.9699999999998</v>
      </c>
      <c r="BP243" s="123">
        <v>8992.2199999999993</v>
      </c>
      <c r="BQ243" s="125"/>
      <c r="BR243" s="125"/>
      <c r="BT243" s="240">
        <v>216.74484000000001</v>
      </c>
      <c r="BU243" s="53">
        <v>638.48002549333341</v>
      </c>
      <c r="BV243" s="53"/>
      <c r="BW243" s="53">
        <f t="shared" si="114"/>
        <v>855.22486549333348</v>
      </c>
      <c r="BY243" s="122">
        <v>46041</v>
      </c>
      <c r="BZ243" s="256">
        <v>643.74</v>
      </c>
      <c r="CA243" s="260">
        <v>709.36</v>
      </c>
      <c r="CB243" s="125"/>
      <c r="CC243" s="126"/>
      <c r="CE243" s="240"/>
      <c r="CF243" s="52"/>
      <c r="CG243" s="53"/>
      <c r="CH243" s="53">
        <f t="shared" si="119"/>
        <v>0</v>
      </c>
      <c r="CJ243" s="122">
        <v>46041</v>
      </c>
      <c r="CK243" s="123">
        <v>5113.46</v>
      </c>
      <c r="CL243" s="123">
        <v>739.1</v>
      </c>
      <c r="CM243" s="125"/>
      <c r="CN243" s="126">
        <v>39.880000000000003</v>
      </c>
      <c r="CP243" s="240">
        <v>2.8227299999999964</v>
      </c>
      <c r="CQ243" s="53"/>
      <c r="CR243" s="52"/>
      <c r="CS243" s="53">
        <f t="shared" si="120"/>
        <v>42.702730000000003</v>
      </c>
      <c r="CU243" s="122">
        <v>46041</v>
      </c>
      <c r="CV243" s="123">
        <v>10650.62</v>
      </c>
      <c r="CW243" s="127">
        <v>768.64</v>
      </c>
      <c r="CX243" s="125"/>
      <c r="CY243" s="128">
        <v>79.12</v>
      </c>
      <c r="CZ243" s="27"/>
      <c r="DA243" s="240">
        <v>3143.4600000000059</v>
      </c>
      <c r="DB243" s="435"/>
      <c r="DC243" s="52"/>
      <c r="DD243" s="52"/>
      <c r="DE243" s="53">
        <f t="shared" si="121"/>
        <v>3222.5800000000058</v>
      </c>
      <c r="DH243" s="122">
        <v>46041</v>
      </c>
      <c r="DI243" s="123">
        <v>1580.85</v>
      </c>
      <c r="DJ243" s="127">
        <v>535.63</v>
      </c>
      <c r="DK243" s="127">
        <v>1652.44</v>
      </c>
      <c r="DL243" s="127"/>
      <c r="DM243" s="126">
        <v>0</v>
      </c>
      <c r="DO243" s="240">
        <v>24.673889999999986</v>
      </c>
      <c r="DP243" s="53">
        <v>16.317815224761901</v>
      </c>
      <c r="DQ243" s="52"/>
      <c r="DR243" s="53">
        <f t="shared" si="122"/>
        <v>40.991705224761887</v>
      </c>
      <c r="DT243" s="122">
        <v>46041</v>
      </c>
      <c r="DU243" s="123">
        <v>1101.06</v>
      </c>
      <c r="DV243" s="127">
        <v>960.15</v>
      </c>
      <c r="DW243" s="127"/>
      <c r="DX243" s="126">
        <v>30.86</v>
      </c>
      <c r="DZ243" s="51"/>
      <c r="EA243" s="53"/>
      <c r="EB243" s="52"/>
      <c r="EC243" s="53">
        <f t="shared" si="123"/>
        <v>30.86</v>
      </c>
      <c r="EE243" s="122">
        <v>46041</v>
      </c>
      <c r="EF243" s="123">
        <v>570.65</v>
      </c>
      <c r="EG243" s="127">
        <v>652.75</v>
      </c>
      <c r="EH243" s="127"/>
      <c r="EI243" s="126">
        <v>6.22</v>
      </c>
      <c r="EK243" s="240">
        <v>466.78670199999971</v>
      </c>
      <c r="EL243" s="435"/>
      <c r="EM243" s="53"/>
      <c r="EN243" s="53"/>
      <c r="EO243" s="53">
        <f t="shared" si="124"/>
        <v>473.00670199999973</v>
      </c>
      <c r="EQ243" s="122">
        <v>46041</v>
      </c>
      <c r="ER243" s="123">
        <v>2346.0700000000002</v>
      </c>
      <c r="ES243" s="259">
        <v>359.69</v>
      </c>
      <c r="ET243" s="127"/>
      <c r="EU243" s="258">
        <v>88.99</v>
      </c>
      <c r="EW243" s="240">
        <v>203.72952000000004</v>
      </c>
      <c r="EX243" s="53"/>
      <c r="EY243" s="52"/>
      <c r="EZ243" s="53">
        <f t="shared" si="125"/>
        <v>292.71952000000005</v>
      </c>
      <c r="FB243" s="122">
        <v>46041</v>
      </c>
      <c r="FC243" s="123">
        <v>587.34</v>
      </c>
      <c r="FD243" s="123">
        <v>130</v>
      </c>
      <c r="FE243" s="125"/>
      <c r="FF243" s="126"/>
      <c r="FH243" s="51"/>
      <c r="FI243" s="52"/>
      <c r="FJ243" s="52"/>
      <c r="FK243" s="53"/>
    </row>
    <row r="244" spans="2:167" hidden="1" x14ac:dyDescent="0.25">
      <c r="B244" s="122">
        <v>46042</v>
      </c>
      <c r="C244" s="123">
        <v>16223.12</v>
      </c>
      <c r="D244" s="126"/>
      <c r="E244" s="125"/>
      <c r="F244" s="126">
        <v>105.27</v>
      </c>
      <c r="G244" s="27"/>
      <c r="H244" s="240">
        <v>25.851210000000009</v>
      </c>
      <c r="I244" s="53">
        <v>54.882088048571461</v>
      </c>
      <c r="J244" s="52"/>
      <c r="K244" s="53">
        <f t="shared" si="115"/>
        <v>186.00329804857148</v>
      </c>
      <c r="M244" s="122">
        <v>46042</v>
      </c>
      <c r="N244" s="123">
        <v>2580.83</v>
      </c>
      <c r="O244" s="125"/>
      <c r="P244" s="126">
        <v>0</v>
      </c>
      <c r="R244" s="240"/>
      <c r="S244" s="53"/>
      <c r="T244" s="52"/>
      <c r="U244" s="53">
        <f t="shared" si="116"/>
        <v>0</v>
      </c>
      <c r="W244" s="122">
        <v>46042</v>
      </c>
      <c r="X244" s="123">
        <v>1919.16</v>
      </c>
      <c r="Y244" s="123">
        <v>224.66</v>
      </c>
      <c r="Z244" s="125"/>
      <c r="AA244" s="273">
        <v>12.81</v>
      </c>
      <c r="AC244" s="240"/>
      <c r="AD244" s="53"/>
      <c r="AE244" s="52"/>
      <c r="AF244" s="53">
        <f t="shared" si="117"/>
        <v>12.81</v>
      </c>
      <c r="AI244" s="122">
        <v>46042</v>
      </c>
      <c r="AJ244" s="123">
        <v>1464.9</v>
      </c>
      <c r="AK244" s="125"/>
      <c r="AL244" s="126"/>
      <c r="AN244" s="51"/>
      <c r="AO244" s="52"/>
      <c r="AP244" s="52"/>
      <c r="AQ244" s="53"/>
      <c r="AS244" s="122">
        <v>46042</v>
      </c>
      <c r="AT244" s="123">
        <v>3024.48</v>
      </c>
      <c r="AU244" s="125"/>
      <c r="AV244" s="128"/>
      <c r="AX244" s="51"/>
      <c r="AY244" s="52"/>
      <c r="AZ244" s="52"/>
      <c r="BA244" s="53"/>
      <c r="BC244" s="122">
        <v>46042</v>
      </c>
      <c r="BD244" s="123">
        <v>2260.46</v>
      </c>
      <c r="BE244" s="125"/>
      <c r="BF244" s="128">
        <v>2.79</v>
      </c>
      <c r="BH244" s="240"/>
      <c r="BI244" s="52"/>
      <c r="BJ244" s="52"/>
      <c r="BK244" s="53">
        <f t="shared" si="118"/>
        <v>2.79</v>
      </c>
      <c r="BM244" s="122">
        <v>46042</v>
      </c>
      <c r="BN244" s="123">
        <v>11392.38</v>
      </c>
      <c r="BO244" s="123">
        <v>2536.9299999999998</v>
      </c>
      <c r="BP244" s="123">
        <v>8844.94</v>
      </c>
      <c r="BQ244" s="125"/>
      <c r="BR244" s="125"/>
      <c r="BT244" s="240">
        <v>113.85005999999998</v>
      </c>
      <c r="BU244" s="53">
        <v>144.13</v>
      </c>
      <c r="BV244" s="53"/>
      <c r="BW244" s="53">
        <f t="shared" si="114"/>
        <v>257.98005999999998</v>
      </c>
      <c r="BY244" s="122">
        <v>46042</v>
      </c>
      <c r="BZ244" s="256">
        <v>1208.24</v>
      </c>
      <c r="CA244" s="260">
        <v>577.54999999999995</v>
      </c>
      <c r="CB244" s="125"/>
      <c r="CC244" s="126"/>
      <c r="CE244" s="240"/>
      <c r="CF244" s="52"/>
      <c r="CG244" s="53"/>
      <c r="CH244" s="53">
        <f t="shared" si="119"/>
        <v>0</v>
      </c>
      <c r="CJ244" s="122">
        <v>46042</v>
      </c>
      <c r="CK244" s="123">
        <v>4345.6499999999996</v>
      </c>
      <c r="CL244" s="123">
        <v>500.31</v>
      </c>
      <c r="CM244" s="125"/>
      <c r="CN244" s="126">
        <v>0</v>
      </c>
      <c r="CP244" s="240">
        <v>184.95694999999998</v>
      </c>
      <c r="CQ244" s="53"/>
      <c r="CR244" s="52"/>
      <c r="CS244" s="53">
        <f t="shared" si="120"/>
        <v>184.95694999999998</v>
      </c>
      <c r="CU244" s="122">
        <v>46042</v>
      </c>
      <c r="CV244" s="123">
        <v>9696.91</v>
      </c>
      <c r="CW244" s="127">
        <v>1004.33</v>
      </c>
      <c r="CX244" s="125"/>
      <c r="CY244" s="128">
        <v>136.01</v>
      </c>
      <c r="CZ244" s="27"/>
      <c r="DA244" s="240">
        <v>571.19999999999959</v>
      </c>
      <c r="DB244" s="435"/>
      <c r="DC244" s="52"/>
      <c r="DD244" s="52"/>
      <c r="DE244" s="53">
        <f t="shared" si="121"/>
        <v>707.20999999999958</v>
      </c>
      <c r="DH244" s="122">
        <v>46042</v>
      </c>
      <c r="DI244" s="123">
        <v>1661.86</v>
      </c>
      <c r="DJ244" s="127">
        <v>712.2</v>
      </c>
      <c r="DK244" s="127">
        <v>1717.55</v>
      </c>
      <c r="DL244" s="127"/>
      <c r="DM244" s="126">
        <v>0</v>
      </c>
      <c r="DO244" s="240"/>
      <c r="DP244" s="53"/>
      <c r="DQ244" s="52"/>
      <c r="DR244" s="53">
        <f t="shared" si="122"/>
        <v>0</v>
      </c>
      <c r="DT244" s="122">
        <v>46042</v>
      </c>
      <c r="DU244" s="123">
        <v>1061.52</v>
      </c>
      <c r="DV244" s="127">
        <v>718.37</v>
      </c>
      <c r="DW244" s="127"/>
      <c r="DX244" s="126">
        <v>13.2</v>
      </c>
      <c r="DZ244" s="51"/>
      <c r="EA244" s="53"/>
      <c r="EB244" s="52"/>
      <c r="EC244" s="53">
        <f t="shared" si="123"/>
        <v>13.2</v>
      </c>
      <c r="EE244" s="122">
        <v>46042</v>
      </c>
      <c r="EF244" s="123">
        <v>534.69000000000005</v>
      </c>
      <c r="EG244" s="127">
        <v>922.15</v>
      </c>
      <c r="EH244" s="127"/>
      <c r="EI244" s="126">
        <v>0.87</v>
      </c>
      <c r="EK244" s="240">
        <v>585.47059999999988</v>
      </c>
      <c r="EL244" s="435"/>
      <c r="EM244" s="53">
        <v>97.790507182857169</v>
      </c>
      <c r="EN244" s="53"/>
      <c r="EO244" s="53">
        <f t="shared" si="124"/>
        <v>684.13110718285702</v>
      </c>
      <c r="EQ244" s="122">
        <v>46042</v>
      </c>
      <c r="ER244" s="123">
        <v>2226.92</v>
      </c>
      <c r="ES244" s="259">
        <v>245.33</v>
      </c>
      <c r="ET244" s="127"/>
      <c r="EU244" s="258">
        <v>30.13</v>
      </c>
      <c r="EW244" s="240">
        <v>180.00288</v>
      </c>
      <c r="EX244" s="53">
        <v>400.38672786571465</v>
      </c>
      <c r="EY244" s="52"/>
      <c r="EZ244" s="53">
        <f t="shared" si="125"/>
        <v>610.51960786571465</v>
      </c>
      <c r="FB244" s="122">
        <v>46042</v>
      </c>
      <c r="FC244" s="123">
        <v>662.41</v>
      </c>
      <c r="FD244" s="123">
        <v>75</v>
      </c>
      <c r="FE244" s="125"/>
      <c r="FF244" s="126"/>
      <c r="FH244" s="51"/>
      <c r="FI244" s="52"/>
      <c r="FJ244" s="52"/>
      <c r="FK244" s="53"/>
    </row>
    <row r="245" spans="2:167" hidden="1" x14ac:dyDescent="0.25">
      <c r="B245" s="122">
        <v>46043</v>
      </c>
      <c r="C245" s="123">
        <v>15133.22</v>
      </c>
      <c r="D245" s="126"/>
      <c r="E245" s="125"/>
      <c r="F245" s="126">
        <v>9.24</v>
      </c>
      <c r="G245" s="27"/>
      <c r="H245" s="240"/>
      <c r="I245" s="53"/>
      <c r="J245" s="52"/>
      <c r="K245" s="53">
        <f t="shared" si="115"/>
        <v>9.24</v>
      </c>
      <c r="M245" s="122">
        <v>46043</v>
      </c>
      <c r="N245" s="123">
        <v>3119.07</v>
      </c>
      <c r="O245" s="125"/>
      <c r="P245" s="126">
        <v>0</v>
      </c>
      <c r="R245" s="240"/>
      <c r="S245" s="53"/>
      <c r="T245" s="52"/>
      <c r="U245" s="53">
        <f t="shared" si="116"/>
        <v>0</v>
      </c>
      <c r="W245" s="122">
        <v>46043</v>
      </c>
      <c r="X245" s="123">
        <v>1545.78</v>
      </c>
      <c r="Y245" s="123">
        <v>118.8</v>
      </c>
      <c r="Z245" s="125"/>
      <c r="AA245" s="273">
        <v>14.8</v>
      </c>
      <c r="AC245" s="240"/>
      <c r="AD245" s="53">
        <v>89.75922672400003</v>
      </c>
      <c r="AE245" s="52"/>
      <c r="AF245" s="53">
        <f t="shared" si="117"/>
        <v>104.55922672400003</v>
      </c>
      <c r="AI245" s="122">
        <v>46043</v>
      </c>
      <c r="AJ245" s="123">
        <v>1410.04</v>
      </c>
      <c r="AK245" s="125"/>
      <c r="AL245" s="126"/>
      <c r="AN245" s="51"/>
      <c r="AO245" s="52"/>
      <c r="AP245" s="52"/>
      <c r="AQ245" s="53"/>
      <c r="AS245" s="122">
        <v>46043</v>
      </c>
      <c r="AT245" s="123">
        <v>3647.75</v>
      </c>
      <c r="AU245" s="125"/>
      <c r="AV245" s="128"/>
      <c r="AX245" s="51"/>
      <c r="AY245" s="52"/>
      <c r="AZ245" s="52"/>
      <c r="BA245" s="53"/>
      <c r="BC245" s="122">
        <v>46043</v>
      </c>
      <c r="BD245" s="123">
        <v>1453.06</v>
      </c>
      <c r="BE245" s="125"/>
      <c r="BF245" s="128">
        <v>0</v>
      </c>
      <c r="BH245" s="240"/>
      <c r="BI245" s="52"/>
      <c r="BJ245" s="52"/>
      <c r="BK245" s="53">
        <f t="shared" si="118"/>
        <v>0</v>
      </c>
      <c r="BM245" s="122">
        <v>46043</v>
      </c>
      <c r="BN245" s="123">
        <v>9288.91</v>
      </c>
      <c r="BO245" s="123">
        <v>3100.61</v>
      </c>
      <c r="BP245" s="123">
        <v>8853.4599999999991</v>
      </c>
      <c r="BQ245" s="125"/>
      <c r="BR245" s="125"/>
      <c r="BT245" s="240">
        <v>138.49841000000004</v>
      </c>
      <c r="BU245" s="53">
        <v>317.45514429999992</v>
      </c>
      <c r="BV245" s="53"/>
      <c r="BW245" s="53">
        <f t="shared" si="114"/>
        <v>455.95355429999995</v>
      </c>
      <c r="BY245" s="122">
        <v>46043</v>
      </c>
      <c r="BZ245" s="256">
        <v>549.84</v>
      </c>
      <c r="CA245" s="257">
        <v>568.89</v>
      </c>
      <c r="CB245" s="125"/>
      <c r="CC245" s="126"/>
      <c r="CE245" s="240"/>
      <c r="CF245" s="52"/>
      <c r="CG245" s="53"/>
      <c r="CH245" s="53">
        <f t="shared" si="119"/>
        <v>0</v>
      </c>
      <c r="CJ245" s="122">
        <v>46043</v>
      </c>
      <c r="CK245" s="123">
        <v>3815.16</v>
      </c>
      <c r="CL245" s="123">
        <v>400.46</v>
      </c>
      <c r="CM245" s="125"/>
      <c r="CN245" s="126">
        <v>32.090000000000003</v>
      </c>
      <c r="CP245" s="240">
        <v>182.72633999999999</v>
      </c>
      <c r="CQ245" s="53">
        <v>24.561894537142877</v>
      </c>
      <c r="CR245" s="52"/>
      <c r="CS245" s="53">
        <f t="shared" si="120"/>
        <v>239.37823453714287</v>
      </c>
      <c r="CU245" s="122">
        <v>46043</v>
      </c>
      <c r="CV245" s="123">
        <v>7047.99</v>
      </c>
      <c r="CW245" s="127">
        <v>1285.94</v>
      </c>
      <c r="CX245" s="125"/>
      <c r="CY245" s="128">
        <v>247.56</v>
      </c>
      <c r="CZ245" s="27"/>
      <c r="DA245" s="240"/>
      <c r="DB245" s="435"/>
      <c r="DC245" s="52"/>
      <c r="DD245" s="52"/>
      <c r="DE245" s="53">
        <f t="shared" si="121"/>
        <v>247.56</v>
      </c>
      <c r="DH245" s="122">
        <v>46043</v>
      </c>
      <c r="DI245" s="123">
        <v>2782.4</v>
      </c>
      <c r="DJ245" s="127">
        <v>511.16</v>
      </c>
      <c r="DK245" s="127">
        <v>1248.76</v>
      </c>
      <c r="DL245" s="127"/>
      <c r="DM245" s="126">
        <v>0</v>
      </c>
      <c r="DO245" s="240">
        <v>22.360063999999994</v>
      </c>
      <c r="DP245" s="53"/>
      <c r="DQ245" s="52"/>
      <c r="DR245" s="53">
        <f t="shared" si="122"/>
        <v>22.360063999999994</v>
      </c>
      <c r="DT245" s="122">
        <v>46043</v>
      </c>
      <c r="DU245" s="123">
        <v>1427.25</v>
      </c>
      <c r="DV245" s="127">
        <v>985.97</v>
      </c>
      <c r="DW245" s="127"/>
      <c r="DX245" s="126">
        <v>24.85</v>
      </c>
      <c r="DZ245" s="51"/>
      <c r="EA245" s="53">
        <v>50.954502420000011</v>
      </c>
      <c r="EB245" s="52"/>
      <c r="EC245" s="53">
        <f t="shared" si="123"/>
        <v>75.804502420000006</v>
      </c>
      <c r="EE245" s="122">
        <v>46043</v>
      </c>
      <c r="EF245" s="123">
        <v>700.09</v>
      </c>
      <c r="EG245" s="127">
        <v>1024.76</v>
      </c>
      <c r="EH245" s="127"/>
      <c r="EI245" s="126">
        <v>4.4400000000000004</v>
      </c>
      <c r="EK245" s="240">
        <v>433.16023999999982</v>
      </c>
      <c r="EL245" s="435"/>
      <c r="EM245" s="53"/>
      <c r="EN245" s="53"/>
      <c r="EO245" s="53">
        <f t="shared" si="124"/>
        <v>437.60023999999981</v>
      </c>
      <c r="EQ245" s="122">
        <v>46043</v>
      </c>
      <c r="ER245" s="123">
        <v>3007.89</v>
      </c>
      <c r="ES245" s="259">
        <v>223.81</v>
      </c>
      <c r="ET245" s="127"/>
      <c r="EU245" s="258">
        <v>119.21</v>
      </c>
      <c r="EW245" s="240">
        <v>87.724800000000016</v>
      </c>
      <c r="EX245" s="53"/>
      <c r="EY245" s="52"/>
      <c r="EZ245" s="53">
        <f t="shared" si="125"/>
        <v>206.9348</v>
      </c>
      <c r="FB245" s="122">
        <v>46043</v>
      </c>
      <c r="FC245" s="123">
        <v>946.23</v>
      </c>
      <c r="FD245" s="126">
        <v>160</v>
      </c>
      <c r="FE245" s="125"/>
      <c r="FF245" s="126"/>
      <c r="FH245" s="51"/>
      <c r="FI245" s="52"/>
      <c r="FJ245" s="52"/>
      <c r="FK245" s="53"/>
    </row>
    <row r="246" spans="2:167" hidden="1" x14ac:dyDescent="0.25">
      <c r="B246" s="122">
        <v>46044</v>
      </c>
      <c r="C246" s="123">
        <v>11677.1</v>
      </c>
      <c r="D246" s="125"/>
      <c r="E246" s="125"/>
      <c r="F246" s="123">
        <v>0</v>
      </c>
      <c r="G246" s="27"/>
      <c r="H246" s="240"/>
      <c r="I246" s="53"/>
      <c r="J246" s="52"/>
      <c r="K246" s="53">
        <f t="shared" si="115"/>
        <v>0</v>
      </c>
      <c r="M246" s="122">
        <v>46044</v>
      </c>
      <c r="N246" s="123">
        <v>3190.99</v>
      </c>
      <c r="O246" s="125"/>
      <c r="P246" s="126">
        <v>0</v>
      </c>
      <c r="R246" s="240"/>
      <c r="S246" s="53">
        <v>11.811283200000005</v>
      </c>
      <c r="T246" s="52"/>
      <c r="U246" s="53">
        <f t="shared" si="116"/>
        <v>11.811283200000005</v>
      </c>
      <c r="W246" s="122">
        <v>46044</v>
      </c>
      <c r="X246" s="123">
        <v>1800.19</v>
      </c>
      <c r="Y246" s="123">
        <v>167.63</v>
      </c>
      <c r="Z246" s="125"/>
      <c r="AA246" s="273">
        <v>1.2</v>
      </c>
      <c r="AC246" s="240"/>
      <c r="AD246" s="53">
        <v>25.309160574285727</v>
      </c>
      <c r="AE246" s="52"/>
      <c r="AF246" s="53">
        <f t="shared" si="117"/>
        <v>26.509160574285726</v>
      </c>
      <c r="AI246" s="122">
        <v>46044</v>
      </c>
      <c r="AJ246" s="123">
        <v>1703.24</v>
      </c>
      <c r="AK246" s="125"/>
      <c r="AL246" s="126"/>
      <c r="AN246" s="51"/>
      <c r="AO246" s="52"/>
      <c r="AP246" s="52"/>
      <c r="AQ246" s="53"/>
      <c r="AS246" s="122">
        <v>46044</v>
      </c>
      <c r="AT246" s="123">
        <v>2825.26</v>
      </c>
      <c r="AU246" s="125"/>
      <c r="AV246" s="128"/>
      <c r="AX246" s="51"/>
      <c r="AY246" s="52"/>
      <c r="AZ246" s="52"/>
      <c r="BA246" s="53"/>
      <c r="BC246" s="122">
        <v>46044</v>
      </c>
      <c r="BD246" s="123">
        <v>2282.31</v>
      </c>
      <c r="BE246" s="125"/>
      <c r="BF246" s="128">
        <v>0</v>
      </c>
      <c r="BH246" s="240">
        <v>1.0399999999999991</v>
      </c>
      <c r="BI246" s="52"/>
      <c r="BJ246" s="52"/>
      <c r="BK246" s="53">
        <f t="shared" si="118"/>
        <v>1.0399999999999991</v>
      </c>
      <c r="BM246" s="122">
        <v>46044</v>
      </c>
      <c r="BN246" s="123">
        <v>12568.8</v>
      </c>
      <c r="BO246" s="123">
        <v>3399.72</v>
      </c>
      <c r="BP246" s="123">
        <v>8483.2800000000007</v>
      </c>
      <c r="BQ246" s="125"/>
      <c r="BR246" s="125"/>
      <c r="BT246" s="240">
        <v>169.39679999999993</v>
      </c>
      <c r="BU246" s="53">
        <v>617.69999999999993</v>
      </c>
      <c r="BV246" s="53"/>
      <c r="BW246" s="53">
        <f t="shared" si="114"/>
        <v>787.0967999999998</v>
      </c>
      <c r="BY246" s="122">
        <v>46044</v>
      </c>
      <c r="BZ246" s="256">
        <v>1017.02</v>
      </c>
      <c r="CA246" s="257">
        <v>351.83</v>
      </c>
      <c r="CB246" s="125"/>
      <c r="CC246" s="126"/>
      <c r="CE246" s="240"/>
      <c r="CF246" s="52"/>
      <c r="CG246" s="53">
        <v>8.3036375999999734</v>
      </c>
      <c r="CH246" s="53">
        <f t="shared" si="119"/>
        <v>8.3036375999999734</v>
      </c>
      <c r="CJ246" s="122">
        <v>46044</v>
      </c>
      <c r="CK246" s="123">
        <v>4666.49</v>
      </c>
      <c r="CL246" s="123">
        <v>466.81</v>
      </c>
      <c r="CM246" s="125"/>
      <c r="CN246" s="126">
        <v>0</v>
      </c>
      <c r="CP246" s="240">
        <v>101.95128</v>
      </c>
      <c r="CQ246" s="53">
        <v>17.076072000000039</v>
      </c>
      <c r="CR246" s="52"/>
      <c r="CS246" s="53">
        <f t="shared" si="120"/>
        <v>119.02735200000004</v>
      </c>
      <c r="CU246" s="122">
        <v>46044</v>
      </c>
      <c r="CV246" s="123">
        <v>12989.35</v>
      </c>
      <c r="CW246" s="127">
        <v>1274.75</v>
      </c>
      <c r="CX246" s="125"/>
      <c r="CY246" s="126">
        <v>240.12</v>
      </c>
      <c r="CZ246" s="27"/>
      <c r="DA246" s="240"/>
      <c r="DB246" s="435"/>
      <c r="DC246" s="52"/>
      <c r="DD246" s="52"/>
      <c r="DE246" s="53">
        <f t="shared" si="121"/>
        <v>240.12</v>
      </c>
      <c r="DH246" s="122">
        <v>46044</v>
      </c>
      <c r="DI246" s="123">
        <v>1804.61</v>
      </c>
      <c r="DJ246" s="127">
        <v>875</v>
      </c>
      <c r="DK246" s="127">
        <v>0</v>
      </c>
      <c r="DL246" s="127"/>
      <c r="DM246" s="126">
        <v>0</v>
      </c>
      <c r="DO246" s="240"/>
      <c r="DP246" s="52"/>
      <c r="DQ246" s="52"/>
      <c r="DR246" s="53">
        <f t="shared" si="122"/>
        <v>0</v>
      </c>
      <c r="DT246" s="122">
        <v>46044</v>
      </c>
      <c r="DU246" s="123">
        <v>1343.26</v>
      </c>
      <c r="DV246" s="127">
        <v>924.23</v>
      </c>
      <c r="DW246" s="127"/>
      <c r="DX246" s="126">
        <v>38.700000000000003</v>
      </c>
      <c r="DZ246" s="51"/>
      <c r="EA246" s="53"/>
      <c r="EB246" s="52"/>
      <c r="EC246" s="53">
        <f t="shared" si="123"/>
        <v>38.700000000000003</v>
      </c>
      <c r="EE246" s="122">
        <v>46044</v>
      </c>
      <c r="EF246" s="123">
        <v>1011.09</v>
      </c>
      <c r="EG246" s="127">
        <v>1128.17</v>
      </c>
      <c r="EH246" s="127"/>
      <c r="EI246" s="126">
        <v>1.1100000000000001</v>
      </c>
      <c r="EK246" s="240">
        <v>474.81984000000017</v>
      </c>
      <c r="EL246" s="435"/>
      <c r="EM246" s="53">
        <v>22.195157694285726</v>
      </c>
      <c r="EN246" s="53"/>
      <c r="EO246" s="53">
        <f t="shared" si="124"/>
        <v>498.12499769428592</v>
      </c>
      <c r="EQ246" s="122">
        <v>46044</v>
      </c>
      <c r="ER246" s="123">
        <v>2600.27</v>
      </c>
      <c r="ES246" s="259">
        <v>465.37</v>
      </c>
      <c r="ET246" s="127"/>
      <c r="EU246" s="258">
        <v>39.64</v>
      </c>
      <c r="EW246" s="240">
        <v>12.087600000000009</v>
      </c>
      <c r="EX246" s="53">
        <v>124.06734222571458</v>
      </c>
      <c r="EY246" s="52"/>
      <c r="EZ246" s="53">
        <f t="shared" si="125"/>
        <v>175.79494222571458</v>
      </c>
      <c r="FB246" s="122">
        <v>46044</v>
      </c>
      <c r="FC246" s="123">
        <v>968.55</v>
      </c>
      <c r="FD246" s="123">
        <v>238.5</v>
      </c>
      <c r="FE246" s="125"/>
      <c r="FF246" s="126"/>
      <c r="FH246" s="51"/>
      <c r="FI246" s="52"/>
      <c r="FJ246" s="52"/>
      <c r="FK246" s="53"/>
    </row>
    <row r="247" spans="2:167" hidden="1" x14ac:dyDescent="0.25">
      <c r="B247" s="122">
        <v>46045</v>
      </c>
      <c r="C247" s="123">
        <v>17224.97</v>
      </c>
      <c r="D247" s="125"/>
      <c r="E247" s="125"/>
      <c r="F247" s="125">
        <v>165.21</v>
      </c>
      <c r="G247" s="27"/>
      <c r="H247" s="240">
        <v>17.523520000000005</v>
      </c>
      <c r="I247" s="53"/>
      <c r="J247" s="52"/>
      <c r="K247" s="53">
        <f t="shared" si="115"/>
        <v>182.73352</v>
      </c>
      <c r="M247" s="122">
        <v>46045</v>
      </c>
      <c r="N247" s="123">
        <v>2425.25</v>
      </c>
      <c r="O247" s="125"/>
      <c r="P247" s="126">
        <v>0</v>
      </c>
      <c r="R247" s="240"/>
      <c r="S247" s="53"/>
      <c r="T247" s="52"/>
      <c r="U247" s="53">
        <f t="shared" si="116"/>
        <v>0</v>
      </c>
      <c r="W247" s="122">
        <v>46045</v>
      </c>
      <c r="X247" s="123">
        <v>2299.2600000000002</v>
      </c>
      <c r="Y247" s="123">
        <v>126.76</v>
      </c>
      <c r="Z247" s="125"/>
      <c r="AA247" s="273">
        <v>7.13</v>
      </c>
      <c r="AC247" s="240"/>
      <c r="AD247" s="53">
        <v>37.239473794285686</v>
      </c>
      <c r="AE247" s="52"/>
      <c r="AF247" s="53">
        <f t="shared" si="117"/>
        <v>44.369473794285689</v>
      </c>
      <c r="AI247" s="122">
        <v>46045</v>
      </c>
      <c r="AJ247" s="123">
        <v>1386.43</v>
      </c>
      <c r="AK247" s="125"/>
      <c r="AL247" s="126"/>
      <c r="AN247" s="51"/>
      <c r="AO247" s="52"/>
      <c r="AP247" s="52"/>
      <c r="AQ247" s="53"/>
      <c r="AS247" s="122">
        <v>46045</v>
      </c>
      <c r="AT247" s="123">
        <v>5967.38</v>
      </c>
      <c r="AU247" s="125"/>
      <c r="AV247" s="128"/>
      <c r="AX247" s="51"/>
      <c r="AY247" s="52"/>
      <c r="AZ247" s="52"/>
      <c r="BA247" s="53"/>
      <c r="BC247" s="122">
        <v>46045</v>
      </c>
      <c r="BD247" s="123">
        <v>2862.6</v>
      </c>
      <c r="BE247" s="125"/>
      <c r="BF247" s="128">
        <v>4.4400000000000004</v>
      </c>
      <c r="BH247" s="240">
        <v>11.567160000000001</v>
      </c>
      <c r="BI247" s="52"/>
      <c r="BJ247" s="52"/>
      <c r="BK247" s="53">
        <f t="shared" si="118"/>
        <v>16.007160000000002</v>
      </c>
      <c r="BM247" s="122">
        <v>46045</v>
      </c>
      <c r="BN247" s="123">
        <v>12392.84</v>
      </c>
      <c r="BO247" s="123">
        <v>3046.45</v>
      </c>
      <c r="BP247" s="123">
        <v>9633.7199999999993</v>
      </c>
      <c r="BQ247" s="125"/>
      <c r="BR247" s="125"/>
      <c r="BT247" s="240">
        <v>345.12990000000002</v>
      </c>
      <c r="BU247" s="53">
        <v>102.94999999999999</v>
      </c>
      <c r="BV247" s="53"/>
      <c r="BW247" s="53">
        <f t="shared" si="114"/>
        <v>448.07990000000001</v>
      </c>
      <c r="BY247" s="122">
        <v>46045</v>
      </c>
      <c r="BZ247" s="256">
        <v>769.45</v>
      </c>
      <c r="CA247" s="260">
        <v>805.06</v>
      </c>
      <c r="CB247" s="125"/>
      <c r="CC247" s="126"/>
      <c r="CE247" s="240"/>
      <c r="CF247" s="52"/>
      <c r="CG247" s="53"/>
      <c r="CH247" s="53">
        <f t="shared" si="119"/>
        <v>0</v>
      </c>
      <c r="CJ247" s="122">
        <v>46045</v>
      </c>
      <c r="CK247" s="123">
        <v>5292.64</v>
      </c>
      <c r="CL247" s="123">
        <v>485.01</v>
      </c>
      <c r="CM247" s="125"/>
      <c r="CN247" s="126">
        <v>10.39</v>
      </c>
      <c r="CP247" s="240">
        <v>810.4019199999999</v>
      </c>
      <c r="CQ247" s="53">
        <v>17.076072000000039</v>
      </c>
      <c r="CR247" s="52"/>
      <c r="CS247" s="53">
        <f t="shared" si="120"/>
        <v>837.86799199999996</v>
      </c>
      <c r="CU247" s="122">
        <v>46045</v>
      </c>
      <c r="CV247" s="123">
        <v>5322.97</v>
      </c>
      <c r="CW247" s="127">
        <v>1445.37</v>
      </c>
      <c r="CX247" s="125"/>
      <c r="CY247" s="126">
        <v>170.39</v>
      </c>
      <c r="CZ247" s="27"/>
      <c r="DA247" s="240"/>
      <c r="DB247" s="435"/>
      <c r="DC247" s="52"/>
      <c r="DD247" s="52"/>
      <c r="DE247" s="53">
        <f t="shared" si="121"/>
        <v>170.39</v>
      </c>
      <c r="DH247" s="122">
        <v>46045</v>
      </c>
      <c r="DI247" s="123">
        <v>2856.57</v>
      </c>
      <c r="DJ247" s="127">
        <v>159.08000000000001</v>
      </c>
      <c r="DK247" s="127">
        <v>0</v>
      </c>
      <c r="DL247" s="127"/>
      <c r="DM247" s="126">
        <v>8.4</v>
      </c>
      <c r="DO247" s="240"/>
      <c r="DP247" s="52"/>
      <c r="DQ247" s="52"/>
      <c r="DR247" s="53">
        <f t="shared" si="122"/>
        <v>8.4</v>
      </c>
      <c r="DT247" s="122">
        <v>46045</v>
      </c>
      <c r="DU247" s="123">
        <v>1537.42</v>
      </c>
      <c r="DV247" s="127">
        <v>813.86</v>
      </c>
      <c r="DW247" s="127"/>
      <c r="DX247" s="126">
        <v>40.130000000000003</v>
      </c>
      <c r="DZ247" s="51"/>
      <c r="EA247" s="53"/>
      <c r="EB247" s="52"/>
      <c r="EC247" s="53">
        <f t="shared" si="123"/>
        <v>40.130000000000003</v>
      </c>
      <c r="EE247" s="122">
        <v>46045</v>
      </c>
      <c r="EF247" s="123">
        <v>1314.5</v>
      </c>
      <c r="EG247" s="127">
        <v>959.26</v>
      </c>
      <c r="EH247" s="127"/>
      <c r="EI247" s="126">
        <v>15.93</v>
      </c>
      <c r="EK247" s="240">
        <v>606.01590000000033</v>
      </c>
      <c r="EL247" s="435"/>
      <c r="EM247" s="53">
        <v>30.134704851428594</v>
      </c>
      <c r="EN247" s="53"/>
      <c r="EO247" s="53">
        <f t="shared" si="124"/>
        <v>652.08060485142892</v>
      </c>
      <c r="EQ247" s="122">
        <v>46045</v>
      </c>
      <c r="ER247" s="123">
        <v>3512.33</v>
      </c>
      <c r="ES247" s="259">
        <v>383.92</v>
      </c>
      <c r="ET247" s="127"/>
      <c r="EU247" s="258">
        <v>152.93</v>
      </c>
      <c r="EW247" s="240">
        <v>82.620159999999942</v>
      </c>
      <c r="EX247" s="53">
        <v>20.75916916628573</v>
      </c>
      <c r="EY247" s="52"/>
      <c r="EZ247" s="53">
        <f t="shared" si="125"/>
        <v>256.30932916628569</v>
      </c>
      <c r="FB247" s="122">
        <v>46045</v>
      </c>
      <c r="FC247" s="123">
        <v>693.11</v>
      </c>
      <c r="FD247" s="123">
        <v>453.82</v>
      </c>
      <c r="FE247" s="125"/>
      <c r="FF247" s="126"/>
      <c r="FH247" s="51"/>
      <c r="FI247" s="52"/>
      <c r="FJ247" s="52"/>
      <c r="FK247" s="53"/>
    </row>
    <row r="248" spans="2:167" hidden="1" x14ac:dyDescent="0.25">
      <c r="B248" s="122">
        <v>46046</v>
      </c>
      <c r="C248" s="123">
        <v>20477.939999999999</v>
      </c>
      <c r="D248" s="125"/>
      <c r="E248" s="125"/>
      <c r="F248" s="123">
        <v>0</v>
      </c>
      <c r="G248" s="27"/>
      <c r="H248" s="240"/>
      <c r="I248" s="53"/>
      <c r="J248" s="52"/>
      <c r="K248" s="53">
        <f t="shared" si="115"/>
        <v>0</v>
      </c>
      <c r="M248" s="122">
        <v>46046</v>
      </c>
      <c r="N248" s="123">
        <v>3739.41</v>
      </c>
      <c r="O248" s="125"/>
      <c r="P248" s="126">
        <v>0</v>
      </c>
      <c r="R248" s="240"/>
      <c r="S248" s="53">
        <v>69.749845611428611</v>
      </c>
      <c r="T248" s="52"/>
      <c r="U248" s="53">
        <f t="shared" si="116"/>
        <v>69.749845611428611</v>
      </c>
      <c r="W248" s="122">
        <v>46046</v>
      </c>
      <c r="X248" s="123">
        <v>1490.24</v>
      </c>
      <c r="Y248" s="123">
        <v>314.01</v>
      </c>
      <c r="Z248" s="125"/>
      <c r="AA248" s="273">
        <v>1.1200000000000001</v>
      </c>
      <c r="AC248" s="240"/>
      <c r="AD248" s="53">
        <v>25.428660784571441</v>
      </c>
      <c r="AE248" s="52"/>
      <c r="AF248" s="53">
        <f t="shared" si="117"/>
        <v>26.548660784571442</v>
      </c>
      <c r="AI248" s="122">
        <v>46046</v>
      </c>
      <c r="AJ248" s="123">
        <v>578.61</v>
      </c>
      <c r="AK248" s="125"/>
      <c r="AL248" s="126"/>
      <c r="AN248" s="51"/>
      <c r="AO248" s="52"/>
      <c r="AP248" s="52"/>
      <c r="AQ248" s="53"/>
      <c r="AS248" s="122">
        <v>46046</v>
      </c>
      <c r="AT248" s="123">
        <v>3749.35</v>
      </c>
      <c r="AU248" s="125"/>
      <c r="AV248" s="128"/>
      <c r="AX248" s="51"/>
      <c r="AY248" s="52"/>
      <c r="AZ248" s="52"/>
      <c r="BA248" s="53"/>
      <c r="BC248" s="122">
        <v>46046</v>
      </c>
      <c r="BD248" s="123">
        <v>1988.72</v>
      </c>
      <c r="BE248" s="125"/>
      <c r="BF248" s="128">
        <v>0</v>
      </c>
      <c r="BH248" s="240">
        <v>3.2026800000000009</v>
      </c>
      <c r="BI248" s="52"/>
      <c r="BJ248" s="52"/>
      <c r="BK248" s="53">
        <f t="shared" si="118"/>
        <v>3.2026800000000009</v>
      </c>
      <c r="BM248" s="122">
        <v>46046</v>
      </c>
      <c r="BN248" s="123">
        <v>9824.24</v>
      </c>
      <c r="BO248" s="123">
        <v>3100.52</v>
      </c>
      <c r="BP248" s="123">
        <v>8523.8700000000008</v>
      </c>
      <c r="BQ248" s="125"/>
      <c r="BR248" s="125"/>
      <c r="BT248" s="240">
        <v>100.00983999999998</v>
      </c>
      <c r="BU248" s="53">
        <v>140.01199999999997</v>
      </c>
      <c r="BV248" s="53"/>
      <c r="BW248" s="53">
        <f t="shared" si="114"/>
        <v>240.02183999999994</v>
      </c>
      <c r="BY248" s="122">
        <v>46046</v>
      </c>
      <c r="BZ248" s="256">
        <v>764.09</v>
      </c>
      <c r="CA248" s="257">
        <v>617.79</v>
      </c>
      <c r="CB248" s="125"/>
      <c r="CC248" s="126"/>
      <c r="CE248" s="240"/>
      <c r="CF248" s="52"/>
      <c r="CG248" s="53"/>
      <c r="CH248" s="53">
        <f t="shared" si="119"/>
        <v>0</v>
      </c>
      <c r="CJ248" s="122">
        <v>46046</v>
      </c>
      <c r="CK248" s="123">
        <v>4616.2</v>
      </c>
      <c r="CL248" s="123">
        <v>667.34</v>
      </c>
      <c r="CM248" s="125"/>
      <c r="CN248" s="126">
        <v>13.4</v>
      </c>
      <c r="CP248" s="240">
        <v>2.725439999999999</v>
      </c>
      <c r="CQ248" s="53">
        <v>34.049547034285752</v>
      </c>
      <c r="CR248" s="52"/>
      <c r="CS248" s="53">
        <f t="shared" si="120"/>
        <v>50.174987034285749</v>
      </c>
      <c r="CU248" s="122">
        <v>46046</v>
      </c>
      <c r="CV248" s="123">
        <v>5113.97</v>
      </c>
      <c r="CW248" s="127">
        <v>1106.4000000000001</v>
      </c>
      <c r="CX248" s="125"/>
      <c r="CY248" s="126">
        <v>189.81</v>
      </c>
      <c r="CZ248" s="27"/>
      <c r="DA248" s="240">
        <v>346.11999999999978</v>
      </c>
      <c r="DB248" s="435"/>
      <c r="DC248" s="52"/>
      <c r="DD248" s="52"/>
      <c r="DE248" s="53">
        <f t="shared" si="121"/>
        <v>535.92999999999984</v>
      </c>
      <c r="DH248" s="122">
        <v>46046</v>
      </c>
      <c r="DI248" s="123">
        <v>1334.89</v>
      </c>
      <c r="DJ248" s="127">
        <v>431.67</v>
      </c>
      <c r="DK248" s="127">
        <v>0</v>
      </c>
      <c r="DL248" s="127"/>
      <c r="DM248" s="126">
        <v>0</v>
      </c>
      <c r="DO248" s="240"/>
      <c r="DP248" s="52"/>
      <c r="DQ248" s="52"/>
      <c r="DR248" s="53">
        <f t="shared" si="122"/>
        <v>0</v>
      </c>
      <c r="DT248" s="122">
        <v>46046</v>
      </c>
      <c r="DU248" s="123">
        <v>2214.33</v>
      </c>
      <c r="DV248" s="127">
        <v>1098.32</v>
      </c>
      <c r="DW248" s="127"/>
      <c r="DX248" s="126">
        <v>22.71</v>
      </c>
      <c r="DZ248" s="51"/>
      <c r="EA248" s="53"/>
      <c r="EB248" s="52"/>
      <c r="EC248" s="53">
        <f t="shared" si="123"/>
        <v>22.71</v>
      </c>
      <c r="EE248" s="122">
        <v>46046</v>
      </c>
      <c r="EF248" s="123">
        <v>1133.03</v>
      </c>
      <c r="EG248" s="127">
        <v>675.43</v>
      </c>
      <c r="EH248" s="127"/>
      <c r="EI248" s="126">
        <v>9.31</v>
      </c>
      <c r="EK248" s="240">
        <v>355.88228200000009</v>
      </c>
      <c r="EL248" s="435"/>
      <c r="EM248" s="53">
        <v>15.267862374285734</v>
      </c>
      <c r="EN248" s="53"/>
      <c r="EO248" s="53">
        <f t="shared" si="124"/>
        <v>380.46014437428585</v>
      </c>
      <c r="EQ248" s="122">
        <v>46046</v>
      </c>
      <c r="ER248" s="123">
        <v>3480.03</v>
      </c>
      <c r="ES248" s="259">
        <v>456.19</v>
      </c>
      <c r="ET248" s="127"/>
      <c r="EU248" s="258">
        <v>540.26</v>
      </c>
      <c r="EW248" s="240">
        <v>27.491999999999983</v>
      </c>
      <c r="EX248" s="53">
        <v>382.06786129428656</v>
      </c>
      <c r="EY248" s="52"/>
      <c r="EZ248" s="53">
        <f t="shared" si="125"/>
        <v>949.81986129428651</v>
      </c>
      <c r="FB248" s="122">
        <v>46046</v>
      </c>
      <c r="FC248" s="123">
        <v>700.38</v>
      </c>
      <c r="FD248" s="123">
        <v>135</v>
      </c>
      <c r="FE248" s="125"/>
      <c r="FF248" s="126"/>
      <c r="FH248" s="51"/>
      <c r="FI248" s="52"/>
      <c r="FJ248" s="52"/>
      <c r="FK248" s="53"/>
    </row>
    <row r="249" spans="2:167" hidden="1" x14ac:dyDescent="0.25">
      <c r="B249" s="122">
        <v>46047</v>
      </c>
      <c r="C249" s="123">
        <v>20074.810000000001</v>
      </c>
      <c r="D249" s="125"/>
      <c r="E249" s="125"/>
      <c r="F249" s="123">
        <v>0</v>
      </c>
      <c r="G249" s="27"/>
      <c r="H249" s="240"/>
      <c r="I249" s="53"/>
      <c r="J249" s="52"/>
      <c r="K249" s="53">
        <f t="shared" si="115"/>
        <v>0</v>
      </c>
      <c r="M249" s="122">
        <v>46047</v>
      </c>
      <c r="N249" s="123">
        <v>3849.79</v>
      </c>
      <c r="O249" s="125"/>
      <c r="P249" s="126">
        <v>17.63</v>
      </c>
      <c r="R249" s="240">
        <v>115.19999999999987</v>
      </c>
      <c r="S249" s="53"/>
      <c r="T249" s="52"/>
      <c r="U249" s="53">
        <f t="shared" si="116"/>
        <v>132.82999999999987</v>
      </c>
      <c r="W249" s="122">
        <v>46047</v>
      </c>
      <c r="X249" s="123">
        <v>1864.05</v>
      </c>
      <c r="Y249" s="123">
        <v>380.61</v>
      </c>
      <c r="Z249" s="125"/>
      <c r="AA249" s="273">
        <v>1.49</v>
      </c>
      <c r="AC249" s="240"/>
      <c r="AD249" s="53"/>
      <c r="AE249" s="52"/>
      <c r="AF249" s="53">
        <f t="shared" si="117"/>
        <v>1.49</v>
      </c>
      <c r="AI249" s="122">
        <v>46047</v>
      </c>
      <c r="AJ249" s="123">
        <v>1625.23</v>
      </c>
      <c r="AK249" s="125"/>
      <c r="AL249" s="126"/>
      <c r="AN249" s="51"/>
      <c r="AO249" s="52"/>
      <c r="AP249" s="52"/>
      <c r="AQ249" s="53"/>
      <c r="AS249" s="122">
        <v>46047</v>
      </c>
      <c r="AT249" s="123">
        <v>2930.69</v>
      </c>
      <c r="AU249" s="125"/>
      <c r="AV249" s="128"/>
      <c r="AX249" s="51"/>
      <c r="AY249" s="52"/>
      <c r="AZ249" s="52"/>
      <c r="BA249" s="53"/>
      <c r="BC249" s="122">
        <v>46047</v>
      </c>
      <c r="BD249" s="123">
        <v>1205.77</v>
      </c>
      <c r="BE249" s="125"/>
      <c r="BF249" s="128">
        <v>0</v>
      </c>
      <c r="BH249" s="240">
        <v>108.78609000000012</v>
      </c>
      <c r="BI249" s="52"/>
      <c r="BJ249" s="52"/>
      <c r="BK249" s="53">
        <f t="shared" si="118"/>
        <v>108.78609000000012</v>
      </c>
      <c r="BM249" s="122">
        <v>46047</v>
      </c>
      <c r="BN249" s="123">
        <v>7322.79</v>
      </c>
      <c r="BO249" s="123">
        <v>1826.09</v>
      </c>
      <c r="BP249" s="123">
        <v>5519.41</v>
      </c>
      <c r="BQ249" s="125"/>
      <c r="BR249" s="125"/>
      <c r="BT249" s="240"/>
      <c r="BU249" s="53">
        <v>54.636250843428542</v>
      </c>
      <c r="BV249" s="53"/>
      <c r="BW249" s="53">
        <f t="shared" si="114"/>
        <v>54.636250843428542</v>
      </c>
      <c r="BY249" s="122">
        <v>46047</v>
      </c>
      <c r="BZ249" s="256">
        <v>525.09</v>
      </c>
      <c r="CA249" s="257">
        <v>469.07</v>
      </c>
      <c r="CB249" s="125"/>
      <c r="CC249" s="126"/>
      <c r="CE249" s="240"/>
      <c r="CF249" s="52"/>
      <c r="CG249" s="53"/>
      <c r="CH249" s="53">
        <f t="shared" si="119"/>
        <v>0</v>
      </c>
      <c r="CJ249" s="122">
        <v>46047</v>
      </c>
      <c r="CK249" s="123">
        <v>3199.88</v>
      </c>
      <c r="CL249" s="123">
        <v>771.88</v>
      </c>
      <c r="CM249" s="125"/>
      <c r="CN249" s="126">
        <v>9.8000000000000007</v>
      </c>
      <c r="CP249" s="240">
        <v>128.19533999999999</v>
      </c>
      <c r="CQ249" s="53"/>
      <c r="CR249" s="52"/>
      <c r="CS249" s="53">
        <f t="shared" si="120"/>
        <v>137.99534</v>
      </c>
      <c r="CU249" s="122">
        <v>46047</v>
      </c>
      <c r="CV249" s="123">
        <v>3767.81</v>
      </c>
      <c r="CW249" s="127">
        <v>579.95000000000005</v>
      </c>
      <c r="CX249" s="125"/>
      <c r="CY249" s="126">
        <v>251.71</v>
      </c>
      <c r="CZ249" s="27"/>
      <c r="DA249" s="240">
        <v>1923.1999999999928</v>
      </c>
      <c r="DB249" s="435"/>
      <c r="DC249" s="52"/>
      <c r="DD249" s="52"/>
      <c r="DE249" s="53">
        <f t="shared" si="121"/>
        <v>2174.9099999999926</v>
      </c>
      <c r="DH249" s="122">
        <v>46047</v>
      </c>
      <c r="DI249" s="123">
        <v>1510.15</v>
      </c>
      <c r="DJ249" s="127">
        <v>327.92</v>
      </c>
      <c r="DK249" s="127">
        <v>0</v>
      </c>
      <c r="DL249" s="127"/>
      <c r="DM249" s="126">
        <v>0</v>
      </c>
      <c r="DO249" s="240"/>
      <c r="DP249" s="52"/>
      <c r="DQ249" s="52"/>
      <c r="DR249" s="53">
        <f t="shared" si="122"/>
        <v>0</v>
      </c>
      <c r="DT249" s="122">
        <v>46047</v>
      </c>
      <c r="DU249" s="123">
        <v>1037.57</v>
      </c>
      <c r="DV249" s="127">
        <v>1016.76</v>
      </c>
      <c r="DW249" s="127"/>
      <c r="DX249" s="126">
        <v>10.199999999999999</v>
      </c>
      <c r="DZ249" s="51"/>
      <c r="EA249" s="53"/>
      <c r="EB249" s="52"/>
      <c r="EC249" s="53">
        <f t="shared" si="123"/>
        <v>10.199999999999999</v>
      </c>
      <c r="EE249" s="122">
        <v>46047</v>
      </c>
      <c r="EF249" s="123">
        <v>702.34</v>
      </c>
      <c r="EG249" s="127">
        <v>731.13</v>
      </c>
      <c r="EH249" s="127"/>
      <c r="EI249" s="126">
        <v>31.66</v>
      </c>
      <c r="EK249" s="240"/>
      <c r="EL249" s="435"/>
      <c r="EM249" s="53"/>
      <c r="EN249" s="53">
        <v>44.310205800000006</v>
      </c>
      <c r="EO249" s="53">
        <f t="shared" si="124"/>
        <v>75.970205800000002</v>
      </c>
      <c r="EQ249" s="122">
        <v>46047</v>
      </c>
      <c r="ER249" s="123">
        <v>3659.63</v>
      </c>
      <c r="ES249" s="259">
        <v>299.08</v>
      </c>
      <c r="ET249" s="127"/>
      <c r="EU249" s="258">
        <v>100.03</v>
      </c>
      <c r="EW249" s="240">
        <v>32.196149999999989</v>
      </c>
      <c r="EX249" s="53"/>
      <c r="EY249" s="52"/>
      <c r="EZ249" s="53">
        <f t="shared" si="125"/>
        <v>132.22614999999999</v>
      </c>
      <c r="FB249" s="122">
        <v>46047</v>
      </c>
      <c r="FC249" s="123">
        <v>590.13</v>
      </c>
      <c r="FD249" s="123">
        <v>272.68</v>
      </c>
      <c r="FE249" s="125"/>
      <c r="FF249" s="126"/>
      <c r="FH249" s="51"/>
      <c r="FI249" s="52"/>
      <c r="FJ249" s="52"/>
      <c r="FK249" s="53"/>
    </row>
    <row r="250" spans="2:167" hidden="1" x14ac:dyDescent="0.25">
      <c r="B250" s="122">
        <v>46048</v>
      </c>
      <c r="C250" s="123">
        <v>13763.13</v>
      </c>
      <c r="D250" s="126"/>
      <c r="E250" s="125"/>
      <c r="F250" s="126">
        <v>0</v>
      </c>
      <c r="G250" s="27"/>
      <c r="H250" s="240"/>
      <c r="I250" s="53"/>
      <c r="J250" s="52"/>
      <c r="K250" s="53">
        <f t="shared" si="115"/>
        <v>0</v>
      </c>
      <c r="M250" s="122">
        <v>46048</v>
      </c>
      <c r="N250" s="123">
        <v>3008.58</v>
      </c>
      <c r="O250" s="125"/>
      <c r="P250" s="126">
        <v>6.49</v>
      </c>
      <c r="R250" s="240"/>
      <c r="S250" s="53">
        <v>9.823862857142899</v>
      </c>
      <c r="T250" s="52"/>
      <c r="U250" s="53">
        <f t="shared" si="116"/>
        <v>16.313862857142901</v>
      </c>
      <c r="W250" s="122">
        <v>46048</v>
      </c>
      <c r="X250" s="123">
        <v>1825.48</v>
      </c>
      <c r="Y250" s="123">
        <v>158.35</v>
      </c>
      <c r="Z250" s="125"/>
      <c r="AA250" s="273">
        <v>12.59</v>
      </c>
      <c r="AC250" s="240"/>
      <c r="AD250" s="53">
        <v>16.751653099999999</v>
      </c>
      <c r="AE250" s="52"/>
      <c r="AF250" s="53">
        <f t="shared" si="117"/>
        <v>29.341653099999998</v>
      </c>
      <c r="AI250" s="122">
        <v>46048</v>
      </c>
      <c r="AJ250" s="123">
        <v>1384.43</v>
      </c>
      <c r="AK250" s="125"/>
      <c r="AL250" s="126"/>
      <c r="AN250" s="51"/>
      <c r="AO250" s="52"/>
      <c r="AP250" s="52"/>
      <c r="AQ250" s="53"/>
      <c r="AS250" s="122">
        <v>46048</v>
      </c>
      <c r="AT250" s="123">
        <v>3591.94</v>
      </c>
      <c r="AU250" s="125"/>
      <c r="AV250" s="128"/>
      <c r="AX250" s="51"/>
      <c r="AY250" s="52"/>
      <c r="AZ250" s="52"/>
      <c r="BA250" s="53"/>
      <c r="BC250" s="122">
        <v>46048</v>
      </c>
      <c r="BD250" s="123">
        <v>2434.59</v>
      </c>
      <c r="BE250" s="125"/>
      <c r="BF250" s="128">
        <v>0</v>
      </c>
      <c r="BH250" s="240">
        <v>11.276670000000024</v>
      </c>
      <c r="BI250" s="52"/>
      <c r="BJ250" s="52"/>
      <c r="BK250" s="53">
        <f t="shared" si="118"/>
        <v>11.276670000000024</v>
      </c>
      <c r="BM250" s="122">
        <v>46048</v>
      </c>
      <c r="BN250" s="123">
        <v>10589.62</v>
      </c>
      <c r="BO250" s="123">
        <v>2945.94</v>
      </c>
      <c r="BP250" s="123">
        <v>8448.94</v>
      </c>
      <c r="BQ250" s="125"/>
      <c r="BR250" s="125"/>
      <c r="BT250" s="240">
        <v>254.68472</v>
      </c>
      <c r="BU250" s="53">
        <v>617.69871428571446</v>
      </c>
      <c r="BV250" s="53"/>
      <c r="BW250" s="53">
        <f t="shared" si="114"/>
        <v>872.38343428571443</v>
      </c>
      <c r="BY250" s="122">
        <v>46048</v>
      </c>
      <c r="BZ250" s="256">
        <v>1171.1400000000001</v>
      </c>
      <c r="CA250" s="257">
        <v>438.05</v>
      </c>
      <c r="CB250" s="125"/>
      <c r="CC250" s="126"/>
      <c r="CE250" s="240"/>
      <c r="CF250" s="52"/>
      <c r="CG250" s="53"/>
      <c r="CH250" s="53">
        <f t="shared" si="119"/>
        <v>0</v>
      </c>
      <c r="CJ250" s="122">
        <v>46048</v>
      </c>
      <c r="CK250" s="123">
        <v>6080.45</v>
      </c>
      <c r="CL250" s="123">
        <v>536.01</v>
      </c>
      <c r="CM250" s="125"/>
      <c r="CN250" s="126">
        <v>31.43</v>
      </c>
      <c r="CP250" s="240">
        <v>146.61156</v>
      </c>
      <c r="CQ250" s="53"/>
      <c r="CR250" s="52"/>
      <c r="CS250" s="53">
        <f t="shared" si="120"/>
        <v>178.04156</v>
      </c>
      <c r="CU250" s="122">
        <v>46048</v>
      </c>
      <c r="CV250" s="123">
        <v>6580.61</v>
      </c>
      <c r="CW250" s="127">
        <v>1702.73</v>
      </c>
      <c r="CX250" s="125"/>
      <c r="CY250" s="126">
        <v>106.53</v>
      </c>
      <c r="CZ250" s="27"/>
      <c r="DA250" s="240">
        <v>2845.3003200000135</v>
      </c>
      <c r="DB250" s="435"/>
      <c r="DC250" s="52"/>
      <c r="DD250" s="52"/>
      <c r="DE250" s="53">
        <f t="shared" si="121"/>
        <v>2951.8303200000137</v>
      </c>
      <c r="DH250" s="122">
        <v>46048</v>
      </c>
      <c r="DI250" s="123">
        <v>5147.67</v>
      </c>
      <c r="DJ250" s="259">
        <v>1150.8499999999999</v>
      </c>
      <c r="DK250" s="259">
        <v>438.65</v>
      </c>
      <c r="DL250" s="127"/>
      <c r="DM250" s="126">
        <v>0</v>
      </c>
      <c r="DO250" s="240"/>
      <c r="DP250" s="52"/>
      <c r="DQ250" s="52"/>
      <c r="DR250" s="53">
        <f t="shared" si="122"/>
        <v>0</v>
      </c>
      <c r="DT250" s="122">
        <v>46048</v>
      </c>
      <c r="DU250" s="123">
        <v>1108.1300000000001</v>
      </c>
      <c r="DV250" s="259">
        <v>1020.85</v>
      </c>
      <c r="DW250" s="127"/>
      <c r="DX250" s="126">
        <v>49.63</v>
      </c>
      <c r="DZ250" s="51"/>
      <c r="EA250" s="53">
        <v>53.065214794285765</v>
      </c>
      <c r="EB250" s="52"/>
      <c r="EC250" s="53">
        <f t="shared" si="123"/>
        <v>102.69521479428576</v>
      </c>
      <c r="EE250" s="122">
        <v>46048</v>
      </c>
      <c r="EF250" s="123">
        <v>717.6</v>
      </c>
      <c r="EG250" s="127">
        <v>1035.3900000000001</v>
      </c>
      <c r="EH250" s="127"/>
      <c r="EI250" s="126">
        <v>6.34</v>
      </c>
      <c r="EK250" s="240">
        <v>579.93618000000015</v>
      </c>
      <c r="EL250" s="435"/>
      <c r="EM250" s="53">
        <v>21.144097480000013</v>
      </c>
      <c r="EN250" s="53"/>
      <c r="EO250" s="53">
        <f t="shared" si="124"/>
        <v>607.42027748000021</v>
      </c>
      <c r="EQ250" s="122">
        <v>46048</v>
      </c>
      <c r="ER250" s="123">
        <v>2961.65</v>
      </c>
      <c r="ES250" s="259">
        <v>436.59</v>
      </c>
      <c r="ET250" s="127"/>
      <c r="EU250" s="258">
        <v>524.39</v>
      </c>
      <c r="EW250" s="240">
        <v>141.75629999999978</v>
      </c>
      <c r="EX250" s="53">
        <v>189.33966126342889</v>
      </c>
      <c r="EY250" s="52"/>
      <c r="EZ250" s="53">
        <f t="shared" si="125"/>
        <v>855.48596126342863</v>
      </c>
      <c r="FB250" s="122">
        <v>46048</v>
      </c>
      <c r="FC250" s="123">
        <v>828.1</v>
      </c>
      <c r="FD250" s="123">
        <v>347.82</v>
      </c>
      <c r="FE250" s="125"/>
      <c r="FF250" s="126"/>
      <c r="FH250" s="51"/>
      <c r="FI250" s="52"/>
      <c r="FJ250" s="52"/>
      <c r="FK250" s="53"/>
    </row>
    <row r="251" spans="2:167" hidden="1" x14ac:dyDescent="0.25">
      <c r="B251" s="122">
        <v>46049</v>
      </c>
      <c r="C251" s="123">
        <v>13765.74</v>
      </c>
      <c r="D251" s="125"/>
      <c r="E251" s="125"/>
      <c r="F251" s="123">
        <v>0</v>
      </c>
      <c r="G251" s="27"/>
      <c r="H251" s="240"/>
      <c r="I251" s="53"/>
      <c r="J251" s="52"/>
      <c r="K251" s="53">
        <f t="shared" si="115"/>
        <v>0</v>
      </c>
      <c r="M251" s="122">
        <v>46049</v>
      </c>
      <c r="N251" s="123">
        <v>3368.76</v>
      </c>
      <c r="O251" s="125"/>
      <c r="P251" s="126">
        <v>28.65</v>
      </c>
      <c r="R251" s="240"/>
      <c r="S251" s="53"/>
      <c r="T251" s="52"/>
      <c r="U251" s="53">
        <f t="shared" si="116"/>
        <v>28.65</v>
      </c>
      <c r="W251" s="122">
        <v>46049</v>
      </c>
      <c r="X251" s="123">
        <v>1545.15</v>
      </c>
      <c r="Y251" s="123">
        <v>167.41</v>
      </c>
      <c r="Z251" s="125"/>
      <c r="AA251" s="273">
        <v>12.54</v>
      </c>
      <c r="AC251" s="240"/>
      <c r="AD251" s="53">
        <v>69.061192699999992</v>
      </c>
      <c r="AE251" s="52"/>
      <c r="AF251" s="53">
        <f t="shared" si="117"/>
        <v>81.601192699999984</v>
      </c>
      <c r="AI251" s="122">
        <v>46049</v>
      </c>
      <c r="AJ251" s="123">
        <v>1235.3699999999999</v>
      </c>
      <c r="AK251" s="125"/>
      <c r="AL251" s="126"/>
      <c r="AN251" s="51"/>
      <c r="AO251" s="52"/>
      <c r="AP251" s="52"/>
      <c r="AQ251" s="53"/>
      <c r="AS251" s="122">
        <v>46049</v>
      </c>
      <c r="AT251" s="123">
        <v>3242.94</v>
      </c>
      <c r="AU251" s="125"/>
      <c r="AV251" s="128"/>
      <c r="AX251" s="51"/>
      <c r="AY251" s="52"/>
      <c r="AZ251" s="52"/>
      <c r="BA251" s="53"/>
      <c r="BC251" s="122">
        <v>46049</v>
      </c>
      <c r="BD251" s="123">
        <v>1944.05</v>
      </c>
      <c r="BE251" s="125"/>
      <c r="BF251" s="128">
        <v>0</v>
      </c>
      <c r="BH251" s="240">
        <v>32.800000000000026</v>
      </c>
      <c r="BI251" s="52"/>
      <c r="BJ251" s="52"/>
      <c r="BK251" s="53">
        <f t="shared" si="118"/>
        <v>32.800000000000026</v>
      </c>
      <c r="BM251" s="122">
        <v>46049</v>
      </c>
      <c r="BN251" s="123">
        <v>10769.98</v>
      </c>
      <c r="BO251" s="123">
        <v>3029.23</v>
      </c>
      <c r="BP251" s="123">
        <v>10125.11</v>
      </c>
      <c r="BQ251" s="125"/>
      <c r="BR251" s="125"/>
      <c r="BT251" s="240">
        <v>24.768000000000001</v>
      </c>
      <c r="BU251" s="53">
        <v>107.29463406590475</v>
      </c>
      <c r="BV251" s="53"/>
      <c r="BW251" s="53">
        <f t="shared" si="114"/>
        <v>132.06263406590475</v>
      </c>
      <c r="BY251" s="122">
        <v>46049</v>
      </c>
      <c r="BZ251" s="256">
        <v>1434.88</v>
      </c>
      <c r="CA251" s="260">
        <v>506.16</v>
      </c>
      <c r="CB251" s="125"/>
      <c r="CC251" s="126"/>
      <c r="CE251" s="240"/>
      <c r="CF251" s="52"/>
      <c r="CG251" s="53"/>
      <c r="CH251" s="53">
        <f t="shared" si="119"/>
        <v>0</v>
      </c>
      <c r="CJ251" s="122">
        <v>46049</v>
      </c>
      <c r="CK251" s="123">
        <v>4785.68</v>
      </c>
      <c r="CL251" s="123">
        <v>521.51</v>
      </c>
      <c r="CM251" s="125"/>
      <c r="CN251" s="126">
        <v>13.36</v>
      </c>
      <c r="CP251" s="240">
        <v>44.564279999999997</v>
      </c>
      <c r="CQ251" s="53">
        <v>0</v>
      </c>
      <c r="CR251" s="52"/>
      <c r="CS251" s="53">
        <f t="shared" si="120"/>
        <v>57.924279999999996</v>
      </c>
      <c r="CU251" s="122">
        <v>46049</v>
      </c>
      <c r="CV251" s="123">
        <v>4372.3500000000004</v>
      </c>
      <c r="CW251" s="127">
        <v>1814.82</v>
      </c>
      <c r="CX251" s="125"/>
      <c r="CY251" s="126">
        <v>377.47</v>
      </c>
      <c r="CZ251" s="27"/>
      <c r="DA251" s="240">
        <v>703.40307999999914</v>
      </c>
      <c r="DB251" s="435"/>
      <c r="DC251" s="52"/>
      <c r="DD251" s="52"/>
      <c r="DE251" s="53">
        <f t="shared" si="121"/>
        <v>1080.8730799999992</v>
      </c>
      <c r="DH251" s="122">
        <v>46049</v>
      </c>
      <c r="DI251" s="123">
        <v>1157.02</v>
      </c>
      <c r="DJ251" s="127">
        <v>711.96</v>
      </c>
      <c r="DK251" s="127">
        <v>0</v>
      </c>
      <c r="DL251" s="127"/>
      <c r="DM251" s="126">
        <v>0</v>
      </c>
      <c r="DO251" s="240"/>
      <c r="DP251" s="52"/>
      <c r="DQ251" s="52"/>
      <c r="DR251" s="53">
        <f t="shared" si="122"/>
        <v>0</v>
      </c>
      <c r="DT251" s="122">
        <v>46049</v>
      </c>
      <c r="DU251" s="123">
        <v>1583.63</v>
      </c>
      <c r="DV251" s="127">
        <v>1068.98</v>
      </c>
      <c r="DW251" s="127"/>
      <c r="DX251" s="126">
        <v>13.01</v>
      </c>
      <c r="DZ251" s="51"/>
      <c r="EA251" s="53"/>
      <c r="EB251" s="52"/>
      <c r="EC251" s="53">
        <f t="shared" si="123"/>
        <v>13.01</v>
      </c>
      <c r="EE251" s="122">
        <v>46049</v>
      </c>
      <c r="EF251" s="123">
        <v>749</v>
      </c>
      <c r="EG251" s="127">
        <v>924.62</v>
      </c>
      <c r="EH251" s="127"/>
      <c r="EI251" s="126">
        <v>4.5599999999999996</v>
      </c>
      <c r="EK251" s="240">
        <v>762.4487800000004</v>
      </c>
      <c r="EL251" s="435"/>
      <c r="EM251" s="53">
        <v>17.873958588571426</v>
      </c>
      <c r="EN251" s="53"/>
      <c r="EO251" s="53">
        <f t="shared" si="124"/>
        <v>784.88273858857178</v>
      </c>
      <c r="EQ251" s="122">
        <v>46049</v>
      </c>
      <c r="ER251" s="123">
        <v>3207.41</v>
      </c>
      <c r="ES251" s="259">
        <v>191.79</v>
      </c>
      <c r="ET251" s="127"/>
      <c r="EU251" s="258">
        <v>42.12</v>
      </c>
      <c r="EW251" s="240">
        <v>97.535729999999816</v>
      </c>
      <c r="EX251" s="53">
        <v>262.24136526476195</v>
      </c>
      <c r="EY251" s="52"/>
      <c r="EZ251" s="53">
        <f t="shared" si="125"/>
        <v>401.89709526476179</v>
      </c>
      <c r="FB251" s="122">
        <v>46049</v>
      </c>
      <c r="FC251" s="123">
        <v>686.17</v>
      </c>
      <c r="FD251" s="123">
        <v>210.4</v>
      </c>
      <c r="FE251" s="125"/>
      <c r="FF251" s="126"/>
      <c r="FH251" s="51"/>
      <c r="FI251" s="52"/>
      <c r="FJ251" s="52"/>
      <c r="FK251" s="53"/>
    </row>
    <row r="252" spans="2:167" hidden="1" x14ac:dyDescent="0.25">
      <c r="B252" s="122">
        <v>46050</v>
      </c>
      <c r="C252" s="123">
        <v>13617.93</v>
      </c>
      <c r="D252" s="126"/>
      <c r="E252" s="125"/>
      <c r="F252" s="126">
        <v>8.65</v>
      </c>
      <c r="G252" s="27"/>
      <c r="H252" s="240"/>
      <c r="I252" s="53"/>
      <c r="J252" s="52"/>
      <c r="K252" s="53">
        <f t="shared" si="115"/>
        <v>8.65</v>
      </c>
      <c r="M252" s="122">
        <v>46050</v>
      </c>
      <c r="N252" s="123">
        <v>2951.15</v>
      </c>
      <c r="O252" s="125"/>
      <c r="P252" s="126">
        <v>17.79</v>
      </c>
      <c r="R252" s="240"/>
      <c r="S252" s="52"/>
      <c r="T252" s="52"/>
      <c r="U252" s="53">
        <f t="shared" si="116"/>
        <v>17.79</v>
      </c>
      <c r="W252" s="122">
        <v>46050</v>
      </c>
      <c r="X252" s="123">
        <v>1387.8</v>
      </c>
      <c r="Y252" s="123">
        <v>153.88</v>
      </c>
      <c r="Z252" s="125"/>
      <c r="AA252" s="273">
        <v>3.7</v>
      </c>
      <c r="AC252" s="240"/>
      <c r="AD252" s="53"/>
      <c r="AE252" s="52"/>
      <c r="AF252" s="53">
        <f t="shared" si="117"/>
        <v>3.7</v>
      </c>
      <c r="AI252" s="122">
        <v>46050</v>
      </c>
      <c r="AJ252" s="123">
        <v>2032.06</v>
      </c>
      <c r="AK252" s="125"/>
      <c r="AL252" s="126"/>
      <c r="AN252" s="51"/>
      <c r="AO252" s="52"/>
      <c r="AP252" s="52"/>
      <c r="AQ252" s="53"/>
      <c r="AS252" s="122">
        <v>46050</v>
      </c>
      <c r="AT252" s="123">
        <v>2613.06</v>
      </c>
      <c r="AU252" s="125"/>
      <c r="AV252" s="128"/>
      <c r="AX252" s="51"/>
      <c r="AY252" s="52"/>
      <c r="AZ252" s="52"/>
      <c r="BA252" s="53"/>
      <c r="BC252" s="122">
        <v>46050</v>
      </c>
      <c r="BD252" s="123">
        <v>2111.11</v>
      </c>
      <c r="BE252" s="125"/>
      <c r="BF252" s="128">
        <v>2.16</v>
      </c>
      <c r="BH252" s="240">
        <v>11.922510000000017</v>
      </c>
      <c r="BI252" s="52"/>
      <c r="BJ252" s="52"/>
      <c r="BK252" s="53">
        <f t="shared" si="118"/>
        <v>14.082510000000017</v>
      </c>
      <c r="BM252" s="122">
        <v>46050</v>
      </c>
      <c r="BN252" s="123">
        <v>12007.46</v>
      </c>
      <c r="BO252" s="123">
        <v>3053.85</v>
      </c>
      <c r="BP252" s="123">
        <v>8895.59</v>
      </c>
      <c r="BQ252" s="125"/>
      <c r="BR252" s="125"/>
      <c r="BT252" s="240">
        <v>90.914900000000017</v>
      </c>
      <c r="BU252" s="53"/>
      <c r="BV252" s="53"/>
      <c r="BW252" s="53">
        <f t="shared" si="114"/>
        <v>90.914900000000017</v>
      </c>
      <c r="BY252" s="122">
        <v>46050</v>
      </c>
      <c r="BZ252" s="256">
        <v>253.06</v>
      </c>
      <c r="CA252" s="257">
        <v>676.35</v>
      </c>
      <c r="CB252" s="125"/>
      <c r="CC252" s="126"/>
      <c r="CE252" s="240"/>
      <c r="CF252" s="52"/>
      <c r="CG252" s="53"/>
      <c r="CH252" s="53">
        <f t="shared" si="119"/>
        <v>0</v>
      </c>
      <c r="CJ252" s="122">
        <v>46050</v>
      </c>
      <c r="CK252" s="123">
        <v>3319.35</v>
      </c>
      <c r="CL252" s="123">
        <v>611.32000000000005</v>
      </c>
      <c r="CM252" s="125"/>
      <c r="CN252" s="126">
        <v>7.29</v>
      </c>
      <c r="CP252" s="240">
        <v>141.25037999999995</v>
      </c>
      <c r="CQ252" s="53"/>
      <c r="CR252" s="52"/>
      <c r="CS252" s="53">
        <f t="shared" si="120"/>
        <v>148.54037999999994</v>
      </c>
      <c r="CU252" s="122">
        <v>46050</v>
      </c>
      <c r="CV252" s="123">
        <v>6373.5</v>
      </c>
      <c r="CW252" s="127">
        <v>1595.84</v>
      </c>
      <c r="CX252" s="125"/>
      <c r="CY252" s="126">
        <v>235.27</v>
      </c>
      <c r="CZ252" s="27"/>
      <c r="DA252" s="240">
        <v>153.99999999999991</v>
      </c>
      <c r="DB252" s="435"/>
      <c r="DC252" s="52"/>
      <c r="DD252" s="52"/>
      <c r="DE252" s="53">
        <f t="shared" si="121"/>
        <v>389.26999999999992</v>
      </c>
      <c r="DH252" s="122">
        <v>46050</v>
      </c>
      <c r="DI252" s="123">
        <v>2269.3000000000002</v>
      </c>
      <c r="DJ252" s="127">
        <v>267.39</v>
      </c>
      <c r="DK252" s="127">
        <v>0</v>
      </c>
      <c r="DL252" s="127"/>
      <c r="DM252" s="126">
        <v>0</v>
      </c>
      <c r="DO252" s="240">
        <v>84.510399999999947</v>
      </c>
      <c r="DP252" s="52"/>
      <c r="DQ252" s="52"/>
      <c r="DR252" s="53">
        <f t="shared" si="122"/>
        <v>84.510399999999947</v>
      </c>
      <c r="DT252" s="122">
        <v>46050</v>
      </c>
      <c r="DU252" s="123">
        <v>1331.81</v>
      </c>
      <c r="DV252" s="127">
        <v>977.23</v>
      </c>
      <c r="DW252" s="127"/>
      <c r="DX252" s="126">
        <v>21.18</v>
      </c>
      <c r="DZ252" s="51"/>
      <c r="EA252" s="53"/>
      <c r="EB252" s="52"/>
      <c r="EC252" s="53">
        <f t="shared" si="123"/>
        <v>21.18</v>
      </c>
      <c r="EE252" s="122">
        <v>46050</v>
      </c>
      <c r="EF252" s="123">
        <v>728.19</v>
      </c>
      <c r="EG252" s="127">
        <v>751.09</v>
      </c>
      <c r="EH252" s="127"/>
      <c r="EI252" s="126">
        <v>9.09</v>
      </c>
      <c r="EK252" s="240">
        <v>469.23800000000011</v>
      </c>
      <c r="EL252" s="435"/>
      <c r="EM252" s="53"/>
      <c r="EN252" s="53"/>
      <c r="EO252" s="53">
        <f t="shared" si="124"/>
        <v>478.32800000000009</v>
      </c>
      <c r="EQ252" s="122">
        <v>46050</v>
      </c>
      <c r="ER252" s="123">
        <v>2826.53</v>
      </c>
      <c r="ES252" s="259">
        <v>389.48</v>
      </c>
      <c r="ET252" s="127"/>
      <c r="EU252" s="258">
        <v>197.21</v>
      </c>
      <c r="EW252" s="240">
        <v>140.97509999999988</v>
      </c>
      <c r="EX252" s="53">
        <v>142.3277051790476</v>
      </c>
      <c r="EY252" s="52"/>
      <c r="EZ252" s="53">
        <f t="shared" si="125"/>
        <v>480.51280517904752</v>
      </c>
      <c r="FB252" s="122">
        <v>46050</v>
      </c>
      <c r="FC252" s="123">
        <v>633.91999999999996</v>
      </c>
      <c r="FD252" s="123">
        <v>277.10000000000002</v>
      </c>
      <c r="FE252" s="125"/>
      <c r="FF252" s="126"/>
      <c r="FH252" s="51"/>
      <c r="FI252" s="52"/>
      <c r="FJ252" s="52"/>
      <c r="FK252" s="53"/>
    </row>
    <row r="253" spans="2:167" hidden="1" x14ac:dyDescent="0.25">
      <c r="B253" s="122">
        <v>46051</v>
      </c>
      <c r="C253" s="123">
        <v>14351.95</v>
      </c>
      <c r="D253" s="125"/>
      <c r="E253" s="125"/>
      <c r="F253" s="123">
        <v>0</v>
      </c>
      <c r="G253" s="27"/>
      <c r="H253" s="240">
        <v>13.859999999999985</v>
      </c>
      <c r="I253" s="53">
        <v>41.299639769523836</v>
      </c>
      <c r="J253" s="52"/>
      <c r="K253" s="53">
        <f t="shared" si="115"/>
        <v>55.159639769523821</v>
      </c>
      <c r="M253" s="122">
        <v>46051</v>
      </c>
      <c r="N253" s="123">
        <v>3448.71</v>
      </c>
      <c r="O253" s="127"/>
      <c r="P253" s="261">
        <v>0</v>
      </c>
      <c r="R253" s="240"/>
      <c r="S253" s="52"/>
      <c r="T253" s="52"/>
      <c r="U253" s="53">
        <f t="shared" si="116"/>
        <v>0</v>
      </c>
      <c r="W253" s="122">
        <v>46051</v>
      </c>
      <c r="X253" s="123">
        <v>1772.39</v>
      </c>
      <c r="Y253" s="123">
        <v>99.56</v>
      </c>
      <c r="Z253" s="125"/>
      <c r="AA253" s="273">
        <v>12.36</v>
      </c>
      <c r="AC253" s="240"/>
      <c r="AD253" s="53"/>
      <c r="AE253" s="52"/>
      <c r="AF253" s="53">
        <f t="shared" si="117"/>
        <v>12.36</v>
      </c>
      <c r="AI253" s="122">
        <v>46051</v>
      </c>
      <c r="AJ253" s="123">
        <v>3033.88</v>
      </c>
      <c r="AK253" s="127"/>
      <c r="AL253" s="262"/>
      <c r="AN253" s="51"/>
      <c r="AO253" s="52"/>
      <c r="AP253" s="52"/>
      <c r="AQ253" s="53"/>
      <c r="AS253" s="122">
        <v>46051</v>
      </c>
      <c r="AT253" s="123">
        <v>2677.36</v>
      </c>
      <c r="AU253" s="127"/>
      <c r="AV253" s="261"/>
      <c r="AX253" s="51"/>
      <c r="AY253" s="52"/>
      <c r="AZ253" s="52"/>
      <c r="BA253" s="53"/>
      <c r="BC253" s="122">
        <v>46051</v>
      </c>
      <c r="BD253" s="123">
        <v>1789.96</v>
      </c>
      <c r="BE253" s="125"/>
      <c r="BF253" s="128">
        <v>0</v>
      </c>
      <c r="BH253" s="240">
        <v>15.805949999999996</v>
      </c>
      <c r="BI253" s="52"/>
      <c r="BJ253" s="52"/>
      <c r="BK253" s="53">
        <f t="shared" si="118"/>
        <v>15.805949999999996</v>
      </c>
      <c r="BM253" s="122">
        <v>46051</v>
      </c>
      <c r="BN253" s="123">
        <v>12722.8</v>
      </c>
      <c r="BO253" s="123">
        <v>2990.66</v>
      </c>
      <c r="BP253" s="123">
        <v>9930.36</v>
      </c>
      <c r="BQ253" s="125"/>
      <c r="BR253" s="125"/>
      <c r="BT253" s="240">
        <v>241.09632000000005</v>
      </c>
      <c r="BU253" s="53">
        <v>332.98357506247612</v>
      </c>
      <c r="BV253" s="53"/>
      <c r="BW253" s="53">
        <f t="shared" si="114"/>
        <v>574.07989506247623</v>
      </c>
      <c r="BY253" s="122">
        <v>46051</v>
      </c>
      <c r="BZ253" s="256">
        <v>409.04</v>
      </c>
      <c r="CA253" s="257">
        <v>248.07</v>
      </c>
      <c r="CB253" s="125"/>
      <c r="CC253" s="126"/>
      <c r="CE253" s="240"/>
      <c r="CF253" s="52"/>
      <c r="CG253" s="53"/>
      <c r="CH253" s="53">
        <f t="shared" si="119"/>
        <v>0</v>
      </c>
      <c r="CJ253" s="122">
        <v>46051</v>
      </c>
      <c r="CK253" s="123">
        <v>2660.48</v>
      </c>
      <c r="CL253" s="123">
        <v>397.74</v>
      </c>
      <c r="CM253" s="125"/>
      <c r="CN253" s="126">
        <v>0</v>
      </c>
      <c r="CP253" s="240">
        <v>499.07183999999995</v>
      </c>
      <c r="CQ253" s="53"/>
      <c r="CR253" s="52"/>
      <c r="CS253" s="53">
        <f t="shared" si="120"/>
        <v>499.07183999999995</v>
      </c>
      <c r="CU253" s="122">
        <v>46051</v>
      </c>
      <c r="CV253" s="123">
        <v>7615.41</v>
      </c>
      <c r="CW253" s="127">
        <v>1385.93</v>
      </c>
      <c r="CX253" s="125"/>
      <c r="CY253" s="126">
        <v>187.29</v>
      </c>
      <c r="CZ253" s="27"/>
      <c r="DA253" s="240">
        <v>22.374599999999983</v>
      </c>
      <c r="DB253" s="435"/>
      <c r="DC253" s="52"/>
      <c r="DD253" s="52"/>
      <c r="DE253" s="53">
        <f t="shared" si="121"/>
        <v>209.66459999999998</v>
      </c>
      <c r="DH253" s="122">
        <v>46051</v>
      </c>
      <c r="DI253" s="123">
        <v>1258.72</v>
      </c>
      <c r="DJ253" s="127">
        <v>323.64999999999998</v>
      </c>
      <c r="DK253" s="127">
        <v>0</v>
      </c>
      <c r="DL253" s="127"/>
      <c r="DM253" s="126">
        <v>0</v>
      </c>
      <c r="DO253" s="240">
        <v>21.003499999999974</v>
      </c>
      <c r="DP253" s="52"/>
      <c r="DQ253" s="52"/>
      <c r="DR253" s="53">
        <f t="shared" si="122"/>
        <v>21.003499999999974</v>
      </c>
      <c r="DT253" s="122">
        <v>46051</v>
      </c>
      <c r="DU253" s="123">
        <v>1250.49</v>
      </c>
      <c r="DV253" s="127">
        <v>1082.76</v>
      </c>
      <c r="DW253" s="127"/>
      <c r="DX253" s="126">
        <v>23.2</v>
      </c>
      <c r="DZ253" s="51"/>
      <c r="EA253" s="53"/>
      <c r="EB253" s="52"/>
      <c r="EC253" s="53">
        <f t="shared" si="123"/>
        <v>23.2</v>
      </c>
      <c r="EE253" s="122">
        <v>46051</v>
      </c>
      <c r="EF253" s="123">
        <v>674.98</v>
      </c>
      <c r="EG253" s="127">
        <v>1125.54</v>
      </c>
      <c r="EH253" s="127"/>
      <c r="EI253" s="126">
        <v>3.76</v>
      </c>
      <c r="EK253" s="240">
        <v>266.1192200000001</v>
      </c>
      <c r="EL253" s="435"/>
      <c r="EM253" s="53">
        <v>77.88589947047619</v>
      </c>
      <c r="EN253" s="52"/>
      <c r="EO253" s="53">
        <f t="shared" si="124"/>
        <v>347.76511947047629</v>
      </c>
      <c r="EQ253" s="122">
        <v>46051</v>
      </c>
      <c r="ER253" s="123">
        <v>4030.82</v>
      </c>
      <c r="ES253" s="259">
        <v>300.94</v>
      </c>
      <c r="ET253" s="127"/>
      <c r="EU253" s="258">
        <v>232.88</v>
      </c>
      <c r="EW253" s="240">
        <v>14.798519999999996</v>
      </c>
      <c r="EX253" s="53"/>
      <c r="EY253" s="52"/>
      <c r="EZ253" s="53">
        <f t="shared" si="125"/>
        <v>247.67851999999999</v>
      </c>
      <c r="FB253" s="122">
        <v>46051</v>
      </c>
      <c r="FC253" s="123">
        <v>900.17</v>
      </c>
      <c r="FD253" s="123">
        <v>220.6</v>
      </c>
      <c r="FE253" s="125"/>
      <c r="FF253" s="126"/>
      <c r="FH253" s="51"/>
      <c r="FI253" s="52"/>
      <c r="FJ253" s="52"/>
      <c r="FK253" s="53"/>
    </row>
    <row r="254" spans="2:167" hidden="1" x14ac:dyDescent="0.25">
      <c r="B254" s="122">
        <v>46052</v>
      </c>
      <c r="C254" s="123">
        <v>16153.45</v>
      </c>
      <c r="D254" s="125"/>
      <c r="E254" s="125"/>
      <c r="F254" s="123">
        <v>0</v>
      </c>
      <c r="G254" s="27"/>
      <c r="H254" s="240">
        <v>4.3999999999999915</v>
      </c>
      <c r="I254" s="52"/>
      <c r="J254" s="52"/>
      <c r="K254" s="53">
        <f t="shared" si="115"/>
        <v>4.3999999999999915</v>
      </c>
      <c r="M254" s="122">
        <v>46052</v>
      </c>
      <c r="N254" s="123">
        <v>3161.8</v>
      </c>
      <c r="O254" s="127"/>
      <c r="P254" s="261">
        <v>0</v>
      </c>
      <c r="R254" s="51"/>
      <c r="S254" s="52"/>
      <c r="T254" s="52"/>
      <c r="U254" s="53">
        <f t="shared" si="116"/>
        <v>0</v>
      </c>
      <c r="W254" s="122">
        <v>46052</v>
      </c>
      <c r="X254" s="123">
        <v>1047.7</v>
      </c>
      <c r="Y254" s="123">
        <v>170.12</v>
      </c>
      <c r="Z254" s="125"/>
      <c r="AA254" s="273">
        <v>17.91</v>
      </c>
      <c r="AC254" s="240"/>
      <c r="AD254" s="53"/>
      <c r="AE254" s="52"/>
      <c r="AF254" s="53">
        <f t="shared" si="117"/>
        <v>17.91</v>
      </c>
      <c r="AI254" s="122">
        <v>46052</v>
      </c>
      <c r="AJ254" s="123">
        <v>1801.99</v>
      </c>
      <c r="AK254" s="127"/>
      <c r="AL254" s="262"/>
      <c r="AN254" s="51"/>
      <c r="AO254" s="52"/>
      <c r="AP254" s="52"/>
      <c r="AQ254" s="53"/>
      <c r="AS254" s="122">
        <v>46052</v>
      </c>
      <c r="AT254" s="123">
        <v>2921.73</v>
      </c>
      <c r="AU254" s="127"/>
      <c r="AV254" s="261"/>
      <c r="AX254" s="51"/>
      <c r="AY254" s="52"/>
      <c r="AZ254" s="52"/>
      <c r="BA254" s="53"/>
      <c r="BC254" s="122">
        <v>46052</v>
      </c>
      <c r="BD254" s="123">
        <v>2345.5100000000002</v>
      </c>
      <c r="BE254" s="125"/>
      <c r="BF254" s="128">
        <v>0</v>
      </c>
      <c r="BH254" s="240">
        <v>10.730190000000022</v>
      </c>
      <c r="BI254" s="52"/>
      <c r="BJ254" s="52"/>
      <c r="BK254" s="53">
        <f t="shared" si="118"/>
        <v>10.730190000000022</v>
      </c>
      <c r="BM254" s="122">
        <v>46052</v>
      </c>
      <c r="BN254" s="123">
        <v>12648.3</v>
      </c>
      <c r="BO254" s="123">
        <v>3867.1</v>
      </c>
      <c r="BP254" s="123">
        <v>10389.219999999999</v>
      </c>
      <c r="BQ254" s="125"/>
      <c r="BR254" s="125"/>
      <c r="BT254" s="240">
        <v>102.23358999999999</v>
      </c>
      <c r="BU254" s="53">
        <v>587.15525714285707</v>
      </c>
      <c r="BV254" s="53"/>
      <c r="BW254" s="53">
        <f t="shared" si="114"/>
        <v>689.388847142857</v>
      </c>
      <c r="BY254" s="122">
        <v>46052</v>
      </c>
      <c r="BZ254" s="256">
        <v>698.21</v>
      </c>
      <c r="CA254" s="257">
        <v>301.10000000000002</v>
      </c>
      <c r="CB254" s="125"/>
      <c r="CC254" s="126"/>
      <c r="CE254" s="240"/>
      <c r="CF254" s="52"/>
      <c r="CG254" s="53"/>
      <c r="CH254" s="53">
        <f t="shared" si="119"/>
        <v>0</v>
      </c>
      <c r="CJ254" s="122">
        <v>46052</v>
      </c>
      <c r="CK254" s="123">
        <v>5325.92</v>
      </c>
      <c r="CL254" s="123">
        <v>665.14</v>
      </c>
      <c r="CM254" s="125"/>
      <c r="CN254" s="126">
        <v>18.059999999999999</v>
      </c>
      <c r="CP254" s="240">
        <v>278.66159999999991</v>
      </c>
      <c r="CQ254" s="53">
        <v>37.268940875428569</v>
      </c>
      <c r="CR254" s="52"/>
      <c r="CS254" s="53">
        <f t="shared" si="120"/>
        <v>333.99054087542845</v>
      </c>
      <c r="CU254" s="122">
        <v>46052</v>
      </c>
      <c r="CV254" s="123">
        <v>4308.0200000000004</v>
      </c>
      <c r="CW254" s="127">
        <v>1565.33</v>
      </c>
      <c r="CX254" s="125"/>
      <c r="CY254" s="126">
        <v>139.41999999999999</v>
      </c>
      <c r="CZ254" s="27"/>
      <c r="DA254" s="240">
        <v>222.59999999999968</v>
      </c>
      <c r="DB254" s="435"/>
      <c r="DC254" s="52"/>
      <c r="DD254" s="52"/>
      <c r="DE254" s="53">
        <f t="shared" si="121"/>
        <v>362.01999999999964</v>
      </c>
      <c r="DH254" s="122">
        <v>46052</v>
      </c>
      <c r="DI254" s="123">
        <v>2304.2199999999998</v>
      </c>
      <c r="DJ254" s="127">
        <v>366.67</v>
      </c>
      <c r="DK254" s="127">
        <v>426.65</v>
      </c>
      <c r="DL254" s="127"/>
      <c r="DM254" s="126">
        <v>0</v>
      </c>
      <c r="DO254" s="240">
        <v>23.59493999999998</v>
      </c>
      <c r="DP254" s="52"/>
      <c r="DQ254" s="52"/>
      <c r="DR254" s="53">
        <f t="shared" si="122"/>
        <v>23.59493999999998</v>
      </c>
      <c r="DT254" s="122">
        <v>46052</v>
      </c>
      <c r="DU254" s="123">
        <v>1745.62</v>
      </c>
      <c r="DV254" s="127">
        <v>1028.83</v>
      </c>
      <c r="DW254" s="127"/>
      <c r="DX254" s="126">
        <v>39.17</v>
      </c>
      <c r="DZ254" s="51"/>
      <c r="EA254" s="53"/>
      <c r="EB254" s="52"/>
      <c r="EC254" s="53">
        <f t="shared" si="123"/>
        <v>39.17</v>
      </c>
      <c r="EE254" s="122">
        <v>46052</v>
      </c>
      <c r="EF254" s="123">
        <v>958.57</v>
      </c>
      <c r="EG254" s="127">
        <v>853.65</v>
      </c>
      <c r="EH254" s="127"/>
      <c r="EI254" s="126">
        <v>0</v>
      </c>
      <c r="EK254" s="240">
        <v>660.24546000000009</v>
      </c>
      <c r="EL254" s="435"/>
      <c r="EM254" s="53"/>
      <c r="EN254" s="52"/>
      <c r="EO254" s="53">
        <f t="shared" si="124"/>
        <v>660.24546000000009</v>
      </c>
      <c r="EQ254" s="122">
        <v>46052</v>
      </c>
      <c r="ER254" s="123">
        <v>4327.33</v>
      </c>
      <c r="ES254" s="259">
        <v>643.55999999999995</v>
      </c>
      <c r="ET254" s="127"/>
      <c r="EU254" s="258">
        <v>840.63</v>
      </c>
      <c r="EW254" s="240">
        <v>94.540950000000009</v>
      </c>
      <c r="EX254" s="53"/>
      <c r="EY254" s="52"/>
      <c r="EZ254" s="53">
        <f t="shared" si="125"/>
        <v>935.17094999999995</v>
      </c>
      <c r="FB254" s="122">
        <v>46052</v>
      </c>
      <c r="FC254" s="123">
        <v>976.84</v>
      </c>
      <c r="FD254" s="123">
        <v>256.02</v>
      </c>
      <c r="FE254" s="125"/>
      <c r="FF254" s="126"/>
      <c r="FH254" s="51"/>
      <c r="FI254" s="52"/>
      <c r="FJ254" s="52"/>
      <c r="FK254" s="53"/>
    </row>
    <row r="255" spans="2:167" hidden="1" x14ac:dyDescent="0.25">
      <c r="B255" s="122">
        <v>46053</v>
      </c>
      <c r="C255" s="123">
        <v>20117.439999999999</v>
      </c>
      <c r="D255" s="125"/>
      <c r="E255" s="125"/>
      <c r="F255" s="123">
        <v>0</v>
      </c>
      <c r="G255" s="27"/>
      <c r="H255" s="240">
        <v>11.432079999999985</v>
      </c>
      <c r="I255" s="52"/>
      <c r="J255" s="52"/>
      <c r="K255" s="53">
        <f t="shared" si="115"/>
        <v>11.432079999999985</v>
      </c>
      <c r="M255" s="122">
        <v>46053</v>
      </c>
      <c r="N255" s="123">
        <v>4107.75</v>
      </c>
      <c r="O255" s="127"/>
      <c r="P255" s="261">
        <v>15.96</v>
      </c>
      <c r="R255" s="51"/>
      <c r="S255" s="52"/>
      <c r="T255" s="52"/>
      <c r="U255" s="53">
        <f t="shared" si="116"/>
        <v>15.96</v>
      </c>
      <c r="W255" s="122">
        <v>46053</v>
      </c>
      <c r="X255" s="123">
        <v>1934.49</v>
      </c>
      <c r="Y255" s="123">
        <v>223.47</v>
      </c>
      <c r="Z255" s="125"/>
      <c r="AA255" s="273">
        <v>22.1</v>
      </c>
      <c r="AC255" s="240"/>
      <c r="AD255" s="52"/>
      <c r="AE255" s="52"/>
      <c r="AF255" s="53">
        <f t="shared" si="117"/>
        <v>22.1</v>
      </c>
      <c r="AI255" s="122">
        <v>46053</v>
      </c>
      <c r="AJ255" s="123">
        <v>1650.08</v>
      </c>
      <c r="AK255" s="127"/>
      <c r="AL255" s="262"/>
      <c r="AN255" s="51"/>
      <c r="AO255" s="52"/>
      <c r="AP255" s="52"/>
      <c r="AQ255" s="53"/>
      <c r="AS255" s="122">
        <v>46053</v>
      </c>
      <c r="AT255" s="123">
        <v>4253.59</v>
      </c>
      <c r="AU255" s="127"/>
      <c r="AV255" s="261"/>
      <c r="AX255" s="51"/>
      <c r="AY255" s="52"/>
      <c r="AZ255" s="52"/>
      <c r="BA255" s="53"/>
      <c r="BC255" s="122">
        <v>46053</v>
      </c>
      <c r="BD255" s="123">
        <v>3388.54</v>
      </c>
      <c r="BE255" s="125"/>
      <c r="BF255" s="128">
        <v>2.81</v>
      </c>
      <c r="BH255" s="240"/>
      <c r="BI255" s="52"/>
      <c r="BJ255" s="52"/>
      <c r="BK255" s="53">
        <f t="shared" si="118"/>
        <v>2.81</v>
      </c>
      <c r="BM255" s="122">
        <v>46053</v>
      </c>
      <c r="BN255" s="123">
        <v>12700.25</v>
      </c>
      <c r="BO255" s="123">
        <v>4152.95</v>
      </c>
      <c r="BP255" s="123">
        <v>9023.59</v>
      </c>
      <c r="BQ255" s="125"/>
      <c r="BR255" s="125"/>
      <c r="BT255" s="240">
        <v>60.228320000000025</v>
      </c>
      <c r="BU255" s="53">
        <v>117.43105142857138</v>
      </c>
      <c r="BV255" s="53"/>
      <c r="BW255" s="53">
        <f t="shared" si="114"/>
        <v>177.6593714285714</v>
      </c>
      <c r="BY255" s="122">
        <v>46053</v>
      </c>
      <c r="BZ255" s="256">
        <v>793</v>
      </c>
      <c r="CA255" s="257">
        <v>769.13</v>
      </c>
      <c r="CB255" s="125"/>
      <c r="CC255" s="126"/>
      <c r="CE255" s="240"/>
      <c r="CF255" s="52"/>
      <c r="CG255" s="53"/>
      <c r="CH255" s="53">
        <f t="shared" si="119"/>
        <v>0</v>
      </c>
      <c r="CJ255" s="122">
        <v>46053</v>
      </c>
      <c r="CK255" s="123">
        <v>4678.08</v>
      </c>
      <c r="CL255" s="123">
        <v>754.02</v>
      </c>
      <c r="CM255" s="125"/>
      <c r="CN255" s="126">
        <v>15.76</v>
      </c>
      <c r="CP255" s="240">
        <v>273.68435999999997</v>
      </c>
      <c r="CQ255" s="53">
        <v>85.352096000000074</v>
      </c>
      <c r="CR255" s="52"/>
      <c r="CS255" s="53">
        <f t="shared" si="120"/>
        <v>374.79645600000003</v>
      </c>
      <c r="CU255" s="122">
        <v>46053</v>
      </c>
      <c r="CV255" s="123">
        <v>3286.98</v>
      </c>
      <c r="CW255" s="127">
        <v>1039.3900000000001</v>
      </c>
      <c r="CX255" s="125"/>
      <c r="CY255" s="126">
        <v>82.3</v>
      </c>
      <c r="CZ255" s="27"/>
      <c r="DA255" s="240">
        <v>333.89999999999952</v>
      </c>
      <c r="DB255" s="435"/>
      <c r="DC255" s="52"/>
      <c r="DD255" s="52"/>
      <c r="DE255" s="53">
        <f t="shared" si="121"/>
        <v>416.19999999999953</v>
      </c>
      <c r="DH255" s="122">
        <v>46053</v>
      </c>
      <c r="DI255" s="123">
        <v>1537.56</v>
      </c>
      <c r="DJ255" s="127">
        <v>392.21</v>
      </c>
      <c r="DK255" s="127">
        <v>1103.5999999999999</v>
      </c>
      <c r="DL255" s="127"/>
      <c r="DM255" s="126">
        <v>0</v>
      </c>
      <c r="DO255" s="240"/>
      <c r="DP255" s="52"/>
      <c r="DQ255" s="52"/>
      <c r="DR255" s="53">
        <f t="shared" si="122"/>
        <v>0</v>
      </c>
      <c r="DT255" s="122">
        <v>46053</v>
      </c>
      <c r="DU255" s="123">
        <v>965.19</v>
      </c>
      <c r="DV255" s="127">
        <v>1183.94</v>
      </c>
      <c r="DW255" s="127"/>
      <c r="DX255" s="126">
        <v>0</v>
      </c>
      <c r="DZ255" s="51"/>
      <c r="EA255" s="53">
        <v>44.400199523809533</v>
      </c>
      <c r="EB255" s="52"/>
      <c r="EC255" s="53">
        <f t="shared" si="123"/>
        <v>44.400199523809533</v>
      </c>
      <c r="EE255" s="122">
        <v>46053</v>
      </c>
      <c r="EF255" s="123">
        <v>1777.21</v>
      </c>
      <c r="EG255" s="127">
        <v>1459.72</v>
      </c>
      <c r="EH255" s="127"/>
      <c r="EI255" s="126">
        <v>8.59</v>
      </c>
      <c r="EK255" s="240">
        <v>199.74234000000007</v>
      </c>
      <c r="EL255" s="435"/>
      <c r="EM255" s="53"/>
      <c r="EN255" s="52"/>
      <c r="EO255" s="53">
        <f t="shared" si="124"/>
        <v>208.33234000000007</v>
      </c>
      <c r="EQ255" s="122">
        <v>46053</v>
      </c>
      <c r="ER255" s="123">
        <v>4274.88</v>
      </c>
      <c r="ES255" s="263">
        <v>485.53</v>
      </c>
      <c r="ET255" s="127"/>
      <c r="EU255" s="258">
        <v>196.88</v>
      </c>
      <c r="EW255" s="240">
        <v>28.297999999999988</v>
      </c>
      <c r="EX255" s="53">
        <v>19.486727177142853</v>
      </c>
      <c r="EY255" s="52"/>
      <c r="EZ255" s="53">
        <f t="shared" si="125"/>
        <v>244.66472717714285</v>
      </c>
      <c r="FB255" s="122">
        <v>46053</v>
      </c>
      <c r="FC255" s="123">
        <v>657.4</v>
      </c>
      <c r="FD255" s="123">
        <v>279.05</v>
      </c>
      <c r="FE255" s="125"/>
      <c r="FF255" s="126"/>
      <c r="FH255" s="51"/>
      <c r="FI255" s="52"/>
      <c r="FJ255" s="52"/>
      <c r="FK255" s="53"/>
    </row>
    <row r="256" spans="2:167" s="274" customFormat="1" ht="16.5" hidden="1" thickBot="1" x14ac:dyDescent="0.3">
      <c r="B256" s="32"/>
      <c r="C256" s="129">
        <f>SUM(C225:C255)</f>
        <v>496510.66999999993</v>
      </c>
      <c r="D256" s="129">
        <f>SUM(D225:D255)</f>
        <v>0</v>
      </c>
      <c r="E256" s="32"/>
      <c r="F256" s="129">
        <f>SUM(F225:F255)</f>
        <v>913.37</v>
      </c>
      <c r="G256" s="241"/>
      <c r="H256" s="242">
        <f>SUM(H225:H255)</f>
        <v>322.32416999999992</v>
      </c>
      <c r="I256" s="243">
        <f>SUM(I225:I255)</f>
        <v>438.01770866266673</v>
      </c>
      <c r="J256" s="243">
        <f>SUM(J225:J255)</f>
        <v>0</v>
      </c>
      <c r="K256" s="243">
        <f>SUM(K225:K255)</f>
        <v>1673.7118786626672</v>
      </c>
      <c r="M256" s="32"/>
      <c r="N256" s="129">
        <f>SUM(N225:N255)</f>
        <v>100807.56000000001</v>
      </c>
      <c r="O256" s="129"/>
      <c r="P256" s="129">
        <f>SUM(P225:P255)</f>
        <v>282.17</v>
      </c>
      <c r="R256" s="84">
        <f t="shared" ref="R256:T256" si="126">SUM(R225:R255)</f>
        <v>212.44999999999987</v>
      </c>
      <c r="S256" s="84">
        <f t="shared" si="126"/>
        <v>129.09977493904773</v>
      </c>
      <c r="T256" s="84">
        <f t="shared" si="126"/>
        <v>0</v>
      </c>
      <c r="U256" s="84">
        <f>SUM(U225:U255)</f>
        <v>623.71977493904751</v>
      </c>
      <c r="W256" s="32"/>
      <c r="X256" s="129">
        <f>SUM(X225:X255)</f>
        <v>50812.430000000015</v>
      </c>
      <c r="Y256" s="129">
        <f>SUM(Y225:Y255)</f>
        <v>6886.2600000000011</v>
      </c>
      <c r="Z256" s="32"/>
      <c r="AA256" s="129">
        <f>SUM(AA225:AA255)</f>
        <v>349.40000000000003</v>
      </c>
      <c r="AC256" s="84">
        <f t="shared" ref="AC256:AE256" si="127">SUM(AC225:AC255)</f>
        <v>0</v>
      </c>
      <c r="AD256" s="84">
        <f t="shared" si="127"/>
        <v>377.11641370609522</v>
      </c>
      <c r="AE256" s="84">
        <f t="shared" si="127"/>
        <v>0</v>
      </c>
      <c r="AF256" s="84">
        <f>SUM(AF225:AF255)</f>
        <v>726.51641370609525</v>
      </c>
      <c r="AI256" s="32"/>
      <c r="AJ256" s="129">
        <f>SUM(AJ225:AJ255)</f>
        <v>42774.700000000004</v>
      </c>
      <c r="AK256" s="32"/>
      <c r="AL256" s="32"/>
      <c r="AN256" s="84">
        <f t="shared" ref="AN256:AP256" si="128">SUM(AN225:AN255)</f>
        <v>0</v>
      </c>
      <c r="AO256" s="84">
        <f t="shared" si="128"/>
        <v>0</v>
      </c>
      <c r="AP256" s="84">
        <f t="shared" si="128"/>
        <v>0</v>
      </c>
      <c r="AQ256" s="84">
        <f>SUM(AQ225:AQ255)</f>
        <v>0</v>
      </c>
      <c r="AS256" s="32"/>
      <c r="AT256" s="129">
        <f>SUM(AT225:AT255)</f>
        <v>103386.96</v>
      </c>
      <c r="AU256" s="32"/>
      <c r="AV256" s="129">
        <f>SUM(AV225:AV255)</f>
        <v>0</v>
      </c>
      <c r="AX256" s="84">
        <f t="shared" ref="AX256:AZ256" si="129">SUM(AX225:AX255)</f>
        <v>0</v>
      </c>
      <c r="AY256" s="84">
        <f t="shared" si="129"/>
        <v>0</v>
      </c>
      <c r="AZ256" s="84">
        <f t="shared" si="129"/>
        <v>0</v>
      </c>
      <c r="BA256" s="84">
        <f>SUM(BA225:BA255)</f>
        <v>0</v>
      </c>
      <c r="BC256" s="32"/>
      <c r="BD256" s="129">
        <f>SUM(BD225:BD255)</f>
        <v>70202.919999999984</v>
      </c>
      <c r="BE256" s="32"/>
      <c r="BF256" s="129">
        <f>SUM(BF225:BF255)</f>
        <v>35.38000000000001</v>
      </c>
      <c r="BH256" s="84">
        <f t="shared" ref="BH256:BJ256" si="130">SUM(BH225:BH255)</f>
        <v>393.65807000000018</v>
      </c>
      <c r="BI256" s="84">
        <f t="shared" si="130"/>
        <v>0</v>
      </c>
      <c r="BJ256" s="84">
        <f t="shared" si="130"/>
        <v>0</v>
      </c>
      <c r="BK256" s="84">
        <f>SUM(BK225:BK255)</f>
        <v>429.03807000000023</v>
      </c>
      <c r="BM256" s="32"/>
      <c r="BN256" s="129">
        <f>SUM(BN225:BN255)</f>
        <v>314111.76999999996</v>
      </c>
      <c r="BO256" s="129">
        <f>SUM(BO225:BO255)</f>
        <v>86320.010000000009</v>
      </c>
      <c r="BP256" s="129">
        <f>SUM(BP225:BP255)</f>
        <v>246665</v>
      </c>
      <c r="BQ256" s="129">
        <f>SUM(BQ225:BQ255)</f>
        <v>0</v>
      </c>
      <c r="BR256" s="129">
        <f>SUM(BR225:BR255)</f>
        <v>0</v>
      </c>
      <c r="BT256" s="84">
        <f t="shared" ref="BT256:BV256" si="131">SUM(BT225:BT255)</f>
        <v>5054.4880999999987</v>
      </c>
      <c r="BU256" s="84">
        <f t="shared" si="131"/>
        <v>6360.0319156013329</v>
      </c>
      <c r="BV256" s="84">
        <f t="shared" si="131"/>
        <v>0</v>
      </c>
      <c r="BW256" s="84">
        <f>SUM(BW225:BW255)</f>
        <v>11414.520015601334</v>
      </c>
      <c r="BY256" s="32"/>
      <c r="BZ256" s="129">
        <f>SUM(BZ225:BZ255)</f>
        <v>28441.350000000006</v>
      </c>
      <c r="CA256" s="129">
        <f>SUM(CA225:CA255)</f>
        <v>16596.559999999998</v>
      </c>
      <c r="CB256" s="32"/>
      <c r="CC256" s="129"/>
      <c r="CE256" s="84">
        <f t="shared" ref="CE256:CG256" si="132">SUM(CE225:CE255)</f>
        <v>34.056319999999999</v>
      </c>
      <c r="CF256" s="84">
        <f t="shared" si="132"/>
        <v>0</v>
      </c>
      <c r="CG256" s="84">
        <f t="shared" si="132"/>
        <v>119.41440450000002</v>
      </c>
      <c r="CH256" s="84">
        <f>SUM(CH225:CH255)</f>
        <v>153.47072450000002</v>
      </c>
      <c r="CJ256" s="32"/>
      <c r="CK256" s="129">
        <f>SUM(CK225:CK255)</f>
        <v>145774.30300000004</v>
      </c>
      <c r="CL256" s="129">
        <f>SUM(CL225:CL255)</f>
        <v>19849.859999999997</v>
      </c>
      <c r="CM256" s="32"/>
      <c r="CN256" s="129">
        <f>SUM(CN225:CN255)</f>
        <v>468.23</v>
      </c>
      <c r="CP256" s="84">
        <f t="shared" ref="CP256:CR256" si="133">SUM(CP225:CP255)</f>
        <v>7026.3078300000006</v>
      </c>
      <c r="CQ256" s="84">
        <f t="shared" si="133"/>
        <v>548.24117592000039</v>
      </c>
      <c r="CR256" s="84">
        <f t="shared" si="133"/>
        <v>0</v>
      </c>
      <c r="CS256" s="84">
        <f>SUM(CS225:CS255)</f>
        <v>8042.7790059199988</v>
      </c>
      <c r="CU256" s="32"/>
      <c r="CV256" s="129">
        <f>SUM(CV225:CV255)</f>
        <v>214888.24</v>
      </c>
      <c r="CW256" s="129">
        <f>SUM(CW225:CW255)</f>
        <v>38326.720000000001</v>
      </c>
      <c r="CX256" s="32"/>
      <c r="CY256" s="129">
        <f>SUM(CY225:CY255)</f>
        <v>5387.32</v>
      </c>
      <c r="CZ256" s="241"/>
      <c r="DA256" s="242">
        <f>SUM(DA225:DA255)</f>
        <v>15656.995310000013</v>
      </c>
      <c r="DB256" s="436"/>
      <c r="DC256" s="243">
        <f>SUM(DC225:DC255)</f>
        <v>0</v>
      </c>
      <c r="DD256" s="243">
        <f>SUM(DD225:DD255)</f>
        <v>0</v>
      </c>
      <c r="DE256" s="243">
        <f>SUM(DE225:DE255)</f>
        <v>21044.315310000013</v>
      </c>
      <c r="DH256" s="32"/>
      <c r="DI256" s="129">
        <f>SUM(DI225:DI255)</f>
        <v>57170.14</v>
      </c>
      <c r="DJ256" s="129">
        <f>SUM(DJ225:DJ255)</f>
        <v>13302.539999999997</v>
      </c>
      <c r="DK256" s="129">
        <f>SUM(DK225:DK255)</f>
        <v>31891.1</v>
      </c>
      <c r="DL256" s="32"/>
      <c r="DM256" s="129">
        <f>SUM(DM225:DM255)</f>
        <v>66.62</v>
      </c>
      <c r="DO256" s="84">
        <f t="shared" ref="DO256:DQ256" si="134">SUM(DO225:DO255)</f>
        <v>391.53701399999977</v>
      </c>
      <c r="DP256" s="84">
        <f t="shared" si="134"/>
        <v>16.317815224761901</v>
      </c>
      <c r="DQ256" s="84">
        <f t="shared" si="134"/>
        <v>0</v>
      </c>
      <c r="DR256" s="84">
        <f>SUM(DR225:DR255)</f>
        <v>474.47482922476149</v>
      </c>
      <c r="DT256" s="32"/>
      <c r="DU256" s="264">
        <f>SUM(DU225:DU255)</f>
        <v>42949.74</v>
      </c>
      <c r="DV256" s="129">
        <f>SUM(DV225:DV255)</f>
        <v>31918.969999999998</v>
      </c>
      <c r="DW256" s="32"/>
      <c r="DX256" s="264">
        <f>SUM(DX225:DX255)</f>
        <v>630.77</v>
      </c>
      <c r="DZ256" s="84">
        <f t="shared" ref="DZ256:EB256" si="135">SUM(DZ225:DZ255)</f>
        <v>0</v>
      </c>
      <c r="EA256" s="84">
        <f t="shared" si="135"/>
        <v>259.61152938571439</v>
      </c>
      <c r="EB256" s="84">
        <f t="shared" si="135"/>
        <v>0</v>
      </c>
      <c r="EC256" s="84">
        <f>SUM(EC225:EC255)</f>
        <v>890.38152938571432</v>
      </c>
      <c r="EE256" s="32"/>
      <c r="EF256" s="129">
        <f>SUM(EF225:EF255)</f>
        <v>24703.579999999998</v>
      </c>
      <c r="EG256" s="129">
        <f>SUM(EG225:EG255)</f>
        <v>25413.07</v>
      </c>
      <c r="EH256" s="32"/>
      <c r="EI256" s="129">
        <f>SUM(EI225:EI255)</f>
        <v>465.86000000000007</v>
      </c>
      <c r="EK256" s="84">
        <f t="shared" ref="EK256:EN256" si="136">SUM(EK225:EK255)</f>
        <v>14404.899954</v>
      </c>
      <c r="EL256" s="84"/>
      <c r="EM256" s="84">
        <f t="shared" si="136"/>
        <v>2543.1409760651413</v>
      </c>
      <c r="EN256" s="84">
        <f t="shared" si="136"/>
        <v>44.310205800000006</v>
      </c>
      <c r="EO256" s="84">
        <f>SUM(EO225:EO255)</f>
        <v>17458.211135865138</v>
      </c>
      <c r="EQ256" s="265"/>
      <c r="ER256" s="129">
        <f>SUM(ER225:ER255)</f>
        <v>99263.260000000009</v>
      </c>
      <c r="ES256" s="129">
        <f>SUM(ES225:ES255)</f>
        <v>10960.35</v>
      </c>
      <c r="ET256" s="32"/>
      <c r="EU256" s="129">
        <f>SUM(EU225:EU255)</f>
        <v>4946.3500000000004</v>
      </c>
      <c r="EW256" s="84">
        <f t="shared" ref="EW256:EY256" si="137">SUM(EW225:EW255)</f>
        <v>1486.3187199999995</v>
      </c>
      <c r="EX256" s="84">
        <f t="shared" si="137"/>
        <v>3296.9674012744781</v>
      </c>
      <c r="EY256" s="84">
        <f t="shared" si="137"/>
        <v>0</v>
      </c>
      <c r="EZ256" s="84">
        <f>SUM(EZ225:EZ255)</f>
        <v>9729.636121274476</v>
      </c>
      <c r="FB256" s="32"/>
      <c r="FC256" s="129">
        <f>SUM(FC225:FC255)</f>
        <v>22890.529999999995</v>
      </c>
      <c r="FD256" s="129">
        <f>SUM(FD225:FD255)</f>
        <v>6431.9100000000008</v>
      </c>
      <c r="FE256" s="32"/>
      <c r="FF256" s="129">
        <f>SUM(FF225:FF255)</f>
        <v>0</v>
      </c>
      <c r="FH256" s="84">
        <f t="shared" ref="FH256:FJ256" si="138">SUM(FH225:FH255)</f>
        <v>0</v>
      </c>
      <c r="FI256" s="84">
        <f t="shared" si="138"/>
        <v>0</v>
      </c>
      <c r="FJ256" s="84">
        <f t="shared" si="138"/>
        <v>0</v>
      </c>
      <c r="FK256" s="84">
        <f>SUM(FK225:FK255)</f>
        <v>0</v>
      </c>
    </row>
    <row r="257" spans="2:167" hidden="1" x14ac:dyDescent="0.25"/>
    <row r="258" spans="2:167" hidden="1" x14ac:dyDescent="0.25"/>
    <row r="259" spans="2:167" hidden="1" x14ac:dyDescent="0.25"/>
    <row r="260" spans="2:167" ht="23.25" hidden="1" x14ac:dyDescent="0.35">
      <c r="B260" s="249" t="s">
        <v>56</v>
      </c>
      <c r="C260" s="249"/>
      <c r="D260" s="249"/>
      <c r="E260" s="249"/>
      <c r="F260" s="249"/>
      <c r="G260" s="130"/>
      <c r="H260" s="130"/>
      <c r="I260" s="130"/>
      <c r="J260" s="130"/>
      <c r="K260" s="130"/>
      <c r="M260" s="451" t="s">
        <v>57</v>
      </c>
      <c r="N260" s="451"/>
      <c r="O260" s="451"/>
      <c r="P260" s="451"/>
      <c r="Q260" s="130"/>
      <c r="R260" s="130"/>
      <c r="S260" s="130"/>
      <c r="T260" s="130"/>
      <c r="U260" s="130"/>
      <c r="W260" s="249" t="s">
        <v>58</v>
      </c>
      <c r="X260" s="249"/>
      <c r="Y260" s="249"/>
      <c r="Z260" s="249"/>
      <c r="AA260" s="249"/>
      <c r="AB260" s="130"/>
      <c r="AC260" s="130"/>
      <c r="AD260" s="130"/>
      <c r="AE260" s="130"/>
      <c r="AF260" s="130"/>
      <c r="AI260" s="451" t="s">
        <v>59</v>
      </c>
      <c r="AJ260" s="451"/>
      <c r="AK260" s="451"/>
      <c r="AL260" s="451"/>
      <c r="AM260" s="451"/>
      <c r="AN260" s="451"/>
      <c r="AO260" s="451"/>
      <c r="AP260" s="451"/>
      <c r="AQ260" s="451"/>
      <c r="AS260" s="451" t="s">
        <v>60</v>
      </c>
      <c r="AT260" s="451"/>
      <c r="AU260" s="451"/>
      <c r="AV260" s="451"/>
      <c r="AW260" s="451"/>
      <c r="AX260" s="451"/>
      <c r="AY260" s="451"/>
      <c r="AZ260" s="451"/>
      <c r="BA260" s="451"/>
      <c r="BC260" s="451" t="s">
        <v>61</v>
      </c>
      <c r="BD260" s="451"/>
      <c r="BE260" s="451"/>
      <c r="BF260" s="451"/>
      <c r="BG260" s="451"/>
      <c r="BH260" s="451"/>
      <c r="BI260" s="451"/>
      <c r="BJ260" s="451"/>
      <c r="BK260" s="451"/>
      <c r="BM260" s="249" t="s">
        <v>62</v>
      </c>
      <c r="BN260" s="249"/>
      <c r="BO260" s="249"/>
      <c r="BP260" s="249"/>
      <c r="BQ260" s="250"/>
      <c r="BR260" s="249"/>
      <c r="BS260" s="250"/>
      <c r="BT260" s="250"/>
      <c r="BU260" s="250"/>
      <c r="BV260" s="250"/>
      <c r="BW260" s="250"/>
      <c r="BY260" s="249" t="s">
        <v>63</v>
      </c>
      <c r="BZ260" s="249"/>
      <c r="CA260" s="249"/>
      <c r="CB260" s="249"/>
      <c r="CC260" s="249"/>
      <c r="CD260" s="250"/>
      <c r="CE260" s="250"/>
      <c r="CF260" s="250"/>
      <c r="CG260" s="250"/>
      <c r="CH260" s="250"/>
      <c r="CJ260" s="249" t="s">
        <v>64</v>
      </c>
      <c r="CK260" s="249"/>
      <c r="CL260" s="249"/>
      <c r="CM260" s="249"/>
      <c r="CN260" s="249"/>
      <c r="CO260" s="250"/>
      <c r="CP260" s="250"/>
      <c r="CQ260" s="250"/>
      <c r="CR260" s="250"/>
      <c r="CS260" s="250"/>
      <c r="CU260" s="249" t="s">
        <v>65</v>
      </c>
      <c r="CV260" s="249"/>
      <c r="CW260" s="249"/>
      <c r="CX260" s="249"/>
      <c r="CY260" s="249"/>
      <c r="CZ260" s="250"/>
      <c r="DA260" s="250"/>
      <c r="DB260" s="250"/>
      <c r="DC260" s="250"/>
      <c r="DD260" s="250"/>
      <c r="DE260" s="250"/>
      <c r="DH260" s="249" t="s">
        <v>66</v>
      </c>
      <c r="DI260" s="249"/>
      <c r="DJ260" s="249"/>
      <c r="DK260" s="249"/>
      <c r="DL260" s="249"/>
      <c r="DM260" s="249"/>
      <c r="DN260" s="250"/>
      <c r="DO260" s="250"/>
      <c r="DP260" s="250"/>
      <c r="DQ260" s="250"/>
      <c r="DR260" s="250"/>
      <c r="DT260" s="249" t="s">
        <v>67</v>
      </c>
      <c r="DU260" s="249"/>
      <c r="DV260" s="249"/>
      <c r="DW260" s="249"/>
      <c r="DX260" s="249"/>
      <c r="DY260" s="250"/>
      <c r="DZ260" s="250"/>
      <c r="EA260" s="250"/>
      <c r="EB260" s="250"/>
      <c r="EC260" s="250"/>
      <c r="EE260" s="249" t="s">
        <v>68</v>
      </c>
      <c r="EF260" s="249"/>
      <c r="EG260" s="249"/>
      <c r="EH260" s="249"/>
      <c r="EI260" s="249"/>
      <c r="EJ260" s="250"/>
      <c r="EK260" s="250"/>
      <c r="EL260" s="250"/>
      <c r="EM260" s="250"/>
      <c r="EN260" s="250"/>
      <c r="EO260" s="250"/>
      <c r="EQ260" s="249" t="s">
        <v>69</v>
      </c>
      <c r="ER260" s="249"/>
      <c r="ES260" s="249"/>
      <c r="ET260" s="249"/>
      <c r="EU260" s="249"/>
      <c r="EV260" s="250"/>
      <c r="EW260" s="250"/>
      <c r="EX260" s="250"/>
      <c r="EY260" s="250"/>
      <c r="EZ260" s="250"/>
      <c r="FB260" s="249" t="s">
        <v>70</v>
      </c>
      <c r="FC260" s="249"/>
      <c r="FD260" s="249"/>
      <c r="FE260" s="249"/>
      <c r="FF260" s="249"/>
      <c r="FG260" s="250"/>
      <c r="FH260" s="250"/>
      <c r="FI260" s="250"/>
      <c r="FJ260" s="250"/>
      <c r="FK260" s="250"/>
    </row>
    <row r="261" spans="2:167" hidden="1" x14ac:dyDescent="0.25">
      <c r="B261" s="119" t="s">
        <v>14</v>
      </c>
      <c r="C261" s="120" t="s">
        <v>15</v>
      </c>
      <c r="D261" s="120" t="s">
        <v>15</v>
      </c>
      <c r="E261" s="121" t="s">
        <v>16</v>
      </c>
      <c r="F261" s="121" t="s">
        <v>16</v>
      </c>
      <c r="H261" s="7" t="s">
        <v>16</v>
      </c>
      <c r="I261" s="8" t="s">
        <v>16</v>
      </c>
      <c r="J261" s="9" t="s">
        <v>16</v>
      </c>
      <c r="K261" s="10" t="s">
        <v>17</v>
      </c>
      <c r="M261" s="119" t="s">
        <v>14</v>
      </c>
      <c r="N261" s="120" t="s">
        <v>15</v>
      </c>
      <c r="O261" s="120" t="s">
        <v>15</v>
      </c>
      <c r="P261" s="121" t="s">
        <v>16</v>
      </c>
      <c r="R261" s="7" t="s">
        <v>16</v>
      </c>
      <c r="S261" s="8" t="s">
        <v>16</v>
      </c>
      <c r="T261" s="9" t="s">
        <v>16</v>
      </c>
      <c r="U261" s="10" t="s">
        <v>17</v>
      </c>
      <c r="W261" s="119" t="s">
        <v>14</v>
      </c>
      <c r="X261" s="120" t="s">
        <v>15</v>
      </c>
      <c r="Y261" s="120" t="s">
        <v>15</v>
      </c>
      <c r="Z261" s="121" t="s">
        <v>16</v>
      </c>
      <c r="AA261" s="121" t="s">
        <v>16</v>
      </c>
      <c r="AC261" s="7" t="s">
        <v>16</v>
      </c>
      <c r="AD261" s="8" t="s">
        <v>16</v>
      </c>
      <c r="AE261" s="9" t="s">
        <v>16</v>
      </c>
      <c r="AF261" s="10" t="s">
        <v>17</v>
      </c>
      <c r="AI261" s="119" t="s">
        <v>14</v>
      </c>
      <c r="AJ261" s="120" t="s">
        <v>15</v>
      </c>
      <c r="AK261" s="120" t="s">
        <v>15</v>
      </c>
      <c r="AL261" s="121" t="s">
        <v>16</v>
      </c>
      <c r="AN261" s="7" t="s">
        <v>16</v>
      </c>
      <c r="AO261" s="8" t="s">
        <v>16</v>
      </c>
      <c r="AP261" s="9" t="s">
        <v>16</v>
      </c>
      <c r="AQ261" s="10" t="s">
        <v>17</v>
      </c>
      <c r="AS261" s="119" t="s">
        <v>14</v>
      </c>
      <c r="AT261" s="120" t="s">
        <v>15</v>
      </c>
      <c r="AU261" s="120" t="s">
        <v>15</v>
      </c>
      <c r="AV261" s="121" t="s">
        <v>16</v>
      </c>
      <c r="AX261" s="7" t="s">
        <v>16</v>
      </c>
      <c r="AY261" s="8" t="s">
        <v>16</v>
      </c>
      <c r="AZ261" s="9" t="s">
        <v>16</v>
      </c>
      <c r="BA261" s="10" t="s">
        <v>17</v>
      </c>
      <c r="BC261" s="119" t="s">
        <v>14</v>
      </c>
      <c r="BD261" s="120" t="s">
        <v>15</v>
      </c>
      <c r="BE261" s="120" t="s">
        <v>15</v>
      </c>
      <c r="BF261" s="121" t="s">
        <v>16</v>
      </c>
      <c r="BH261" s="7" t="s">
        <v>16</v>
      </c>
      <c r="BI261" s="8" t="s">
        <v>16</v>
      </c>
      <c r="BJ261" s="9" t="s">
        <v>16</v>
      </c>
      <c r="BK261" s="10" t="s">
        <v>17</v>
      </c>
      <c r="BM261" s="119" t="s">
        <v>14</v>
      </c>
      <c r="BN261" s="120" t="s">
        <v>15</v>
      </c>
      <c r="BO261" s="120" t="s">
        <v>15</v>
      </c>
      <c r="BP261" s="120" t="s">
        <v>15</v>
      </c>
      <c r="BQ261" s="121" t="s">
        <v>16</v>
      </c>
      <c r="BR261" s="121" t="s">
        <v>16</v>
      </c>
      <c r="BT261" s="7" t="s">
        <v>16</v>
      </c>
      <c r="BU261" s="8" t="s">
        <v>16</v>
      </c>
      <c r="BV261" s="9" t="s">
        <v>16</v>
      </c>
      <c r="BW261" s="10" t="s">
        <v>17</v>
      </c>
      <c r="BY261" s="119" t="s">
        <v>14</v>
      </c>
      <c r="BZ261" s="252" t="s">
        <v>15</v>
      </c>
      <c r="CA261" s="253" t="s">
        <v>15</v>
      </c>
      <c r="CB261" s="121" t="s">
        <v>16</v>
      </c>
      <c r="CC261" s="121" t="s">
        <v>16</v>
      </c>
      <c r="CE261" s="7" t="s">
        <v>16</v>
      </c>
      <c r="CF261" s="8" t="s">
        <v>16</v>
      </c>
      <c r="CG261" s="9" t="s">
        <v>16</v>
      </c>
      <c r="CH261" s="10" t="s">
        <v>17</v>
      </c>
      <c r="CJ261" s="119" t="s">
        <v>14</v>
      </c>
      <c r="CK261" s="120" t="s">
        <v>15</v>
      </c>
      <c r="CL261" s="120" t="s">
        <v>15</v>
      </c>
      <c r="CM261" s="121" t="s">
        <v>16</v>
      </c>
      <c r="CN261" s="121" t="s">
        <v>16</v>
      </c>
      <c r="CP261" s="7" t="s">
        <v>16</v>
      </c>
      <c r="CQ261" s="8" t="s">
        <v>16</v>
      </c>
      <c r="CR261" s="9" t="s">
        <v>16</v>
      </c>
      <c r="CS261" s="10" t="s">
        <v>17</v>
      </c>
      <c r="CU261" s="119" t="s">
        <v>14</v>
      </c>
      <c r="CV261" s="120" t="s">
        <v>15</v>
      </c>
      <c r="CW261" s="120" t="s">
        <v>15</v>
      </c>
      <c r="CX261" s="121" t="s">
        <v>16</v>
      </c>
      <c r="CY261" s="121" t="s">
        <v>16</v>
      </c>
      <c r="DA261" s="7" t="s">
        <v>16</v>
      </c>
      <c r="DB261" s="7"/>
      <c r="DC261" s="8" t="s">
        <v>16</v>
      </c>
      <c r="DD261" s="9" t="s">
        <v>16</v>
      </c>
      <c r="DE261" s="10" t="s">
        <v>17</v>
      </c>
      <c r="DH261" s="119" t="s">
        <v>14</v>
      </c>
      <c r="DI261" s="120" t="s">
        <v>15</v>
      </c>
      <c r="DJ261" s="120" t="s">
        <v>15</v>
      </c>
      <c r="DK261" s="120" t="s">
        <v>15</v>
      </c>
      <c r="DL261" s="121" t="s">
        <v>16</v>
      </c>
      <c r="DM261" s="121" t="s">
        <v>16</v>
      </c>
      <c r="DO261" s="7" t="s">
        <v>16</v>
      </c>
      <c r="DP261" s="8" t="s">
        <v>16</v>
      </c>
      <c r="DQ261" s="9" t="s">
        <v>16</v>
      </c>
      <c r="DR261" s="10" t="s">
        <v>17</v>
      </c>
      <c r="DT261" s="119" t="s">
        <v>14</v>
      </c>
      <c r="DU261" s="120" t="s">
        <v>15</v>
      </c>
      <c r="DV261" s="120" t="s">
        <v>15</v>
      </c>
      <c r="DW261" s="121" t="s">
        <v>16</v>
      </c>
      <c r="DX261" s="121" t="s">
        <v>16</v>
      </c>
      <c r="DZ261" s="7" t="s">
        <v>16</v>
      </c>
      <c r="EA261" s="8" t="s">
        <v>16</v>
      </c>
      <c r="EB261" s="9" t="s">
        <v>16</v>
      </c>
      <c r="EC261" s="10" t="s">
        <v>17</v>
      </c>
      <c r="EE261" s="119" t="s">
        <v>14</v>
      </c>
      <c r="EF261" s="120" t="s">
        <v>15</v>
      </c>
      <c r="EG261" s="252" t="s">
        <v>15</v>
      </c>
      <c r="EH261" s="121" t="s">
        <v>16</v>
      </c>
      <c r="EI261" s="121" t="s">
        <v>16</v>
      </c>
      <c r="EK261" s="7" t="s">
        <v>16</v>
      </c>
      <c r="EL261" s="7"/>
      <c r="EM261" s="8" t="s">
        <v>16</v>
      </c>
      <c r="EN261" s="9" t="s">
        <v>16</v>
      </c>
      <c r="EO261" s="10" t="s">
        <v>17</v>
      </c>
      <c r="EQ261" s="119" t="s">
        <v>14</v>
      </c>
      <c r="ER261" s="120" t="s">
        <v>15</v>
      </c>
      <c r="ES261" s="120" t="s">
        <v>15</v>
      </c>
      <c r="ET261" s="121" t="s">
        <v>16</v>
      </c>
      <c r="EU261" s="121" t="s">
        <v>16</v>
      </c>
      <c r="EW261" s="7" t="s">
        <v>16</v>
      </c>
      <c r="EX261" s="8" t="s">
        <v>16</v>
      </c>
      <c r="EY261" s="9" t="s">
        <v>16</v>
      </c>
      <c r="EZ261" s="10" t="s">
        <v>17</v>
      </c>
      <c r="FB261" s="119" t="s">
        <v>14</v>
      </c>
      <c r="FC261" s="120" t="s">
        <v>15</v>
      </c>
      <c r="FD261" s="120" t="s">
        <v>15</v>
      </c>
      <c r="FE261" s="121" t="s">
        <v>16</v>
      </c>
      <c r="FF261" s="121" t="s">
        <v>16</v>
      </c>
      <c r="FH261" s="7" t="s">
        <v>16</v>
      </c>
      <c r="FI261" s="8" t="s">
        <v>16</v>
      </c>
      <c r="FJ261" s="9" t="s">
        <v>16</v>
      </c>
      <c r="FK261" s="10" t="s">
        <v>17</v>
      </c>
    </row>
    <row r="262" spans="2:167" ht="15.75" hidden="1" thickBot="1" x14ac:dyDescent="0.3">
      <c r="B262" s="119"/>
      <c r="C262" s="120" t="s">
        <v>18</v>
      </c>
      <c r="D262" s="120" t="s">
        <v>19</v>
      </c>
      <c r="E262" s="121" t="s">
        <v>19</v>
      </c>
      <c r="F262" s="121" t="s">
        <v>25</v>
      </c>
      <c r="H262" s="16" t="s">
        <v>21</v>
      </c>
      <c r="I262" s="17" t="s">
        <v>22</v>
      </c>
      <c r="J262" s="18" t="s">
        <v>23</v>
      </c>
      <c r="K262" s="19" t="s">
        <v>24</v>
      </c>
      <c r="M262" s="119"/>
      <c r="N262" s="120" t="s">
        <v>18</v>
      </c>
      <c r="O262" s="120" t="s">
        <v>19</v>
      </c>
      <c r="P262" s="121" t="s">
        <v>25</v>
      </c>
      <c r="R262" s="16" t="s">
        <v>21</v>
      </c>
      <c r="S262" s="17" t="s">
        <v>22</v>
      </c>
      <c r="T262" s="18" t="s">
        <v>23</v>
      </c>
      <c r="U262" s="19" t="s">
        <v>24</v>
      </c>
      <c r="W262" s="119"/>
      <c r="X262" s="120" t="s">
        <v>18</v>
      </c>
      <c r="Y262" s="120" t="s">
        <v>19</v>
      </c>
      <c r="Z262" s="121" t="s">
        <v>19</v>
      </c>
      <c r="AA262" s="121" t="s">
        <v>25</v>
      </c>
      <c r="AC262" s="16" t="s">
        <v>21</v>
      </c>
      <c r="AD262" s="17" t="s">
        <v>22</v>
      </c>
      <c r="AE262" s="18" t="s">
        <v>23</v>
      </c>
      <c r="AF262" s="19" t="s">
        <v>24</v>
      </c>
      <c r="AI262" s="119"/>
      <c r="AJ262" s="120" t="s">
        <v>18</v>
      </c>
      <c r="AK262" s="120" t="s">
        <v>19</v>
      </c>
      <c r="AL262" s="121" t="s">
        <v>25</v>
      </c>
      <c r="AN262" s="16" t="s">
        <v>21</v>
      </c>
      <c r="AO262" s="17" t="s">
        <v>22</v>
      </c>
      <c r="AP262" s="18" t="s">
        <v>23</v>
      </c>
      <c r="AQ262" s="19" t="s">
        <v>24</v>
      </c>
      <c r="AS262" s="119"/>
      <c r="AT262" s="120" t="s">
        <v>18</v>
      </c>
      <c r="AU262" s="120" t="s">
        <v>19</v>
      </c>
      <c r="AV262" s="121" t="s">
        <v>25</v>
      </c>
      <c r="AX262" s="16" t="s">
        <v>21</v>
      </c>
      <c r="AY262" s="17" t="s">
        <v>22</v>
      </c>
      <c r="AZ262" s="18" t="s">
        <v>23</v>
      </c>
      <c r="BA262" s="19" t="s">
        <v>24</v>
      </c>
      <c r="BC262" s="119"/>
      <c r="BD262" s="120" t="s">
        <v>18</v>
      </c>
      <c r="BE262" s="120" t="s">
        <v>19</v>
      </c>
      <c r="BF262" s="121" t="s">
        <v>25</v>
      </c>
      <c r="BH262" s="16" t="s">
        <v>21</v>
      </c>
      <c r="BI262" s="17" t="s">
        <v>22</v>
      </c>
      <c r="BJ262" s="18" t="s">
        <v>23</v>
      </c>
      <c r="BK262" s="19" t="s">
        <v>24</v>
      </c>
      <c r="BM262" s="119"/>
      <c r="BN262" s="120" t="s">
        <v>18</v>
      </c>
      <c r="BO262" s="120" t="s">
        <v>19</v>
      </c>
      <c r="BP262" s="120" t="s">
        <v>20</v>
      </c>
      <c r="BQ262" s="121" t="s">
        <v>19</v>
      </c>
      <c r="BR262" s="121" t="s">
        <v>25</v>
      </c>
      <c r="BT262" s="16" t="s">
        <v>21</v>
      </c>
      <c r="BU262" s="17" t="s">
        <v>22</v>
      </c>
      <c r="BV262" s="18" t="s">
        <v>23</v>
      </c>
      <c r="BW262" s="19" t="s">
        <v>24</v>
      </c>
      <c r="BY262" s="119"/>
      <c r="BZ262" s="252" t="s">
        <v>18</v>
      </c>
      <c r="CA262" s="253" t="s">
        <v>19</v>
      </c>
      <c r="CB262" s="121" t="s">
        <v>19</v>
      </c>
      <c r="CC262" s="121" t="s">
        <v>25</v>
      </c>
      <c r="CE262" s="16" t="s">
        <v>21</v>
      </c>
      <c r="CF262" s="17" t="s">
        <v>22</v>
      </c>
      <c r="CG262" s="18" t="s">
        <v>23</v>
      </c>
      <c r="CH262" s="19" t="s">
        <v>24</v>
      </c>
      <c r="CJ262" s="119"/>
      <c r="CK262" s="120" t="s">
        <v>18</v>
      </c>
      <c r="CL262" s="120" t="s">
        <v>19</v>
      </c>
      <c r="CM262" s="121" t="s">
        <v>19</v>
      </c>
      <c r="CN262" s="121" t="s">
        <v>25</v>
      </c>
      <c r="CP262" s="16" t="s">
        <v>21</v>
      </c>
      <c r="CQ262" s="17" t="s">
        <v>22</v>
      </c>
      <c r="CR262" s="18" t="s">
        <v>23</v>
      </c>
      <c r="CS262" s="19" t="s">
        <v>24</v>
      </c>
      <c r="CU262" s="119"/>
      <c r="CV262" s="120" t="s">
        <v>18</v>
      </c>
      <c r="CW262" s="120" t="s">
        <v>19</v>
      </c>
      <c r="CX262" s="121" t="s">
        <v>19</v>
      </c>
      <c r="CY262" s="121" t="s">
        <v>25</v>
      </c>
      <c r="DA262" s="16" t="s">
        <v>21</v>
      </c>
      <c r="DB262" s="16"/>
      <c r="DC262" s="17" t="s">
        <v>22</v>
      </c>
      <c r="DD262" s="18" t="s">
        <v>23</v>
      </c>
      <c r="DE262" s="19" t="s">
        <v>24</v>
      </c>
      <c r="DH262" s="119"/>
      <c r="DI262" s="120" t="s">
        <v>18</v>
      </c>
      <c r="DJ262" s="120" t="s">
        <v>19</v>
      </c>
      <c r="DK262" s="120" t="s">
        <v>20</v>
      </c>
      <c r="DL262" s="121" t="s">
        <v>19</v>
      </c>
      <c r="DM262" s="121" t="s">
        <v>25</v>
      </c>
      <c r="DO262" s="16" t="s">
        <v>21</v>
      </c>
      <c r="DP262" s="17" t="s">
        <v>22</v>
      </c>
      <c r="DQ262" s="18" t="s">
        <v>23</v>
      </c>
      <c r="DR262" s="19" t="s">
        <v>24</v>
      </c>
      <c r="DT262" s="119"/>
      <c r="DU262" s="120" t="s">
        <v>18</v>
      </c>
      <c r="DV262" s="120" t="s">
        <v>19</v>
      </c>
      <c r="DW262" s="121" t="s">
        <v>19</v>
      </c>
      <c r="DX262" s="121" t="s">
        <v>25</v>
      </c>
      <c r="DZ262" s="16" t="s">
        <v>21</v>
      </c>
      <c r="EA262" s="17" t="s">
        <v>22</v>
      </c>
      <c r="EB262" s="18" t="s">
        <v>23</v>
      </c>
      <c r="EC262" s="19" t="s">
        <v>24</v>
      </c>
      <c r="EE262" s="119"/>
      <c r="EF262" s="120" t="s">
        <v>18</v>
      </c>
      <c r="EG262" s="252" t="s">
        <v>19</v>
      </c>
      <c r="EH262" s="121" t="s">
        <v>19</v>
      </c>
      <c r="EI262" s="121" t="s">
        <v>25</v>
      </c>
      <c r="EK262" s="16" t="s">
        <v>21</v>
      </c>
      <c r="EL262" s="16"/>
      <c r="EM262" s="17" t="s">
        <v>22</v>
      </c>
      <c r="EN262" s="18" t="s">
        <v>23</v>
      </c>
      <c r="EO262" s="19" t="s">
        <v>24</v>
      </c>
      <c r="EQ262" s="119"/>
      <c r="ER262" s="120" t="s">
        <v>18</v>
      </c>
      <c r="ES262" s="120" t="s">
        <v>19</v>
      </c>
      <c r="ET262" s="121" t="s">
        <v>19</v>
      </c>
      <c r="EU262" s="121" t="s">
        <v>25</v>
      </c>
      <c r="EW262" s="16" t="s">
        <v>21</v>
      </c>
      <c r="EX262" s="17" t="s">
        <v>22</v>
      </c>
      <c r="EY262" s="18" t="s">
        <v>23</v>
      </c>
      <c r="EZ262" s="19" t="s">
        <v>24</v>
      </c>
      <c r="FB262" s="119"/>
      <c r="FC262" s="254" t="s">
        <v>18</v>
      </c>
      <c r="FD262" s="254" t="s">
        <v>19</v>
      </c>
      <c r="FE262" s="255" t="s">
        <v>19</v>
      </c>
      <c r="FF262" s="255" t="s">
        <v>25</v>
      </c>
      <c r="FH262" s="16" t="s">
        <v>21</v>
      </c>
      <c r="FI262" s="17" t="s">
        <v>22</v>
      </c>
      <c r="FJ262" s="18" t="s">
        <v>23</v>
      </c>
      <c r="FK262" s="19" t="s">
        <v>24</v>
      </c>
    </row>
    <row r="263" spans="2:167" hidden="1" x14ac:dyDescent="0.25">
      <c r="B263" s="122">
        <v>46054</v>
      </c>
      <c r="C263" s="123">
        <v>18931.080000000002</v>
      </c>
      <c r="D263" s="126"/>
      <c r="E263" s="125"/>
      <c r="F263" s="126">
        <v>0</v>
      </c>
      <c r="H263" s="239"/>
      <c r="I263" s="30">
        <v>13.544857525714278</v>
      </c>
      <c r="J263" s="29"/>
      <c r="K263" s="30">
        <f>SUM(F263:J263)</f>
        <v>13.544857525714278</v>
      </c>
      <c r="M263" s="122">
        <v>46054</v>
      </c>
      <c r="N263" s="123">
        <v>3022.36</v>
      </c>
      <c r="O263" s="125"/>
      <c r="P263" s="126"/>
      <c r="R263" s="239"/>
      <c r="S263" s="30"/>
      <c r="T263" s="29"/>
      <c r="U263" s="30">
        <f>SUM(P263:T263)</f>
        <v>0</v>
      </c>
      <c r="W263" s="122">
        <v>46054</v>
      </c>
      <c r="X263" s="123">
        <v>190.01</v>
      </c>
      <c r="Y263" s="123">
        <v>0</v>
      </c>
      <c r="Z263" s="125"/>
      <c r="AA263" s="273">
        <v>0</v>
      </c>
      <c r="AC263" s="239"/>
      <c r="AD263" s="30">
        <v>21.959281217142859</v>
      </c>
      <c r="AE263" s="29"/>
      <c r="AF263" s="30">
        <f>SUM(AA263:AE263)</f>
        <v>21.959281217142859</v>
      </c>
      <c r="AI263" s="122">
        <v>46054</v>
      </c>
      <c r="AJ263" s="123">
        <v>2285.54</v>
      </c>
      <c r="AK263" s="125"/>
      <c r="AL263" s="126"/>
      <c r="AN263" s="239"/>
      <c r="AO263" s="30"/>
      <c r="AP263" s="29"/>
      <c r="AQ263" s="30">
        <f>SUM(AL263:AP263)</f>
        <v>0</v>
      </c>
      <c r="AS263" s="122">
        <v>46054</v>
      </c>
      <c r="AT263" s="123">
        <v>2742.9</v>
      </c>
      <c r="AU263" s="125"/>
      <c r="AV263" s="128"/>
      <c r="AX263" s="239"/>
      <c r="AY263" s="30"/>
      <c r="AZ263" s="29"/>
      <c r="BA263" s="30">
        <f>SUM(AV263:AZ263)</f>
        <v>0</v>
      </c>
      <c r="BC263" s="122">
        <v>46054</v>
      </c>
      <c r="BD263" s="123">
        <v>1267.68</v>
      </c>
      <c r="BE263" s="125"/>
      <c r="BF263" s="128"/>
      <c r="BH263" s="239"/>
      <c r="BI263" s="30"/>
      <c r="BJ263" s="29"/>
      <c r="BK263" s="30">
        <f>SUM(BF263:BJ263)</f>
        <v>0</v>
      </c>
      <c r="BM263" s="122">
        <v>46054</v>
      </c>
      <c r="BN263" s="123">
        <v>9192.07</v>
      </c>
      <c r="BO263" s="123">
        <v>2225.65</v>
      </c>
      <c r="BP263" s="123">
        <v>5117.3100000000004</v>
      </c>
      <c r="BQ263" s="125"/>
      <c r="BR263" s="125"/>
      <c r="BT263" s="239">
        <v>135.26592000000005</v>
      </c>
      <c r="BU263" s="30">
        <v>126.39196349999995</v>
      </c>
      <c r="BV263" s="29"/>
      <c r="BW263" s="30">
        <f t="shared" ref="BW263:BW290" si="139">SUM(BR263:BV263)</f>
        <v>261.65788350000003</v>
      </c>
      <c r="BY263" s="122">
        <v>46054</v>
      </c>
      <c r="BZ263" s="256">
        <v>12</v>
      </c>
      <c r="CA263" s="257">
        <v>0</v>
      </c>
      <c r="CB263" s="125"/>
      <c r="CC263" s="126"/>
      <c r="CE263" s="239"/>
      <c r="CF263" s="30"/>
      <c r="CG263" s="29"/>
      <c r="CH263" s="30">
        <f>SUM(CC263:CG263)</f>
        <v>0</v>
      </c>
      <c r="CJ263" s="122">
        <v>46054</v>
      </c>
      <c r="CK263" s="352">
        <v>2372.96</v>
      </c>
      <c r="CL263" s="351">
        <v>349.39</v>
      </c>
      <c r="CM263" s="125"/>
      <c r="CN263" s="353">
        <v>0</v>
      </c>
      <c r="CP263" s="239">
        <v>37.344139999999989</v>
      </c>
      <c r="CQ263" s="30"/>
      <c r="CR263" s="29"/>
      <c r="CS263" s="30">
        <f>SUM(CN263:CR263)</f>
        <v>37.344139999999989</v>
      </c>
      <c r="CU263" s="122">
        <v>46054</v>
      </c>
      <c r="CV263" s="123">
        <v>4005.01</v>
      </c>
      <c r="CW263" s="124">
        <v>1112.46</v>
      </c>
      <c r="CX263" s="125"/>
      <c r="CY263" s="126">
        <v>198.43</v>
      </c>
      <c r="DA263" s="239">
        <v>245.41059999999965</v>
      </c>
      <c r="DB263" s="402"/>
      <c r="DC263" s="30"/>
      <c r="DD263" s="29"/>
      <c r="DE263" s="30">
        <f>SUM(CY263:DD263)</f>
        <v>443.84059999999965</v>
      </c>
      <c r="DH263" s="122">
        <v>46054</v>
      </c>
      <c r="DI263" s="123">
        <v>351.98</v>
      </c>
      <c r="DJ263" s="127">
        <v>282.92</v>
      </c>
      <c r="DK263" s="127">
        <v>1874.15</v>
      </c>
      <c r="DL263" s="127"/>
      <c r="DM263" s="126">
        <v>0</v>
      </c>
      <c r="DO263" s="239"/>
      <c r="DP263" s="30"/>
      <c r="DQ263" s="30"/>
      <c r="DR263" s="30">
        <f>SUM(DM263:DQ263)</f>
        <v>0</v>
      </c>
      <c r="DT263" s="122">
        <v>46054</v>
      </c>
      <c r="DU263" s="123">
        <v>1542.95</v>
      </c>
      <c r="DV263" s="127">
        <v>1069.05</v>
      </c>
      <c r="DW263" s="127"/>
      <c r="DX263" s="126">
        <v>4.03</v>
      </c>
      <c r="DZ263" s="239"/>
      <c r="EA263" s="30"/>
      <c r="EB263" s="29"/>
      <c r="EC263" s="30">
        <f>SUM(DX263:EB263)</f>
        <v>4.03</v>
      </c>
      <c r="EE263" s="122">
        <v>46054</v>
      </c>
      <c r="EF263" s="123">
        <v>713.46</v>
      </c>
      <c r="EG263" s="127">
        <v>761</v>
      </c>
      <c r="EH263" s="127"/>
      <c r="EI263" s="126">
        <v>0</v>
      </c>
      <c r="EK263" s="239">
        <v>260.91608000000002</v>
      </c>
      <c r="EL263" s="402"/>
      <c r="EM263" s="30">
        <v>284.88571035857143</v>
      </c>
      <c r="EN263" s="29"/>
      <c r="EO263" s="30">
        <f>SUM(EI263:EN263)</f>
        <v>545.80179035857145</v>
      </c>
      <c r="EQ263" s="122">
        <v>46054</v>
      </c>
      <c r="ER263" s="123">
        <v>4565.8900000000003</v>
      </c>
      <c r="ES263" s="259">
        <v>344.29</v>
      </c>
      <c r="ET263" s="127"/>
      <c r="EU263" s="258">
        <v>104.01</v>
      </c>
      <c r="EW263" s="239">
        <v>11.017649999999975</v>
      </c>
      <c r="EX263" s="30"/>
      <c r="EY263" s="29"/>
      <c r="EZ263" s="30">
        <f>SUM(EU263:EY263)</f>
        <v>115.02764999999998</v>
      </c>
      <c r="FB263" s="122">
        <v>46054</v>
      </c>
      <c r="FC263" s="123">
        <v>844.2</v>
      </c>
      <c r="FD263" s="123">
        <v>243.02</v>
      </c>
      <c r="FE263" s="125"/>
      <c r="FF263" s="126"/>
      <c r="FH263" s="239"/>
      <c r="FI263" s="30"/>
      <c r="FJ263" s="29"/>
      <c r="FK263" s="30">
        <f>SUM(FF263:FJ263)</f>
        <v>0</v>
      </c>
    </row>
    <row r="264" spans="2:167" hidden="1" x14ac:dyDescent="0.25">
      <c r="B264" s="122">
        <v>46055</v>
      </c>
      <c r="C264" s="123">
        <v>14170.75</v>
      </c>
      <c r="D264" s="125"/>
      <c r="E264" s="125"/>
      <c r="F264" s="125">
        <v>12.22</v>
      </c>
      <c r="H264" s="240">
        <v>21.894559999999998</v>
      </c>
      <c r="I264" s="53"/>
      <c r="J264" s="52"/>
      <c r="K264" s="53">
        <f t="shared" ref="K264:K290" si="140">SUM(F264:J264)</f>
        <v>34.114559999999997</v>
      </c>
      <c r="M264" s="122">
        <v>46055</v>
      </c>
      <c r="N264" s="123">
        <v>3640.52</v>
      </c>
      <c r="O264" s="125"/>
      <c r="P264" s="126"/>
      <c r="R264" s="240"/>
      <c r="S264" s="53"/>
      <c r="T264" s="52"/>
      <c r="U264" s="53">
        <f t="shared" ref="U264:U290" si="141">SUM(P264:T264)</f>
        <v>0</v>
      </c>
      <c r="W264" s="122">
        <v>46055</v>
      </c>
      <c r="X264" s="123">
        <v>1021.33</v>
      </c>
      <c r="Y264" s="123">
        <v>0</v>
      </c>
      <c r="Z264" s="125"/>
      <c r="AA264" s="273">
        <v>15.66</v>
      </c>
      <c r="AC264" s="240"/>
      <c r="AD264" s="53">
        <v>12.980658605333304</v>
      </c>
      <c r="AE264" s="52"/>
      <c r="AF264" s="53">
        <f t="shared" ref="AF264:AF290" si="142">SUM(AA264:AE264)</f>
        <v>28.640658605333304</v>
      </c>
      <c r="AI264" s="122">
        <v>46055</v>
      </c>
      <c r="AJ264" s="123">
        <v>874.16</v>
      </c>
      <c r="AK264" s="125"/>
      <c r="AL264" s="126"/>
      <c r="AN264" s="240"/>
      <c r="AO264" s="53"/>
      <c r="AP264" s="52"/>
      <c r="AQ264" s="53">
        <f t="shared" ref="AQ264:AQ290" si="143">SUM(AL264:AP264)</f>
        <v>0</v>
      </c>
      <c r="AS264" s="122">
        <v>46055</v>
      </c>
      <c r="AT264" s="123">
        <v>2747.45</v>
      </c>
      <c r="AU264" s="125"/>
      <c r="AV264" s="128"/>
      <c r="AX264" s="240"/>
      <c r="AY264" s="53"/>
      <c r="AZ264" s="52"/>
      <c r="BA264" s="53">
        <f t="shared" ref="BA264:BA290" si="144">SUM(AV264:AZ264)</f>
        <v>0</v>
      </c>
      <c r="BC264" s="122">
        <v>46055</v>
      </c>
      <c r="BD264" s="123">
        <v>2156.44</v>
      </c>
      <c r="BE264" s="125"/>
      <c r="BF264" s="128"/>
      <c r="BH264" s="240"/>
      <c r="BI264" s="53"/>
      <c r="BJ264" s="52"/>
      <c r="BK264" s="53">
        <f t="shared" ref="BK264:BK290" si="145">SUM(BF264:BJ264)</f>
        <v>0</v>
      </c>
      <c r="BM264" s="122">
        <v>46055</v>
      </c>
      <c r="BN264" s="123">
        <v>9383.82</v>
      </c>
      <c r="BO264" s="123">
        <v>2355.39</v>
      </c>
      <c r="BP264" s="123">
        <v>8157.88</v>
      </c>
      <c r="BQ264" s="125"/>
      <c r="BR264" s="125"/>
      <c r="BT264" s="240">
        <v>206.88305000000003</v>
      </c>
      <c r="BU264" s="53"/>
      <c r="BV264" s="52"/>
      <c r="BW264" s="53">
        <f t="shared" si="139"/>
        <v>206.88305000000003</v>
      </c>
      <c r="BY264" s="122">
        <v>46055</v>
      </c>
      <c r="BZ264" s="256">
        <v>388</v>
      </c>
      <c r="CA264" s="257">
        <v>709.22</v>
      </c>
      <c r="CB264" s="125"/>
      <c r="CC264" s="126"/>
      <c r="CE264" s="240">
        <v>38.200139999999948</v>
      </c>
      <c r="CF264" s="53"/>
      <c r="CG264" s="52"/>
      <c r="CH264" s="53">
        <f t="shared" ref="CH264:CH290" si="146">SUM(CC264:CG264)</f>
        <v>38.200139999999948</v>
      </c>
      <c r="CJ264" s="122">
        <v>46055</v>
      </c>
      <c r="CK264" s="352">
        <v>4654.04</v>
      </c>
      <c r="CL264" s="351">
        <v>391.05</v>
      </c>
      <c r="CM264" s="125"/>
      <c r="CN264" s="353">
        <v>28.61</v>
      </c>
      <c r="CP264" s="240">
        <v>47.630300000000013</v>
      </c>
      <c r="CQ264" s="53"/>
      <c r="CR264" s="52"/>
      <c r="CS264" s="53">
        <f t="shared" ref="CS264:CS290" si="147">SUM(CN264:CR264)</f>
        <v>76.240300000000019</v>
      </c>
      <c r="CU264" s="122">
        <v>46055</v>
      </c>
      <c r="CV264" s="123">
        <v>9532.01</v>
      </c>
      <c r="CW264" s="127">
        <v>1462.37</v>
      </c>
      <c r="CX264" s="125"/>
      <c r="CY264" s="128">
        <v>291.29000000000002</v>
      </c>
      <c r="DA264" s="240">
        <v>366.24000000000012</v>
      </c>
      <c r="DB264" s="435"/>
      <c r="DC264" s="53"/>
      <c r="DD264" s="52"/>
      <c r="DE264" s="53">
        <f t="shared" ref="DE264:DE290" si="148">SUM(CY264:DD264)</f>
        <v>657.5300000000002</v>
      </c>
      <c r="DH264" s="122">
        <v>46055</v>
      </c>
      <c r="DI264" s="123">
        <v>1364.8</v>
      </c>
      <c r="DJ264" s="127">
        <v>340.47</v>
      </c>
      <c r="DK264" s="127">
        <v>2886.78</v>
      </c>
      <c r="DL264" s="127"/>
      <c r="DM264" s="126">
        <v>3.69</v>
      </c>
      <c r="DO264" s="240"/>
      <c r="DP264" s="53"/>
      <c r="DQ264" s="53"/>
      <c r="DR264" s="53">
        <f t="shared" ref="DR264:DR290" si="149">SUM(DM264:DQ264)</f>
        <v>3.69</v>
      </c>
      <c r="DT264" s="122">
        <v>46055</v>
      </c>
      <c r="DU264" s="123">
        <v>1126.6199999999999</v>
      </c>
      <c r="DV264" s="127">
        <v>908.67</v>
      </c>
      <c r="DW264" s="127"/>
      <c r="DX264" s="126">
        <v>52.15</v>
      </c>
      <c r="DZ264" s="240"/>
      <c r="EA264" s="53">
        <v>44.721695859047628</v>
      </c>
      <c r="EB264" s="52"/>
      <c r="EC264" s="53">
        <f t="shared" ref="EC264:EC290" si="150">SUM(DX264:EB264)</f>
        <v>96.871695859047634</v>
      </c>
      <c r="EE264" s="122">
        <v>46055</v>
      </c>
      <c r="EF264" s="123">
        <v>1071.81</v>
      </c>
      <c r="EG264" s="127">
        <v>975.35</v>
      </c>
      <c r="EH264" s="127"/>
      <c r="EI264" s="126">
        <v>10.02</v>
      </c>
      <c r="EK264" s="240">
        <v>539.46046000000001</v>
      </c>
      <c r="EL264" s="435"/>
      <c r="EM264" s="53"/>
      <c r="EN264" s="52"/>
      <c r="EO264" s="53">
        <f t="shared" ref="EO264:EO290" si="151">SUM(EI264:EN264)</f>
        <v>549.48045999999999</v>
      </c>
      <c r="EQ264" s="122">
        <v>46055</v>
      </c>
      <c r="ER264" s="123">
        <v>2696.97</v>
      </c>
      <c r="ES264" s="259">
        <v>181.41</v>
      </c>
      <c r="ET264" s="127"/>
      <c r="EU264" s="258">
        <v>1090.6500000000001</v>
      </c>
      <c r="EW264" s="240"/>
      <c r="EX264" s="53">
        <v>283.43547014095248</v>
      </c>
      <c r="EY264" s="52"/>
      <c r="EZ264" s="53">
        <f t="shared" ref="EZ264:EZ290" si="152">SUM(EU264:EY264)</f>
        <v>1374.0854701409526</v>
      </c>
      <c r="FB264" s="122">
        <v>46055</v>
      </c>
      <c r="FC264" s="123">
        <v>692.35</v>
      </c>
      <c r="FD264" s="123">
        <v>252.3</v>
      </c>
      <c r="FE264" s="125"/>
      <c r="FF264" s="126"/>
      <c r="FH264" s="240"/>
      <c r="FI264" s="53"/>
      <c r="FJ264" s="52"/>
      <c r="FK264" s="53">
        <f t="shared" ref="FK264:FK290" si="153">SUM(FF264:FJ264)</f>
        <v>0</v>
      </c>
    </row>
    <row r="265" spans="2:167" hidden="1" x14ac:dyDescent="0.25">
      <c r="B265" s="122">
        <v>46056</v>
      </c>
      <c r="C265" s="123">
        <v>15892.32</v>
      </c>
      <c r="D265" s="125"/>
      <c r="E265" s="125"/>
      <c r="F265" s="123">
        <v>0</v>
      </c>
      <c r="H265" s="240">
        <v>47.439969999999988</v>
      </c>
      <c r="I265" s="53">
        <v>23.371684467428537</v>
      </c>
      <c r="J265" s="52"/>
      <c r="K265" s="53">
        <f t="shared" si="140"/>
        <v>70.811654467428525</v>
      </c>
      <c r="M265" s="122">
        <v>46056</v>
      </c>
      <c r="N265" s="123">
        <v>3302.47</v>
      </c>
      <c r="O265" s="125"/>
      <c r="P265" s="126"/>
      <c r="R265" s="240"/>
      <c r="S265" s="53"/>
      <c r="T265" s="52"/>
      <c r="U265" s="53">
        <f t="shared" si="141"/>
        <v>0</v>
      </c>
      <c r="W265" s="122">
        <v>46056</v>
      </c>
      <c r="X265" s="123">
        <v>1521.44</v>
      </c>
      <c r="Y265" s="123">
        <v>265.5</v>
      </c>
      <c r="Z265" s="125"/>
      <c r="AA265" s="273">
        <v>14.84</v>
      </c>
      <c r="AC265" s="240"/>
      <c r="AD265" s="53"/>
      <c r="AE265" s="52"/>
      <c r="AF265" s="53">
        <f t="shared" si="142"/>
        <v>14.84</v>
      </c>
      <c r="AI265" s="122">
        <v>46056</v>
      </c>
      <c r="AJ265" s="123">
        <v>1104.94</v>
      </c>
      <c r="AK265" s="125"/>
      <c r="AL265" s="126"/>
      <c r="AN265" s="240"/>
      <c r="AO265" s="53"/>
      <c r="AP265" s="52"/>
      <c r="AQ265" s="53">
        <f t="shared" si="143"/>
        <v>0</v>
      </c>
      <c r="AS265" s="122">
        <v>46056</v>
      </c>
      <c r="AT265" s="123">
        <v>2589.2800000000002</v>
      </c>
      <c r="AU265" s="125"/>
      <c r="AV265" s="128"/>
      <c r="AX265" s="240"/>
      <c r="AY265" s="53"/>
      <c r="AZ265" s="52"/>
      <c r="BA265" s="53">
        <f t="shared" si="144"/>
        <v>0</v>
      </c>
      <c r="BC265" s="122">
        <v>46056</v>
      </c>
      <c r="BD265" s="123">
        <v>2411.4899999999998</v>
      </c>
      <c r="BE265" s="125"/>
      <c r="BF265" s="128"/>
      <c r="BH265" s="240">
        <v>11.565780000000018</v>
      </c>
      <c r="BI265" s="53"/>
      <c r="BJ265" s="52"/>
      <c r="BK265" s="53">
        <f t="shared" si="145"/>
        <v>11.565780000000018</v>
      </c>
      <c r="BM265" s="122">
        <v>46056</v>
      </c>
      <c r="BN265" s="123">
        <v>10566.28</v>
      </c>
      <c r="BO265" s="123">
        <v>4132.8900000000003</v>
      </c>
      <c r="BP265" s="123">
        <v>8441.26</v>
      </c>
      <c r="BQ265" s="125"/>
      <c r="BR265" s="125"/>
      <c r="BT265" s="240">
        <v>163.29660000000001</v>
      </c>
      <c r="BU265" s="53">
        <v>566.06999999999982</v>
      </c>
      <c r="BV265" s="52"/>
      <c r="BW265" s="53">
        <f t="shared" si="139"/>
        <v>729.36659999999983</v>
      </c>
      <c r="BY265" s="122">
        <v>46056</v>
      </c>
      <c r="BZ265" s="256">
        <v>709.22</v>
      </c>
      <c r="CA265" s="257">
        <v>604.87</v>
      </c>
      <c r="CB265" s="125"/>
      <c r="CC265" s="126"/>
      <c r="CE265" s="240"/>
      <c r="CF265" s="53"/>
      <c r="CG265" s="52"/>
      <c r="CH265" s="53">
        <f t="shared" si="146"/>
        <v>0</v>
      </c>
      <c r="CJ265" s="122">
        <v>46056</v>
      </c>
      <c r="CK265" s="352">
        <v>4822.82</v>
      </c>
      <c r="CL265" s="351">
        <v>517.02</v>
      </c>
      <c r="CM265" s="125"/>
      <c r="CN265" s="353">
        <v>30.84</v>
      </c>
      <c r="CP265" s="240">
        <v>115.02219999999997</v>
      </c>
      <c r="CQ265" s="53">
        <v>35.790883799999989</v>
      </c>
      <c r="CR265" s="52"/>
      <c r="CS265" s="53">
        <f t="shared" si="147"/>
        <v>181.65308379999996</v>
      </c>
      <c r="CU265" s="122">
        <v>46056</v>
      </c>
      <c r="CV265" s="123">
        <v>12806.21</v>
      </c>
      <c r="CW265" s="127">
        <v>1129.76</v>
      </c>
      <c r="CX265" s="125"/>
      <c r="CY265" s="126">
        <v>319.02</v>
      </c>
      <c r="DA265" s="240">
        <v>1491.1199999999951</v>
      </c>
      <c r="DB265" s="435"/>
      <c r="DC265" s="53"/>
      <c r="DD265" s="52"/>
      <c r="DE265" s="53">
        <f t="shared" si="148"/>
        <v>1810.1399999999951</v>
      </c>
      <c r="DH265" s="122">
        <v>46056</v>
      </c>
      <c r="DI265" s="123">
        <v>2044.12</v>
      </c>
      <c r="DJ265" s="126">
        <v>353.07</v>
      </c>
      <c r="DK265" s="126">
        <v>1053.77</v>
      </c>
      <c r="DL265" s="127"/>
      <c r="DM265" s="126">
        <v>0</v>
      </c>
      <c r="DO265" s="240"/>
      <c r="DP265" s="53"/>
      <c r="DQ265" s="53"/>
      <c r="DR265" s="53">
        <f t="shared" si="149"/>
        <v>0</v>
      </c>
      <c r="DT265" s="122">
        <v>46056</v>
      </c>
      <c r="DU265" s="123">
        <v>1167.31</v>
      </c>
      <c r="DV265" s="127">
        <v>1115.3</v>
      </c>
      <c r="DW265" s="127"/>
      <c r="DX265" s="126">
        <v>49.95</v>
      </c>
      <c r="DZ265" s="240"/>
      <c r="EA265" s="53"/>
      <c r="EB265" s="52"/>
      <c r="EC265" s="53">
        <f t="shared" si="150"/>
        <v>49.95</v>
      </c>
      <c r="EE265" s="122">
        <v>46056</v>
      </c>
      <c r="EF265" s="123">
        <v>1237.5899999999999</v>
      </c>
      <c r="EG265" s="127">
        <v>765.5</v>
      </c>
      <c r="EH265" s="127"/>
      <c r="EI265" s="126">
        <v>5.7</v>
      </c>
      <c r="EK265" s="240">
        <v>487.37910000000011</v>
      </c>
      <c r="EL265" s="435"/>
      <c r="EM265" s="53">
        <v>27.035374767142855</v>
      </c>
      <c r="EN265" s="52"/>
      <c r="EO265" s="53">
        <f t="shared" si="151"/>
        <v>520.11447476714295</v>
      </c>
      <c r="EQ265" s="122">
        <v>46056</v>
      </c>
      <c r="ER265" s="123">
        <v>3791.82</v>
      </c>
      <c r="ES265" s="259">
        <v>335.37</v>
      </c>
      <c r="ET265" s="127"/>
      <c r="EU265" s="258">
        <v>704.58</v>
      </c>
      <c r="EW265" s="240"/>
      <c r="EX265" s="53">
        <v>425.54220627857103</v>
      </c>
      <c r="EY265" s="52"/>
      <c r="EZ265" s="53">
        <f t="shared" si="152"/>
        <v>1130.122206278571</v>
      </c>
      <c r="FB265" s="122">
        <v>46056</v>
      </c>
      <c r="FC265" s="123">
        <v>706.6</v>
      </c>
      <c r="FD265" s="123">
        <v>166.9</v>
      </c>
      <c r="FE265" s="125"/>
      <c r="FF265" s="126"/>
      <c r="FH265" s="240"/>
      <c r="FI265" s="53"/>
      <c r="FJ265" s="52"/>
      <c r="FK265" s="53">
        <f t="shared" si="153"/>
        <v>0</v>
      </c>
    </row>
    <row r="266" spans="2:167" hidden="1" x14ac:dyDescent="0.25">
      <c r="B266" s="122">
        <v>46057</v>
      </c>
      <c r="C266" s="123">
        <v>15726.49</v>
      </c>
      <c r="D266" s="125"/>
      <c r="E266" s="125"/>
      <c r="F266" s="125">
        <v>0</v>
      </c>
      <c r="H266" s="240">
        <v>23.544719999999984</v>
      </c>
      <c r="I266" s="53">
        <v>30.43212963571429</v>
      </c>
      <c r="J266" s="52"/>
      <c r="K266" s="53">
        <f t="shared" si="140"/>
        <v>53.976849635714274</v>
      </c>
      <c r="M266" s="122">
        <v>46057</v>
      </c>
      <c r="N266" s="123">
        <v>2995.77</v>
      </c>
      <c r="O266" s="125"/>
      <c r="P266" s="126"/>
      <c r="R266" s="240">
        <v>7.3199999999999932</v>
      </c>
      <c r="S266" s="53"/>
      <c r="T266" s="52"/>
      <c r="U266" s="53">
        <f t="shared" si="141"/>
        <v>7.3199999999999932</v>
      </c>
      <c r="W266" s="122">
        <v>46057</v>
      </c>
      <c r="X266" s="123">
        <v>991.21</v>
      </c>
      <c r="Y266" s="123">
        <v>31.65</v>
      </c>
      <c r="Z266" s="125"/>
      <c r="AA266" s="273">
        <v>7.71</v>
      </c>
      <c r="AC266" s="240"/>
      <c r="AD266" s="53">
        <v>28.317446359999977</v>
      </c>
      <c r="AE266" s="52"/>
      <c r="AF266" s="53">
        <f t="shared" si="142"/>
        <v>36.027446359999978</v>
      </c>
      <c r="AI266" s="122">
        <v>46057</v>
      </c>
      <c r="AJ266" s="123">
        <v>1226.43</v>
      </c>
      <c r="AK266" s="125"/>
      <c r="AL266" s="126"/>
      <c r="AN266" s="240"/>
      <c r="AO266" s="53"/>
      <c r="AP266" s="52"/>
      <c r="AQ266" s="53">
        <f t="shared" si="143"/>
        <v>0</v>
      </c>
      <c r="AS266" s="122">
        <v>46057</v>
      </c>
      <c r="AT266" s="123">
        <v>4044.28</v>
      </c>
      <c r="AU266" s="125"/>
      <c r="AV266" s="128"/>
      <c r="AX266" s="240"/>
      <c r="AY266" s="53"/>
      <c r="AZ266" s="52"/>
      <c r="BA266" s="53">
        <f t="shared" si="144"/>
        <v>0</v>
      </c>
      <c r="BC266" s="122">
        <v>46057</v>
      </c>
      <c r="BD266" s="123">
        <v>1937.11</v>
      </c>
      <c r="BE266" s="125"/>
      <c r="BF266" s="128"/>
      <c r="BH266" s="240">
        <v>14.752200000000016</v>
      </c>
      <c r="BI266" s="53"/>
      <c r="BJ266" s="52"/>
      <c r="BK266" s="53">
        <f t="shared" si="145"/>
        <v>14.752200000000016</v>
      </c>
      <c r="BM266" s="122">
        <v>46057</v>
      </c>
      <c r="BN266" s="123">
        <v>11421.06</v>
      </c>
      <c r="BO266" s="123">
        <v>2584.7199999999998</v>
      </c>
      <c r="BP266" s="123">
        <v>10668.39</v>
      </c>
      <c r="BQ266" s="125"/>
      <c r="BR266" s="125"/>
      <c r="BT266" s="240">
        <v>359.75370999999996</v>
      </c>
      <c r="BU266" s="53">
        <v>94.34499999999997</v>
      </c>
      <c r="BV266" s="52"/>
      <c r="BW266" s="53">
        <f t="shared" si="139"/>
        <v>454.09870999999993</v>
      </c>
      <c r="BY266" s="122">
        <v>46057</v>
      </c>
      <c r="BZ266" s="256">
        <v>260</v>
      </c>
      <c r="CA266" s="257">
        <v>837.48</v>
      </c>
      <c r="CB266" s="126"/>
      <c r="CC266" s="126"/>
      <c r="CE266" s="240"/>
      <c r="CF266" s="53">
        <v>53.105848999999921</v>
      </c>
      <c r="CG266" s="52"/>
      <c r="CH266" s="53">
        <f t="shared" si="146"/>
        <v>53.105848999999921</v>
      </c>
      <c r="CJ266" s="122">
        <v>46057</v>
      </c>
      <c r="CK266" s="352">
        <v>2654.74</v>
      </c>
      <c r="CL266" s="351">
        <v>421.52</v>
      </c>
      <c r="CM266" s="125"/>
      <c r="CN266" s="353">
        <v>0</v>
      </c>
      <c r="CP266" s="240">
        <v>93.158519999999967</v>
      </c>
      <c r="CQ266" s="53">
        <v>38.083524210857135</v>
      </c>
      <c r="CR266" s="52"/>
      <c r="CS266" s="53">
        <f t="shared" si="147"/>
        <v>131.2420442108571</v>
      </c>
      <c r="CU266" s="122">
        <v>46057</v>
      </c>
      <c r="CV266" s="123">
        <v>7523.87</v>
      </c>
      <c r="CW266" s="127">
        <v>1266.1099999999999</v>
      </c>
      <c r="CX266" s="125"/>
      <c r="CY266" s="126">
        <v>240.9</v>
      </c>
      <c r="DA266" s="240">
        <v>339.36000000000013</v>
      </c>
      <c r="DB266" s="435"/>
      <c r="DC266" s="53"/>
      <c r="DD266" s="52"/>
      <c r="DE266" s="53">
        <f t="shared" si="148"/>
        <v>580.2600000000001</v>
      </c>
      <c r="DH266" s="122">
        <v>46057</v>
      </c>
      <c r="DI266" s="123">
        <v>1443.1</v>
      </c>
      <c r="DJ266" s="127">
        <v>118.15</v>
      </c>
      <c r="DK266" s="127">
        <v>679.81</v>
      </c>
      <c r="DL266" s="127"/>
      <c r="DM266" s="126">
        <v>0</v>
      </c>
      <c r="DO266" s="240"/>
      <c r="DP266" s="53"/>
      <c r="DQ266" s="53">
        <v>11.237169999999992</v>
      </c>
      <c r="DR266" s="53">
        <f t="shared" si="149"/>
        <v>11.237169999999992</v>
      </c>
      <c r="DT266" s="122">
        <v>46057</v>
      </c>
      <c r="DU266" s="123">
        <v>1573.19</v>
      </c>
      <c r="DV266" s="127">
        <v>1355.47</v>
      </c>
      <c r="DW266" s="127"/>
      <c r="DX266" s="126">
        <v>10.61</v>
      </c>
      <c r="DZ266" s="240"/>
      <c r="EA266" s="53"/>
      <c r="EB266" s="52"/>
      <c r="EC266" s="53">
        <f t="shared" si="150"/>
        <v>10.61</v>
      </c>
      <c r="EE266" s="122">
        <v>46057</v>
      </c>
      <c r="EF266" s="123">
        <v>1258.48</v>
      </c>
      <c r="EG266" s="127">
        <v>1086.67</v>
      </c>
      <c r="EH266" s="127"/>
      <c r="EI266" s="126">
        <v>3.04</v>
      </c>
      <c r="EK266" s="240">
        <v>475.57069000000013</v>
      </c>
      <c r="EL266" s="435"/>
      <c r="EM266" s="53">
        <v>130.57448261000002</v>
      </c>
      <c r="EN266" s="52"/>
      <c r="EO266" s="53">
        <f t="shared" si="151"/>
        <v>609.18517261000011</v>
      </c>
      <c r="EQ266" s="122">
        <v>46057</v>
      </c>
      <c r="ER266" s="123">
        <v>2064.6</v>
      </c>
      <c r="ES266" s="259">
        <v>172.51</v>
      </c>
      <c r="ET266" s="127"/>
      <c r="EU266" s="258">
        <v>1341.5</v>
      </c>
      <c r="EW266" s="240"/>
      <c r="EX266" s="53">
        <v>242.78903569285717</v>
      </c>
      <c r="EY266" s="52"/>
      <c r="EZ266" s="53">
        <f t="shared" si="152"/>
        <v>1584.2890356928572</v>
      </c>
      <c r="FB266" s="122">
        <v>46057</v>
      </c>
      <c r="FC266" s="123">
        <v>618.53</v>
      </c>
      <c r="FD266" s="123">
        <v>250.2</v>
      </c>
      <c r="FE266" s="125"/>
      <c r="FF266" s="126"/>
      <c r="FH266" s="240"/>
      <c r="FI266" s="53"/>
      <c r="FJ266" s="52"/>
      <c r="FK266" s="53">
        <f t="shared" si="153"/>
        <v>0</v>
      </c>
    </row>
    <row r="267" spans="2:167" hidden="1" x14ac:dyDescent="0.25">
      <c r="B267" s="122">
        <v>46058</v>
      </c>
      <c r="C267" s="123">
        <v>13855.91</v>
      </c>
      <c r="D267" s="125"/>
      <c r="E267" s="125"/>
      <c r="F267" s="125">
        <v>3.47</v>
      </c>
      <c r="H267" s="240">
        <v>103.33886999999996</v>
      </c>
      <c r="I267" s="53">
        <v>32.514458474285732</v>
      </c>
      <c r="J267" s="52"/>
      <c r="K267" s="53">
        <f t="shared" si="140"/>
        <v>139.32332847428569</v>
      </c>
      <c r="M267" s="122">
        <v>46058</v>
      </c>
      <c r="N267" s="123">
        <v>2627.3</v>
      </c>
      <c r="O267" s="125"/>
      <c r="P267" s="126"/>
      <c r="R267" s="240"/>
      <c r="S267" s="53">
        <v>17.049851900000021</v>
      </c>
      <c r="T267" s="52"/>
      <c r="U267" s="53">
        <f t="shared" si="141"/>
        <v>17.049851900000021</v>
      </c>
      <c r="W267" s="122">
        <v>46058</v>
      </c>
      <c r="X267" s="123">
        <v>1030.8699999999999</v>
      </c>
      <c r="Y267" s="123">
        <v>240.7</v>
      </c>
      <c r="Z267" s="125"/>
      <c r="AA267" s="273">
        <v>5.7</v>
      </c>
      <c r="AC267" s="240"/>
      <c r="AD267" s="53"/>
      <c r="AE267" s="52"/>
      <c r="AF267" s="53">
        <f t="shared" si="142"/>
        <v>5.7</v>
      </c>
      <c r="AI267" s="122">
        <v>46058</v>
      </c>
      <c r="AJ267" s="123">
        <v>2038.5</v>
      </c>
      <c r="AK267" s="125"/>
      <c r="AL267" s="126"/>
      <c r="AN267" s="240"/>
      <c r="AO267" s="53"/>
      <c r="AP267" s="52"/>
      <c r="AQ267" s="53">
        <f t="shared" si="143"/>
        <v>0</v>
      </c>
      <c r="AS267" s="122">
        <v>46058</v>
      </c>
      <c r="AT267" s="123">
        <v>3730.69</v>
      </c>
      <c r="AU267" s="125"/>
      <c r="AV267" s="128"/>
      <c r="AX267" s="240"/>
      <c r="AY267" s="53"/>
      <c r="AZ267" s="52"/>
      <c r="BA267" s="53">
        <f t="shared" si="144"/>
        <v>0</v>
      </c>
      <c r="BC267" s="122">
        <v>46058</v>
      </c>
      <c r="BD267" s="123">
        <v>1822.5</v>
      </c>
      <c r="BE267" s="125"/>
      <c r="BF267" s="128"/>
      <c r="BH267" s="240"/>
      <c r="BI267" s="53"/>
      <c r="BJ267" s="52"/>
      <c r="BK267" s="53">
        <f t="shared" si="145"/>
        <v>0</v>
      </c>
      <c r="BM267" s="122">
        <v>46058</v>
      </c>
      <c r="BN267" s="123">
        <v>11044.47</v>
      </c>
      <c r="BO267" s="123">
        <v>3928.69</v>
      </c>
      <c r="BP267" s="123">
        <v>9642.16</v>
      </c>
      <c r="BQ267" s="125"/>
      <c r="BR267" s="125"/>
      <c r="BT267" s="240">
        <v>227.81015999999994</v>
      </c>
      <c r="BU267" s="53"/>
      <c r="BV267" s="52"/>
      <c r="BW267" s="53">
        <f t="shared" si="139"/>
        <v>227.81015999999994</v>
      </c>
      <c r="BY267" s="122">
        <v>46058</v>
      </c>
      <c r="BZ267" s="256">
        <v>1614.75</v>
      </c>
      <c r="CA267" s="257">
        <v>478.27</v>
      </c>
      <c r="CB267" s="125"/>
      <c r="CC267" s="126"/>
      <c r="CE267" s="240"/>
      <c r="CF267" s="53"/>
      <c r="CG267" s="52"/>
      <c r="CH267" s="53">
        <f t="shared" si="146"/>
        <v>0</v>
      </c>
      <c r="CJ267" s="122">
        <v>46058</v>
      </c>
      <c r="CK267" s="352">
        <v>4466.1399999999994</v>
      </c>
      <c r="CL267" s="351">
        <v>397.02</v>
      </c>
      <c r="CM267" s="125"/>
      <c r="CN267" s="353">
        <v>0</v>
      </c>
      <c r="CP267" s="240">
        <v>551.22784000000001</v>
      </c>
      <c r="CQ267" s="53"/>
      <c r="CR267" s="52"/>
      <c r="CS267" s="53">
        <f t="shared" si="147"/>
        <v>551.22784000000001</v>
      </c>
      <c r="CU267" s="122">
        <v>46058</v>
      </c>
      <c r="CV267" s="123">
        <v>19133.7</v>
      </c>
      <c r="CW267" s="127">
        <v>972.13</v>
      </c>
      <c r="CX267" s="125"/>
      <c r="CY267" s="126">
        <v>168.28</v>
      </c>
      <c r="DA267" s="240">
        <v>2249.1000000000049</v>
      </c>
      <c r="DB267" s="435"/>
      <c r="DC267" s="53"/>
      <c r="DD267" s="52"/>
      <c r="DE267" s="53">
        <f t="shared" si="148"/>
        <v>2417.3800000000051</v>
      </c>
      <c r="DH267" s="122">
        <v>46058</v>
      </c>
      <c r="DI267" s="123">
        <v>858.71</v>
      </c>
      <c r="DJ267" s="127">
        <v>45</v>
      </c>
      <c r="DK267" s="259">
        <v>0</v>
      </c>
      <c r="DL267" s="127"/>
      <c r="DM267" s="126">
        <v>0</v>
      </c>
      <c r="DO267" s="240"/>
      <c r="DP267" s="53">
        <v>22.317588099999995</v>
      </c>
      <c r="DQ267" s="53"/>
      <c r="DR267" s="53">
        <f t="shared" si="149"/>
        <v>22.317588099999995</v>
      </c>
      <c r="DT267" s="122">
        <v>46058</v>
      </c>
      <c r="DU267" s="123">
        <v>1705.49</v>
      </c>
      <c r="DV267" s="127">
        <v>1183.95</v>
      </c>
      <c r="DW267" s="127"/>
      <c r="DX267" s="126">
        <v>22.46</v>
      </c>
      <c r="DZ267" s="240"/>
      <c r="EA267" s="53">
        <v>43.44213545904762</v>
      </c>
      <c r="EB267" s="52"/>
      <c r="EC267" s="53">
        <f t="shared" si="150"/>
        <v>65.902135459047628</v>
      </c>
      <c r="EE267" s="122">
        <v>46058</v>
      </c>
      <c r="EF267" s="123">
        <v>1101.8800000000001</v>
      </c>
      <c r="EG267" s="127">
        <v>731.42</v>
      </c>
      <c r="EH267" s="127"/>
      <c r="EI267" s="126">
        <v>5.85</v>
      </c>
      <c r="EK267" s="240">
        <v>581.13264000000015</v>
      </c>
      <c r="EL267" s="435"/>
      <c r="EM267" s="53">
        <v>79.407987586666678</v>
      </c>
      <c r="EN267" s="52"/>
      <c r="EO267" s="53">
        <f t="shared" si="151"/>
        <v>666.39062758666682</v>
      </c>
      <c r="EQ267" s="122">
        <v>46058</v>
      </c>
      <c r="ER267" s="123">
        <v>3305.09</v>
      </c>
      <c r="ES267" s="259">
        <v>539.32000000000005</v>
      </c>
      <c r="ET267" s="127"/>
      <c r="EU267" s="258">
        <v>1381.81</v>
      </c>
      <c r="EW267" s="240"/>
      <c r="EX267" s="53">
        <v>40.348334285714316</v>
      </c>
      <c r="EY267" s="52"/>
      <c r="EZ267" s="53">
        <f t="shared" si="152"/>
        <v>1422.1583342857143</v>
      </c>
      <c r="FB267" s="122">
        <v>46058</v>
      </c>
      <c r="FC267" s="123">
        <v>800.23</v>
      </c>
      <c r="FD267" s="123">
        <v>84.2</v>
      </c>
      <c r="FE267" s="125"/>
      <c r="FF267" s="126"/>
      <c r="FH267" s="240"/>
      <c r="FI267" s="53"/>
      <c r="FJ267" s="52"/>
      <c r="FK267" s="53">
        <f t="shared" si="153"/>
        <v>0</v>
      </c>
    </row>
    <row r="268" spans="2:167" hidden="1" x14ac:dyDescent="0.25">
      <c r="B268" s="122">
        <v>46059</v>
      </c>
      <c r="C268" s="123">
        <v>16838.080000000002</v>
      </c>
      <c r="D268" s="125"/>
      <c r="E268" s="125"/>
      <c r="F268" s="125">
        <v>10.54</v>
      </c>
      <c r="H268" s="240">
        <v>25.798500000000018</v>
      </c>
      <c r="I268" s="53"/>
      <c r="J268" s="52"/>
      <c r="K268" s="53">
        <f t="shared" si="140"/>
        <v>36.338500000000018</v>
      </c>
      <c r="M268" s="122">
        <v>46059</v>
      </c>
      <c r="N268" s="123">
        <v>3763.02</v>
      </c>
      <c r="O268" s="125"/>
      <c r="P268" s="126"/>
      <c r="R268" s="240"/>
      <c r="S268" s="53"/>
      <c r="T268" s="52"/>
      <c r="U268" s="53">
        <f t="shared" si="141"/>
        <v>0</v>
      </c>
      <c r="W268" s="122">
        <v>46059</v>
      </c>
      <c r="X268" s="123">
        <v>1618.65</v>
      </c>
      <c r="Y268" s="123">
        <v>253.35</v>
      </c>
      <c r="Z268" s="125"/>
      <c r="AA268" s="273">
        <v>3.98</v>
      </c>
      <c r="AC268" s="240"/>
      <c r="AD268" s="53"/>
      <c r="AE268" s="52"/>
      <c r="AF268" s="53">
        <f t="shared" si="142"/>
        <v>3.98</v>
      </c>
      <c r="AI268" s="122">
        <v>46059</v>
      </c>
      <c r="AJ268" s="123">
        <v>1614.82</v>
      </c>
      <c r="AK268" s="125"/>
      <c r="AL268" s="126"/>
      <c r="AN268" s="240"/>
      <c r="AO268" s="53"/>
      <c r="AP268" s="52"/>
      <c r="AQ268" s="53">
        <f t="shared" si="143"/>
        <v>0</v>
      </c>
      <c r="AS268" s="122">
        <v>46059</v>
      </c>
      <c r="AT268" s="123">
        <v>3323.5</v>
      </c>
      <c r="AU268" s="125"/>
      <c r="AV268" s="128"/>
      <c r="AX268" s="240"/>
      <c r="AY268" s="53"/>
      <c r="AZ268" s="52"/>
      <c r="BA268" s="53">
        <f t="shared" si="144"/>
        <v>0</v>
      </c>
      <c r="BC268" s="122">
        <v>46059</v>
      </c>
      <c r="BD268" s="123">
        <v>2114.14</v>
      </c>
      <c r="BE268" s="125"/>
      <c r="BF268" s="128"/>
      <c r="BH268" s="240">
        <v>21.419279999999986</v>
      </c>
      <c r="BI268" s="53"/>
      <c r="BJ268" s="52"/>
      <c r="BK268" s="53">
        <f t="shared" si="145"/>
        <v>21.419279999999986</v>
      </c>
      <c r="BM268" s="122">
        <v>46059</v>
      </c>
      <c r="BN268" s="123">
        <v>10899.18</v>
      </c>
      <c r="BO268" s="123">
        <v>4100.97</v>
      </c>
      <c r="BP268" s="123">
        <v>9944.74</v>
      </c>
      <c r="BQ268" s="125"/>
      <c r="BR268" s="125"/>
      <c r="BT268" s="240">
        <v>201.94035999999991</v>
      </c>
      <c r="BU268" s="53">
        <v>652.67999999999984</v>
      </c>
      <c r="BV268" s="52"/>
      <c r="BW268" s="53">
        <f t="shared" si="139"/>
        <v>854.62035999999978</v>
      </c>
      <c r="BY268" s="122">
        <v>46059</v>
      </c>
      <c r="BZ268" s="256">
        <v>566.42999999999995</v>
      </c>
      <c r="CA268" s="257">
        <v>560.45000000000005</v>
      </c>
      <c r="CB268" s="125"/>
      <c r="CC268" s="126"/>
      <c r="CE268" s="240"/>
      <c r="CF268" s="53"/>
      <c r="CG268" s="52"/>
      <c r="CH268" s="53">
        <f t="shared" si="146"/>
        <v>0</v>
      </c>
      <c r="CJ268" s="122">
        <v>46059</v>
      </c>
      <c r="CK268" s="352">
        <v>6272.26</v>
      </c>
      <c r="CL268" s="351">
        <v>364.46</v>
      </c>
      <c r="CM268" s="125"/>
      <c r="CN268" s="353">
        <v>25.38</v>
      </c>
      <c r="CP268" s="240">
        <v>221.34999999999997</v>
      </c>
      <c r="CQ268" s="53"/>
      <c r="CR268" s="52"/>
      <c r="CS268" s="53">
        <f t="shared" si="147"/>
        <v>246.72999999999996</v>
      </c>
      <c r="CU268" s="122">
        <v>46059</v>
      </c>
      <c r="CV268" s="123">
        <v>14449.52</v>
      </c>
      <c r="CW268" s="127">
        <v>1531.23</v>
      </c>
      <c r="CX268" s="125"/>
      <c r="CY268" s="126">
        <v>43.78</v>
      </c>
      <c r="DA268" s="240"/>
      <c r="DB268" s="435"/>
      <c r="DC268" s="53"/>
      <c r="DD268" s="52"/>
      <c r="DE268" s="53">
        <f t="shared" si="148"/>
        <v>43.78</v>
      </c>
      <c r="DH268" s="122">
        <v>46059</v>
      </c>
      <c r="DI268" s="123">
        <v>2162.11</v>
      </c>
      <c r="DJ268" s="259">
        <v>438.77</v>
      </c>
      <c r="DK268" s="259">
        <v>0</v>
      </c>
      <c r="DL268" s="127"/>
      <c r="DM268" s="126">
        <v>8.58</v>
      </c>
      <c r="DO268" s="240">
        <v>29.995350000000002</v>
      </c>
      <c r="DP268" s="53"/>
      <c r="DQ268" s="53"/>
      <c r="DR268" s="53">
        <f t="shared" si="149"/>
        <v>38.57535</v>
      </c>
      <c r="DT268" s="122">
        <v>46059</v>
      </c>
      <c r="DU268" s="123">
        <v>1896.41</v>
      </c>
      <c r="DV268" s="259">
        <v>1223.54</v>
      </c>
      <c r="DW268" s="127"/>
      <c r="DX268" s="126">
        <v>31.45</v>
      </c>
      <c r="DZ268" s="240"/>
      <c r="EA268" s="53"/>
      <c r="EB268" s="52"/>
      <c r="EC268" s="53">
        <f t="shared" si="150"/>
        <v>31.45</v>
      </c>
      <c r="EE268" s="122">
        <v>46059</v>
      </c>
      <c r="EF268" s="123">
        <v>1613.24</v>
      </c>
      <c r="EG268" s="127">
        <v>1248.45</v>
      </c>
      <c r="EH268" s="127"/>
      <c r="EI268" s="126">
        <v>10.85</v>
      </c>
      <c r="EK268" s="240">
        <v>421.7405</v>
      </c>
      <c r="EL268" s="435"/>
      <c r="EM268" s="53">
        <v>37.104007211428581</v>
      </c>
      <c r="EN268" s="52"/>
      <c r="EO268" s="53">
        <f t="shared" si="151"/>
        <v>469.69450721142857</v>
      </c>
      <c r="EQ268" s="122">
        <v>46059</v>
      </c>
      <c r="ER268" s="123">
        <v>4800.78</v>
      </c>
      <c r="ES268" s="259">
        <v>285.82</v>
      </c>
      <c r="ET268" s="127"/>
      <c r="EU268" s="258">
        <v>2662.07</v>
      </c>
      <c r="EW268" s="240"/>
      <c r="EX268" s="53"/>
      <c r="EY268" s="52"/>
      <c r="EZ268" s="53">
        <f t="shared" si="152"/>
        <v>2662.07</v>
      </c>
      <c r="FB268" s="122">
        <v>46059</v>
      </c>
      <c r="FC268" s="123">
        <v>1122.08</v>
      </c>
      <c r="FD268" s="123">
        <v>239.81</v>
      </c>
      <c r="FE268" s="125"/>
      <c r="FF268" s="126"/>
      <c r="FH268" s="240"/>
      <c r="FI268" s="53"/>
      <c r="FJ268" s="52"/>
      <c r="FK268" s="53">
        <f t="shared" si="153"/>
        <v>0</v>
      </c>
    </row>
    <row r="269" spans="2:167" hidden="1" x14ac:dyDescent="0.25">
      <c r="B269" s="122">
        <v>46060</v>
      </c>
      <c r="C269" s="123">
        <v>20586.71</v>
      </c>
      <c r="D269" s="125"/>
      <c r="E269" s="125"/>
      <c r="F269" s="125">
        <v>0</v>
      </c>
      <c r="H269" s="240">
        <v>19.514039999999994</v>
      </c>
      <c r="I269" s="53"/>
      <c r="J269" s="52"/>
      <c r="K269" s="53">
        <f t="shared" si="140"/>
        <v>19.514039999999994</v>
      </c>
      <c r="M269" s="122">
        <v>46060</v>
      </c>
      <c r="N269" s="123">
        <v>3363.13</v>
      </c>
      <c r="O269" s="125"/>
      <c r="P269" s="126"/>
      <c r="R269" s="240"/>
      <c r="S269" s="53"/>
      <c r="T269" s="52"/>
      <c r="U269" s="53">
        <f t="shared" si="141"/>
        <v>0</v>
      </c>
      <c r="W269" s="122">
        <v>46060</v>
      </c>
      <c r="X269" s="123">
        <v>1125.8499999999999</v>
      </c>
      <c r="Y269" s="123">
        <v>76.12</v>
      </c>
      <c r="Z269" s="125"/>
      <c r="AA269" s="273">
        <v>1.21</v>
      </c>
      <c r="AC269" s="240"/>
      <c r="AD269" s="53"/>
      <c r="AE269" s="52"/>
      <c r="AF269" s="53">
        <f t="shared" si="142"/>
        <v>1.21</v>
      </c>
      <c r="AI269" s="122">
        <v>46060</v>
      </c>
      <c r="AJ269" s="123">
        <v>1479.47</v>
      </c>
      <c r="AK269" s="125"/>
      <c r="AL269" s="126"/>
      <c r="AN269" s="240"/>
      <c r="AO269" s="53"/>
      <c r="AP269" s="52"/>
      <c r="AQ269" s="53">
        <f t="shared" si="143"/>
        <v>0</v>
      </c>
      <c r="AS269" s="122">
        <v>46060</v>
      </c>
      <c r="AT269" s="123">
        <v>3676.35</v>
      </c>
      <c r="AU269" s="125"/>
      <c r="AV269" s="128"/>
      <c r="AX269" s="240"/>
      <c r="AY269" s="53"/>
      <c r="AZ269" s="52"/>
      <c r="BA269" s="53">
        <f t="shared" si="144"/>
        <v>0</v>
      </c>
      <c r="BC269" s="122">
        <v>46060</v>
      </c>
      <c r="BD269" s="123">
        <v>3401.3</v>
      </c>
      <c r="BE269" s="125"/>
      <c r="BF269" s="128"/>
      <c r="BH269" s="240"/>
      <c r="BI269" s="53"/>
      <c r="BJ269" s="52"/>
      <c r="BK269" s="53">
        <f t="shared" si="145"/>
        <v>0</v>
      </c>
      <c r="BM269" s="122">
        <v>46060</v>
      </c>
      <c r="BN269" s="123">
        <v>11308.07</v>
      </c>
      <c r="BO269" s="123">
        <v>4487.2299999999996</v>
      </c>
      <c r="BP269" s="123">
        <v>9845.7900000000009</v>
      </c>
      <c r="BQ269" s="125"/>
      <c r="BR269" s="125"/>
      <c r="BT269" s="240">
        <v>78.373089999999991</v>
      </c>
      <c r="BU269" s="53"/>
      <c r="BV269" s="52"/>
      <c r="BW269" s="53">
        <f t="shared" si="139"/>
        <v>78.373089999999991</v>
      </c>
      <c r="BY269" s="122">
        <v>46060</v>
      </c>
      <c r="BZ269" s="256">
        <v>382.97</v>
      </c>
      <c r="CA269" s="257">
        <v>363.9</v>
      </c>
      <c r="CB269" s="125"/>
      <c r="CC269" s="126"/>
      <c r="CE269" s="240"/>
      <c r="CF269" s="53"/>
      <c r="CG269" s="52"/>
      <c r="CH269" s="53">
        <f t="shared" si="146"/>
        <v>0</v>
      </c>
      <c r="CJ269" s="122">
        <v>46060</v>
      </c>
      <c r="CK269" s="352">
        <v>4690.7300000000005</v>
      </c>
      <c r="CL269" s="351">
        <v>258.64</v>
      </c>
      <c r="CM269" s="125"/>
      <c r="CN269" s="353">
        <v>8.4600000000000009</v>
      </c>
      <c r="CP269" s="240">
        <v>42.001519999999992</v>
      </c>
      <c r="CQ269" s="53"/>
      <c r="CR269" s="52"/>
      <c r="CS269" s="53">
        <f t="shared" si="147"/>
        <v>50.461519999999993</v>
      </c>
      <c r="CU269" s="122">
        <v>46060</v>
      </c>
      <c r="CV269" s="123">
        <v>5122.87</v>
      </c>
      <c r="CW269" s="127">
        <v>1334.06</v>
      </c>
      <c r="CX269" s="125"/>
      <c r="CY269" s="126">
        <v>131.77000000000001</v>
      </c>
      <c r="DA269" s="240">
        <v>267.51999999999992</v>
      </c>
      <c r="DB269" s="435"/>
      <c r="DC269" s="53"/>
      <c r="DD269" s="52"/>
      <c r="DE269" s="53">
        <f t="shared" si="148"/>
        <v>399.28999999999996</v>
      </c>
      <c r="DH269" s="122">
        <v>46060</v>
      </c>
      <c r="DI269" s="123">
        <v>1452.43</v>
      </c>
      <c r="DJ269" s="127">
        <v>480.83</v>
      </c>
      <c r="DK269" s="259">
        <v>0</v>
      </c>
      <c r="DL269" s="127"/>
      <c r="DM269" s="126">
        <v>0</v>
      </c>
      <c r="DO269" s="240"/>
      <c r="DP269" s="53"/>
      <c r="DQ269" s="53"/>
      <c r="DR269" s="53">
        <f t="shared" si="149"/>
        <v>0</v>
      </c>
      <c r="DT269" s="122">
        <v>46060</v>
      </c>
      <c r="DU269" s="123">
        <v>934.77</v>
      </c>
      <c r="DV269" s="127">
        <v>1074.28</v>
      </c>
      <c r="DW269" s="127"/>
      <c r="DX269" s="126">
        <v>10.199999999999999</v>
      </c>
      <c r="DZ269" s="240"/>
      <c r="EA269" s="53"/>
      <c r="EB269" s="52"/>
      <c r="EC269" s="53">
        <f t="shared" si="150"/>
        <v>10.199999999999999</v>
      </c>
      <c r="EE269" s="122">
        <v>46060</v>
      </c>
      <c r="EF269" s="123">
        <v>1156.01</v>
      </c>
      <c r="EG269" s="127">
        <v>1162.0999999999999</v>
      </c>
      <c r="EH269" s="127"/>
      <c r="EI269" s="126">
        <v>5.22</v>
      </c>
      <c r="EK269" s="240">
        <v>303.01452</v>
      </c>
      <c r="EL269" s="435"/>
      <c r="EM269" s="53">
        <v>87.101856809523838</v>
      </c>
      <c r="EN269" s="52"/>
      <c r="EO269" s="53">
        <f t="shared" si="151"/>
        <v>395.33637680952387</v>
      </c>
      <c r="EQ269" s="122">
        <v>46060</v>
      </c>
      <c r="ER269" s="123">
        <v>3378.44</v>
      </c>
      <c r="ES269" s="259">
        <v>217.65</v>
      </c>
      <c r="ET269" s="127"/>
      <c r="EU269" s="258">
        <v>170.35</v>
      </c>
      <c r="EW269" s="240"/>
      <c r="EX269" s="53"/>
      <c r="EY269" s="52"/>
      <c r="EZ269" s="53">
        <f t="shared" si="152"/>
        <v>170.35</v>
      </c>
      <c r="FB269" s="122">
        <v>46060</v>
      </c>
      <c r="FC269" s="123">
        <v>821.06</v>
      </c>
      <c r="FD269" s="123">
        <v>127</v>
      </c>
      <c r="FE269" s="125"/>
      <c r="FF269" s="126"/>
      <c r="FH269" s="240"/>
      <c r="FI269" s="53"/>
      <c r="FJ269" s="52"/>
      <c r="FK269" s="53">
        <f t="shared" si="153"/>
        <v>0</v>
      </c>
    </row>
    <row r="270" spans="2:167" hidden="1" x14ac:dyDescent="0.25">
      <c r="B270" s="122">
        <v>46061</v>
      </c>
      <c r="C270" s="123">
        <v>17303.310000000001</v>
      </c>
      <c r="D270" s="125"/>
      <c r="E270" s="125"/>
      <c r="F270" s="125">
        <v>0</v>
      </c>
      <c r="H270" s="240">
        <v>3.8679299999999728</v>
      </c>
      <c r="I270" s="53"/>
      <c r="J270" s="52"/>
      <c r="K270" s="53">
        <f t="shared" si="140"/>
        <v>3.8679299999999728</v>
      </c>
      <c r="M270" s="122">
        <v>46061</v>
      </c>
      <c r="N270" s="123">
        <v>3276.18</v>
      </c>
      <c r="O270" s="125"/>
      <c r="P270" s="126"/>
      <c r="R270" s="240"/>
      <c r="S270" s="53"/>
      <c r="T270" s="52"/>
      <c r="U270" s="53">
        <f t="shared" si="141"/>
        <v>0</v>
      </c>
      <c r="W270" s="122">
        <v>46061</v>
      </c>
      <c r="X270" s="123">
        <v>1376.24</v>
      </c>
      <c r="Y270" s="123">
        <v>10</v>
      </c>
      <c r="Z270" s="125"/>
      <c r="AA270" s="273">
        <v>3.44</v>
      </c>
      <c r="AC270" s="240">
        <v>33.218559999999997</v>
      </c>
      <c r="AD270" s="53"/>
      <c r="AE270" s="52"/>
      <c r="AF270" s="53">
        <f t="shared" si="142"/>
        <v>36.658559999999994</v>
      </c>
      <c r="AI270" s="122">
        <v>46061</v>
      </c>
      <c r="AJ270" s="123">
        <v>938.85</v>
      </c>
      <c r="AK270" s="125"/>
      <c r="AL270" s="126"/>
      <c r="AN270" s="240"/>
      <c r="AO270" s="53"/>
      <c r="AP270" s="52"/>
      <c r="AQ270" s="53">
        <f t="shared" si="143"/>
        <v>0</v>
      </c>
      <c r="AS270" s="122">
        <v>46061</v>
      </c>
      <c r="AT270" s="123">
        <v>2056.4699999999998</v>
      </c>
      <c r="AU270" s="125"/>
      <c r="AV270" s="128"/>
      <c r="AX270" s="240"/>
      <c r="AY270" s="53"/>
      <c r="AZ270" s="52"/>
      <c r="BA270" s="53">
        <f t="shared" si="144"/>
        <v>0</v>
      </c>
      <c r="BC270" s="122">
        <v>46061</v>
      </c>
      <c r="BD270" s="123">
        <v>1732.1</v>
      </c>
      <c r="BE270" s="125"/>
      <c r="BF270" s="128"/>
      <c r="BH270" s="240">
        <v>98.69339999999994</v>
      </c>
      <c r="BI270" s="53"/>
      <c r="BJ270" s="52"/>
      <c r="BK270" s="53">
        <f t="shared" si="145"/>
        <v>98.69339999999994</v>
      </c>
      <c r="BM270" s="122">
        <v>46061</v>
      </c>
      <c r="BN270" s="123">
        <v>6934.85</v>
      </c>
      <c r="BO270" s="123">
        <v>1772.72</v>
      </c>
      <c r="BP270" s="123">
        <v>5620.49</v>
      </c>
      <c r="BQ270" s="125"/>
      <c r="BR270" s="125"/>
      <c r="BT270" s="240">
        <v>156.04979999999992</v>
      </c>
      <c r="BU270" s="53"/>
      <c r="BV270" s="52"/>
      <c r="BW270" s="53">
        <f t="shared" si="139"/>
        <v>156.04979999999992</v>
      </c>
      <c r="BY270" s="122">
        <v>46061</v>
      </c>
      <c r="BZ270" s="256">
        <v>914.67</v>
      </c>
      <c r="CA270" s="257">
        <v>601.28</v>
      </c>
      <c r="CB270" s="125"/>
      <c r="CC270" s="126"/>
      <c r="CE270" s="240"/>
      <c r="CF270" s="53"/>
      <c r="CG270" s="52"/>
      <c r="CH270" s="53">
        <f t="shared" si="146"/>
        <v>0</v>
      </c>
      <c r="CJ270" s="122">
        <v>46061</v>
      </c>
      <c r="CK270" s="352">
        <v>2817.79</v>
      </c>
      <c r="CL270" s="351">
        <v>365.19</v>
      </c>
      <c r="CM270" s="125"/>
      <c r="CN270" s="353">
        <v>0</v>
      </c>
      <c r="CP270" s="240">
        <v>188.54098999999999</v>
      </c>
      <c r="CQ270" s="53"/>
      <c r="CR270" s="52"/>
      <c r="CS270" s="53">
        <f t="shared" si="147"/>
        <v>188.54098999999999</v>
      </c>
      <c r="CU270" s="122">
        <v>46061</v>
      </c>
      <c r="CV270" s="123">
        <v>3206.92</v>
      </c>
      <c r="CW270" s="127">
        <v>910.55</v>
      </c>
      <c r="CX270" s="125"/>
      <c r="CY270" s="126">
        <v>78.28</v>
      </c>
      <c r="DA270" s="240">
        <v>478.11243999999942</v>
      </c>
      <c r="DB270" s="435"/>
      <c r="DC270" s="53"/>
      <c r="DD270" s="52"/>
      <c r="DE270" s="53">
        <f t="shared" si="148"/>
        <v>556.3924399999994</v>
      </c>
      <c r="DH270" s="122">
        <v>46061</v>
      </c>
      <c r="DI270" s="123">
        <v>919.21</v>
      </c>
      <c r="DJ270" s="127">
        <v>334.09</v>
      </c>
      <c r="DK270" s="259">
        <v>0</v>
      </c>
      <c r="DL270" s="127"/>
      <c r="DM270" s="126">
        <v>0</v>
      </c>
      <c r="DO270" s="240"/>
      <c r="DP270" s="53"/>
      <c r="DQ270" s="53"/>
      <c r="DR270" s="53">
        <f t="shared" si="149"/>
        <v>0</v>
      </c>
      <c r="DT270" s="122">
        <v>46061</v>
      </c>
      <c r="DU270" s="123">
        <v>1600.29</v>
      </c>
      <c r="DV270" s="127">
        <v>1213.02</v>
      </c>
      <c r="DW270" s="127"/>
      <c r="DX270" s="126">
        <v>3.65</v>
      </c>
      <c r="DZ270" s="240"/>
      <c r="EA270" s="53"/>
      <c r="EB270" s="52"/>
      <c r="EC270" s="53">
        <f t="shared" si="150"/>
        <v>3.65</v>
      </c>
      <c r="EE270" s="122">
        <v>46061</v>
      </c>
      <c r="EF270" s="123">
        <v>1276.6300000000001</v>
      </c>
      <c r="EG270" s="127">
        <v>717.24</v>
      </c>
      <c r="EH270" s="127"/>
      <c r="EI270" s="126">
        <v>8.73</v>
      </c>
      <c r="EK270" s="240">
        <v>106.48103</v>
      </c>
      <c r="EL270" s="435"/>
      <c r="EM270" s="53"/>
      <c r="EN270" s="52"/>
      <c r="EO270" s="53">
        <f t="shared" si="151"/>
        <v>115.21103000000001</v>
      </c>
      <c r="EQ270" s="122">
        <v>46061</v>
      </c>
      <c r="ER270" s="123">
        <v>4455.43</v>
      </c>
      <c r="ES270" s="259">
        <v>337.73</v>
      </c>
      <c r="ET270" s="127"/>
      <c r="EU270" s="258">
        <v>92.22</v>
      </c>
      <c r="EW270" s="240"/>
      <c r="EX270" s="53"/>
      <c r="EY270" s="52"/>
      <c r="EZ270" s="53">
        <f t="shared" si="152"/>
        <v>92.22</v>
      </c>
      <c r="FB270" s="122">
        <v>46061</v>
      </c>
      <c r="FC270" s="123">
        <v>923.4</v>
      </c>
      <c r="FD270" s="123">
        <v>135.02000000000001</v>
      </c>
      <c r="FE270" s="125"/>
      <c r="FF270" s="126"/>
      <c r="FH270" s="240"/>
      <c r="FI270" s="53"/>
      <c r="FJ270" s="52"/>
      <c r="FK270" s="53">
        <f t="shared" si="153"/>
        <v>0</v>
      </c>
    </row>
    <row r="271" spans="2:167" hidden="1" x14ac:dyDescent="0.25">
      <c r="B271" s="122">
        <v>46062</v>
      </c>
      <c r="C271" s="123">
        <v>14211.58</v>
      </c>
      <c r="D271" s="125"/>
      <c r="E271" s="125"/>
      <c r="F271" s="125">
        <v>0</v>
      </c>
      <c r="H271" s="240">
        <v>15.091439999999992</v>
      </c>
      <c r="I271" s="53"/>
      <c r="J271" s="52"/>
      <c r="K271" s="53">
        <f t="shared" si="140"/>
        <v>15.091439999999992</v>
      </c>
      <c r="M271" s="122">
        <v>46062</v>
      </c>
      <c r="N271" s="126">
        <v>3735.4</v>
      </c>
      <c r="O271" s="125"/>
      <c r="P271" s="126"/>
      <c r="R271" s="240">
        <v>101.90000000000003</v>
      </c>
      <c r="S271" s="53"/>
      <c r="T271" s="52"/>
      <c r="U271" s="53">
        <f t="shared" si="141"/>
        <v>101.90000000000003</v>
      </c>
      <c r="W271" s="122">
        <v>46062</v>
      </c>
      <c r="X271" s="123">
        <v>1726.58</v>
      </c>
      <c r="Y271" s="123">
        <v>131.63999999999999</v>
      </c>
      <c r="Z271" s="125"/>
      <c r="AA271" s="273">
        <v>40</v>
      </c>
      <c r="AC271" s="240"/>
      <c r="AD271" s="53"/>
      <c r="AE271" s="52"/>
      <c r="AF271" s="53">
        <f t="shared" si="142"/>
        <v>40</v>
      </c>
      <c r="AI271" s="122">
        <v>46062</v>
      </c>
      <c r="AJ271" s="123">
        <v>1722.09</v>
      </c>
      <c r="AK271" s="125"/>
      <c r="AL271" s="126"/>
      <c r="AN271" s="240"/>
      <c r="AO271" s="53"/>
      <c r="AP271" s="52"/>
      <c r="AQ271" s="53">
        <f t="shared" si="143"/>
        <v>0</v>
      </c>
      <c r="AS271" s="122">
        <v>46062</v>
      </c>
      <c r="AT271" s="123">
        <v>3542.31</v>
      </c>
      <c r="AU271" s="125"/>
      <c r="AV271" s="128"/>
      <c r="AX271" s="240"/>
      <c r="AY271" s="53"/>
      <c r="AZ271" s="52"/>
      <c r="BA271" s="53">
        <f t="shared" si="144"/>
        <v>0</v>
      </c>
      <c r="BC271" s="122">
        <v>46062</v>
      </c>
      <c r="BD271" s="123">
        <v>2176.3200000000002</v>
      </c>
      <c r="BE271" s="125"/>
      <c r="BF271" s="128"/>
      <c r="BH271" s="240">
        <v>4.4388000000000147</v>
      </c>
      <c r="BI271" s="53"/>
      <c r="BJ271" s="52"/>
      <c r="BK271" s="53">
        <f t="shared" si="145"/>
        <v>4.4388000000000147</v>
      </c>
      <c r="BM271" s="122">
        <v>46062</v>
      </c>
      <c r="BN271" s="123">
        <v>10672.24</v>
      </c>
      <c r="BO271" s="123">
        <v>2619.62</v>
      </c>
      <c r="BP271" s="123">
        <v>9029.66</v>
      </c>
      <c r="BQ271" s="125"/>
      <c r="BR271" s="125"/>
      <c r="BT271" s="240">
        <v>60.434979999999996</v>
      </c>
      <c r="BU271" s="53">
        <v>15.755798095238077</v>
      </c>
      <c r="BV271" s="52"/>
      <c r="BW271" s="53">
        <f t="shared" si="139"/>
        <v>76.190778095238073</v>
      </c>
      <c r="BY271" s="122">
        <v>46062</v>
      </c>
      <c r="BZ271" s="256">
        <v>589.47</v>
      </c>
      <c r="CA271" s="257">
        <v>433.71</v>
      </c>
      <c r="CB271" s="125"/>
      <c r="CC271" s="126"/>
      <c r="CE271" s="240"/>
      <c r="CF271" s="53"/>
      <c r="CG271" s="52"/>
      <c r="CH271" s="53">
        <f t="shared" si="146"/>
        <v>0</v>
      </c>
      <c r="CJ271" s="122">
        <v>46062</v>
      </c>
      <c r="CK271" s="352">
        <v>5763.5899999999992</v>
      </c>
      <c r="CL271" s="351">
        <v>608.33000000000004</v>
      </c>
      <c r="CM271" s="125"/>
      <c r="CN271" s="353">
        <v>8.6199999999999992</v>
      </c>
      <c r="CP271" s="240">
        <v>110.05035000000002</v>
      </c>
      <c r="CQ271" s="53"/>
      <c r="CR271" s="52"/>
      <c r="CS271" s="53">
        <f t="shared" si="147"/>
        <v>118.67035000000003</v>
      </c>
      <c r="CU271" s="122">
        <v>46062</v>
      </c>
      <c r="CV271" s="123">
        <v>18845.66</v>
      </c>
      <c r="CW271" s="127">
        <v>1182.8499999999999</v>
      </c>
      <c r="CX271" s="125"/>
      <c r="CY271" s="128">
        <v>154.63</v>
      </c>
      <c r="DA271" s="240">
        <v>12.869999999999997</v>
      </c>
      <c r="DB271" s="435"/>
      <c r="DC271" s="53"/>
      <c r="DD271" s="52"/>
      <c r="DE271" s="53">
        <f t="shared" si="148"/>
        <v>167.5</v>
      </c>
      <c r="DH271" s="122">
        <v>46062</v>
      </c>
      <c r="DI271" s="123">
        <v>1874.49</v>
      </c>
      <c r="DJ271" s="127">
        <v>250.38</v>
      </c>
      <c r="DK271" s="259">
        <v>0</v>
      </c>
      <c r="DL271" s="127"/>
      <c r="DM271" s="126">
        <v>0</v>
      </c>
      <c r="DO271" s="240">
        <v>18.913659999999993</v>
      </c>
      <c r="DP271" s="53"/>
      <c r="DQ271" s="53"/>
      <c r="DR271" s="53">
        <f t="shared" si="149"/>
        <v>18.913659999999993</v>
      </c>
      <c r="DT271" s="122">
        <v>46062</v>
      </c>
      <c r="DU271" s="123">
        <v>1770.48</v>
      </c>
      <c r="DV271" s="127">
        <v>1186.6300000000001</v>
      </c>
      <c r="DW271" s="127"/>
      <c r="DX271" s="126">
        <v>52.25</v>
      </c>
      <c r="DZ271" s="240"/>
      <c r="EA271" s="53"/>
      <c r="EB271" s="52"/>
      <c r="EC271" s="53">
        <f t="shared" si="150"/>
        <v>52.25</v>
      </c>
      <c r="EE271" s="122">
        <v>46062</v>
      </c>
      <c r="EF271" s="123">
        <v>986.45</v>
      </c>
      <c r="EG271" s="127">
        <v>771.77</v>
      </c>
      <c r="EH271" s="127"/>
      <c r="EI271" s="126">
        <v>3.25</v>
      </c>
      <c r="EK271" s="240">
        <v>642.87390999999991</v>
      </c>
      <c r="EL271" s="435"/>
      <c r="EM271" s="53">
        <v>74.450946344761917</v>
      </c>
      <c r="EN271" s="52"/>
      <c r="EO271" s="53">
        <f t="shared" si="151"/>
        <v>720.57485634476188</v>
      </c>
      <c r="EQ271" s="122">
        <v>46062</v>
      </c>
      <c r="ER271" s="123">
        <v>1225.8900000000001</v>
      </c>
      <c r="ES271" s="259">
        <v>260.32</v>
      </c>
      <c r="ET271" s="127"/>
      <c r="EU271" s="258">
        <v>2121.37</v>
      </c>
      <c r="EW271" s="240"/>
      <c r="EX271" s="53"/>
      <c r="EY271" s="52"/>
      <c r="EZ271" s="53">
        <f t="shared" si="152"/>
        <v>2121.37</v>
      </c>
      <c r="FB271" s="122">
        <v>46062</v>
      </c>
      <c r="FC271" s="123">
        <v>876.02</v>
      </c>
      <c r="FD271" s="123">
        <v>225.22</v>
      </c>
      <c r="FE271" s="125"/>
      <c r="FF271" s="126"/>
      <c r="FH271" s="240"/>
      <c r="FI271" s="53"/>
      <c r="FJ271" s="52"/>
      <c r="FK271" s="53">
        <f t="shared" si="153"/>
        <v>0</v>
      </c>
    </row>
    <row r="272" spans="2:167" hidden="1" x14ac:dyDescent="0.25">
      <c r="B272" s="122">
        <v>46063</v>
      </c>
      <c r="C272" s="123">
        <v>13877.6</v>
      </c>
      <c r="D272" s="125"/>
      <c r="E272" s="125"/>
      <c r="F272" s="125">
        <v>0</v>
      </c>
      <c r="H272" s="240"/>
      <c r="I272" s="53">
        <v>14.277427569142816</v>
      </c>
      <c r="J272" s="52"/>
      <c r="K272" s="53">
        <f t="shared" si="140"/>
        <v>14.277427569142816</v>
      </c>
      <c r="M272" s="122">
        <v>46063</v>
      </c>
      <c r="N272" s="123">
        <v>3090.55</v>
      </c>
      <c r="O272" s="125"/>
      <c r="P272" s="126"/>
      <c r="R272" s="240"/>
      <c r="S272" s="53"/>
      <c r="T272" s="52"/>
      <c r="U272" s="53">
        <f t="shared" si="141"/>
        <v>0</v>
      </c>
      <c r="W272" s="122">
        <v>46063</v>
      </c>
      <c r="X272" s="123">
        <v>1119.57</v>
      </c>
      <c r="Y272" s="123">
        <v>352.34</v>
      </c>
      <c r="Z272" s="125"/>
      <c r="AA272" s="273">
        <v>4.3499999999999996</v>
      </c>
      <c r="AC272" s="240">
        <v>21.055999999999983</v>
      </c>
      <c r="AD272" s="53">
        <v>13.725169642857168</v>
      </c>
      <c r="AE272" s="52"/>
      <c r="AF272" s="53">
        <f t="shared" si="142"/>
        <v>39.131169642857152</v>
      </c>
      <c r="AI272" s="122">
        <v>46063</v>
      </c>
      <c r="AJ272" s="123">
        <v>1309</v>
      </c>
      <c r="AK272" s="125"/>
      <c r="AL272" s="126"/>
      <c r="AN272" s="240"/>
      <c r="AO272" s="53"/>
      <c r="AP272" s="52"/>
      <c r="AQ272" s="53">
        <f t="shared" si="143"/>
        <v>0</v>
      </c>
      <c r="AS272" s="122">
        <v>46063</v>
      </c>
      <c r="AT272" s="123">
        <v>3589.05</v>
      </c>
      <c r="AU272" s="125"/>
      <c r="AV272" s="128"/>
      <c r="AX272" s="240"/>
      <c r="AY272" s="53"/>
      <c r="AZ272" s="52"/>
      <c r="BA272" s="53">
        <f t="shared" si="144"/>
        <v>0</v>
      </c>
      <c r="BC272" s="122">
        <v>46063</v>
      </c>
      <c r="BD272" s="123">
        <v>1618.08</v>
      </c>
      <c r="BE272" s="125"/>
      <c r="BF272" s="128"/>
      <c r="BH272" s="240"/>
      <c r="BI272" s="53"/>
      <c r="BJ272" s="52"/>
      <c r="BK272" s="53">
        <f t="shared" si="145"/>
        <v>0</v>
      </c>
      <c r="BM272" s="122">
        <v>46063</v>
      </c>
      <c r="BN272" s="123">
        <v>13251.84</v>
      </c>
      <c r="BO272" s="123">
        <v>2854.7</v>
      </c>
      <c r="BP272" s="123">
        <v>8296</v>
      </c>
      <c r="BQ272" s="125"/>
      <c r="BR272" s="125"/>
      <c r="BT272" s="240">
        <v>63.806989999999956</v>
      </c>
      <c r="BU272" s="53">
        <v>434.44615714285692</v>
      </c>
      <c r="BV272" s="52">
        <v>12.684700000000007</v>
      </c>
      <c r="BW272" s="53">
        <f t="shared" si="139"/>
        <v>510.93784714285687</v>
      </c>
      <c r="BY272" s="122">
        <v>46063</v>
      </c>
      <c r="BZ272" s="256">
        <v>848.39</v>
      </c>
      <c r="CA272" s="257">
        <v>420.47</v>
      </c>
      <c r="CB272" s="125"/>
      <c r="CC272" s="126"/>
      <c r="CE272" s="240"/>
      <c r="CF272" s="53"/>
      <c r="CG272" s="52"/>
      <c r="CH272" s="53">
        <f t="shared" si="146"/>
        <v>0</v>
      </c>
      <c r="CJ272" s="122">
        <v>46063</v>
      </c>
      <c r="CK272" s="352">
        <v>5242.7099999999991</v>
      </c>
      <c r="CL272" s="351">
        <v>604.08000000000004</v>
      </c>
      <c r="CM272" s="125"/>
      <c r="CN272" s="353">
        <v>38.299999999999997</v>
      </c>
      <c r="CP272" s="240">
        <v>47.499750000000006</v>
      </c>
      <c r="CQ272" s="53"/>
      <c r="CR272" s="52"/>
      <c r="CS272" s="53">
        <f t="shared" si="147"/>
        <v>85.799750000000003</v>
      </c>
      <c r="CU272" s="122">
        <v>46063</v>
      </c>
      <c r="CV272" s="123">
        <v>17532.560000000001</v>
      </c>
      <c r="CW272" s="127">
        <v>1023.83</v>
      </c>
      <c r="CX272" s="125"/>
      <c r="CY272" s="128">
        <v>339.86</v>
      </c>
      <c r="DA272" s="240"/>
      <c r="DB272" s="435"/>
      <c r="DC272" s="53"/>
      <c r="DD272" s="52"/>
      <c r="DE272" s="53">
        <f t="shared" si="148"/>
        <v>339.86</v>
      </c>
      <c r="DH272" s="122">
        <v>46063</v>
      </c>
      <c r="DI272" s="123">
        <v>802.94</v>
      </c>
      <c r="DJ272" s="127">
        <v>410.92</v>
      </c>
      <c r="DK272" s="259">
        <v>0</v>
      </c>
      <c r="DL272" s="127"/>
      <c r="DM272" s="126">
        <v>0</v>
      </c>
      <c r="DO272" s="240"/>
      <c r="DP272" s="53"/>
      <c r="DQ272" s="53"/>
      <c r="DR272" s="53">
        <f t="shared" si="149"/>
        <v>0</v>
      </c>
      <c r="DT272" s="122">
        <v>46063</v>
      </c>
      <c r="DU272" s="123">
        <v>1129.01</v>
      </c>
      <c r="DV272" s="127">
        <v>1013.7</v>
      </c>
      <c r="DW272" s="127"/>
      <c r="DX272" s="126">
        <v>14.42</v>
      </c>
      <c r="DZ272" s="240"/>
      <c r="EA272" s="53"/>
      <c r="EB272" s="52"/>
      <c r="EC272" s="53">
        <f t="shared" si="150"/>
        <v>14.42</v>
      </c>
      <c r="EE272" s="122">
        <v>46063</v>
      </c>
      <c r="EF272" s="123">
        <v>957.77</v>
      </c>
      <c r="EG272" s="127">
        <v>1063.74</v>
      </c>
      <c r="EH272" s="127"/>
      <c r="EI272" s="126">
        <v>3.29</v>
      </c>
      <c r="EK272" s="240">
        <v>404.77763999999991</v>
      </c>
      <c r="EL272" s="435"/>
      <c r="EM272" s="53"/>
      <c r="EN272" s="52"/>
      <c r="EO272" s="53">
        <f t="shared" si="151"/>
        <v>408.06763999999993</v>
      </c>
      <c r="EQ272" s="122">
        <v>46063</v>
      </c>
      <c r="ER272" s="123">
        <v>0</v>
      </c>
      <c r="ES272" s="259">
        <v>236.83</v>
      </c>
      <c r="ET272" s="127"/>
      <c r="EU272" s="258">
        <v>0</v>
      </c>
      <c r="EW272" s="240"/>
      <c r="EX272" s="53"/>
      <c r="EY272" s="52"/>
      <c r="EZ272" s="53">
        <f t="shared" si="152"/>
        <v>0</v>
      </c>
      <c r="FB272" s="122">
        <v>46063</v>
      </c>
      <c r="FC272" s="123">
        <v>493.79</v>
      </c>
      <c r="FD272" s="123">
        <v>148</v>
      </c>
      <c r="FE272" s="125"/>
      <c r="FF272" s="126"/>
      <c r="FH272" s="240"/>
      <c r="FI272" s="53"/>
      <c r="FJ272" s="52"/>
      <c r="FK272" s="53">
        <f t="shared" si="153"/>
        <v>0</v>
      </c>
    </row>
    <row r="273" spans="2:167" hidden="1" x14ac:dyDescent="0.25">
      <c r="B273" s="122">
        <v>46064</v>
      </c>
      <c r="C273" s="123">
        <v>16589.77</v>
      </c>
      <c r="D273" s="126"/>
      <c r="E273" s="125"/>
      <c r="F273" s="126">
        <v>0</v>
      </c>
      <c r="H273" s="240">
        <v>49.700469999999996</v>
      </c>
      <c r="I273" s="53"/>
      <c r="J273" s="52"/>
      <c r="K273" s="53">
        <f t="shared" si="140"/>
        <v>49.700469999999996</v>
      </c>
      <c r="M273" s="122">
        <v>46064</v>
      </c>
      <c r="N273" s="123">
        <v>2785.33</v>
      </c>
      <c r="O273" s="125"/>
      <c r="P273" s="126"/>
      <c r="R273" s="240"/>
      <c r="S273" s="53"/>
      <c r="T273" s="52"/>
      <c r="U273" s="53">
        <f t="shared" si="141"/>
        <v>0</v>
      </c>
      <c r="W273" s="122">
        <v>46064</v>
      </c>
      <c r="X273" s="123">
        <v>612.38</v>
      </c>
      <c r="Y273" s="123">
        <v>445.56</v>
      </c>
      <c r="Z273" s="125"/>
      <c r="AA273" s="273">
        <v>23.49</v>
      </c>
      <c r="AC273" s="240">
        <v>28.414319999999975</v>
      </c>
      <c r="AD273" s="53">
        <v>15.594647405142851</v>
      </c>
      <c r="AE273" s="52"/>
      <c r="AF273" s="53">
        <f t="shared" si="142"/>
        <v>67.498967405142821</v>
      </c>
      <c r="AI273" s="122">
        <v>46064</v>
      </c>
      <c r="AJ273" s="123">
        <v>1371</v>
      </c>
      <c r="AK273" s="125"/>
      <c r="AL273" s="126"/>
      <c r="AN273" s="240"/>
      <c r="AO273" s="53"/>
      <c r="AP273" s="52"/>
      <c r="AQ273" s="53">
        <f t="shared" si="143"/>
        <v>0</v>
      </c>
      <c r="AS273" s="122">
        <v>46064</v>
      </c>
      <c r="AT273" s="123">
        <v>938.79</v>
      </c>
      <c r="AU273" s="125"/>
      <c r="AV273" s="128"/>
      <c r="AX273" s="240"/>
      <c r="AY273" s="53"/>
      <c r="AZ273" s="52"/>
      <c r="BA273" s="53">
        <f t="shared" si="144"/>
        <v>0</v>
      </c>
      <c r="BC273" s="122">
        <v>46064</v>
      </c>
      <c r="BD273" s="123">
        <v>2204.61</v>
      </c>
      <c r="BE273" s="125"/>
      <c r="BF273" s="128"/>
      <c r="BH273" s="240"/>
      <c r="BI273" s="53"/>
      <c r="BJ273" s="52"/>
      <c r="BK273" s="53">
        <f t="shared" si="145"/>
        <v>0</v>
      </c>
      <c r="BM273" s="122">
        <v>46064</v>
      </c>
      <c r="BN273" s="123">
        <v>13683.08</v>
      </c>
      <c r="BO273" s="123">
        <v>3630.08</v>
      </c>
      <c r="BP273" s="123">
        <v>9120.17</v>
      </c>
      <c r="BQ273" s="125"/>
      <c r="BR273" s="125"/>
      <c r="BT273" s="240">
        <v>54.241249999999965</v>
      </c>
      <c r="BU273" s="53">
        <v>159.29692428571417</v>
      </c>
      <c r="BV273" s="52"/>
      <c r="BW273" s="53">
        <f t="shared" si="139"/>
        <v>213.53817428571415</v>
      </c>
      <c r="BY273" s="122">
        <v>46064</v>
      </c>
      <c r="BZ273" s="256">
        <v>849.78</v>
      </c>
      <c r="CA273" s="257">
        <v>564.05999999999995</v>
      </c>
      <c r="CB273" s="125"/>
      <c r="CC273" s="126"/>
      <c r="CE273" s="240"/>
      <c r="CF273" s="53"/>
      <c r="CG273" s="52">
        <v>23.865188100000012</v>
      </c>
      <c r="CH273" s="53">
        <f t="shared" si="146"/>
        <v>23.865188100000012</v>
      </c>
      <c r="CJ273" s="122">
        <v>46064</v>
      </c>
      <c r="CK273" s="352">
        <v>5008.3</v>
      </c>
      <c r="CL273" s="351">
        <v>329.4</v>
      </c>
      <c r="CM273" s="125"/>
      <c r="CN273" s="353">
        <v>11.14</v>
      </c>
      <c r="CP273" s="240">
        <v>149.59939</v>
      </c>
      <c r="CQ273" s="53"/>
      <c r="CR273" s="52"/>
      <c r="CS273" s="53">
        <f t="shared" si="147"/>
        <v>160.73939000000001</v>
      </c>
      <c r="CU273" s="122">
        <v>46064</v>
      </c>
      <c r="CV273" s="123">
        <v>12210.94</v>
      </c>
      <c r="CW273" s="127">
        <v>1939.3</v>
      </c>
      <c r="CX273" s="125"/>
      <c r="CY273" s="128">
        <v>135.93</v>
      </c>
      <c r="DA273" s="240">
        <v>136.80000000000001</v>
      </c>
      <c r="DB273" s="435"/>
      <c r="DC273" s="53"/>
      <c r="DD273" s="52"/>
      <c r="DE273" s="53">
        <f t="shared" si="148"/>
        <v>272.73</v>
      </c>
      <c r="DH273" s="122">
        <v>46064</v>
      </c>
      <c r="DI273" s="123">
        <v>1408.01</v>
      </c>
      <c r="DJ273" s="127">
        <v>179.66</v>
      </c>
      <c r="DK273" s="259">
        <v>0</v>
      </c>
      <c r="DL273" s="127"/>
      <c r="DM273" s="126">
        <v>0</v>
      </c>
      <c r="DO273" s="240"/>
      <c r="DP273" s="53"/>
      <c r="DQ273" s="53"/>
      <c r="DR273" s="53">
        <f t="shared" si="149"/>
        <v>0</v>
      </c>
      <c r="DT273" s="122">
        <v>46064</v>
      </c>
      <c r="DU273" s="123">
        <v>1334.96</v>
      </c>
      <c r="DV273" s="127">
        <v>1331.31</v>
      </c>
      <c r="DW273" s="127"/>
      <c r="DX273" s="126">
        <v>20.399999999999999</v>
      </c>
      <c r="DZ273" s="240"/>
      <c r="EA273" s="53">
        <v>38.51437046142857</v>
      </c>
      <c r="EB273" s="52"/>
      <c r="EC273" s="53">
        <f t="shared" si="150"/>
        <v>58.914370461428568</v>
      </c>
      <c r="EE273" s="122">
        <v>46064</v>
      </c>
      <c r="EF273" s="123">
        <v>1286.31</v>
      </c>
      <c r="EG273" s="127">
        <v>887.11</v>
      </c>
      <c r="EH273" s="127"/>
      <c r="EI273" s="126">
        <v>1.1100000000000001</v>
      </c>
      <c r="EK273" s="240">
        <v>494.34399000000008</v>
      </c>
      <c r="EL273" s="435"/>
      <c r="EM273" s="53">
        <v>20.437219037142853</v>
      </c>
      <c r="EN273" s="52"/>
      <c r="EO273" s="53">
        <f t="shared" si="151"/>
        <v>515.89120903714297</v>
      </c>
      <c r="EQ273" s="122">
        <v>46064</v>
      </c>
      <c r="ER273" s="123">
        <v>0</v>
      </c>
      <c r="ES273" s="259">
        <v>183.51</v>
      </c>
      <c r="ET273" s="127"/>
      <c r="EU273" s="258">
        <v>0</v>
      </c>
      <c r="EW273" s="240"/>
      <c r="EX273" s="53"/>
      <c r="EY273" s="52"/>
      <c r="EZ273" s="53">
        <f t="shared" si="152"/>
        <v>0</v>
      </c>
      <c r="FB273" s="122">
        <v>46064</v>
      </c>
      <c r="FC273" s="123">
        <v>783.67</v>
      </c>
      <c r="FD273" s="123">
        <v>275.7</v>
      </c>
      <c r="FE273" s="125"/>
      <c r="FF273" s="126"/>
      <c r="FH273" s="240"/>
      <c r="FI273" s="53"/>
      <c r="FJ273" s="52"/>
      <c r="FK273" s="53">
        <f t="shared" si="153"/>
        <v>0</v>
      </c>
    </row>
    <row r="274" spans="2:167" hidden="1" x14ac:dyDescent="0.25">
      <c r="B274" s="122">
        <v>46065</v>
      </c>
      <c r="C274" s="123">
        <v>18962.68</v>
      </c>
      <c r="D274" s="125"/>
      <c r="E274" s="125"/>
      <c r="F274" s="125">
        <v>0</v>
      </c>
      <c r="H274" s="240">
        <v>65.014299999999935</v>
      </c>
      <c r="I274" s="53"/>
      <c r="J274" s="52"/>
      <c r="K274" s="53">
        <f t="shared" si="140"/>
        <v>65.014299999999935</v>
      </c>
      <c r="M274" s="122">
        <v>46065</v>
      </c>
      <c r="N274" s="123">
        <v>3183.23</v>
      </c>
      <c r="O274" s="125"/>
      <c r="P274" s="126"/>
      <c r="R274" s="240"/>
      <c r="S274" s="53"/>
      <c r="T274" s="52"/>
      <c r="U274" s="53">
        <f t="shared" si="141"/>
        <v>0</v>
      </c>
      <c r="W274" s="122">
        <v>46065</v>
      </c>
      <c r="X274" s="123">
        <v>2419.04</v>
      </c>
      <c r="Y274" s="123">
        <v>214.93</v>
      </c>
      <c r="Z274" s="125"/>
      <c r="AA274" s="273">
        <v>4.43</v>
      </c>
      <c r="AC274" s="240"/>
      <c r="AD274" s="53"/>
      <c r="AE274" s="52"/>
      <c r="AF274" s="53">
        <f t="shared" si="142"/>
        <v>4.43</v>
      </c>
      <c r="AI274" s="122">
        <v>46065</v>
      </c>
      <c r="AJ274" s="123">
        <v>1258.54</v>
      </c>
      <c r="AK274" s="125"/>
      <c r="AL274" s="126"/>
      <c r="AN274" s="240"/>
      <c r="AO274" s="53"/>
      <c r="AP274" s="52"/>
      <c r="AQ274" s="53">
        <f t="shared" si="143"/>
        <v>0</v>
      </c>
      <c r="AS274" s="122">
        <v>46065</v>
      </c>
      <c r="AT274" s="123">
        <v>3856.94</v>
      </c>
      <c r="AU274" s="125"/>
      <c r="AV274" s="128"/>
      <c r="AX274" s="240"/>
      <c r="AY274" s="53"/>
      <c r="AZ274" s="52"/>
      <c r="BA274" s="53">
        <f t="shared" si="144"/>
        <v>0</v>
      </c>
      <c r="BC274" s="122">
        <v>46065</v>
      </c>
      <c r="BD274" s="123">
        <v>2142.58</v>
      </c>
      <c r="BE274" s="125"/>
      <c r="BF274" s="128"/>
      <c r="BH274" s="240">
        <v>31.702470000000034</v>
      </c>
      <c r="BI274" s="53"/>
      <c r="BJ274" s="52"/>
      <c r="BK274" s="53">
        <f t="shared" si="145"/>
        <v>31.702470000000034</v>
      </c>
      <c r="BM274" s="122">
        <v>46065</v>
      </c>
      <c r="BN274" s="123">
        <v>12665.29</v>
      </c>
      <c r="BO274" s="123">
        <v>2668.25</v>
      </c>
      <c r="BP274" s="123">
        <v>9553.84</v>
      </c>
      <c r="BQ274" s="125"/>
      <c r="BR274" s="125"/>
      <c r="BT274" s="240">
        <v>131.72288999999995</v>
      </c>
      <c r="BU274" s="53"/>
      <c r="BV274" s="52"/>
      <c r="BW274" s="53">
        <f t="shared" si="139"/>
        <v>131.72288999999995</v>
      </c>
      <c r="BY274" s="122">
        <v>46065</v>
      </c>
      <c r="BZ274" s="256">
        <v>982.02</v>
      </c>
      <c r="CA274" s="257">
        <v>389.27</v>
      </c>
      <c r="CB274" s="125"/>
      <c r="CC274" s="126"/>
      <c r="CE274" s="240"/>
      <c r="CF274" s="53"/>
      <c r="CG274" s="52"/>
      <c r="CH274" s="53">
        <f t="shared" si="146"/>
        <v>0</v>
      </c>
      <c r="CJ274" s="122">
        <v>46065</v>
      </c>
      <c r="CK274" s="352">
        <v>3520.3100000000004</v>
      </c>
      <c r="CL274" s="351">
        <v>476.1</v>
      </c>
      <c r="CM274" s="125"/>
      <c r="CN274" s="353">
        <v>0</v>
      </c>
      <c r="CP274" s="240">
        <v>110.18143999999999</v>
      </c>
      <c r="CQ274" s="53"/>
      <c r="CR274" s="52"/>
      <c r="CS274" s="53">
        <f t="shared" si="147"/>
        <v>110.18143999999999</v>
      </c>
      <c r="CU274" s="122">
        <v>46065</v>
      </c>
      <c r="CV274" s="123">
        <v>10462.25</v>
      </c>
      <c r="CW274" s="127">
        <v>1531.62</v>
      </c>
      <c r="CX274" s="125"/>
      <c r="CY274" s="128">
        <v>205.93</v>
      </c>
      <c r="DA274" s="240">
        <v>13.900000000000006</v>
      </c>
      <c r="DB274" s="435"/>
      <c r="DC274" s="53"/>
      <c r="DD274" s="52"/>
      <c r="DE274" s="53">
        <f t="shared" si="148"/>
        <v>219.83</v>
      </c>
      <c r="DH274" s="122">
        <v>46065</v>
      </c>
      <c r="DI274" s="123">
        <v>1756.29</v>
      </c>
      <c r="DJ274" s="127">
        <v>266.69</v>
      </c>
      <c r="DK274" s="259">
        <v>0</v>
      </c>
      <c r="DL274" s="127"/>
      <c r="DM274" s="126">
        <v>0</v>
      </c>
      <c r="DO274" s="240"/>
      <c r="DP274" s="53"/>
      <c r="DQ274" s="53">
        <v>1.6979311999999993</v>
      </c>
      <c r="DR274" s="53">
        <f t="shared" si="149"/>
        <v>1.6979311999999993</v>
      </c>
      <c r="DT274" s="122">
        <v>46065</v>
      </c>
      <c r="DU274" s="123">
        <v>2213.86</v>
      </c>
      <c r="DV274" s="127">
        <v>1112.74</v>
      </c>
      <c r="DW274" s="127"/>
      <c r="DX274" s="126">
        <v>24.8</v>
      </c>
      <c r="DZ274" s="240"/>
      <c r="EA274" s="53"/>
      <c r="EB274" s="52"/>
      <c r="EC274" s="53">
        <f t="shared" si="150"/>
        <v>24.8</v>
      </c>
      <c r="EE274" s="122">
        <v>46065</v>
      </c>
      <c r="EF274" s="123">
        <v>1431.27</v>
      </c>
      <c r="EG274" s="127">
        <v>994.4</v>
      </c>
      <c r="EH274" s="127"/>
      <c r="EI274" s="126">
        <v>7.89</v>
      </c>
      <c r="EK274" s="240">
        <v>455.98655000000008</v>
      </c>
      <c r="EL274" s="435"/>
      <c r="EM274" s="53">
        <v>76.473418464857104</v>
      </c>
      <c r="EN274" s="52"/>
      <c r="EO274" s="53">
        <f t="shared" si="151"/>
        <v>540.34996846485717</v>
      </c>
      <c r="EQ274" s="122">
        <v>46065</v>
      </c>
      <c r="ER274" s="123">
        <v>0</v>
      </c>
      <c r="ES274" s="259">
        <v>153.80000000000001</v>
      </c>
      <c r="ET274" s="127"/>
      <c r="EU274" s="258">
        <v>0</v>
      </c>
      <c r="EW274" s="240"/>
      <c r="EX274" s="53"/>
      <c r="EY274" s="52"/>
      <c r="EZ274" s="53">
        <f t="shared" si="152"/>
        <v>0</v>
      </c>
      <c r="FB274" s="122">
        <v>46065</v>
      </c>
      <c r="FC274" s="123">
        <v>532.87</v>
      </c>
      <c r="FD274" s="123">
        <v>274</v>
      </c>
      <c r="FE274" s="125"/>
      <c r="FF274" s="126"/>
      <c r="FH274" s="240"/>
      <c r="FI274" s="53"/>
      <c r="FJ274" s="52"/>
      <c r="FK274" s="53">
        <f t="shared" si="153"/>
        <v>0</v>
      </c>
    </row>
    <row r="275" spans="2:167" hidden="1" x14ac:dyDescent="0.25">
      <c r="B275" s="122">
        <v>46066</v>
      </c>
      <c r="C275" s="123">
        <v>20084.96</v>
      </c>
      <c r="D275" s="125"/>
      <c r="E275" s="125"/>
      <c r="F275" s="125">
        <v>0</v>
      </c>
      <c r="H275" s="240">
        <v>2.8097299999999947</v>
      </c>
      <c r="I275" s="53">
        <v>16.167292406571406</v>
      </c>
      <c r="J275" s="52"/>
      <c r="K275" s="53">
        <f t="shared" si="140"/>
        <v>18.9770224065714</v>
      </c>
      <c r="M275" s="122">
        <v>46066</v>
      </c>
      <c r="N275" s="123">
        <v>2631.31</v>
      </c>
      <c r="O275" s="125"/>
      <c r="P275" s="126"/>
      <c r="R275" s="240"/>
      <c r="S275" s="53"/>
      <c r="T275" s="52"/>
      <c r="U275" s="53">
        <f t="shared" si="141"/>
        <v>0</v>
      </c>
      <c r="W275" s="122">
        <v>46066</v>
      </c>
      <c r="X275" s="123">
        <v>934.87</v>
      </c>
      <c r="Y275" s="123">
        <v>159.29</v>
      </c>
      <c r="Z275" s="125"/>
      <c r="AA275" s="273">
        <v>4.8099999999999996</v>
      </c>
      <c r="AC275" s="240">
        <v>49.330750000000023</v>
      </c>
      <c r="AD275" s="53"/>
      <c r="AE275" s="52"/>
      <c r="AF275" s="53">
        <f t="shared" si="142"/>
        <v>54.140750000000025</v>
      </c>
      <c r="AI275" s="122">
        <v>46066</v>
      </c>
      <c r="AJ275" s="123">
        <v>2080.27</v>
      </c>
      <c r="AK275" s="125"/>
      <c r="AL275" s="126"/>
      <c r="AN275" s="240"/>
      <c r="AO275" s="53"/>
      <c r="AP275" s="52"/>
      <c r="AQ275" s="53">
        <f t="shared" si="143"/>
        <v>0</v>
      </c>
      <c r="AS275" s="122">
        <v>46066</v>
      </c>
      <c r="AT275" s="123">
        <v>3191.02</v>
      </c>
      <c r="AU275" s="125"/>
      <c r="AV275" s="128"/>
      <c r="AX275" s="240"/>
      <c r="AY275" s="53"/>
      <c r="AZ275" s="52"/>
      <c r="BA275" s="53">
        <f t="shared" si="144"/>
        <v>0</v>
      </c>
      <c r="BC275" s="122">
        <v>46066</v>
      </c>
      <c r="BD275" s="123">
        <v>2542.46</v>
      </c>
      <c r="BE275" s="125"/>
      <c r="BF275" s="128"/>
      <c r="BH275" s="240">
        <v>5.5731599999999872</v>
      </c>
      <c r="BI275" s="53"/>
      <c r="BJ275" s="52"/>
      <c r="BK275" s="53">
        <f t="shared" si="145"/>
        <v>5.5731599999999872</v>
      </c>
      <c r="BM275" s="122">
        <v>46066</v>
      </c>
      <c r="BN275" s="123">
        <v>13007.86</v>
      </c>
      <c r="BO275" s="123">
        <v>3151.7</v>
      </c>
      <c r="BP275" s="123">
        <v>10690.71</v>
      </c>
      <c r="BQ275" s="125"/>
      <c r="BR275" s="125"/>
      <c r="BT275" s="240">
        <v>204.16544299999993</v>
      </c>
      <c r="BU275" s="53"/>
      <c r="BV275" s="52">
        <v>12.690136300000006</v>
      </c>
      <c r="BW275" s="53">
        <f t="shared" si="139"/>
        <v>216.85557929999993</v>
      </c>
      <c r="BY275" s="122">
        <v>46066</v>
      </c>
      <c r="BZ275" s="256">
        <v>1662.21</v>
      </c>
      <c r="CA275" s="257">
        <v>510.45</v>
      </c>
      <c r="CB275" s="125"/>
      <c r="CC275" s="126"/>
      <c r="CE275" s="240"/>
      <c r="CF275" s="53"/>
      <c r="CG275" s="52"/>
      <c r="CH275" s="53">
        <f t="shared" si="146"/>
        <v>0</v>
      </c>
      <c r="CJ275" s="122">
        <v>46066</v>
      </c>
      <c r="CK275" s="352">
        <v>5660.0800000000017</v>
      </c>
      <c r="CL275" s="351">
        <v>649.66</v>
      </c>
      <c r="CM275" s="125"/>
      <c r="CN275" s="353">
        <v>36.46</v>
      </c>
      <c r="CP275" s="240">
        <v>584.24894000000006</v>
      </c>
      <c r="CQ275" s="53"/>
      <c r="CR275" s="52"/>
      <c r="CS275" s="53">
        <f t="shared" si="147"/>
        <v>620.7089400000001</v>
      </c>
      <c r="CU275" s="122">
        <v>46066</v>
      </c>
      <c r="CV275" s="123">
        <v>7288.18</v>
      </c>
      <c r="CW275" s="127">
        <v>1256.24</v>
      </c>
      <c r="CX275" s="125"/>
      <c r="CY275" s="128">
        <v>124.16</v>
      </c>
      <c r="DA275" s="240">
        <v>2.34</v>
      </c>
      <c r="DB275" s="435"/>
      <c r="DC275" s="53"/>
      <c r="DD275" s="52"/>
      <c r="DE275" s="53">
        <f t="shared" si="148"/>
        <v>126.5</v>
      </c>
      <c r="DH275" s="122">
        <v>46066</v>
      </c>
      <c r="DI275" s="123">
        <v>1911.01</v>
      </c>
      <c r="DJ275" s="127">
        <v>337.58</v>
      </c>
      <c r="DK275" s="259">
        <v>0</v>
      </c>
      <c r="DL275" s="127"/>
      <c r="DM275" s="126">
        <v>8.58</v>
      </c>
      <c r="DO275" s="240">
        <v>50.399769999999947</v>
      </c>
      <c r="DP275" s="53"/>
      <c r="DQ275" s="53"/>
      <c r="DR275" s="53">
        <f t="shared" si="149"/>
        <v>58.979769999999945</v>
      </c>
      <c r="DT275" s="122">
        <v>46066</v>
      </c>
      <c r="DU275" s="123">
        <v>826.77</v>
      </c>
      <c r="DV275" s="127">
        <v>1216.79</v>
      </c>
      <c r="DW275" s="127"/>
      <c r="DX275" s="126">
        <v>17.5</v>
      </c>
      <c r="DZ275" s="240"/>
      <c r="EA275" s="53"/>
      <c r="EB275" s="52"/>
      <c r="EC275" s="53">
        <f t="shared" si="150"/>
        <v>17.5</v>
      </c>
      <c r="EE275" s="122">
        <v>46066</v>
      </c>
      <c r="EF275" s="123">
        <v>1523.43</v>
      </c>
      <c r="EG275" s="127">
        <v>856.55</v>
      </c>
      <c r="EH275" s="127"/>
      <c r="EI275" s="126">
        <v>78.16</v>
      </c>
      <c r="EK275" s="240">
        <v>508.87183000000016</v>
      </c>
      <c r="EL275" s="435"/>
      <c r="EM275" s="53">
        <v>45.671618588571405</v>
      </c>
      <c r="EN275" s="52"/>
      <c r="EO275" s="53">
        <f t="shared" si="151"/>
        <v>632.70344858857152</v>
      </c>
      <c r="EQ275" s="122">
        <v>46066</v>
      </c>
      <c r="ER275" s="123">
        <v>4412.17</v>
      </c>
      <c r="ES275" s="259">
        <v>407.49</v>
      </c>
      <c r="ET275" s="127"/>
      <c r="EU275" s="258">
        <v>14.78</v>
      </c>
      <c r="EW275" s="240">
        <v>74.876499999999965</v>
      </c>
      <c r="EX275" s="53"/>
      <c r="EY275" s="52"/>
      <c r="EZ275" s="53">
        <f t="shared" si="152"/>
        <v>89.656499999999966</v>
      </c>
      <c r="FB275" s="122">
        <v>46066</v>
      </c>
      <c r="FC275" s="123">
        <v>861.72</v>
      </c>
      <c r="FD275" s="123">
        <v>160.18</v>
      </c>
      <c r="FE275" s="125"/>
      <c r="FF275" s="126"/>
      <c r="FH275" s="240"/>
      <c r="FI275" s="53"/>
      <c r="FJ275" s="52"/>
      <c r="FK275" s="53">
        <f t="shared" si="153"/>
        <v>0</v>
      </c>
    </row>
    <row r="276" spans="2:167" hidden="1" x14ac:dyDescent="0.25">
      <c r="B276" s="122">
        <v>46067</v>
      </c>
      <c r="C276" s="123">
        <v>24777.8</v>
      </c>
      <c r="D276" s="125"/>
      <c r="E276" s="125"/>
      <c r="F276" s="123">
        <v>6.33</v>
      </c>
      <c r="H276" s="240"/>
      <c r="I276" s="53"/>
      <c r="J276" s="52"/>
      <c r="K276" s="53">
        <f t="shared" si="140"/>
        <v>6.33</v>
      </c>
      <c r="M276" s="122">
        <v>46067</v>
      </c>
      <c r="N276" s="123">
        <v>5222.8500000000004</v>
      </c>
      <c r="O276" s="125"/>
      <c r="P276" s="126"/>
      <c r="R276" s="240"/>
      <c r="S276" s="53"/>
      <c r="T276" s="52"/>
      <c r="U276" s="53">
        <f t="shared" si="141"/>
        <v>0</v>
      </c>
      <c r="W276" s="122">
        <v>46067</v>
      </c>
      <c r="X276" s="123">
        <v>1439.17</v>
      </c>
      <c r="Y276" s="123">
        <v>202.2</v>
      </c>
      <c r="Z276" s="125"/>
      <c r="AA276" s="273">
        <v>3.53</v>
      </c>
      <c r="AC276" s="240">
        <v>17.5</v>
      </c>
      <c r="AD276" s="53">
        <v>12.649549107142875</v>
      </c>
      <c r="AE276" s="52"/>
      <c r="AF276" s="53">
        <f t="shared" si="142"/>
        <v>33.679549107142876</v>
      </c>
      <c r="AI276" s="122">
        <v>46067</v>
      </c>
      <c r="AJ276" s="123">
        <v>1130.3900000000001</v>
      </c>
      <c r="AK276" s="125"/>
      <c r="AL276" s="126"/>
      <c r="AN276" s="240"/>
      <c r="AO276" s="53"/>
      <c r="AP276" s="52"/>
      <c r="AQ276" s="53">
        <f t="shared" si="143"/>
        <v>0</v>
      </c>
      <c r="AS276" s="122">
        <v>46067</v>
      </c>
      <c r="AT276" s="123">
        <v>3847.7</v>
      </c>
      <c r="AU276" s="125"/>
      <c r="AV276" s="128"/>
      <c r="AX276" s="240"/>
      <c r="AY276" s="53"/>
      <c r="AZ276" s="52"/>
      <c r="BA276" s="53">
        <f t="shared" si="144"/>
        <v>0</v>
      </c>
      <c r="BC276" s="122">
        <v>46067</v>
      </c>
      <c r="BD276" s="123">
        <v>3610.1</v>
      </c>
      <c r="BE276" s="125"/>
      <c r="BF276" s="128"/>
      <c r="BH276" s="240">
        <v>83.558160000000044</v>
      </c>
      <c r="BI276" s="53"/>
      <c r="BJ276" s="52"/>
      <c r="BK276" s="53">
        <f t="shared" si="145"/>
        <v>83.558160000000044</v>
      </c>
      <c r="BM276" s="122">
        <v>46067</v>
      </c>
      <c r="BN276" s="123">
        <v>11555.91</v>
      </c>
      <c r="BO276" s="123">
        <v>3573.21</v>
      </c>
      <c r="BP276" s="123">
        <v>10087.91</v>
      </c>
      <c r="BQ276" s="125"/>
      <c r="BR276" s="125"/>
      <c r="BT276" s="240">
        <v>93.566709999999986</v>
      </c>
      <c r="BU276" s="53">
        <v>715.63231285714255</v>
      </c>
      <c r="BV276" s="52"/>
      <c r="BW276" s="53">
        <f t="shared" si="139"/>
        <v>809.1990228571425</v>
      </c>
      <c r="BY276" s="122">
        <v>46067</v>
      </c>
      <c r="BZ276" s="256">
        <v>744.74</v>
      </c>
      <c r="CA276" s="257">
        <v>705</v>
      </c>
      <c r="CB276" s="125"/>
      <c r="CC276" s="126"/>
      <c r="CE276" s="240"/>
      <c r="CF276" s="53"/>
      <c r="CG276" s="52"/>
      <c r="CH276" s="53">
        <f t="shared" si="146"/>
        <v>0</v>
      </c>
      <c r="CJ276" s="122">
        <v>46067</v>
      </c>
      <c r="CK276" s="352">
        <v>5567.840000000002</v>
      </c>
      <c r="CL276" s="351">
        <v>416.92</v>
      </c>
      <c r="CM276" s="125"/>
      <c r="CN276" s="353">
        <v>0</v>
      </c>
      <c r="CP276" s="240">
        <v>35.764579999999988</v>
      </c>
      <c r="CQ276" s="53"/>
      <c r="CR276" s="52"/>
      <c r="CS276" s="53">
        <f t="shared" si="147"/>
        <v>35.764579999999988</v>
      </c>
      <c r="CU276" s="122">
        <v>46067</v>
      </c>
      <c r="CV276" s="123">
        <v>4315.26</v>
      </c>
      <c r="CW276" s="127">
        <v>1694.82</v>
      </c>
      <c r="CX276" s="125"/>
      <c r="CY276" s="128">
        <v>141.83000000000001</v>
      </c>
      <c r="DA276" s="240">
        <v>165.32999999999979</v>
      </c>
      <c r="DB276" s="435"/>
      <c r="DC276" s="53"/>
      <c r="DD276" s="52"/>
      <c r="DE276" s="53">
        <f t="shared" si="148"/>
        <v>307.1599999999998</v>
      </c>
      <c r="DH276" s="122">
        <v>46067</v>
      </c>
      <c r="DI276" s="123">
        <v>864.88</v>
      </c>
      <c r="DJ276" s="127">
        <v>386</v>
      </c>
      <c r="DK276" s="259">
        <v>0</v>
      </c>
      <c r="DL276" s="127"/>
      <c r="DM276" s="126">
        <v>31.96</v>
      </c>
      <c r="DO276" s="240"/>
      <c r="DP276" s="53"/>
      <c r="DQ276" s="53"/>
      <c r="DR276" s="53">
        <f t="shared" si="149"/>
        <v>31.96</v>
      </c>
      <c r="DT276" s="122">
        <v>46067</v>
      </c>
      <c r="DU276" s="123">
        <v>1381.22</v>
      </c>
      <c r="DV276" s="127">
        <v>1308.79</v>
      </c>
      <c r="DW276" s="127"/>
      <c r="DX276" s="126">
        <v>16.41</v>
      </c>
      <c r="DZ276" s="240"/>
      <c r="EA276" s="53">
        <v>31.619350157142861</v>
      </c>
      <c r="EB276" s="52"/>
      <c r="EC276" s="53">
        <f t="shared" si="150"/>
        <v>48.029350157142858</v>
      </c>
      <c r="EE276" s="122">
        <v>46067</v>
      </c>
      <c r="EF276" s="123">
        <v>1305.2</v>
      </c>
      <c r="EG276" s="127">
        <v>968.48</v>
      </c>
      <c r="EH276" s="127"/>
      <c r="EI276" s="126">
        <v>78.56</v>
      </c>
      <c r="EK276" s="240">
        <v>330.18542000000014</v>
      </c>
      <c r="EL276" s="435"/>
      <c r="EM276" s="53">
        <v>159.84549691571414</v>
      </c>
      <c r="EN276" s="52"/>
      <c r="EO276" s="53">
        <f t="shared" si="151"/>
        <v>568.59091691571427</v>
      </c>
      <c r="EQ276" s="122">
        <v>46067</v>
      </c>
      <c r="ER276" s="123">
        <v>6885.28</v>
      </c>
      <c r="ES276" s="259">
        <v>580.73</v>
      </c>
      <c r="ET276" s="127"/>
      <c r="EU276" s="258">
        <v>136.5</v>
      </c>
      <c r="EW276" s="240">
        <v>11.327500000000015</v>
      </c>
      <c r="EX276" s="53"/>
      <c r="EY276" s="52"/>
      <c r="EZ276" s="53">
        <f t="shared" si="152"/>
        <v>147.82750000000001</v>
      </c>
      <c r="FB276" s="122">
        <v>46067</v>
      </c>
      <c r="FC276" s="123">
        <v>964.79</v>
      </c>
      <c r="FD276" s="123">
        <v>157</v>
      </c>
      <c r="FE276" s="125"/>
      <c r="FF276" s="126"/>
      <c r="FH276" s="240"/>
      <c r="FI276" s="53"/>
      <c r="FJ276" s="52"/>
      <c r="FK276" s="53">
        <f t="shared" si="153"/>
        <v>0</v>
      </c>
    </row>
    <row r="277" spans="2:167" hidden="1" x14ac:dyDescent="0.25">
      <c r="B277" s="122">
        <v>46068</v>
      </c>
      <c r="C277" s="123">
        <v>18955.05</v>
      </c>
      <c r="D277" s="126"/>
      <c r="E277" s="125"/>
      <c r="F277" s="126">
        <v>0</v>
      </c>
      <c r="H277" s="240"/>
      <c r="I277" s="53"/>
      <c r="J277" s="52"/>
      <c r="K277" s="53">
        <f t="shared" si="140"/>
        <v>0</v>
      </c>
      <c r="M277" s="122">
        <v>46068</v>
      </c>
      <c r="N277" s="123">
        <v>3837.75</v>
      </c>
      <c r="O277" s="125"/>
      <c r="P277" s="126"/>
      <c r="R277" s="240"/>
      <c r="S277" s="53"/>
      <c r="T277" s="52"/>
      <c r="U277" s="53">
        <f t="shared" si="141"/>
        <v>0</v>
      </c>
      <c r="W277" s="122">
        <v>46068</v>
      </c>
      <c r="X277" s="123">
        <v>992.52</v>
      </c>
      <c r="Y277" s="123">
        <v>361.08</v>
      </c>
      <c r="Z277" s="125"/>
      <c r="AA277" s="273">
        <v>1.51</v>
      </c>
      <c r="AC277" s="240"/>
      <c r="AD277" s="53"/>
      <c r="AE277" s="52"/>
      <c r="AF277" s="53">
        <f t="shared" si="142"/>
        <v>1.51</v>
      </c>
      <c r="AI277" s="122">
        <v>46068</v>
      </c>
      <c r="AJ277" s="123">
        <v>1743.57</v>
      </c>
      <c r="AK277" s="125"/>
      <c r="AL277" s="126"/>
      <c r="AN277" s="240"/>
      <c r="AO277" s="53"/>
      <c r="AP277" s="52"/>
      <c r="AQ277" s="53">
        <f t="shared" si="143"/>
        <v>0</v>
      </c>
      <c r="AS277" s="122">
        <v>46068</v>
      </c>
      <c r="AT277" s="123">
        <v>3205.73</v>
      </c>
      <c r="AU277" s="125"/>
      <c r="AV277" s="128"/>
      <c r="AX277" s="240"/>
      <c r="AY277" s="53"/>
      <c r="AZ277" s="52"/>
      <c r="BA277" s="53">
        <f t="shared" si="144"/>
        <v>0</v>
      </c>
      <c r="BC277" s="122">
        <v>46068</v>
      </c>
      <c r="BD277" s="123">
        <v>902.55</v>
      </c>
      <c r="BE277" s="125"/>
      <c r="BF277" s="128"/>
      <c r="BH277" s="240">
        <v>3.5330399999999997</v>
      </c>
      <c r="BI277" s="53"/>
      <c r="BJ277" s="52"/>
      <c r="BK277" s="53">
        <f t="shared" si="145"/>
        <v>3.5330399999999997</v>
      </c>
      <c r="BM277" s="122">
        <v>46068</v>
      </c>
      <c r="BN277" s="123">
        <v>8831.5499999999993</v>
      </c>
      <c r="BO277" s="123">
        <v>2410.2199999999998</v>
      </c>
      <c r="BP277" s="123">
        <v>5168.17</v>
      </c>
      <c r="BQ277" s="125"/>
      <c r="BR277" s="125"/>
      <c r="BT277" s="240">
        <v>52.823419999999956</v>
      </c>
      <c r="BU277" s="53"/>
      <c r="BV277" s="52"/>
      <c r="BW277" s="53">
        <f t="shared" si="139"/>
        <v>52.823419999999956</v>
      </c>
      <c r="BY277" s="122">
        <v>46068</v>
      </c>
      <c r="BZ277" s="256">
        <v>984.94</v>
      </c>
      <c r="CA277" s="257">
        <v>490.15</v>
      </c>
      <c r="CB277" s="125"/>
      <c r="CC277" s="126"/>
      <c r="CE277" s="240"/>
      <c r="CF277" s="53"/>
      <c r="CG277" s="52"/>
      <c r="CH277" s="53">
        <f t="shared" si="146"/>
        <v>0</v>
      </c>
      <c r="CJ277" s="122">
        <v>46068</v>
      </c>
      <c r="CK277" s="352">
        <v>3463.41</v>
      </c>
      <c r="CL277" s="351">
        <v>447.24</v>
      </c>
      <c r="CM277" s="125"/>
      <c r="CN277" s="353">
        <v>6.19</v>
      </c>
      <c r="CP277" s="240">
        <v>71.122840000000053</v>
      </c>
      <c r="CQ277" s="53">
        <v>35.360286308571403</v>
      </c>
      <c r="CR277" s="52"/>
      <c r="CS277" s="53">
        <f t="shared" si="147"/>
        <v>112.67312630857145</v>
      </c>
      <c r="CU277" s="122">
        <v>46068</v>
      </c>
      <c r="CV277" s="123">
        <v>3190.95</v>
      </c>
      <c r="CW277" s="127">
        <v>1001.81</v>
      </c>
      <c r="CX277" s="125"/>
      <c r="CY277" s="128">
        <v>193.21</v>
      </c>
      <c r="DA277" s="240">
        <v>728.11999999999875</v>
      </c>
      <c r="DB277" s="435"/>
      <c r="DC277" s="53"/>
      <c r="DD277" s="52"/>
      <c r="DE277" s="53">
        <f t="shared" si="148"/>
        <v>921.32999999999879</v>
      </c>
      <c r="DH277" s="122">
        <v>46068</v>
      </c>
      <c r="DI277" s="123">
        <v>1663.15</v>
      </c>
      <c r="DJ277" s="127">
        <v>405.84</v>
      </c>
      <c r="DK277" s="259">
        <v>0</v>
      </c>
      <c r="DL277" s="127"/>
      <c r="DM277" s="126">
        <v>0</v>
      </c>
      <c r="DO277" s="240">
        <v>27.25</v>
      </c>
      <c r="DP277" s="53"/>
      <c r="DQ277" s="52"/>
      <c r="DR277" s="53">
        <f t="shared" si="149"/>
        <v>27.25</v>
      </c>
      <c r="DT277" s="122">
        <v>46068</v>
      </c>
      <c r="DU277" s="123">
        <v>829.26</v>
      </c>
      <c r="DV277" s="127">
        <v>459.96</v>
      </c>
      <c r="DW277" s="127"/>
      <c r="DX277" s="126">
        <v>0</v>
      </c>
      <c r="DZ277" s="240"/>
      <c r="EA277" s="53"/>
      <c r="EB277" s="52"/>
      <c r="EC277" s="53">
        <f t="shared" si="150"/>
        <v>0</v>
      </c>
      <c r="EE277" s="122">
        <v>46068</v>
      </c>
      <c r="EF277" s="123">
        <v>1162.8499999999999</v>
      </c>
      <c r="EG277" s="127">
        <v>844.01</v>
      </c>
      <c r="EH277" s="127"/>
      <c r="EI277" s="126">
        <v>52.02</v>
      </c>
      <c r="EK277" s="240">
        <v>144.17657000000005</v>
      </c>
      <c r="EL277" s="435"/>
      <c r="EM277" s="53">
        <v>442.05874571428541</v>
      </c>
      <c r="EN277" s="52"/>
      <c r="EO277" s="53">
        <f t="shared" si="151"/>
        <v>638.25531571428542</v>
      </c>
      <c r="EQ277" s="122">
        <v>46068</v>
      </c>
      <c r="ER277" s="123">
        <v>6968.44</v>
      </c>
      <c r="ES277" s="259">
        <v>158.84</v>
      </c>
      <c r="ET277" s="127"/>
      <c r="EU277" s="258">
        <v>189.81</v>
      </c>
      <c r="EW277" s="240"/>
      <c r="EX277" s="53"/>
      <c r="EY277" s="52"/>
      <c r="EZ277" s="53">
        <f t="shared" si="152"/>
        <v>189.81</v>
      </c>
      <c r="FB277" s="122">
        <v>46068</v>
      </c>
      <c r="FC277" s="123">
        <v>595.99</v>
      </c>
      <c r="FD277" s="123">
        <v>263.08</v>
      </c>
      <c r="FE277" s="125"/>
      <c r="FF277" s="126"/>
      <c r="FH277" s="240"/>
      <c r="FI277" s="53"/>
      <c r="FJ277" s="52"/>
      <c r="FK277" s="53">
        <f t="shared" si="153"/>
        <v>0</v>
      </c>
    </row>
    <row r="278" spans="2:167" hidden="1" x14ac:dyDescent="0.25">
      <c r="B278" s="122">
        <v>46069</v>
      </c>
      <c r="C278" s="123">
        <v>17466.599999999999</v>
      </c>
      <c r="D278" s="125"/>
      <c r="E278" s="125"/>
      <c r="F278" s="125">
        <v>0</v>
      </c>
      <c r="H278" s="240">
        <v>101.47577999999999</v>
      </c>
      <c r="I278" s="53"/>
      <c r="J278" s="52"/>
      <c r="K278" s="53">
        <f t="shared" si="140"/>
        <v>101.47577999999999</v>
      </c>
      <c r="M278" s="122">
        <v>46069</v>
      </c>
      <c r="N278" s="123">
        <v>3246.41</v>
      </c>
      <c r="O278" s="125"/>
      <c r="P278" s="126"/>
      <c r="R278" s="240"/>
      <c r="S278" s="53"/>
      <c r="T278" s="52"/>
      <c r="U278" s="53">
        <f t="shared" si="141"/>
        <v>0</v>
      </c>
      <c r="W278" s="122">
        <v>46069</v>
      </c>
      <c r="X278" s="123">
        <v>963.58</v>
      </c>
      <c r="Y278" s="123">
        <v>104.3</v>
      </c>
      <c r="Z278" s="125"/>
      <c r="AA278" s="273">
        <v>20.04</v>
      </c>
      <c r="AC278" s="240"/>
      <c r="AD278" s="53"/>
      <c r="AE278" s="52"/>
      <c r="AF278" s="53">
        <f t="shared" si="142"/>
        <v>20.04</v>
      </c>
      <c r="AI278" s="122">
        <v>46069</v>
      </c>
      <c r="AJ278" s="123">
        <v>834.22</v>
      </c>
      <c r="AK278" s="125"/>
      <c r="AL278" s="126"/>
      <c r="AN278" s="240"/>
      <c r="AO278" s="53"/>
      <c r="AP278" s="52"/>
      <c r="AQ278" s="53">
        <f t="shared" si="143"/>
        <v>0</v>
      </c>
      <c r="AS278" s="122">
        <v>46069</v>
      </c>
      <c r="AT278" s="123">
        <v>3926.66</v>
      </c>
      <c r="AU278" s="125"/>
      <c r="AV278" s="128"/>
      <c r="AX278" s="240"/>
      <c r="AY278" s="53"/>
      <c r="AZ278" s="52"/>
      <c r="BA278" s="53">
        <f t="shared" si="144"/>
        <v>0</v>
      </c>
      <c r="BC278" s="122">
        <v>46069</v>
      </c>
      <c r="BD278" s="123">
        <v>1469.61</v>
      </c>
      <c r="BE278" s="125"/>
      <c r="BF278" s="128"/>
      <c r="BH278" s="240"/>
      <c r="BI278" s="53"/>
      <c r="BJ278" s="52"/>
      <c r="BK278" s="53">
        <f t="shared" si="145"/>
        <v>0</v>
      </c>
      <c r="BM278" s="122">
        <v>46069</v>
      </c>
      <c r="BN278" s="123">
        <v>12693.34</v>
      </c>
      <c r="BO278" s="123">
        <v>3237.02</v>
      </c>
      <c r="BP278" s="123">
        <v>8251.1200000000008</v>
      </c>
      <c r="BQ278" s="125"/>
      <c r="BR278" s="125"/>
      <c r="BT278" s="240">
        <v>88.665589999999995</v>
      </c>
      <c r="BU278" s="53"/>
      <c r="BV278" s="52"/>
      <c r="BW278" s="53">
        <f t="shared" si="139"/>
        <v>88.665589999999995</v>
      </c>
      <c r="BY278" s="122">
        <v>46069</v>
      </c>
      <c r="BZ278" s="256">
        <v>1756.21</v>
      </c>
      <c r="CA278" s="257">
        <v>551.16999999999996</v>
      </c>
      <c r="CB278" s="125"/>
      <c r="CC278" s="126"/>
      <c r="CE278" s="240"/>
      <c r="CF278" s="53"/>
      <c r="CG278" s="52"/>
      <c r="CH278" s="53">
        <f t="shared" si="146"/>
        <v>0</v>
      </c>
      <c r="CJ278" s="122">
        <v>46069</v>
      </c>
      <c r="CK278" s="352">
        <v>6514.2000000000007</v>
      </c>
      <c r="CL278" s="351">
        <v>348.02</v>
      </c>
      <c r="CM278" s="125"/>
      <c r="CN278" s="353">
        <v>24.43</v>
      </c>
      <c r="CP278" s="240">
        <v>109.67357</v>
      </c>
      <c r="CQ278" s="53"/>
      <c r="CR278" s="52"/>
      <c r="CS278" s="53">
        <f t="shared" si="147"/>
        <v>134.10356999999999</v>
      </c>
      <c r="CU278" s="122">
        <v>46069</v>
      </c>
      <c r="CV278" s="123">
        <v>12067.46</v>
      </c>
      <c r="CW278" s="127">
        <v>1628.65</v>
      </c>
      <c r="CX278" s="125"/>
      <c r="CY278" s="128">
        <v>129.36000000000001</v>
      </c>
      <c r="DA278" s="240">
        <v>207.08000000000013</v>
      </c>
      <c r="DB278" s="435"/>
      <c r="DC278" s="53"/>
      <c r="DD278" s="52"/>
      <c r="DE278" s="53">
        <f t="shared" si="148"/>
        <v>336.44000000000017</v>
      </c>
      <c r="DH278" s="122">
        <v>46069</v>
      </c>
      <c r="DI278" s="123">
        <v>1187.31</v>
      </c>
      <c r="DJ278" s="259">
        <v>301.31</v>
      </c>
      <c r="DK278" s="259">
        <v>0</v>
      </c>
      <c r="DL278" s="127"/>
      <c r="DM278" s="126">
        <v>0</v>
      </c>
      <c r="DO278" s="240"/>
      <c r="DP278" s="53"/>
      <c r="DQ278" s="52"/>
      <c r="DR278" s="53">
        <f t="shared" si="149"/>
        <v>0</v>
      </c>
      <c r="DT278" s="122">
        <v>46069</v>
      </c>
      <c r="DU278" s="123">
        <v>1235.21</v>
      </c>
      <c r="DV278" s="259">
        <v>1148.73</v>
      </c>
      <c r="DW278" s="127"/>
      <c r="DX278" s="126">
        <v>42.91</v>
      </c>
      <c r="DZ278" s="240"/>
      <c r="EA278" s="53"/>
      <c r="EB278" s="52"/>
      <c r="EC278" s="53">
        <f t="shared" si="150"/>
        <v>42.91</v>
      </c>
      <c r="EE278" s="122">
        <v>46069</v>
      </c>
      <c r="EF278" s="123">
        <v>1493.06</v>
      </c>
      <c r="EG278" s="127">
        <v>689.9</v>
      </c>
      <c r="EH278" s="127"/>
      <c r="EI278" s="126">
        <v>128.15</v>
      </c>
      <c r="EK278" s="240">
        <v>2245.0272300000015</v>
      </c>
      <c r="EL278" s="435"/>
      <c r="EM278" s="53"/>
      <c r="EN278" s="52"/>
      <c r="EO278" s="53">
        <f t="shared" si="151"/>
        <v>2373.1772300000016</v>
      </c>
      <c r="EQ278" s="122">
        <v>46069</v>
      </c>
      <c r="ER278" s="123">
        <v>3306.13</v>
      </c>
      <c r="ES278" s="259">
        <v>464.63</v>
      </c>
      <c r="ET278" s="127"/>
      <c r="EU278" s="258">
        <v>467.22</v>
      </c>
      <c r="EW278" s="240">
        <v>138.57430000000008</v>
      </c>
      <c r="EX278" s="53"/>
      <c r="EY278" s="52"/>
      <c r="EZ278" s="53">
        <f t="shared" si="152"/>
        <v>605.79430000000013</v>
      </c>
      <c r="FB278" s="122">
        <v>46069</v>
      </c>
      <c r="FC278" s="123">
        <v>1017.14</v>
      </c>
      <c r="FD278" s="123">
        <v>110</v>
      </c>
      <c r="FE278" s="125"/>
      <c r="FF278" s="126"/>
      <c r="FH278" s="240"/>
      <c r="FI278" s="53"/>
      <c r="FJ278" s="52"/>
      <c r="FK278" s="53">
        <f t="shared" si="153"/>
        <v>0</v>
      </c>
    </row>
    <row r="279" spans="2:167" hidden="1" x14ac:dyDescent="0.25">
      <c r="B279" s="122">
        <v>46070</v>
      </c>
      <c r="C279" s="123">
        <v>13695.93</v>
      </c>
      <c r="D279" s="125"/>
      <c r="E279" s="125"/>
      <c r="F279" s="125">
        <v>0</v>
      </c>
      <c r="H279" s="240">
        <v>48.432019999999994</v>
      </c>
      <c r="I279" s="53"/>
      <c r="J279" s="52"/>
      <c r="K279" s="53">
        <f t="shared" si="140"/>
        <v>48.432019999999994</v>
      </c>
      <c r="M279" s="122">
        <v>46070</v>
      </c>
      <c r="N279" s="123">
        <v>3712.82</v>
      </c>
      <c r="O279" s="125"/>
      <c r="P279" s="126"/>
      <c r="R279" s="240"/>
      <c r="S279" s="53"/>
      <c r="T279" s="52"/>
      <c r="U279" s="53">
        <f t="shared" si="141"/>
        <v>0</v>
      </c>
      <c r="W279" s="122">
        <v>46070</v>
      </c>
      <c r="X279" s="123">
        <v>1953.46</v>
      </c>
      <c r="Y279" s="123">
        <v>93.62</v>
      </c>
      <c r="Z279" s="125"/>
      <c r="AA279" s="273">
        <v>1.54</v>
      </c>
      <c r="AC279" s="240">
        <v>28.869749999999982</v>
      </c>
      <c r="AD279" s="53"/>
      <c r="AE279" s="52"/>
      <c r="AF279" s="53">
        <f t="shared" si="142"/>
        <v>30.409749999999981</v>
      </c>
      <c r="AI279" s="122">
        <v>46070</v>
      </c>
      <c r="AJ279" s="123">
        <v>1356.88</v>
      </c>
      <c r="AK279" s="125"/>
      <c r="AL279" s="126"/>
      <c r="AN279" s="240"/>
      <c r="AO279" s="53"/>
      <c r="AP279" s="52"/>
      <c r="AQ279" s="53">
        <f t="shared" si="143"/>
        <v>0</v>
      </c>
      <c r="AS279" s="122">
        <v>46070</v>
      </c>
      <c r="AT279" s="123">
        <v>3732.96</v>
      </c>
      <c r="AU279" s="125"/>
      <c r="AV279" s="128"/>
      <c r="AX279" s="240"/>
      <c r="AY279" s="53"/>
      <c r="AZ279" s="52"/>
      <c r="BA279" s="53">
        <f t="shared" si="144"/>
        <v>0</v>
      </c>
      <c r="BC279" s="122">
        <v>46070</v>
      </c>
      <c r="BD279" s="123">
        <v>2457.37</v>
      </c>
      <c r="BE279" s="125"/>
      <c r="BF279" s="128"/>
      <c r="BH279" s="240"/>
      <c r="BI279" s="53"/>
      <c r="BJ279" s="52"/>
      <c r="BK279" s="53">
        <f t="shared" si="145"/>
        <v>0</v>
      </c>
      <c r="BM279" s="122">
        <v>46070</v>
      </c>
      <c r="BN279" s="123">
        <v>14060.21</v>
      </c>
      <c r="BO279" s="123">
        <v>2987.74</v>
      </c>
      <c r="BP279" s="123">
        <v>8939.48</v>
      </c>
      <c r="BQ279" s="125"/>
      <c r="BR279" s="125"/>
      <c r="BT279" s="240">
        <v>100.51189999999998</v>
      </c>
      <c r="BU279" s="53"/>
      <c r="BV279" s="52">
        <v>5.1120530999999936</v>
      </c>
      <c r="BW279" s="53">
        <f t="shared" si="139"/>
        <v>105.62395309999998</v>
      </c>
      <c r="BY279" s="122">
        <v>46070</v>
      </c>
      <c r="BZ279" s="256">
        <v>876.13</v>
      </c>
      <c r="CA279" s="257">
        <v>336.8</v>
      </c>
      <c r="CB279" s="125"/>
      <c r="CC279" s="126"/>
      <c r="CE279" s="240"/>
      <c r="CF279" s="53"/>
      <c r="CG279" s="52"/>
      <c r="CH279" s="53">
        <f t="shared" si="146"/>
        <v>0</v>
      </c>
      <c r="CJ279" s="122">
        <v>46070</v>
      </c>
      <c r="CK279" s="352">
        <v>7479.4100000000008</v>
      </c>
      <c r="CL279" s="351">
        <v>421.57</v>
      </c>
      <c r="CM279" s="125"/>
      <c r="CN279" s="353">
        <v>38.549999999999997</v>
      </c>
      <c r="CP279" s="240">
        <v>222.65466000000001</v>
      </c>
      <c r="CQ279" s="53"/>
      <c r="CR279" s="52"/>
      <c r="CS279" s="53">
        <f t="shared" si="147"/>
        <v>261.20465999999999</v>
      </c>
      <c r="CU279" s="122">
        <v>46070</v>
      </c>
      <c r="CV279" s="123">
        <v>10266.82</v>
      </c>
      <c r="CW279" s="127">
        <v>1370.92</v>
      </c>
      <c r="CX279" s="125"/>
      <c r="CY279" s="128">
        <v>110.4</v>
      </c>
      <c r="DA279" s="240">
        <v>34.166539703034218</v>
      </c>
      <c r="DB279" s="435"/>
      <c r="DC279" s="53"/>
      <c r="DD279" s="52"/>
      <c r="DE279" s="53">
        <f t="shared" si="148"/>
        <v>144.56653970303421</v>
      </c>
      <c r="DH279" s="122">
        <v>46070</v>
      </c>
      <c r="DI279" s="123">
        <v>1218.04</v>
      </c>
      <c r="DJ279" s="127">
        <v>498.3</v>
      </c>
      <c r="DK279" s="259">
        <v>0</v>
      </c>
      <c r="DL279" s="127"/>
      <c r="DM279" s="126">
        <v>0</v>
      </c>
      <c r="DO279" s="240"/>
      <c r="DP279" s="53"/>
      <c r="DQ279" s="52"/>
      <c r="DR279" s="53">
        <f t="shared" si="149"/>
        <v>0</v>
      </c>
      <c r="DT279" s="122">
        <v>46070</v>
      </c>
      <c r="DU279" s="123">
        <v>1246.3</v>
      </c>
      <c r="DV279" s="127">
        <v>1068.7</v>
      </c>
      <c r="DW279" s="127"/>
      <c r="DX279" s="126">
        <v>17.53</v>
      </c>
      <c r="DZ279" s="240"/>
      <c r="EA279" s="53"/>
      <c r="EB279" s="52"/>
      <c r="EC279" s="53">
        <f t="shared" si="150"/>
        <v>17.53</v>
      </c>
      <c r="EE279" s="122">
        <v>46070</v>
      </c>
      <c r="EF279" s="123">
        <v>1606.55</v>
      </c>
      <c r="EG279" s="127">
        <v>1219.3699999999999</v>
      </c>
      <c r="EH279" s="127"/>
      <c r="EI279" s="126">
        <v>81.75</v>
      </c>
      <c r="EK279" s="240">
        <v>1124.2132400000007</v>
      </c>
      <c r="EL279" s="435"/>
      <c r="EM279" s="53">
        <v>31.870342095238072</v>
      </c>
      <c r="EN279" s="52"/>
      <c r="EO279" s="53">
        <f t="shared" si="151"/>
        <v>1237.8335820952389</v>
      </c>
      <c r="EQ279" s="122">
        <v>46070</v>
      </c>
      <c r="ER279" s="123">
        <v>3125.66</v>
      </c>
      <c r="ES279" s="259">
        <v>241.33</v>
      </c>
      <c r="ET279" s="127"/>
      <c r="EU279" s="258">
        <v>1028.8399999999999</v>
      </c>
      <c r="EW279" s="240">
        <v>54.625</v>
      </c>
      <c r="EX279" s="53"/>
      <c r="EY279" s="52"/>
      <c r="EZ279" s="53">
        <f t="shared" si="152"/>
        <v>1083.4649999999999</v>
      </c>
      <c r="FB279" s="122">
        <v>46070</v>
      </c>
      <c r="FC279" s="123">
        <v>735.45</v>
      </c>
      <c r="FD279" s="123">
        <v>100</v>
      </c>
      <c r="FE279" s="125"/>
      <c r="FF279" s="126"/>
      <c r="FH279" s="240"/>
      <c r="FI279" s="53"/>
      <c r="FJ279" s="52"/>
      <c r="FK279" s="53">
        <f t="shared" si="153"/>
        <v>0</v>
      </c>
    </row>
    <row r="280" spans="2:167" hidden="1" x14ac:dyDescent="0.25">
      <c r="B280" s="122">
        <v>46071</v>
      </c>
      <c r="C280" s="123">
        <v>17947.939999999999</v>
      </c>
      <c r="D280" s="125"/>
      <c r="E280" s="125"/>
      <c r="F280" s="125">
        <v>0</v>
      </c>
      <c r="H280" s="240">
        <v>117.55556000000007</v>
      </c>
      <c r="I280" s="53"/>
      <c r="J280" s="52"/>
      <c r="K280" s="53">
        <f t="shared" si="140"/>
        <v>117.55556000000007</v>
      </c>
      <c r="M280" s="122">
        <v>46071</v>
      </c>
      <c r="N280" s="123">
        <v>4937.03</v>
      </c>
      <c r="O280" s="125"/>
      <c r="P280" s="126"/>
      <c r="R280" s="240"/>
      <c r="S280" s="53"/>
      <c r="T280" s="52"/>
      <c r="U280" s="53">
        <f t="shared" si="141"/>
        <v>0</v>
      </c>
      <c r="W280" s="122">
        <v>46071</v>
      </c>
      <c r="X280" s="123">
        <v>926.18</v>
      </c>
      <c r="Y280" s="123">
        <v>0</v>
      </c>
      <c r="Z280" s="125"/>
      <c r="AA280" s="273">
        <v>2.63</v>
      </c>
      <c r="AC280" s="240"/>
      <c r="AD280" s="53"/>
      <c r="AE280" s="52"/>
      <c r="AF280" s="53">
        <f t="shared" si="142"/>
        <v>2.63</v>
      </c>
      <c r="AI280" s="122">
        <v>46071</v>
      </c>
      <c r="AJ280" s="123">
        <v>1520.68</v>
      </c>
      <c r="AK280" s="125"/>
      <c r="AL280" s="126"/>
      <c r="AN280" s="240"/>
      <c r="AO280" s="53"/>
      <c r="AP280" s="52"/>
      <c r="AQ280" s="53">
        <f t="shared" si="143"/>
        <v>0</v>
      </c>
      <c r="AS280" s="122">
        <v>46071</v>
      </c>
      <c r="AT280" s="123">
        <v>2778.64</v>
      </c>
      <c r="AU280" s="125"/>
      <c r="AV280" s="128"/>
      <c r="AX280" s="240"/>
      <c r="AY280" s="53"/>
      <c r="AZ280" s="52"/>
      <c r="BA280" s="53">
        <f t="shared" si="144"/>
        <v>0</v>
      </c>
      <c r="BC280" s="122">
        <v>46071</v>
      </c>
      <c r="BD280" s="123">
        <v>2097.5100000000002</v>
      </c>
      <c r="BE280" s="125"/>
      <c r="BF280" s="128"/>
      <c r="BH280" s="240">
        <v>2.2349399999999946</v>
      </c>
      <c r="BI280" s="53"/>
      <c r="BJ280" s="52"/>
      <c r="BK280" s="53">
        <f t="shared" si="145"/>
        <v>2.2349399999999946</v>
      </c>
      <c r="BM280" s="122">
        <v>46071</v>
      </c>
      <c r="BN280" s="123">
        <v>10715.1</v>
      </c>
      <c r="BO280" s="123">
        <v>2492.2600000000002</v>
      </c>
      <c r="BP280" s="123">
        <v>9716.0400000000009</v>
      </c>
      <c r="BQ280" s="125"/>
      <c r="BR280" s="125"/>
      <c r="BT280" s="240">
        <v>168.63060000000004</v>
      </c>
      <c r="BU280" s="53"/>
      <c r="BV280" s="52"/>
      <c r="BW280" s="53">
        <f t="shared" si="139"/>
        <v>168.63060000000004</v>
      </c>
      <c r="BY280" s="122">
        <v>46071</v>
      </c>
      <c r="BZ280" s="256">
        <v>1411.33</v>
      </c>
      <c r="CA280" s="257">
        <v>545.22</v>
      </c>
      <c r="CB280" s="125"/>
      <c r="CC280" s="126"/>
      <c r="CE280" s="240"/>
      <c r="CF280" s="53"/>
      <c r="CG280" s="52">
        <v>11.164722399999988</v>
      </c>
      <c r="CH280" s="53">
        <f t="shared" si="146"/>
        <v>11.164722399999988</v>
      </c>
      <c r="CJ280" s="122">
        <v>46071</v>
      </c>
      <c r="CK280" s="352">
        <v>4423.47</v>
      </c>
      <c r="CL280" s="351">
        <v>396.03</v>
      </c>
      <c r="CM280" s="125"/>
      <c r="CN280" s="353">
        <v>22</v>
      </c>
      <c r="CP280" s="240">
        <v>155.19911000000002</v>
      </c>
      <c r="CQ280" s="53">
        <v>11.558048369523803</v>
      </c>
      <c r="CR280" s="52"/>
      <c r="CS280" s="53">
        <f t="shared" si="147"/>
        <v>188.75715836952384</v>
      </c>
      <c r="CU280" s="122">
        <v>46071</v>
      </c>
      <c r="CV280" s="123">
        <v>6614.96</v>
      </c>
      <c r="CW280" s="127">
        <v>1604.58</v>
      </c>
      <c r="CX280" s="125"/>
      <c r="CY280" s="128">
        <v>167.31</v>
      </c>
      <c r="DA280" s="240">
        <v>834.00000000000034</v>
      </c>
      <c r="DB280" s="435"/>
      <c r="DC280" s="53"/>
      <c r="DD280" s="52"/>
      <c r="DE280" s="53">
        <f t="shared" si="148"/>
        <v>1001.3100000000004</v>
      </c>
      <c r="DH280" s="122">
        <v>46071</v>
      </c>
      <c r="DI280" s="123">
        <v>841.69</v>
      </c>
      <c r="DJ280" s="127">
        <v>372.88</v>
      </c>
      <c r="DK280" s="259">
        <v>0</v>
      </c>
      <c r="DL280" s="127"/>
      <c r="DM280" s="126">
        <v>0</v>
      </c>
      <c r="DO280" s="240">
        <v>18.112989999999996</v>
      </c>
      <c r="DP280" s="53"/>
      <c r="DQ280" s="52"/>
      <c r="DR280" s="53">
        <f t="shared" si="149"/>
        <v>18.112989999999996</v>
      </c>
      <c r="DT280" s="122">
        <v>46071</v>
      </c>
      <c r="DU280" s="123">
        <v>1248.81</v>
      </c>
      <c r="DV280" s="127">
        <v>1279.8499999999999</v>
      </c>
      <c r="DW280" s="127"/>
      <c r="DX280" s="126">
        <v>13.31</v>
      </c>
      <c r="DZ280" s="240"/>
      <c r="EA280" s="53">
        <v>30.423202011428543</v>
      </c>
      <c r="EB280" s="52"/>
      <c r="EC280" s="53">
        <f t="shared" si="150"/>
        <v>43.733202011428546</v>
      </c>
      <c r="EE280" s="122">
        <v>46071</v>
      </c>
      <c r="EF280" s="123">
        <v>1323.14</v>
      </c>
      <c r="EG280" s="127">
        <v>572.28</v>
      </c>
      <c r="EH280" s="127"/>
      <c r="EI280" s="126">
        <v>8.1199999999999992</v>
      </c>
      <c r="EK280" s="240">
        <v>623.73855999999989</v>
      </c>
      <c r="EL280" s="435"/>
      <c r="EM280" s="53">
        <v>72.262770089523769</v>
      </c>
      <c r="EN280" s="52"/>
      <c r="EO280" s="53">
        <f t="shared" si="151"/>
        <v>704.12133008952367</v>
      </c>
      <c r="EQ280" s="122">
        <v>46071</v>
      </c>
      <c r="ER280" s="123">
        <v>2504.1999999999998</v>
      </c>
      <c r="ES280" s="259">
        <v>367.06</v>
      </c>
      <c r="ET280" s="127"/>
      <c r="EU280" s="258">
        <v>783.31</v>
      </c>
      <c r="EW280" s="240">
        <v>77.509999999999991</v>
      </c>
      <c r="EX280" s="53"/>
      <c r="EY280" s="52"/>
      <c r="EZ280" s="53">
        <f t="shared" si="152"/>
        <v>860.81999999999994</v>
      </c>
      <c r="FB280" s="122">
        <v>46071</v>
      </c>
      <c r="FC280" s="123">
        <v>1265.1199999999999</v>
      </c>
      <c r="FD280" s="123">
        <v>107</v>
      </c>
      <c r="FE280" s="125"/>
      <c r="FF280" s="126"/>
      <c r="FH280" s="240"/>
      <c r="FI280" s="53"/>
      <c r="FJ280" s="52"/>
      <c r="FK280" s="53">
        <f t="shared" si="153"/>
        <v>0</v>
      </c>
    </row>
    <row r="281" spans="2:167" hidden="1" x14ac:dyDescent="0.25">
      <c r="B281" s="122">
        <v>46072</v>
      </c>
      <c r="C281" s="123">
        <v>15106.37</v>
      </c>
      <c r="D281" s="125"/>
      <c r="E281" s="125"/>
      <c r="F281" s="125">
        <v>0</v>
      </c>
      <c r="H281" s="240">
        <v>43.546230000000008</v>
      </c>
      <c r="I281" s="53"/>
      <c r="J281" s="52"/>
      <c r="K281" s="53">
        <f t="shared" si="140"/>
        <v>43.546230000000008</v>
      </c>
      <c r="M281" s="122">
        <v>46072</v>
      </c>
      <c r="N281" s="123">
        <v>4202.95</v>
      </c>
      <c r="O281" s="125"/>
      <c r="P281" s="126"/>
      <c r="R281" s="240"/>
      <c r="S281" s="53"/>
      <c r="T281" s="52"/>
      <c r="U281" s="53">
        <f t="shared" si="141"/>
        <v>0</v>
      </c>
      <c r="W281" s="122">
        <v>46072</v>
      </c>
      <c r="X281" s="123">
        <v>1487.86</v>
      </c>
      <c r="Y281" s="123">
        <v>159.13</v>
      </c>
      <c r="Z281" s="125"/>
      <c r="AA281" s="273">
        <v>11.55</v>
      </c>
      <c r="AC281" s="240"/>
      <c r="AD281" s="53"/>
      <c r="AE281" s="52"/>
      <c r="AF281" s="53">
        <f t="shared" si="142"/>
        <v>11.55</v>
      </c>
      <c r="AI281" s="122">
        <v>46072</v>
      </c>
      <c r="AJ281" s="123">
        <v>1608.52</v>
      </c>
      <c r="AK281" s="125"/>
      <c r="AL281" s="126"/>
      <c r="AN281" s="240"/>
      <c r="AO281" s="53"/>
      <c r="AP281" s="52"/>
      <c r="AQ281" s="53">
        <f t="shared" si="143"/>
        <v>0</v>
      </c>
      <c r="AS281" s="122">
        <v>46072</v>
      </c>
      <c r="AT281" s="123">
        <v>2397.41</v>
      </c>
      <c r="AU281" s="125"/>
      <c r="AV281" s="128"/>
      <c r="AX281" s="240"/>
      <c r="AY281" s="53"/>
      <c r="AZ281" s="52"/>
      <c r="BA281" s="53">
        <f t="shared" si="144"/>
        <v>0</v>
      </c>
      <c r="BC281" s="122">
        <v>46072</v>
      </c>
      <c r="BD281" s="123">
        <v>2603.0100000000002</v>
      </c>
      <c r="BE281" s="125"/>
      <c r="BF281" s="128"/>
      <c r="BH281" s="240">
        <v>11.511959999999988</v>
      </c>
      <c r="BI281" s="53"/>
      <c r="BJ281" s="52"/>
      <c r="BK281" s="53">
        <f t="shared" si="145"/>
        <v>11.511959999999988</v>
      </c>
      <c r="BM281" s="122">
        <v>46072</v>
      </c>
      <c r="BN281" s="123">
        <v>13429.82</v>
      </c>
      <c r="BO281" s="123">
        <v>3254.03</v>
      </c>
      <c r="BP281" s="123">
        <v>8474.17</v>
      </c>
      <c r="BQ281" s="125"/>
      <c r="BR281" s="125"/>
      <c r="BT281" s="240">
        <v>95.494779999999935</v>
      </c>
      <c r="BU281" s="53">
        <v>459.6132571428567</v>
      </c>
      <c r="BV281" s="52"/>
      <c r="BW281" s="53">
        <f t="shared" si="139"/>
        <v>555.10803714285657</v>
      </c>
      <c r="BY281" s="122">
        <v>46072</v>
      </c>
      <c r="BZ281" s="256">
        <v>1222.3399999999999</v>
      </c>
      <c r="CA281" s="260">
        <v>476.22</v>
      </c>
      <c r="CB281" s="125"/>
      <c r="CC281" s="126"/>
      <c r="CE281" s="240"/>
      <c r="CF281" s="53"/>
      <c r="CG281" s="52"/>
      <c r="CH281" s="53">
        <f t="shared" si="146"/>
        <v>0</v>
      </c>
      <c r="CJ281" s="122">
        <v>46072</v>
      </c>
      <c r="CK281" s="352">
        <v>5176.3</v>
      </c>
      <c r="CL281" s="351">
        <v>436.12</v>
      </c>
      <c r="CM281" s="125"/>
      <c r="CN281" s="353">
        <v>6.16</v>
      </c>
      <c r="CP281" s="240">
        <v>406.62395000000004</v>
      </c>
      <c r="CQ281" s="53">
        <v>3.0228982857142768</v>
      </c>
      <c r="CR281" s="52"/>
      <c r="CS281" s="53">
        <f t="shared" si="147"/>
        <v>415.80684828571435</v>
      </c>
      <c r="CU281" s="122">
        <v>46072</v>
      </c>
      <c r="CV281" s="123">
        <v>8511.07</v>
      </c>
      <c r="CW281" s="127">
        <v>1335.35</v>
      </c>
      <c r="CX281" s="125"/>
      <c r="CY281" s="128">
        <v>235.21</v>
      </c>
      <c r="DA281" s="240">
        <v>935.64000000000033</v>
      </c>
      <c r="DB281" s="435"/>
      <c r="DC281" s="53"/>
      <c r="DD281" s="52"/>
      <c r="DE281" s="53">
        <f t="shared" si="148"/>
        <v>1170.8500000000004</v>
      </c>
      <c r="DH281" s="122">
        <v>46072</v>
      </c>
      <c r="DI281" s="123">
        <v>426.91</v>
      </c>
      <c r="DJ281" s="127">
        <v>140.97999999999999</v>
      </c>
      <c r="DK281" s="259">
        <v>0</v>
      </c>
      <c r="DL281" s="127"/>
      <c r="DM281" s="126">
        <v>0</v>
      </c>
      <c r="DO281" s="240"/>
      <c r="DP281" s="53"/>
      <c r="DQ281" s="52"/>
      <c r="DR281" s="53">
        <f t="shared" si="149"/>
        <v>0</v>
      </c>
      <c r="DT281" s="122">
        <v>46072</v>
      </c>
      <c r="DU281" s="123">
        <v>3226.29</v>
      </c>
      <c r="DV281" s="127">
        <v>1468.53</v>
      </c>
      <c r="DW281" s="127"/>
      <c r="DX281" s="126">
        <v>53.52</v>
      </c>
      <c r="DZ281" s="240"/>
      <c r="EA281" s="53"/>
      <c r="EB281" s="52"/>
      <c r="EC281" s="53">
        <f t="shared" si="150"/>
        <v>53.52</v>
      </c>
      <c r="EE281" s="122">
        <v>46072</v>
      </c>
      <c r="EF281" s="123">
        <v>1289.52</v>
      </c>
      <c r="EG281" s="127">
        <v>1406.75</v>
      </c>
      <c r="EH281" s="127"/>
      <c r="EI281" s="126">
        <v>1.81</v>
      </c>
      <c r="EK281" s="240">
        <v>426.78309999999999</v>
      </c>
      <c r="EL281" s="435"/>
      <c r="EM281" s="53">
        <v>312.02050186933309</v>
      </c>
      <c r="EN281" s="52"/>
      <c r="EO281" s="53">
        <f t="shared" si="151"/>
        <v>740.61360186933302</v>
      </c>
      <c r="EQ281" s="122">
        <v>46072</v>
      </c>
      <c r="ER281" s="123">
        <v>3651.12</v>
      </c>
      <c r="ES281" s="259">
        <v>68.41</v>
      </c>
      <c r="ET281" s="127"/>
      <c r="EU281" s="258">
        <v>336.41</v>
      </c>
      <c r="EW281" s="240">
        <v>16.064499999999995</v>
      </c>
      <c r="EX281" s="53"/>
      <c r="EY281" s="52"/>
      <c r="EZ281" s="53">
        <f t="shared" si="152"/>
        <v>352.47450000000003</v>
      </c>
      <c r="FB281" s="122">
        <v>46072</v>
      </c>
      <c r="FC281" s="123">
        <v>923.16</v>
      </c>
      <c r="FD281" s="123">
        <v>267.02999999999997</v>
      </c>
      <c r="FE281" s="125"/>
      <c r="FF281" s="126"/>
      <c r="FH281" s="240"/>
      <c r="FI281" s="53"/>
      <c r="FJ281" s="52"/>
      <c r="FK281" s="53">
        <f t="shared" si="153"/>
        <v>0</v>
      </c>
    </row>
    <row r="282" spans="2:167" hidden="1" x14ac:dyDescent="0.25">
      <c r="B282" s="122">
        <v>46073</v>
      </c>
      <c r="C282" s="123">
        <v>23781.07</v>
      </c>
      <c r="D282" s="126"/>
      <c r="E282" s="125"/>
      <c r="F282" s="126">
        <v>0</v>
      </c>
      <c r="H282" s="240">
        <v>10.989440000000002</v>
      </c>
      <c r="I282" s="53">
        <v>27.534652399999999</v>
      </c>
      <c r="J282" s="52"/>
      <c r="K282" s="53">
        <f t="shared" si="140"/>
        <v>38.524092400000001</v>
      </c>
      <c r="M282" s="122">
        <v>46073</v>
      </c>
      <c r="N282" s="123">
        <v>4052.15</v>
      </c>
      <c r="O282" s="125"/>
      <c r="P282" s="126"/>
      <c r="R282" s="240"/>
      <c r="S282" s="53"/>
      <c r="T282" s="52"/>
      <c r="U282" s="53">
        <f t="shared" si="141"/>
        <v>0</v>
      </c>
      <c r="W282" s="122">
        <v>46073</v>
      </c>
      <c r="X282" s="123">
        <v>774.34</v>
      </c>
      <c r="Y282" s="123">
        <v>197.47</v>
      </c>
      <c r="Z282" s="125"/>
      <c r="AA282" s="273">
        <v>9.52</v>
      </c>
      <c r="AC282" s="240">
        <v>61.865100000000027</v>
      </c>
      <c r="AD282" s="53"/>
      <c r="AE282" s="52"/>
      <c r="AF282" s="53">
        <f t="shared" si="142"/>
        <v>71.385100000000023</v>
      </c>
      <c r="AI282" s="122">
        <v>46073</v>
      </c>
      <c r="AJ282" s="123">
        <v>1435.31</v>
      </c>
      <c r="AK282" s="125"/>
      <c r="AL282" s="126"/>
      <c r="AN282" s="240"/>
      <c r="AO282" s="53"/>
      <c r="AP282" s="52"/>
      <c r="AQ282" s="53">
        <f t="shared" si="143"/>
        <v>0</v>
      </c>
      <c r="AS282" s="122">
        <v>46073</v>
      </c>
      <c r="AT282" s="123">
        <v>2936.93</v>
      </c>
      <c r="AU282" s="125"/>
      <c r="AV282" s="128"/>
      <c r="AX282" s="240"/>
      <c r="AY282" s="53"/>
      <c r="AZ282" s="52"/>
      <c r="BA282" s="53">
        <f t="shared" si="144"/>
        <v>0</v>
      </c>
      <c r="BC282" s="122">
        <v>46073</v>
      </c>
      <c r="BD282" s="123">
        <v>2607.92</v>
      </c>
      <c r="BE282" s="125"/>
      <c r="BF282" s="128"/>
      <c r="BH282" s="240">
        <v>10.111259999999987</v>
      </c>
      <c r="BI282" s="53"/>
      <c r="BJ282" s="52"/>
      <c r="BK282" s="53">
        <f t="shared" si="145"/>
        <v>10.111259999999987</v>
      </c>
      <c r="BM282" s="122">
        <v>46073</v>
      </c>
      <c r="BN282" s="123">
        <v>13343.51</v>
      </c>
      <c r="BO282" s="123">
        <v>2793.4</v>
      </c>
      <c r="BP282" s="123">
        <v>9900.09</v>
      </c>
      <c r="BQ282" s="125"/>
      <c r="BR282" s="125"/>
      <c r="BT282" s="240">
        <v>208.83929999999998</v>
      </c>
      <c r="BU282" s="53">
        <v>94.099069200000031</v>
      </c>
      <c r="BV282" s="52">
        <v>9.3863999999999947</v>
      </c>
      <c r="BW282" s="53">
        <f t="shared" si="139"/>
        <v>312.32476919999999</v>
      </c>
      <c r="BY282" s="122">
        <v>46073</v>
      </c>
      <c r="BZ282" s="256">
        <v>1664.63</v>
      </c>
      <c r="CA282" s="260">
        <v>480.9</v>
      </c>
      <c r="CB282" s="125"/>
      <c r="CC282" s="126"/>
      <c r="CE282" s="240"/>
      <c r="CF282" s="53"/>
      <c r="CG282" s="52"/>
      <c r="CH282" s="53">
        <f t="shared" si="146"/>
        <v>0</v>
      </c>
      <c r="CJ282" s="122">
        <v>46073</v>
      </c>
      <c r="CK282" s="352">
        <v>6971.380000000001</v>
      </c>
      <c r="CL282" s="351">
        <v>502.3</v>
      </c>
      <c r="CM282" s="125"/>
      <c r="CN282" s="353">
        <v>19.369999999999997</v>
      </c>
      <c r="CP282" s="240">
        <v>130.64670000000004</v>
      </c>
      <c r="CQ282" s="53">
        <v>19.681367999999992</v>
      </c>
      <c r="CR282" s="52"/>
      <c r="CS282" s="53">
        <f t="shared" si="147"/>
        <v>169.69806800000003</v>
      </c>
      <c r="CU282" s="122">
        <v>46073</v>
      </c>
      <c r="CV282" s="123">
        <v>11677.75</v>
      </c>
      <c r="CW282" s="127">
        <v>1779.75</v>
      </c>
      <c r="CX282" s="125"/>
      <c r="CY282" s="128">
        <v>24.93</v>
      </c>
      <c r="DA282" s="240">
        <v>862.5</v>
      </c>
      <c r="DB282" s="435"/>
      <c r="DC282" s="53"/>
      <c r="DD282" s="52"/>
      <c r="DE282" s="53">
        <f t="shared" si="148"/>
        <v>887.43</v>
      </c>
      <c r="DH282" s="122">
        <v>46073</v>
      </c>
      <c r="DI282" s="123">
        <v>3779.03</v>
      </c>
      <c r="DJ282" s="127">
        <v>899.14</v>
      </c>
      <c r="DK282" s="127">
        <v>888.08</v>
      </c>
      <c r="DL282" s="127"/>
      <c r="DM282" s="126">
        <v>8.58</v>
      </c>
      <c r="DO282" s="240"/>
      <c r="DP282" s="53"/>
      <c r="DQ282" s="52"/>
      <c r="DR282" s="53">
        <f t="shared" si="149"/>
        <v>8.58</v>
      </c>
      <c r="DT282" s="122">
        <v>46073</v>
      </c>
      <c r="DU282" s="123">
        <v>1727.62</v>
      </c>
      <c r="DV282" s="127">
        <v>1338.06</v>
      </c>
      <c r="DW282" s="127"/>
      <c r="DX282" s="126">
        <v>16.100000000000001</v>
      </c>
      <c r="DZ282" s="240"/>
      <c r="EA282" s="53"/>
      <c r="EB282" s="52"/>
      <c r="EC282" s="53">
        <f t="shared" si="150"/>
        <v>16.100000000000001</v>
      </c>
      <c r="EE282" s="122">
        <v>46073</v>
      </c>
      <c r="EF282" s="123">
        <v>1296.67</v>
      </c>
      <c r="EG282" s="127">
        <v>858.57</v>
      </c>
      <c r="EH282" s="127"/>
      <c r="EI282" s="126">
        <v>1.93</v>
      </c>
      <c r="EK282" s="240">
        <v>580.37872000000016</v>
      </c>
      <c r="EL282" s="435"/>
      <c r="EM282" s="53">
        <v>157.63127660000001</v>
      </c>
      <c r="EN282" s="52"/>
      <c r="EO282" s="53">
        <f t="shared" si="151"/>
        <v>739.93999660000009</v>
      </c>
      <c r="EQ282" s="122">
        <v>46073</v>
      </c>
      <c r="ER282" s="123">
        <v>3752.31</v>
      </c>
      <c r="ES282" s="259">
        <v>351.34</v>
      </c>
      <c r="ET282" s="127"/>
      <c r="EU282" s="258">
        <v>162.1</v>
      </c>
      <c r="EW282" s="240">
        <v>112.45250000000007</v>
      </c>
      <c r="EX282" s="53">
        <v>28.031992800000012</v>
      </c>
      <c r="EY282" s="52"/>
      <c r="EZ282" s="53">
        <f t="shared" si="152"/>
        <v>302.58449280000008</v>
      </c>
      <c r="FB282" s="122">
        <v>46073</v>
      </c>
      <c r="FC282" s="123">
        <v>762.68</v>
      </c>
      <c r="FD282" s="123">
        <v>129.16</v>
      </c>
      <c r="FE282" s="125"/>
      <c r="FF282" s="126"/>
      <c r="FH282" s="240"/>
      <c r="FI282" s="53"/>
      <c r="FJ282" s="52"/>
      <c r="FK282" s="53">
        <f t="shared" si="153"/>
        <v>0</v>
      </c>
    </row>
    <row r="283" spans="2:167" hidden="1" x14ac:dyDescent="0.25">
      <c r="B283" s="122">
        <v>46074</v>
      </c>
      <c r="C283" s="123">
        <v>22852.58</v>
      </c>
      <c r="D283" s="126"/>
      <c r="E283" s="125"/>
      <c r="F283" s="126">
        <v>0</v>
      </c>
      <c r="H283" s="240"/>
      <c r="I283" s="53"/>
      <c r="J283" s="52"/>
      <c r="K283" s="53">
        <f t="shared" si="140"/>
        <v>0</v>
      </c>
      <c r="M283" s="122">
        <v>46074</v>
      </c>
      <c r="N283" s="123">
        <v>3366.15</v>
      </c>
      <c r="O283" s="125"/>
      <c r="P283" s="126"/>
      <c r="R283" s="240"/>
      <c r="S283" s="53"/>
      <c r="T283" s="52"/>
      <c r="U283" s="53">
        <f t="shared" si="141"/>
        <v>0</v>
      </c>
      <c r="W283" s="122">
        <v>46074</v>
      </c>
      <c r="X283" s="123">
        <v>1556.26</v>
      </c>
      <c r="Y283" s="123">
        <v>162.83000000000001</v>
      </c>
      <c r="Z283" s="125"/>
      <c r="AA283" s="273">
        <v>4.12</v>
      </c>
      <c r="AC283" s="240"/>
      <c r="AD283" s="53">
        <v>8.2092867908571208</v>
      </c>
      <c r="AE283" s="52"/>
      <c r="AF283" s="53">
        <f t="shared" si="142"/>
        <v>12.329286790857122</v>
      </c>
      <c r="AI283" s="122">
        <v>46074</v>
      </c>
      <c r="AJ283" s="123">
        <v>1323.96</v>
      </c>
      <c r="AK283" s="125"/>
      <c r="AL283" s="126"/>
      <c r="AN283" s="240"/>
      <c r="AO283" s="53"/>
      <c r="AP283" s="52"/>
      <c r="AQ283" s="53">
        <f t="shared" si="143"/>
        <v>0</v>
      </c>
      <c r="AS283" s="122">
        <v>46074</v>
      </c>
      <c r="AT283" s="123">
        <v>3659.82</v>
      </c>
      <c r="AU283" s="125"/>
      <c r="AV283" s="128"/>
      <c r="AX283" s="240"/>
      <c r="AY283" s="53"/>
      <c r="AZ283" s="52"/>
      <c r="BA283" s="53">
        <f t="shared" si="144"/>
        <v>0</v>
      </c>
      <c r="BC283" s="122">
        <v>46074</v>
      </c>
      <c r="BD283" s="123">
        <v>2341.56</v>
      </c>
      <c r="BE283" s="125"/>
      <c r="BF283" s="128"/>
      <c r="BH283" s="240">
        <v>7.46092000000003</v>
      </c>
      <c r="BI283" s="53"/>
      <c r="BJ283" s="52"/>
      <c r="BK283" s="53">
        <f t="shared" si="145"/>
        <v>7.46092000000003</v>
      </c>
      <c r="BM283" s="122">
        <v>46074</v>
      </c>
      <c r="BN283" s="123">
        <v>13763.87</v>
      </c>
      <c r="BO283" s="123">
        <v>2463.91</v>
      </c>
      <c r="BP283" s="123">
        <v>8990.67</v>
      </c>
      <c r="BQ283" s="125"/>
      <c r="BR283" s="125"/>
      <c r="BT283" s="240">
        <v>118.80799999999996</v>
      </c>
      <c r="BU283" s="53">
        <v>120.97414299999997</v>
      </c>
      <c r="BV283" s="52"/>
      <c r="BW283" s="53">
        <f t="shared" si="139"/>
        <v>239.78214299999993</v>
      </c>
      <c r="BY283" s="122">
        <v>46074</v>
      </c>
      <c r="BZ283" s="256">
        <v>1142.6600000000001</v>
      </c>
      <c r="CA283" s="257">
        <v>626.80999999999995</v>
      </c>
      <c r="CB283" s="125"/>
      <c r="CC283" s="126"/>
      <c r="CE283" s="240"/>
      <c r="CF283" s="53"/>
      <c r="CG283" s="52"/>
      <c r="CH283" s="53">
        <f t="shared" si="146"/>
        <v>0</v>
      </c>
      <c r="CJ283" s="122">
        <v>46074</v>
      </c>
      <c r="CK283" s="352">
        <v>6180.4400000000005</v>
      </c>
      <c r="CL283" s="351">
        <v>388.83</v>
      </c>
      <c r="CM283" s="125"/>
      <c r="CN283" s="353">
        <v>12.66</v>
      </c>
      <c r="CP283" s="240">
        <v>35.363249999999994</v>
      </c>
      <c r="CQ283" s="53"/>
      <c r="CR283" s="52"/>
      <c r="CS283" s="53">
        <f t="shared" si="147"/>
        <v>48.02324999999999</v>
      </c>
      <c r="CU283" s="122">
        <v>46074</v>
      </c>
      <c r="CV283" s="123">
        <v>5343.53</v>
      </c>
      <c r="CW283" s="127">
        <v>1246.92</v>
      </c>
      <c r="CX283" s="125"/>
      <c r="CY283" s="128">
        <v>8.5</v>
      </c>
      <c r="DA283" s="240">
        <v>892.5</v>
      </c>
      <c r="DB283" s="435"/>
      <c r="DC283" s="53"/>
      <c r="DD283" s="52"/>
      <c r="DE283" s="53">
        <f t="shared" si="148"/>
        <v>901</v>
      </c>
      <c r="DH283" s="122">
        <v>46074</v>
      </c>
      <c r="DI283" s="123">
        <v>2706.68</v>
      </c>
      <c r="DJ283" s="127">
        <v>455.25</v>
      </c>
      <c r="DK283" s="127">
        <v>1072.96</v>
      </c>
      <c r="DL283" s="127"/>
      <c r="DM283" s="126">
        <v>0</v>
      </c>
      <c r="DO283" s="240">
        <v>30.014179999999953</v>
      </c>
      <c r="DP283" s="53"/>
      <c r="DQ283" s="52"/>
      <c r="DR283" s="53">
        <f t="shared" si="149"/>
        <v>30.014179999999953</v>
      </c>
      <c r="DT283" s="122">
        <v>46074</v>
      </c>
      <c r="DU283" s="123">
        <v>1178.93</v>
      </c>
      <c r="DV283" s="127">
        <v>1253.5999999999999</v>
      </c>
      <c r="DW283" s="127"/>
      <c r="DX283" s="126">
        <v>10.199999999999999</v>
      </c>
      <c r="DZ283" s="240"/>
      <c r="EA283" s="53"/>
      <c r="EB283" s="52"/>
      <c r="EC283" s="53">
        <f t="shared" si="150"/>
        <v>10.199999999999999</v>
      </c>
      <c r="EE283" s="122">
        <v>46074</v>
      </c>
      <c r="EF283" s="123">
        <v>1160.02</v>
      </c>
      <c r="EG283" s="127">
        <v>1050.46</v>
      </c>
      <c r="EH283" s="127"/>
      <c r="EI283" s="126">
        <v>7.21</v>
      </c>
      <c r="EK283" s="240">
        <v>288.47905000000014</v>
      </c>
      <c r="EL283" s="435"/>
      <c r="EM283" s="53">
        <v>195.49781299999992</v>
      </c>
      <c r="EN283" s="52"/>
      <c r="EO283" s="53">
        <f t="shared" si="151"/>
        <v>491.18686300000002</v>
      </c>
      <c r="EQ283" s="122">
        <v>46074</v>
      </c>
      <c r="ER283" s="123">
        <v>5750.66</v>
      </c>
      <c r="ES283" s="259">
        <v>363.43</v>
      </c>
      <c r="ET283" s="127"/>
      <c r="EU283" s="258">
        <v>152.55000000000001</v>
      </c>
      <c r="EW283" s="240"/>
      <c r="EX283" s="53"/>
      <c r="EY283" s="52"/>
      <c r="EZ283" s="53">
        <f t="shared" si="152"/>
        <v>152.55000000000001</v>
      </c>
      <c r="FB283" s="122">
        <v>46074</v>
      </c>
      <c r="FC283" s="123">
        <v>1185.26</v>
      </c>
      <c r="FD283" s="126">
        <v>274.64</v>
      </c>
      <c r="FE283" s="125"/>
      <c r="FF283" s="126"/>
      <c r="FH283" s="240"/>
      <c r="FI283" s="53"/>
      <c r="FJ283" s="52"/>
      <c r="FK283" s="53">
        <f t="shared" si="153"/>
        <v>0</v>
      </c>
    </row>
    <row r="284" spans="2:167" hidden="1" x14ac:dyDescent="0.25">
      <c r="B284" s="122">
        <v>46075</v>
      </c>
      <c r="C284" s="123">
        <v>19344.77</v>
      </c>
      <c r="D284" s="125"/>
      <c r="E284" s="125"/>
      <c r="F284" s="123">
        <v>0</v>
      </c>
      <c r="H284" s="240">
        <v>68.371090000000024</v>
      </c>
      <c r="I284" s="53"/>
      <c r="J284" s="52"/>
      <c r="K284" s="53">
        <f t="shared" si="140"/>
        <v>68.371090000000024</v>
      </c>
      <c r="M284" s="122">
        <v>46075</v>
      </c>
      <c r="N284" s="123">
        <v>3387.4</v>
      </c>
      <c r="O284" s="125"/>
      <c r="P284" s="126"/>
      <c r="R284" s="240">
        <v>93.799999999999955</v>
      </c>
      <c r="S284" s="53"/>
      <c r="T284" s="52"/>
      <c r="U284" s="53">
        <f t="shared" si="141"/>
        <v>93.799999999999955</v>
      </c>
      <c r="W284" s="122">
        <v>46075</v>
      </c>
      <c r="X284" s="123">
        <v>1425.19</v>
      </c>
      <c r="Y284" s="123">
        <v>82.99</v>
      </c>
      <c r="Z284" s="125"/>
      <c r="AA284" s="273">
        <v>1.28</v>
      </c>
      <c r="AC284" s="240"/>
      <c r="AD284" s="53"/>
      <c r="AE284" s="52"/>
      <c r="AF284" s="53">
        <f t="shared" si="142"/>
        <v>1.28</v>
      </c>
      <c r="AI284" s="122">
        <v>46075</v>
      </c>
      <c r="AJ284" s="123">
        <v>1317.66</v>
      </c>
      <c r="AK284" s="125"/>
      <c r="AL284" s="126"/>
      <c r="AN284" s="240"/>
      <c r="AO284" s="53"/>
      <c r="AP284" s="52"/>
      <c r="AQ284" s="53">
        <f t="shared" si="143"/>
        <v>0</v>
      </c>
      <c r="AS284" s="122">
        <v>46075</v>
      </c>
      <c r="AT284" s="123">
        <v>3012.78</v>
      </c>
      <c r="AU284" s="125"/>
      <c r="AV284" s="128"/>
      <c r="AX284" s="240"/>
      <c r="AY284" s="53"/>
      <c r="AZ284" s="52"/>
      <c r="BA284" s="53">
        <f t="shared" si="144"/>
        <v>0</v>
      </c>
      <c r="BC284" s="122">
        <v>46075</v>
      </c>
      <c r="BD284" s="123">
        <v>2131.9</v>
      </c>
      <c r="BE284" s="125"/>
      <c r="BF284" s="128"/>
      <c r="BH284" s="240">
        <v>86.25</v>
      </c>
      <c r="BI284" s="53"/>
      <c r="BJ284" s="52"/>
      <c r="BK284" s="53">
        <f t="shared" si="145"/>
        <v>86.25</v>
      </c>
      <c r="BM284" s="122">
        <v>46075</v>
      </c>
      <c r="BN284" s="123">
        <v>9191.83</v>
      </c>
      <c r="BO284" s="123">
        <v>2347.64</v>
      </c>
      <c r="BP284" s="123">
        <v>5421.91</v>
      </c>
      <c r="BQ284" s="125"/>
      <c r="BR284" s="125"/>
      <c r="BT284" s="240">
        <v>92.585999999999927</v>
      </c>
      <c r="BU284" s="53"/>
      <c r="BV284" s="52"/>
      <c r="BW284" s="53">
        <f t="shared" si="139"/>
        <v>92.585999999999927</v>
      </c>
      <c r="BY284" s="122">
        <v>46075</v>
      </c>
      <c r="BZ284" s="256">
        <v>781.68</v>
      </c>
      <c r="CA284" s="257">
        <v>547.5</v>
      </c>
      <c r="CB284" s="125"/>
      <c r="CC284" s="126"/>
      <c r="CE284" s="240"/>
      <c r="CF284" s="53"/>
      <c r="CG284" s="52"/>
      <c r="CH284" s="53">
        <f t="shared" si="146"/>
        <v>0</v>
      </c>
      <c r="CJ284" s="122">
        <v>46075</v>
      </c>
      <c r="CK284" s="352">
        <v>5049.8700000000008</v>
      </c>
      <c r="CL284" s="351">
        <v>275.29000000000002</v>
      </c>
      <c r="CM284" s="125"/>
      <c r="CN284" s="353">
        <v>30.8</v>
      </c>
      <c r="CP284" s="240">
        <v>106.44553000000001</v>
      </c>
      <c r="CQ284" s="53"/>
      <c r="CR284" s="52"/>
      <c r="CS284" s="53">
        <f t="shared" si="147"/>
        <v>137.24553</v>
      </c>
      <c r="CU284" s="122">
        <v>46075</v>
      </c>
      <c r="CV284" s="123">
        <v>2129.36</v>
      </c>
      <c r="CW284" s="127">
        <v>928.95</v>
      </c>
      <c r="CX284" s="125"/>
      <c r="CY284" s="126">
        <v>59.82</v>
      </c>
      <c r="DA284" s="240">
        <v>1357.5</v>
      </c>
      <c r="DB284" s="435"/>
      <c r="DC284" s="53"/>
      <c r="DD284" s="52"/>
      <c r="DE284" s="53">
        <f t="shared" si="148"/>
        <v>1417.32</v>
      </c>
      <c r="DH284" s="122">
        <v>46075</v>
      </c>
      <c r="DI284" s="123">
        <v>2761.13</v>
      </c>
      <c r="DJ284" s="127">
        <v>391.59</v>
      </c>
      <c r="DK284" s="127">
        <v>958.23</v>
      </c>
      <c r="DL284" s="127"/>
      <c r="DM284" s="126">
        <v>0</v>
      </c>
      <c r="DO284" s="240"/>
      <c r="DP284" s="53"/>
      <c r="DQ284" s="52"/>
      <c r="DR284" s="53">
        <f t="shared" si="149"/>
        <v>0</v>
      </c>
      <c r="DT284" s="122">
        <v>46075</v>
      </c>
      <c r="DU284" s="123">
        <v>1092.54</v>
      </c>
      <c r="DV284" s="127">
        <v>858.48</v>
      </c>
      <c r="DW284" s="127"/>
      <c r="DX284" s="126">
        <v>10.199999999999999</v>
      </c>
      <c r="DZ284" s="240"/>
      <c r="EA284" s="53"/>
      <c r="EB284" s="52"/>
      <c r="EC284" s="53">
        <f t="shared" si="150"/>
        <v>10.199999999999999</v>
      </c>
      <c r="EE284" s="122">
        <v>46075</v>
      </c>
      <c r="EF284" s="123">
        <v>852.11</v>
      </c>
      <c r="EG284" s="127">
        <v>485.58</v>
      </c>
      <c r="EH284" s="127"/>
      <c r="EI284" s="126">
        <v>1.19</v>
      </c>
      <c r="EK284" s="240">
        <v>6.0474999999999994</v>
      </c>
      <c r="EL284" s="435"/>
      <c r="EM284" s="53">
        <v>33.202230599999979</v>
      </c>
      <c r="EN284" s="52"/>
      <c r="EO284" s="53">
        <f t="shared" si="151"/>
        <v>40.439730599999976</v>
      </c>
      <c r="EQ284" s="122">
        <v>46075</v>
      </c>
      <c r="ER284" s="123">
        <v>3958.63</v>
      </c>
      <c r="ES284" s="259">
        <v>282.51</v>
      </c>
      <c r="ET284" s="127"/>
      <c r="EU284" s="258">
        <v>6.77</v>
      </c>
      <c r="EW284" s="240"/>
      <c r="EX284" s="53"/>
      <c r="EY284" s="52"/>
      <c r="EZ284" s="53">
        <f t="shared" si="152"/>
        <v>6.77</v>
      </c>
      <c r="FB284" s="122">
        <v>46075</v>
      </c>
      <c r="FC284" s="123">
        <v>568.1</v>
      </c>
      <c r="FD284" s="123">
        <v>272.87</v>
      </c>
      <c r="FE284" s="125"/>
      <c r="FF284" s="126"/>
      <c r="FH284" s="240"/>
      <c r="FI284" s="53"/>
      <c r="FJ284" s="52"/>
      <c r="FK284" s="53">
        <f t="shared" si="153"/>
        <v>0</v>
      </c>
    </row>
    <row r="285" spans="2:167" hidden="1" x14ac:dyDescent="0.25">
      <c r="B285" s="122">
        <v>46076</v>
      </c>
      <c r="C285" s="123">
        <v>20518.740000000002</v>
      </c>
      <c r="D285" s="125"/>
      <c r="E285" s="125"/>
      <c r="F285" s="125">
        <v>0</v>
      </c>
      <c r="H285" s="240">
        <v>41.205000000000013</v>
      </c>
      <c r="I285" s="53"/>
      <c r="J285" s="52"/>
      <c r="K285" s="53">
        <f t="shared" si="140"/>
        <v>41.205000000000013</v>
      </c>
      <c r="M285" s="122">
        <v>46076</v>
      </c>
      <c r="N285" s="123">
        <v>3479.3</v>
      </c>
      <c r="O285" s="125"/>
      <c r="P285" s="126"/>
      <c r="R285" s="240"/>
      <c r="S285" s="53"/>
      <c r="T285" s="52"/>
      <c r="U285" s="53">
        <f t="shared" si="141"/>
        <v>0</v>
      </c>
      <c r="W285" s="122">
        <v>46076</v>
      </c>
      <c r="X285" s="123">
        <v>827.66</v>
      </c>
      <c r="Y285" s="123">
        <v>99.01</v>
      </c>
      <c r="Z285" s="125"/>
      <c r="AA285" s="273">
        <v>21.3</v>
      </c>
      <c r="AC285" s="240">
        <v>32.073450000000008</v>
      </c>
      <c r="AD285" s="53"/>
      <c r="AE285" s="52"/>
      <c r="AF285" s="53">
        <f t="shared" si="142"/>
        <v>53.373450000000005</v>
      </c>
      <c r="AI285" s="122">
        <v>46076</v>
      </c>
      <c r="AJ285" s="123">
        <v>2137.41</v>
      </c>
      <c r="AK285" s="125"/>
      <c r="AL285" s="126"/>
      <c r="AN285" s="240"/>
      <c r="AO285" s="53"/>
      <c r="AP285" s="52"/>
      <c r="AQ285" s="53">
        <f t="shared" si="143"/>
        <v>0</v>
      </c>
      <c r="AS285" s="122">
        <v>46076</v>
      </c>
      <c r="AT285" s="123">
        <v>3105.53</v>
      </c>
      <c r="AU285" s="125"/>
      <c r="AV285" s="128"/>
      <c r="AX285" s="240"/>
      <c r="AY285" s="53"/>
      <c r="AZ285" s="52"/>
      <c r="BA285" s="53">
        <f t="shared" si="144"/>
        <v>0</v>
      </c>
      <c r="BC285" s="122">
        <v>46076</v>
      </c>
      <c r="BD285" s="123">
        <v>4000.02</v>
      </c>
      <c r="BE285" s="125"/>
      <c r="BF285" s="128"/>
      <c r="BH285" s="240">
        <v>19.712609999999984</v>
      </c>
      <c r="BI285" s="53"/>
      <c r="BJ285" s="52"/>
      <c r="BK285" s="53">
        <f t="shared" si="145"/>
        <v>19.712609999999984</v>
      </c>
      <c r="BM285" s="122">
        <v>46076</v>
      </c>
      <c r="BN285" s="123">
        <v>13181.37</v>
      </c>
      <c r="BO285" s="123">
        <v>3054.91</v>
      </c>
      <c r="BP285" s="123">
        <v>9387.35</v>
      </c>
      <c r="BQ285" s="125"/>
      <c r="BR285" s="125"/>
      <c r="BT285" s="240">
        <v>167.40299999999996</v>
      </c>
      <c r="BU285" s="53"/>
      <c r="BV285" s="52">
        <v>3.8853359999999988</v>
      </c>
      <c r="BW285" s="53">
        <f t="shared" si="139"/>
        <v>171.28833599999996</v>
      </c>
      <c r="BY285" s="122">
        <v>46076</v>
      </c>
      <c r="BZ285" s="256">
        <v>768.74</v>
      </c>
      <c r="CA285" s="260">
        <v>393.98</v>
      </c>
      <c r="CB285" s="125"/>
      <c r="CC285" s="126"/>
      <c r="CE285" s="240"/>
      <c r="CF285" s="53"/>
      <c r="CG285" s="52"/>
      <c r="CH285" s="53">
        <f t="shared" si="146"/>
        <v>0</v>
      </c>
      <c r="CJ285" s="122">
        <v>46076</v>
      </c>
      <c r="CK285" s="352">
        <v>6786.38</v>
      </c>
      <c r="CL285" s="351">
        <v>471.9</v>
      </c>
      <c r="CM285" s="125"/>
      <c r="CN285" s="353">
        <v>0</v>
      </c>
      <c r="CP285" s="240">
        <v>196.75574999999998</v>
      </c>
      <c r="CQ285" s="53"/>
      <c r="CR285" s="52"/>
      <c r="CS285" s="53">
        <f t="shared" si="147"/>
        <v>196.75574999999998</v>
      </c>
      <c r="CU285" s="122">
        <v>46076</v>
      </c>
      <c r="CV285" s="123">
        <v>9871.74</v>
      </c>
      <c r="CW285" s="127">
        <v>1448.29</v>
      </c>
      <c r="CX285" s="125"/>
      <c r="CY285" s="126">
        <v>51.68</v>
      </c>
      <c r="DA285" s="240">
        <v>1507.5</v>
      </c>
      <c r="DB285" s="435"/>
      <c r="DC285" s="53"/>
      <c r="DD285" s="52"/>
      <c r="DE285" s="53">
        <f t="shared" si="148"/>
        <v>1559.18</v>
      </c>
      <c r="DH285" s="122">
        <v>46076</v>
      </c>
      <c r="DI285" s="123">
        <v>2549.7199999999998</v>
      </c>
      <c r="DJ285" s="127">
        <v>358.89</v>
      </c>
      <c r="DK285" s="127">
        <v>742.03</v>
      </c>
      <c r="DL285" s="127"/>
      <c r="DM285" s="126">
        <v>0</v>
      </c>
      <c r="DO285" s="240"/>
      <c r="DP285" s="53"/>
      <c r="DQ285" s="52"/>
      <c r="DR285" s="53">
        <f t="shared" si="149"/>
        <v>0</v>
      </c>
      <c r="DT285" s="122">
        <v>46076</v>
      </c>
      <c r="DU285" s="123">
        <v>1655.66</v>
      </c>
      <c r="DV285" s="127">
        <v>1254.05</v>
      </c>
      <c r="DW285" s="127"/>
      <c r="DX285" s="126">
        <v>47.4</v>
      </c>
      <c r="DZ285" s="240"/>
      <c r="EA285" s="53">
        <v>32.900574820000031</v>
      </c>
      <c r="EB285" s="52"/>
      <c r="EC285" s="53">
        <f t="shared" si="150"/>
        <v>80.300574820000037</v>
      </c>
      <c r="EE285" s="122">
        <v>46076</v>
      </c>
      <c r="EF285" s="123">
        <v>966.24</v>
      </c>
      <c r="EG285" s="127">
        <v>936.04</v>
      </c>
      <c r="EH285" s="127"/>
      <c r="EI285" s="126">
        <v>9.26</v>
      </c>
      <c r="EK285" s="240">
        <v>547.01794000000007</v>
      </c>
      <c r="EL285" s="435"/>
      <c r="EM285" s="53"/>
      <c r="EN285" s="52"/>
      <c r="EO285" s="53">
        <f t="shared" si="151"/>
        <v>556.27794000000006</v>
      </c>
      <c r="EQ285" s="122">
        <v>46076</v>
      </c>
      <c r="ER285" s="123">
        <v>2746.79</v>
      </c>
      <c r="ES285" s="259">
        <v>313.97000000000003</v>
      </c>
      <c r="ET285" s="127"/>
      <c r="EU285" s="258">
        <v>657.09</v>
      </c>
      <c r="EW285" s="240">
        <v>72.492500000000007</v>
      </c>
      <c r="EX285" s="53">
        <v>246.54155664571499</v>
      </c>
      <c r="EY285" s="52"/>
      <c r="EZ285" s="53">
        <f t="shared" si="152"/>
        <v>976.12405664571497</v>
      </c>
      <c r="FB285" s="122">
        <v>46076</v>
      </c>
      <c r="FC285" s="123">
        <v>760.57</v>
      </c>
      <c r="FD285" s="123">
        <v>162.94999999999999</v>
      </c>
      <c r="FE285" s="125"/>
      <c r="FF285" s="126"/>
      <c r="FH285" s="240"/>
      <c r="FI285" s="53"/>
      <c r="FJ285" s="52"/>
      <c r="FK285" s="53">
        <f t="shared" si="153"/>
        <v>0</v>
      </c>
    </row>
    <row r="286" spans="2:167" hidden="1" x14ac:dyDescent="0.25">
      <c r="B286" s="122">
        <v>46077</v>
      </c>
      <c r="C286" s="123">
        <v>16629.37</v>
      </c>
      <c r="D286" s="125"/>
      <c r="E286" s="125"/>
      <c r="F286" s="125">
        <v>0</v>
      </c>
      <c r="H286" s="240">
        <v>20.799999999999983</v>
      </c>
      <c r="I286" s="53"/>
      <c r="J286" s="52"/>
      <c r="K286" s="53">
        <f t="shared" si="140"/>
        <v>20.799999999999983</v>
      </c>
      <c r="M286" s="122">
        <v>46077</v>
      </c>
      <c r="N286" s="123">
        <v>3505.52</v>
      </c>
      <c r="O286" s="125"/>
      <c r="P286" s="126"/>
      <c r="R286" s="240"/>
      <c r="S286" s="53"/>
      <c r="T286" s="52"/>
      <c r="U286" s="53">
        <f t="shared" si="141"/>
        <v>0</v>
      </c>
      <c r="W286" s="122">
        <v>46077</v>
      </c>
      <c r="X286" s="123">
        <v>1136.3900000000001</v>
      </c>
      <c r="Y286" s="123">
        <v>67.599999999999994</v>
      </c>
      <c r="Z286" s="125"/>
      <c r="AA286" s="273">
        <v>14.3</v>
      </c>
      <c r="AC286" s="240">
        <v>55.873699999999985</v>
      </c>
      <c r="AD286" s="53"/>
      <c r="AE286" s="52"/>
      <c r="AF286" s="53">
        <f t="shared" si="142"/>
        <v>70.173699999999982</v>
      </c>
      <c r="AI286" s="122">
        <v>46077</v>
      </c>
      <c r="AJ286" s="123">
        <v>1040.83</v>
      </c>
      <c r="AK286" s="125"/>
      <c r="AL286" s="126"/>
      <c r="AN286" s="240"/>
      <c r="AO286" s="53"/>
      <c r="AP286" s="52"/>
      <c r="AQ286" s="53">
        <f t="shared" si="143"/>
        <v>0</v>
      </c>
      <c r="AS286" s="122">
        <v>46077</v>
      </c>
      <c r="AT286" s="123">
        <v>2923.02</v>
      </c>
      <c r="AU286" s="125"/>
      <c r="AV286" s="128"/>
      <c r="AX286" s="240"/>
      <c r="AY286" s="53"/>
      <c r="AZ286" s="52"/>
      <c r="BA286" s="53">
        <f t="shared" si="144"/>
        <v>0</v>
      </c>
      <c r="BC286" s="122">
        <v>46077</v>
      </c>
      <c r="BD286" s="123">
        <v>1913.58</v>
      </c>
      <c r="BE286" s="125"/>
      <c r="BF286" s="128"/>
      <c r="BH286" s="240"/>
      <c r="BI286" s="53"/>
      <c r="BJ286" s="52"/>
      <c r="BK286" s="53">
        <f t="shared" si="145"/>
        <v>0</v>
      </c>
      <c r="BM286" s="122">
        <v>46077</v>
      </c>
      <c r="BN286" s="123">
        <v>15409.1</v>
      </c>
      <c r="BO286" s="123">
        <v>3670.91</v>
      </c>
      <c r="BP286" s="123">
        <v>9240.7800000000007</v>
      </c>
      <c r="BQ286" s="125"/>
      <c r="BR286" s="125"/>
      <c r="BT286" s="240">
        <v>99.106300000000005</v>
      </c>
      <c r="BU286" s="53">
        <v>381.34659790476206</v>
      </c>
      <c r="BV286" s="52"/>
      <c r="BW286" s="53">
        <f t="shared" si="139"/>
        <v>480.45289790476204</v>
      </c>
      <c r="BY286" s="122">
        <v>46077</v>
      </c>
      <c r="BZ286" s="256">
        <v>1206.78</v>
      </c>
      <c r="CA286" s="257">
        <v>440.22</v>
      </c>
      <c r="CB286" s="125"/>
      <c r="CC286" s="126"/>
      <c r="CE286" s="240"/>
      <c r="CF286" s="53"/>
      <c r="CG286" s="52"/>
      <c r="CH286" s="53">
        <f t="shared" si="146"/>
        <v>0</v>
      </c>
      <c r="CJ286" s="122">
        <v>46077</v>
      </c>
      <c r="CK286" s="352">
        <v>6159.4000000000005</v>
      </c>
      <c r="CL286" s="351">
        <v>643.52</v>
      </c>
      <c r="CM286" s="125"/>
      <c r="CN286" s="353">
        <v>14.52</v>
      </c>
      <c r="CP286" s="240">
        <v>205.64243000000008</v>
      </c>
      <c r="CQ286" s="53">
        <v>13.567796168571405</v>
      </c>
      <c r="CR286" s="52"/>
      <c r="CS286" s="53">
        <f t="shared" si="147"/>
        <v>233.73022616857151</v>
      </c>
      <c r="CU286" s="122">
        <v>46077</v>
      </c>
      <c r="CV286" s="123">
        <v>6513.17</v>
      </c>
      <c r="CW286" s="127">
        <v>1320.96</v>
      </c>
      <c r="CX286" s="125"/>
      <c r="CY286" s="126">
        <v>172.77</v>
      </c>
      <c r="DA286" s="240">
        <v>1582.4995888802389</v>
      </c>
      <c r="DB286" s="435"/>
      <c r="DC286" s="53"/>
      <c r="DD286" s="52"/>
      <c r="DE286" s="53">
        <f t="shared" si="148"/>
        <v>1755.2695888802389</v>
      </c>
      <c r="DH286" s="122">
        <v>46077</v>
      </c>
      <c r="DI286" s="123">
        <v>4134.9799999999996</v>
      </c>
      <c r="DJ286" s="127">
        <v>222.52</v>
      </c>
      <c r="DK286" s="127">
        <v>515.77</v>
      </c>
      <c r="DL286" s="127"/>
      <c r="DM286" s="126">
        <v>0</v>
      </c>
      <c r="DO286" s="240"/>
      <c r="DP286" s="53"/>
      <c r="DQ286" s="52"/>
      <c r="DR286" s="53">
        <f t="shared" si="149"/>
        <v>0</v>
      </c>
      <c r="DT286" s="122">
        <v>46077</v>
      </c>
      <c r="DU286" s="123">
        <v>1445.11</v>
      </c>
      <c r="DV286" s="127">
        <v>840.92</v>
      </c>
      <c r="DW286" s="127"/>
      <c r="DX286" s="126">
        <v>9.34</v>
      </c>
      <c r="DZ286" s="240"/>
      <c r="EA286" s="53"/>
      <c r="EB286" s="52"/>
      <c r="EC286" s="53">
        <f t="shared" si="150"/>
        <v>9.34</v>
      </c>
      <c r="EE286" s="122">
        <v>46077</v>
      </c>
      <c r="EF286" s="123">
        <v>1036.96</v>
      </c>
      <c r="EG286" s="127">
        <v>1054.3900000000001</v>
      </c>
      <c r="EH286" s="127"/>
      <c r="EI286" s="126">
        <v>10.75</v>
      </c>
      <c r="EK286" s="240">
        <v>481.87902000000008</v>
      </c>
      <c r="EL286" s="435"/>
      <c r="EM286" s="53">
        <v>48.1207113407619</v>
      </c>
      <c r="EN286" s="52"/>
      <c r="EO286" s="53">
        <f t="shared" si="151"/>
        <v>540.74973134076197</v>
      </c>
      <c r="EQ286" s="122">
        <v>46077</v>
      </c>
      <c r="ER286" s="123">
        <v>3889.53</v>
      </c>
      <c r="ES286" s="259">
        <v>223.31</v>
      </c>
      <c r="ET286" s="127"/>
      <c r="EU286" s="258">
        <v>263.19</v>
      </c>
      <c r="EW286" s="240">
        <v>147.1762500000001</v>
      </c>
      <c r="EX286" s="53"/>
      <c r="EY286" s="52"/>
      <c r="EZ286" s="53">
        <f t="shared" si="152"/>
        <v>410.36625000000009</v>
      </c>
      <c r="FB286" s="122">
        <v>46077</v>
      </c>
      <c r="FC286" s="123">
        <v>927.66</v>
      </c>
      <c r="FD286" s="123">
        <v>208.15</v>
      </c>
      <c r="FE286" s="125"/>
      <c r="FF286" s="126"/>
      <c r="FH286" s="240"/>
      <c r="FI286" s="53"/>
      <c r="FJ286" s="52"/>
      <c r="FK286" s="53">
        <f t="shared" si="153"/>
        <v>0</v>
      </c>
    </row>
    <row r="287" spans="2:167" hidden="1" x14ac:dyDescent="0.25">
      <c r="B287" s="122">
        <v>46078</v>
      </c>
      <c r="C287" s="123">
        <v>21223.75</v>
      </c>
      <c r="D287" s="125"/>
      <c r="E287" s="125"/>
      <c r="F287" s="125">
        <v>0</v>
      </c>
      <c r="H287" s="240"/>
      <c r="I287" s="53">
        <v>27.806360839047642</v>
      </c>
      <c r="J287" s="52"/>
      <c r="K287" s="53">
        <f t="shared" si="140"/>
        <v>27.806360839047642</v>
      </c>
      <c r="M287" s="122">
        <v>46078</v>
      </c>
      <c r="N287" s="123">
        <v>3897.29</v>
      </c>
      <c r="O287" s="125"/>
      <c r="P287" s="126"/>
      <c r="R287" s="240"/>
      <c r="S287" s="53"/>
      <c r="T287" s="52"/>
      <c r="U287" s="53">
        <f t="shared" si="141"/>
        <v>0</v>
      </c>
      <c r="W287" s="122">
        <v>46078</v>
      </c>
      <c r="X287" s="123">
        <v>2030.8</v>
      </c>
      <c r="Y287" s="123">
        <v>130.55000000000001</v>
      </c>
      <c r="Z287" s="125"/>
      <c r="AA287" s="273">
        <v>5.86</v>
      </c>
      <c r="AC287" s="240">
        <v>42.488369999999975</v>
      </c>
      <c r="AD287" s="53"/>
      <c r="AE287" s="52"/>
      <c r="AF287" s="53">
        <f t="shared" si="142"/>
        <v>48.348369999999974</v>
      </c>
      <c r="AI287" s="122">
        <v>46078</v>
      </c>
      <c r="AJ287" s="123">
        <v>1981.18</v>
      </c>
      <c r="AK287" s="125"/>
      <c r="AL287" s="126"/>
      <c r="AN287" s="240"/>
      <c r="AO287" s="53"/>
      <c r="AP287" s="52"/>
      <c r="AQ287" s="53">
        <f t="shared" si="143"/>
        <v>0</v>
      </c>
      <c r="AS287" s="122">
        <v>46078</v>
      </c>
      <c r="AT287" s="123">
        <v>3511.6</v>
      </c>
      <c r="AU287" s="125"/>
      <c r="AV287" s="128"/>
      <c r="AX287" s="240"/>
      <c r="AY287" s="53"/>
      <c r="AZ287" s="52"/>
      <c r="BA287" s="53">
        <f t="shared" si="144"/>
        <v>0</v>
      </c>
      <c r="BC287" s="122">
        <v>46078</v>
      </c>
      <c r="BD287" s="123">
        <v>2031.08</v>
      </c>
      <c r="BE287" s="125"/>
      <c r="BF287" s="128"/>
      <c r="BH287" s="240"/>
      <c r="BI287" s="53"/>
      <c r="BJ287" s="52"/>
      <c r="BK287" s="53">
        <f t="shared" si="145"/>
        <v>0</v>
      </c>
      <c r="BM287" s="122">
        <v>46078</v>
      </c>
      <c r="BN287" s="123">
        <v>16846.62</v>
      </c>
      <c r="BO287" s="123">
        <v>3745.79</v>
      </c>
      <c r="BP287" s="123">
        <v>10477.39</v>
      </c>
      <c r="BQ287" s="125"/>
      <c r="BR287" s="125"/>
      <c r="BT287" s="240">
        <v>77.924999999999926</v>
      </c>
      <c r="BU287" s="53"/>
      <c r="BV287" s="52"/>
      <c r="BW287" s="53">
        <f t="shared" si="139"/>
        <v>77.924999999999926</v>
      </c>
      <c r="BY287" s="122">
        <v>46078</v>
      </c>
      <c r="BZ287" s="256">
        <v>1116.01</v>
      </c>
      <c r="CA287" s="257">
        <v>671.12</v>
      </c>
      <c r="CB287" s="125"/>
      <c r="CC287" s="126"/>
      <c r="CE287" s="240"/>
      <c r="CF287" s="53">
        <v>24.321870720952376</v>
      </c>
      <c r="CG287" s="52"/>
      <c r="CH287" s="53">
        <f t="shared" si="146"/>
        <v>24.321870720952376</v>
      </c>
      <c r="CJ287" s="122">
        <v>46078</v>
      </c>
      <c r="CK287" s="352">
        <v>3829.45</v>
      </c>
      <c r="CL287" s="351">
        <v>499.16</v>
      </c>
      <c r="CM287" s="125"/>
      <c r="CN287" s="353">
        <v>0</v>
      </c>
      <c r="CP287" s="240">
        <v>30.970579999999984</v>
      </c>
      <c r="CQ287" s="53"/>
      <c r="CR287" s="52"/>
      <c r="CS287" s="53">
        <f t="shared" si="147"/>
        <v>30.970579999999984</v>
      </c>
      <c r="CU287" s="122">
        <v>46078</v>
      </c>
      <c r="CV287" s="123">
        <v>7383.79</v>
      </c>
      <c r="CW287" s="127">
        <v>1944.64</v>
      </c>
      <c r="CX287" s="125"/>
      <c r="CY287" s="126">
        <v>95.26</v>
      </c>
      <c r="DA287" s="240">
        <v>416.59</v>
      </c>
      <c r="DB287" s="435"/>
      <c r="DC287" s="53"/>
      <c r="DD287" s="52"/>
      <c r="DE287" s="53">
        <f t="shared" si="148"/>
        <v>511.84999999999997</v>
      </c>
      <c r="DH287" s="122">
        <v>46078</v>
      </c>
      <c r="DI287" s="123">
        <v>2463.94</v>
      </c>
      <c r="DJ287" s="127">
        <v>596.73</v>
      </c>
      <c r="DK287" s="127">
        <v>1146.3499999999999</v>
      </c>
      <c r="DL287" s="127"/>
      <c r="DM287" s="126">
        <v>0</v>
      </c>
      <c r="DO287" s="240">
        <v>11.915519999999987</v>
      </c>
      <c r="DP287" s="53"/>
      <c r="DQ287" s="52"/>
      <c r="DR287" s="53">
        <f t="shared" si="149"/>
        <v>11.915519999999987</v>
      </c>
      <c r="DT287" s="122">
        <v>46078</v>
      </c>
      <c r="DU287" s="123">
        <v>1393.63</v>
      </c>
      <c r="DV287" s="127">
        <v>924.05</v>
      </c>
      <c r="DW287" s="127"/>
      <c r="DX287" s="126">
        <v>7.19</v>
      </c>
      <c r="DZ287" s="240"/>
      <c r="EA287" s="53"/>
      <c r="EB287" s="52"/>
      <c r="EC287" s="53">
        <f t="shared" si="150"/>
        <v>7.19</v>
      </c>
      <c r="EE287" s="122">
        <v>46078</v>
      </c>
      <c r="EF287" s="123">
        <v>1009.45</v>
      </c>
      <c r="EG287" s="127">
        <v>859.27</v>
      </c>
      <c r="EH287" s="127"/>
      <c r="EI287" s="126">
        <v>6.2</v>
      </c>
      <c r="EK287" s="240">
        <v>436.26684000000012</v>
      </c>
      <c r="EL287" s="435"/>
      <c r="EM287" s="53"/>
      <c r="EN287" s="52"/>
      <c r="EO287" s="53">
        <f t="shared" si="151"/>
        <v>442.4668400000001</v>
      </c>
      <c r="EQ287" s="122">
        <v>46078</v>
      </c>
      <c r="ER287" s="123">
        <v>2855.19</v>
      </c>
      <c r="ES287" s="259">
        <v>536.89</v>
      </c>
      <c r="ET287" s="127"/>
      <c r="EU287" s="258">
        <v>214.21</v>
      </c>
      <c r="EW287" s="240">
        <v>59.202959999999962</v>
      </c>
      <c r="EX287" s="53">
        <v>262.72871531238093</v>
      </c>
      <c r="EY287" s="52"/>
      <c r="EZ287" s="53">
        <f t="shared" si="152"/>
        <v>536.14167531238093</v>
      </c>
      <c r="FB287" s="122">
        <v>46078</v>
      </c>
      <c r="FC287" s="123">
        <v>1155.6400000000001</v>
      </c>
      <c r="FD287" s="123">
        <v>96.93</v>
      </c>
      <c r="FE287" s="125"/>
      <c r="FF287" s="126"/>
      <c r="FH287" s="240"/>
      <c r="FI287" s="53"/>
      <c r="FJ287" s="52"/>
      <c r="FK287" s="53">
        <f t="shared" si="153"/>
        <v>0</v>
      </c>
    </row>
    <row r="288" spans="2:167" hidden="1" x14ac:dyDescent="0.25">
      <c r="B288" s="122">
        <v>46079</v>
      </c>
      <c r="C288" s="123">
        <v>15437.65</v>
      </c>
      <c r="D288" s="126"/>
      <c r="E288" s="125"/>
      <c r="F288" s="126">
        <v>0</v>
      </c>
      <c r="H288" s="240"/>
      <c r="I288" s="53"/>
      <c r="J288" s="52"/>
      <c r="K288" s="53">
        <f t="shared" si="140"/>
        <v>0</v>
      </c>
      <c r="M288" s="122">
        <v>46079</v>
      </c>
      <c r="N288" s="123">
        <v>3777.39</v>
      </c>
      <c r="O288" s="125"/>
      <c r="P288" s="126"/>
      <c r="R288" s="240"/>
      <c r="S288" s="53"/>
      <c r="T288" s="52"/>
      <c r="U288" s="53">
        <f t="shared" si="141"/>
        <v>0</v>
      </c>
      <c r="W288" s="122">
        <v>46079</v>
      </c>
      <c r="X288" s="123">
        <v>1830.74</v>
      </c>
      <c r="Y288" s="123">
        <v>351.02</v>
      </c>
      <c r="Z288" s="125"/>
      <c r="AA288" s="273">
        <v>2.91</v>
      </c>
      <c r="AC288" s="240"/>
      <c r="AD288" s="53">
        <v>10.322079911428574</v>
      </c>
      <c r="AE288" s="52"/>
      <c r="AF288" s="53">
        <f t="shared" si="142"/>
        <v>13.232079911428574</v>
      </c>
      <c r="AI288" s="122">
        <v>46079</v>
      </c>
      <c r="AJ288" s="123">
        <v>567.9</v>
      </c>
      <c r="AK288" s="125"/>
      <c r="AL288" s="126"/>
      <c r="AN288" s="240"/>
      <c r="AO288" s="53"/>
      <c r="AP288" s="52"/>
      <c r="AQ288" s="53">
        <f t="shared" si="143"/>
        <v>0</v>
      </c>
      <c r="AS288" s="122">
        <v>46079</v>
      </c>
      <c r="AT288" s="123">
        <v>4899.32</v>
      </c>
      <c r="AU288" s="125"/>
      <c r="AV288" s="128"/>
      <c r="AX288" s="240"/>
      <c r="AY288" s="53"/>
      <c r="AZ288" s="52"/>
      <c r="BA288" s="53">
        <f t="shared" si="144"/>
        <v>0</v>
      </c>
      <c r="BC288" s="122">
        <v>46079</v>
      </c>
      <c r="BD288" s="123">
        <v>891.68</v>
      </c>
      <c r="BE288" s="125"/>
      <c r="BF288" s="128"/>
      <c r="BH288" s="240"/>
      <c r="BI288" s="53"/>
      <c r="BJ288" s="52"/>
      <c r="BK288" s="53">
        <f t="shared" si="145"/>
        <v>0</v>
      </c>
      <c r="BM288" s="122">
        <v>46079</v>
      </c>
      <c r="BN288" s="123">
        <v>18426.41</v>
      </c>
      <c r="BO288" s="123">
        <v>3681.47</v>
      </c>
      <c r="BP288" s="123">
        <v>9574.8700000000008</v>
      </c>
      <c r="BQ288" s="125"/>
      <c r="BR288" s="125"/>
      <c r="BT288" s="240">
        <v>34.433399999999985</v>
      </c>
      <c r="BU288" s="53"/>
      <c r="BV288" s="52">
        <v>5.832478499999997</v>
      </c>
      <c r="BW288" s="53">
        <f t="shared" si="139"/>
        <v>40.265878499999985</v>
      </c>
      <c r="BY288" s="122">
        <v>46079</v>
      </c>
      <c r="BZ288" s="256">
        <v>1178.05</v>
      </c>
      <c r="CA288" s="257">
        <v>480.96</v>
      </c>
      <c r="CB288" s="125"/>
      <c r="CC288" s="126"/>
      <c r="CE288" s="240"/>
      <c r="CF288" s="53"/>
      <c r="CG288" s="52"/>
      <c r="CH288" s="53">
        <f t="shared" si="146"/>
        <v>0</v>
      </c>
      <c r="CJ288" s="122">
        <v>46079</v>
      </c>
      <c r="CK288" s="352">
        <v>3698.9100000000003</v>
      </c>
      <c r="CL288" s="351">
        <v>461.05</v>
      </c>
      <c r="CM288" s="125"/>
      <c r="CN288" s="353">
        <v>0</v>
      </c>
      <c r="CP288" s="240">
        <v>55.244200000000035</v>
      </c>
      <c r="CQ288" s="53"/>
      <c r="CR288" s="52"/>
      <c r="CS288" s="53">
        <f t="shared" si="147"/>
        <v>55.244200000000035</v>
      </c>
      <c r="CU288" s="122">
        <v>46079</v>
      </c>
      <c r="CV288" s="123">
        <v>8577.07</v>
      </c>
      <c r="CW288" s="127">
        <v>1967.14</v>
      </c>
      <c r="CX288" s="125"/>
      <c r="CY288" s="126">
        <v>112.6</v>
      </c>
      <c r="DA288" s="240"/>
      <c r="DB288" s="435"/>
      <c r="DC288" s="53"/>
      <c r="DD288" s="52"/>
      <c r="DE288" s="53">
        <f t="shared" si="148"/>
        <v>112.6</v>
      </c>
      <c r="DH288" s="122">
        <v>46079</v>
      </c>
      <c r="DI288" s="123">
        <v>2924.36</v>
      </c>
      <c r="DJ288" s="259">
        <v>343.98</v>
      </c>
      <c r="DK288" s="259">
        <v>880.22</v>
      </c>
      <c r="DL288" s="127"/>
      <c r="DM288" s="126">
        <v>0</v>
      </c>
      <c r="DO288" s="240">
        <v>11.812269999999998</v>
      </c>
      <c r="DP288" s="53"/>
      <c r="DQ288" s="52"/>
      <c r="DR288" s="53">
        <f t="shared" si="149"/>
        <v>11.812269999999998</v>
      </c>
      <c r="DT288" s="122">
        <v>46079</v>
      </c>
      <c r="DU288" s="123">
        <v>988</v>
      </c>
      <c r="DV288" s="259">
        <v>559.86</v>
      </c>
      <c r="DW288" s="127"/>
      <c r="DX288" s="126">
        <v>15.7</v>
      </c>
      <c r="DZ288" s="240"/>
      <c r="EA288" s="53"/>
      <c r="EB288" s="52"/>
      <c r="EC288" s="53">
        <f t="shared" si="150"/>
        <v>15.7</v>
      </c>
      <c r="EE288" s="122">
        <v>46079</v>
      </c>
      <c r="EF288" s="123">
        <v>1514.08</v>
      </c>
      <c r="EG288" s="127">
        <v>1042.6300000000001</v>
      </c>
      <c r="EH288" s="127"/>
      <c r="EI288" s="126">
        <v>7.15</v>
      </c>
      <c r="EK288" s="240">
        <v>436.70502000000016</v>
      </c>
      <c r="EL288" s="435"/>
      <c r="EM288" s="53">
        <v>152.62621260380959</v>
      </c>
      <c r="EN288" s="52"/>
      <c r="EO288" s="53">
        <f t="shared" si="151"/>
        <v>596.48123260380976</v>
      </c>
      <c r="EQ288" s="122">
        <v>46079</v>
      </c>
      <c r="ER288" s="123">
        <v>2204.61</v>
      </c>
      <c r="ES288" s="259">
        <v>127.64</v>
      </c>
      <c r="ET288" s="127"/>
      <c r="EU288" s="258">
        <v>238.96</v>
      </c>
      <c r="EW288" s="240">
        <v>84.531779999999955</v>
      </c>
      <c r="EX288" s="53">
        <v>6.6219675887618905</v>
      </c>
      <c r="EY288" s="52"/>
      <c r="EZ288" s="53">
        <f t="shared" si="152"/>
        <v>330.11374758876184</v>
      </c>
      <c r="FB288" s="122">
        <v>46079</v>
      </c>
      <c r="FC288" s="123">
        <v>997.22</v>
      </c>
      <c r="FD288" s="123">
        <v>127</v>
      </c>
      <c r="FE288" s="125"/>
      <c r="FF288" s="126"/>
      <c r="FH288" s="240"/>
      <c r="FI288" s="53"/>
      <c r="FJ288" s="52"/>
      <c r="FK288" s="53">
        <f t="shared" si="153"/>
        <v>0</v>
      </c>
    </row>
    <row r="289" spans="2:167" hidden="1" x14ac:dyDescent="0.25">
      <c r="B289" s="122">
        <v>46080</v>
      </c>
      <c r="C289" s="123">
        <v>23126.92</v>
      </c>
      <c r="D289" s="125"/>
      <c r="E289" s="125"/>
      <c r="F289" s="125">
        <v>0</v>
      </c>
      <c r="H289" s="240">
        <v>75.20941000000002</v>
      </c>
      <c r="I289" s="53"/>
      <c r="J289" s="52"/>
      <c r="K289" s="53">
        <f t="shared" si="140"/>
        <v>75.20941000000002</v>
      </c>
      <c r="M289" s="122">
        <v>46080</v>
      </c>
      <c r="N289" s="123">
        <v>3698.58</v>
      </c>
      <c r="O289" s="125"/>
      <c r="P289" s="126"/>
      <c r="R289" s="240"/>
      <c r="S289" s="53"/>
      <c r="T289" s="52"/>
      <c r="U289" s="53">
        <f t="shared" si="141"/>
        <v>0</v>
      </c>
      <c r="W289" s="122">
        <v>46080</v>
      </c>
      <c r="X289" s="123">
        <v>1646.78</v>
      </c>
      <c r="Y289" s="123">
        <v>193.24</v>
      </c>
      <c r="Z289" s="125"/>
      <c r="AA289" s="273">
        <v>28.29</v>
      </c>
      <c r="AC289" s="240">
        <v>27.117179999999991</v>
      </c>
      <c r="AD289" s="53">
        <v>8.2020520904762009</v>
      </c>
      <c r="AE289" s="52"/>
      <c r="AF289" s="53">
        <f t="shared" si="142"/>
        <v>63.609232090476191</v>
      </c>
      <c r="AI289" s="122">
        <v>46080</v>
      </c>
      <c r="AJ289" s="123">
        <v>816.84</v>
      </c>
      <c r="AK289" s="125"/>
      <c r="AL289" s="126"/>
      <c r="AN289" s="240"/>
      <c r="AO289" s="53"/>
      <c r="AP289" s="52"/>
      <c r="AQ289" s="53">
        <f t="shared" si="143"/>
        <v>0</v>
      </c>
      <c r="AS289" s="122">
        <v>46080</v>
      </c>
      <c r="AT289" s="123">
        <v>3452.19</v>
      </c>
      <c r="AU289" s="125"/>
      <c r="AV289" s="128"/>
      <c r="AX289" s="240"/>
      <c r="AY289" s="53"/>
      <c r="AZ289" s="52"/>
      <c r="BA289" s="53">
        <f t="shared" si="144"/>
        <v>0</v>
      </c>
      <c r="BC289" s="122">
        <v>46080</v>
      </c>
      <c r="BD289" s="123">
        <v>661.02</v>
      </c>
      <c r="BE289" s="125"/>
      <c r="BF289" s="128"/>
      <c r="BH289" s="240"/>
      <c r="BI289" s="53"/>
      <c r="BJ289" s="52"/>
      <c r="BK289" s="53">
        <f t="shared" si="145"/>
        <v>0</v>
      </c>
      <c r="BM289" s="122">
        <v>46080</v>
      </c>
      <c r="BN289" s="123">
        <v>17421.259999999998</v>
      </c>
      <c r="BO289" s="123">
        <v>2722.72</v>
      </c>
      <c r="BP289" s="123">
        <v>1808.4</v>
      </c>
      <c r="BQ289" s="125"/>
      <c r="BR289" s="125"/>
      <c r="BT289" s="240">
        <v>202.1348999999999</v>
      </c>
      <c r="BU289" s="53">
        <v>389.69725333333349</v>
      </c>
      <c r="BV289" s="52"/>
      <c r="BW289" s="53">
        <f t="shared" si="139"/>
        <v>591.83215333333339</v>
      </c>
      <c r="BY289" s="122">
        <v>46080</v>
      </c>
      <c r="BZ289" s="256">
        <v>823.15</v>
      </c>
      <c r="CA289" s="260">
        <v>649.61</v>
      </c>
      <c r="CB289" s="125"/>
      <c r="CC289" s="126"/>
      <c r="CE289" s="240"/>
      <c r="CF289" s="53"/>
      <c r="CG289" s="52"/>
      <c r="CH289" s="53">
        <f t="shared" si="146"/>
        <v>0</v>
      </c>
      <c r="CJ289" s="122">
        <v>46080</v>
      </c>
      <c r="CK289" s="352">
        <v>6260.0800000000008</v>
      </c>
      <c r="CL289" s="351">
        <v>316.04000000000002</v>
      </c>
      <c r="CM289" s="125"/>
      <c r="CN289" s="353">
        <v>4.99</v>
      </c>
      <c r="CP289" s="240">
        <v>292.53666999999984</v>
      </c>
      <c r="CQ289" s="53"/>
      <c r="CR289" s="52"/>
      <c r="CS289" s="53">
        <f t="shared" si="147"/>
        <v>297.52666999999985</v>
      </c>
      <c r="CU289" s="122">
        <v>46080</v>
      </c>
      <c r="CV289" s="123">
        <v>7275.64</v>
      </c>
      <c r="CW289" s="127">
        <v>2220.92</v>
      </c>
      <c r="CX289" s="125"/>
      <c r="CY289" s="126">
        <v>186.93</v>
      </c>
      <c r="DA289" s="240"/>
      <c r="DB289" s="435"/>
      <c r="DC289" s="53"/>
      <c r="DD289" s="52"/>
      <c r="DE289" s="53">
        <f t="shared" si="148"/>
        <v>186.93</v>
      </c>
      <c r="DH289" s="122">
        <v>46080</v>
      </c>
      <c r="DI289" s="123">
        <v>3997.77</v>
      </c>
      <c r="DJ289" s="127">
        <v>520.45000000000005</v>
      </c>
      <c r="DK289" s="127">
        <v>2480.5100000000002</v>
      </c>
      <c r="DL289" s="127"/>
      <c r="DM289" s="126">
        <v>0</v>
      </c>
      <c r="DO289" s="240">
        <v>16.887149999999991</v>
      </c>
      <c r="DP289" s="53"/>
      <c r="DQ289" s="52"/>
      <c r="DR289" s="53">
        <f t="shared" si="149"/>
        <v>16.887149999999991</v>
      </c>
      <c r="DT289" s="122">
        <v>46080</v>
      </c>
      <c r="DU289" s="123">
        <v>1723.82</v>
      </c>
      <c r="DV289" s="127">
        <v>1152.06</v>
      </c>
      <c r="DW289" s="127"/>
      <c r="DX289" s="126">
        <v>36.6</v>
      </c>
      <c r="DZ289" s="240"/>
      <c r="EA289" s="53"/>
      <c r="EB289" s="52"/>
      <c r="EC289" s="53">
        <f t="shared" si="150"/>
        <v>36.6</v>
      </c>
      <c r="EE289" s="122">
        <v>46080</v>
      </c>
      <c r="EF289" s="123">
        <v>1470.64</v>
      </c>
      <c r="EG289" s="127">
        <v>1611.16</v>
      </c>
      <c r="EH289" s="127"/>
      <c r="EI289" s="126">
        <v>7.5</v>
      </c>
      <c r="EK289" s="240">
        <v>319.20107000000019</v>
      </c>
      <c r="EL289" s="435"/>
      <c r="EM289" s="53">
        <v>30.43395965904763</v>
      </c>
      <c r="EN289" s="52"/>
      <c r="EO289" s="53">
        <f t="shared" si="151"/>
        <v>357.1350296590478</v>
      </c>
      <c r="EQ289" s="122">
        <v>46080</v>
      </c>
      <c r="ER289" s="123">
        <v>5881.24</v>
      </c>
      <c r="ES289" s="259">
        <v>475.19</v>
      </c>
      <c r="ET289" s="127"/>
      <c r="EU289" s="258">
        <v>589.97</v>
      </c>
      <c r="EW289" s="240">
        <v>52.673939999999902</v>
      </c>
      <c r="EX289" s="53"/>
      <c r="EY289" s="52"/>
      <c r="EZ289" s="53">
        <f t="shared" si="152"/>
        <v>642.64393999999993</v>
      </c>
      <c r="FB289" s="122">
        <v>46080</v>
      </c>
      <c r="FC289" s="123">
        <v>1228.26</v>
      </c>
      <c r="FD289" s="123">
        <v>155.05000000000001</v>
      </c>
      <c r="FE289" s="125"/>
      <c r="FF289" s="126"/>
      <c r="FH289" s="240"/>
      <c r="FI289" s="53"/>
      <c r="FJ289" s="52"/>
      <c r="FK289" s="53">
        <f t="shared" si="153"/>
        <v>0</v>
      </c>
    </row>
    <row r="290" spans="2:167" hidden="1" x14ac:dyDescent="0.25">
      <c r="B290" s="122">
        <v>46081</v>
      </c>
      <c r="C290" s="123">
        <v>23973.360000000001</v>
      </c>
      <c r="D290" s="126"/>
      <c r="E290" s="125"/>
      <c r="F290" s="126">
        <v>0</v>
      </c>
      <c r="H290" s="240">
        <v>30.420550000000013</v>
      </c>
      <c r="I290" s="53"/>
      <c r="J290" s="52"/>
      <c r="K290" s="53">
        <f t="shared" si="140"/>
        <v>30.420550000000013</v>
      </c>
      <c r="M290" s="122">
        <v>46081</v>
      </c>
      <c r="N290" s="123">
        <v>4423.08</v>
      </c>
      <c r="O290" s="125"/>
      <c r="P290" s="126"/>
      <c r="R290" s="240"/>
      <c r="S290" s="53"/>
      <c r="T290" s="52"/>
      <c r="U290" s="53">
        <f t="shared" si="141"/>
        <v>0</v>
      </c>
      <c r="W290" s="122">
        <v>46081</v>
      </c>
      <c r="X290" s="123">
        <v>2743.32</v>
      </c>
      <c r="Y290" s="123">
        <v>293.63</v>
      </c>
      <c r="Z290" s="125"/>
      <c r="AA290" s="273">
        <v>2.27</v>
      </c>
      <c r="AC290" s="240"/>
      <c r="AD290" s="53"/>
      <c r="AE290" s="52"/>
      <c r="AF290" s="53">
        <f t="shared" si="142"/>
        <v>2.27</v>
      </c>
      <c r="AI290" s="122">
        <v>46081</v>
      </c>
      <c r="AJ290" s="123">
        <v>1656.08</v>
      </c>
      <c r="AK290" s="125"/>
      <c r="AL290" s="126"/>
      <c r="AN290" s="240"/>
      <c r="AO290" s="53"/>
      <c r="AP290" s="52"/>
      <c r="AQ290" s="53">
        <f t="shared" si="143"/>
        <v>0</v>
      </c>
      <c r="AS290" s="122">
        <v>46081</v>
      </c>
      <c r="AT290" s="123">
        <v>4372.8999999999996</v>
      </c>
      <c r="AU290" s="125"/>
      <c r="AV290" s="128"/>
      <c r="AX290" s="240"/>
      <c r="AY290" s="53"/>
      <c r="AZ290" s="52"/>
      <c r="BA290" s="53">
        <f t="shared" si="144"/>
        <v>0</v>
      </c>
      <c r="BC290" s="122">
        <v>46081</v>
      </c>
      <c r="BD290" s="123">
        <v>3988.45</v>
      </c>
      <c r="BE290" s="125"/>
      <c r="BF290" s="128"/>
      <c r="BH290" s="240">
        <v>4.4197999999999951</v>
      </c>
      <c r="BI290" s="53"/>
      <c r="BJ290" s="52"/>
      <c r="BK290" s="53">
        <f t="shared" si="145"/>
        <v>4.4197999999999951</v>
      </c>
      <c r="BM290" s="122">
        <v>46081</v>
      </c>
      <c r="BN290" s="123">
        <v>15277.15</v>
      </c>
      <c r="BO290" s="123">
        <v>3420.23</v>
      </c>
      <c r="BP290" s="123">
        <v>10113.92</v>
      </c>
      <c r="BQ290" s="125"/>
      <c r="BR290" s="125"/>
      <c r="BT290" s="240">
        <v>203.67024999999995</v>
      </c>
      <c r="BU290" s="53">
        <v>97.424313333333373</v>
      </c>
      <c r="BV290" s="52"/>
      <c r="BW290" s="53">
        <f t="shared" si="139"/>
        <v>301.09456333333333</v>
      </c>
      <c r="BY290" s="122">
        <v>46081</v>
      </c>
      <c r="BZ290" s="256">
        <v>698.63</v>
      </c>
      <c r="CA290" s="257">
        <v>599.21</v>
      </c>
      <c r="CB290" s="125"/>
      <c r="CC290" s="126"/>
      <c r="CE290" s="240"/>
      <c r="CF290" s="53"/>
      <c r="CG290" s="52"/>
      <c r="CH290" s="53">
        <f t="shared" si="146"/>
        <v>0</v>
      </c>
      <c r="CJ290" s="122">
        <v>46081</v>
      </c>
      <c r="CK290" s="352">
        <v>3205.3</v>
      </c>
      <c r="CL290" s="351">
        <v>522.91999999999996</v>
      </c>
      <c r="CM290" s="125"/>
      <c r="CN290" s="353">
        <v>0</v>
      </c>
      <c r="CP290" s="240">
        <v>162.74430000000004</v>
      </c>
      <c r="CQ290" s="53"/>
      <c r="CR290" s="52"/>
      <c r="CS290" s="53">
        <f t="shared" si="147"/>
        <v>162.74430000000004</v>
      </c>
      <c r="CU290" s="122">
        <v>46081</v>
      </c>
      <c r="CV290" s="123">
        <v>5109.95</v>
      </c>
      <c r="CW290" s="127">
        <v>1219.5</v>
      </c>
      <c r="CX290" s="125"/>
      <c r="CY290" s="126">
        <v>35.51</v>
      </c>
      <c r="DA290" s="240"/>
      <c r="DB290" s="435"/>
      <c r="DC290" s="53"/>
      <c r="DD290" s="52"/>
      <c r="DE290" s="53">
        <f t="shared" si="148"/>
        <v>35.51</v>
      </c>
      <c r="DH290" s="122">
        <v>46081</v>
      </c>
      <c r="DI290" s="123">
        <v>3732.18</v>
      </c>
      <c r="DJ290" s="127">
        <v>436.36</v>
      </c>
      <c r="DK290" s="259">
        <v>0</v>
      </c>
      <c r="DL290" s="127"/>
      <c r="DM290" s="126">
        <v>0</v>
      </c>
      <c r="DO290" s="240"/>
      <c r="DP290" s="53"/>
      <c r="DQ290" s="52"/>
      <c r="DR290" s="53">
        <f t="shared" si="149"/>
        <v>0</v>
      </c>
      <c r="DT290" s="122">
        <v>46081</v>
      </c>
      <c r="DU290" s="123">
        <v>2423.5700000000002</v>
      </c>
      <c r="DV290" s="127">
        <v>1044.1199999999999</v>
      </c>
      <c r="DW290" s="127"/>
      <c r="DX290" s="126">
        <v>7.01</v>
      </c>
      <c r="DZ290" s="240"/>
      <c r="EA290" s="53"/>
      <c r="EB290" s="52"/>
      <c r="EC290" s="53">
        <f t="shared" si="150"/>
        <v>7.01</v>
      </c>
      <c r="EE290" s="122">
        <v>46081</v>
      </c>
      <c r="EF290" s="123">
        <v>1866.32</v>
      </c>
      <c r="EG290" s="127">
        <v>1171.6500000000001</v>
      </c>
      <c r="EH290" s="127"/>
      <c r="EI290" s="126">
        <v>7.84</v>
      </c>
      <c r="EK290" s="240">
        <v>419.08524000000011</v>
      </c>
      <c r="EL290" s="435"/>
      <c r="EM290" s="53"/>
      <c r="EN290" s="52"/>
      <c r="EO290" s="53">
        <f t="shared" si="151"/>
        <v>426.92524000000009</v>
      </c>
      <c r="EQ290" s="122">
        <v>46081</v>
      </c>
      <c r="ER290" s="123">
        <v>3255.87</v>
      </c>
      <c r="ES290" s="259">
        <v>225.61</v>
      </c>
      <c r="ET290" s="127"/>
      <c r="EU290" s="258">
        <v>83.53</v>
      </c>
      <c r="EW290" s="240">
        <v>57.942000000000007</v>
      </c>
      <c r="EX290" s="53">
        <v>147.98507889828591</v>
      </c>
      <c r="EY290" s="52"/>
      <c r="EZ290" s="53">
        <f t="shared" si="152"/>
        <v>289.45707889828589</v>
      </c>
      <c r="FB290" s="122">
        <v>46081</v>
      </c>
      <c r="FC290" s="123">
        <v>1262.2</v>
      </c>
      <c r="FD290" s="123">
        <v>502.77</v>
      </c>
      <c r="FE290" s="125"/>
      <c r="FF290" s="126"/>
      <c r="FH290" s="240"/>
      <c r="FI290" s="53"/>
      <c r="FJ290" s="52"/>
      <c r="FK290" s="53">
        <f t="shared" si="153"/>
        <v>0</v>
      </c>
    </row>
    <row r="291" spans="2:167" ht="15.75" hidden="1" thickBot="1" x14ac:dyDescent="0.3">
      <c r="B291" s="32"/>
      <c r="C291" s="129">
        <f>SUM(C263:C290)</f>
        <v>511869.13999999996</v>
      </c>
      <c r="D291" s="129">
        <f>SUM(D263:D290)</f>
        <v>0</v>
      </c>
      <c r="E291" s="32"/>
      <c r="F291" s="129">
        <f>SUM(F263:F290)</f>
        <v>32.56</v>
      </c>
      <c r="H291" s="242">
        <f>SUM(H263:H290)</f>
        <v>936.01960999999994</v>
      </c>
      <c r="I291" s="242">
        <f t="shared" ref="I291:K291" si="154">SUM(I263:I290)</f>
        <v>185.6488633179047</v>
      </c>
      <c r="J291" s="242">
        <f t="shared" si="154"/>
        <v>0</v>
      </c>
      <c r="K291" s="242">
        <f t="shared" si="154"/>
        <v>1154.2284733179047</v>
      </c>
      <c r="M291" s="32"/>
      <c r="N291" s="129">
        <f>SUM(N263:N290)</f>
        <v>100163.23999999999</v>
      </c>
      <c r="O291" s="129"/>
      <c r="P291" s="129">
        <f>SUM(P263:P290)</f>
        <v>0</v>
      </c>
      <c r="R291" s="242">
        <f>SUM(R263:R290)</f>
        <v>203.01999999999998</v>
      </c>
      <c r="S291" s="242">
        <f t="shared" ref="S291" si="155">SUM(S263:S290)</f>
        <v>17.049851900000021</v>
      </c>
      <c r="T291" s="242">
        <f t="shared" ref="T291" si="156">SUM(T263:T290)</f>
        <v>0</v>
      </c>
      <c r="U291" s="242">
        <f t="shared" ref="U291" si="157">SUM(U263:U290)</f>
        <v>220.0698519</v>
      </c>
      <c r="W291" s="32"/>
      <c r="X291" s="129">
        <f>SUM(X263:X290)</f>
        <v>37422.289999999994</v>
      </c>
      <c r="Y291" s="129">
        <f>SUM(Y263:Y290)</f>
        <v>4679.7499999999991</v>
      </c>
      <c r="Z291" s="32"/>
      <c r="AA291" s="129">
        <f>SUM(AA263:AA290)</f>
        <v>260.27</v>
      </c>
      <c r="AC291" s="242">
        <f>SUM(AC263:AC290)</f>
        <v>397.80718000000002</v>
      </c>
      <c r="AD291" s="242">
        <f t="shared" ref="AD291" si="158">SUM(AD263:AD290)</f>
        <v>131.96017113038093</v>
      </c>
      <c r="AE291" s="242">
        <f t="shared" ref="AE291" si="159">SUM(AE263:AE290)</f>
        <v>0</v>
      </c>
      <c r="AF291" s="242">
        <f t="shared" ref="AF291" si="160">SUM(AF263:AF290)</f>
        <v>790.03735113038078</v>
      </c>
      <c r="AI291" s="32"/>
      <c r="AJ291" s="129">
        <f>SUM(AJ263:AJ290)</f>
        <v>39775.040000000008</v>
      </c>
      <c r="AK291" s="32"/>
      <c r="AL291" s="32"/>
      <c r="AN291" s="242">
        <f>SUM(AN263:AN290)</f>
        <v>0</v>
      </c>
      <c r="AO291" s="242">
        <f t="shared" ref="AO291" si="161">SUM(AO263:AO290)</f>
        <v>0</v>
      </c>
      <c r="AP291" s="242">
        <f t="shared" ref="AP291" si="162">SUM(AP263:AP290)</f>
        <v>0</v>
      </c>
      <c r="AQ291" s="242">
        <f t="shared" ref="AQ291" si="163">SUM(AQ263:AQ290)</f>
        <v>0</v>
      </c>
      <c r="AS291" s="32"/>
      <c r="AT291" s="129">
        <f>SUM(AT263:AT290)</f>
        <v>91792.22</v>
      </c>
      <c r="AU291" s="32"/>
      <c r="AV291" s="129">
        <f>SUM(AV263:AV290)</f>
        <v>0</v>
      </c>
      <c r="AX291" s="242">
        <f>SUM(AX263:AX290)</f>
        <v>0</v>
      </c>
      <c r="AY291" s="242">
        <f t="shared" ref="AY291" si="164">SUM(AY263:AY290)</f>
        <v>0</v>
      </c>
      <c r="AZ291" s="242">
        <f t="shared" ref="AZ291" si="165">SUM(AZ263:AZ290)</f>
        <v>0</v>
      </c>
      <c r="BA291" s="242">
        <f t="shared" ref="BA291" si="166">SUM(BA263:BA290)</f>
        <v>0</v>
      </c>
      <c r="BC291" s="32"/>
      <c r="BD291" s="129">
        <f>SUM(BD263:BD290)</f>
        <v>61234.169999999991</v>
      </c>
      <c r="BE291" s="32"/>
      <c r="BF291" s="129">
        <f>SUM(BF263:BF290)</f>
        <v>0</v>
      </c>
      <c r="BH291" s="242">
        <f>SUM(BH263:BH290)</f>
        <v>416.93778000000009</v>
      </c>
      <c r="BI291" s="242">
        <f t="shared" ref="BI291" si="167">SUM(BI263:BI290)</f>
        <v>0</v>
      </c>
      <c r="BJ291" s="242">
        <f t="shared" ref="BJ291" si="168">SUM(BJ263:BJ290)</f>
        <v>0</v>
      </c>
      <c r="BK291" s="242">
        <f t="shared" ref="BK291" si="169">SUM(BK263:BK290)</f>
        <v>416.93778000000009</v>
      </c>
      <c r="BM291" s="32"/>
      <c r="BN291" s="129">
        <f>SUM(BN263:BN290)</f>
        <v>348177.16</v>
      </c>
      <c r="BO291" s="129">
        <f>SUM(BO263:BO290)</f>
        <v>86368.069999999992</v>
      </c>
      <c r="BP291" s="129">
        <f>SUM(BP263:BP290)</f>
        <v>239680.67000000004</v>
      </c>
      <c r="BQ291" s="129">
        <f>SUM(BQ263:BQ290)</f>
        <v>0</v>
      </c>
      <c r="BR291" s="129">
        <f>SUM(BR263:BR290)</f>
        <v>0</v>
      </c>
      <c r="BT291" s="242">
        <f>SUM(BT263:BT290)</f>
        <v>3848.3433929999992</v>
      </c>
      <c r="BU291" s="242">
        <f t="shared" ref="BU291" si="170">SUM(BU263:BU290)</f>
        <v>4307.7727897952363</v>
      </c>
      <c r="BV291" s="242">
        <f t="shared" ref="BV291" si="171">SUM(BV263:BV290)</f>
        <v>49.591103899999993</v>
      </c>
      <c r="BW291" s="242">
        <f t="shared" ref="BW291" si="172">SUM(BW263:BW290)</f>
        <v>8205.7072866952367</v>
      </c>
      <c r="BY291" s="32"/>
      <c r="BZ291" s="129">
        <f>SUM(BZ263:BZ290)</f>
        <v>26155.93</v>
      </c>
      <c r="CA291" s="129">
        <f>SUM(CA263:CA290)</f>
        <v>14468.299999999996</v>
      </c>
      <c r="CB291" s="32"/>
      <c r="CC291" s="129"/>
      <c r="CE291" s="242">
        <f>SUM(CE263:CE290)</f>
        <v>38.200139999999948</v>
      </c>
      <c r="CF291" s="242">
        <f t="shared" ref="CF291" si="173">SUM(CF263:CF290)</f>
        <v>77.427719720952297</v>
      </c>
      <c r="CG291" s="242">
        <f t="shared" ref="CG291" si="174">SUM(CG263:CG290)</f>
        <v>35.0299105</v>
      </c>
      <c r="CH291" s="242">
        <f t="shared" ref="CH291" si="175">SUM(CH263:CH290)</f>
        <v>150.65777022095224</v>
      </c>
      <c r="CJ291" s="32"/>
      <c r="CK291" s="129">
        <f>SUM(CK263:CK290)</f>
        <v>138712.31</v>
      </c>
      <c r="CL291" s="129">
        <f>SUM(CL263:CL290)</f>
        <v>12278.769999999999</v>
      </c>
      <c r="CM291" s="32"/>
      <c r="CN291" s="129">
        <v>0</v>
      </c>
      <c r="CP291" s="242">
        <f>SUM(CP263:CP290)</f>
        <v>4515.2435000000005</v>
      </c>
      <c r="CQ291" s="242">
        <f t="shared" ref="CQ291" si="176">SUM(CQ263:CQ290)</f>
        <v>157.064805143238</v>
      </c>
      <c r="CR291" s="242">
        <f t="shared" ref="CR291" si="177">SUM(CR263:CR290)</f>
        <v>0</v>
      </c>
      <c r="CS291" s="242">
        <f t="shared" ref="CS291" si="178">SUM(CS263:CS290)</f>
        <v>5039.78830514324</v>
      </c>
      <c r="CU291" s="32"/>
      <c r="CV291" s="129">
        <f>SUM(CV263:CV290)</f>
        <v>250968.22000000006</v>
      </c>
      <c r="CW291" s="129">
        <f>SUM(CW263:CW290)</f>
        <v>39365.71</v>
      </c>
      <c r="CX291" s="32"/>
      <c r="CY291" s="129">
        <f>SUM(CY263:CY290)</f>
        <v>4157.58</v>
      </c>
      <c r="DA291" s="242">
        <f>SUM(DA263:DA290)</f>
        <v>15126.199168583271</v>
      </c>
      <c r="DB291" s="242"/>
      <c r="DC291" s="242">
        <f t="shared" ref="DC291" si="179">SUM(DC263:DC290)</f>
        <v>0</v>
      </c>
      <c r="DD291" s="242">
        <f t="shared" ref="DD291" si="180">SUM(DD263:DD290)</f>
        <v>0</v>
      </c>
      <c r="DE291" s="242">
        <f t="shared" ref="DE291" si="181">SUM(DE263:DE290)</f>
        <v>19283.779168583264</v>
      </c>
      <c r="DH291" s="32"/>
      <c r="DI291" s="129">
        <f>SUM(DI263:DI290)</f>
        <v>53600.97</v>
      </c>
      <c r="DJ291" s="129">
        <f>SUM(DJ263:DJ290)</f>
        <v>10168.750000000002</v>
      </c>
      <c r="DK291" s="129">
        <f>SUM(DK263:DK290)</f>
        <v>15178.66</v>
      </c>
      <c r="DL291" s="32"/>
      <c r="DM291" s="129">
        <f>SUM(DM263:DM290)</f>
        <v>61.39</v>
      </c>
      <c r="DO291" s="242">
        <f>SUM(DO263:DO290)</f>
        <v>215.30088999999984</v>
      </c>
      <c r="DP291" s="242">
        <f t="shared" ref="DP291" si="182">SUM(DP263:DP290)</f>
        <v>22.317588099999995</v>
      </c>
      <c r="DQ291" s="242">
        <f t="shared" ref="DQ291" si="183">SUM(DQ263:DQ290)</f>
        <v>12.935101199999991</v>
      </c>
      <c r="DR291" s="242">
        <f t="shared" ref="DR291" si="184">SUM(DR263:DR290)</f>
        <v>311.9435792999999</v>
      </c>
      <c r="DT291" s="32"/>
      <c r="DU291" s="264">
        <f>SUM(DU263:DU290)</f>
        <v>41618.080000000002</v>
      </c>
      <c r="DV291" s="129">
        <f>SUM(DV263:DV290)</f>
        <v>30964.209999999995</v>
      </c>
      <c r="DW291" s="32"/>
      <c r="DX291" s="264">
        <f>SUM(DX263:DX290)</f>
        <v>617.29000000000008</v>
      </c>
      <c r="DZ291" s="242">
        <f>SUM(DZ263:DZ290)</f>
        <v>0</v>
      </c>
      <c r="EA291" s="242">
        <f t="shared" ref="EA291" si="185">SUM(EA263:EA290)</f>
        <v>221.62132876809525</v>
      </c>
      <c r="EB291" s="242">
        <f t="shared" ref="EB291" si="186">SUM(EB263:EB290)</f>
        <v>0</v>
      </c>
      <c r="EC291" s="242">
        <f t="shared" ref="EC291" si="187">SUM(EC263:EC290)</f>
        <v>838.91132876809559</v>
      </c>
      <c r="EE291" s="32"/>
      <c r="EF291" s="129">
        <f>SUM(EF263:EF290)</f>
        <v>34967.14</v>
      </c>
      <c r="EG291" s="129">
        <f>SUM(EG263:EG290)</f>
        <v>26791.84</v>
      </c>
      <c r="EH291" s="32"/>
      <c r="EI291" s="129">
        <f>SUM(EI263:EI290)</f>
        <v>552.55000000000007</v>
      </c>
      <c r="EK291" s="242">
        <f>SUM(EK263:EK290)</f>
        <v>14091.733460000005</v>
      </c>
      <c r="EL291" s="242"/>
      <c r="EM291" s="242">
        <f t="shared" ref="EM291" si="188">SUM(EM263:EM290)</f>
        <v>2498.7126822663799</v>
      </c>
      <c r="EN291" s="242">
        <f t="shared" ref="EN291" si="189">SUM(EN263:EN290)</f>
        <v>0</v>
      </c>
      <c r="EO291" s="242">
        <f t="shared" ref="EO291" si="190">SUM(EO263:EO290)</f>
        <v>17142.996142266384</v>
      </c>
      <c r="EQ291" s="265"/>
      <c r="ER291" s="129">
        <f>SUM(ER263:ER290)</f>
        <v>95432.739999999991</v>
      </c>
      <c r="ES291" s="129">
        <f>SUM(ES263:ES290)</f>
        <v>8436.9400000000041</v>
      </c>
      <c r="ET291" s="32"/>
      <c r="EU291" s="129">
        <f>SUM(EU263:EU290)</f>
        <v>14993.8</v>
      </c>
      <c r="EW291" s="242">
        <f>SUM(EW263:EW290)</f>
        <v>970.46737999999993</v>
      </c>
      <c r="EX291" s="242">
        <f t="shared" ref="EX291" si="191">SUM(EX263:EX290)</f>
        <v>1684.024357643239</v>
      </c>
      <c r="EY291" s="242">
        <f t="shared" ref="EY291" si="192">SUM(EY263:EY290)</f>
        <v>0</v>
      </c>
      <c r="EZ291" s="242">
        <f t="shared" ref="EZ291" si="193">SUM(EZ263:EZ290)</f>
        <v>17648.291737643234</v>
      </c>
      <c r="FB291" s="32"/>
      <c r="FC291" s="129">
        <f>SUM(FC263:FC290)</f>
        <v>24425.759999999995</v>
      </c>
      <c r="FD291" s="129">
        <f>SUM(FD263:FD290)</f>
        <v>5515.18</v>
      </c>
      <c r="FE291" s="32"/>
      <c r="FF291" s="129">
        <f>SUM(FF263:FF290)</f>
        <v>0</v>
      </c>
      <c r="FH291" s="242">
        <f>SUM(FH263:FH290)</f>
        <v>0</v>
      </c>
      <c r="FI291" s="242">
        <f t="shared" ref="FI291" si="194">SUM(FI263:FI290)</f>
        <v>0</v>
      </c>
      <c r="FJ291" s="242">
        <f t="shared" ref="FJ291" si="195">SUM(FJ263:FJ290)</f>
        <v>0</v>
      </c>
      <c r="FK291" s="242">
        <f t="shared" ref="FK291" si="196">SUM(FK263:FK290)</f>
        <v>0</v>
      </c>
    </row>
    <row r="292" spans="2:167" hidden="1" x14ac:dyDescent="0.25"/>
    <row r="295" spans="2:167" ht="24" thickBot="1" x14ac:dyDescent="0.4">
      <c r="B295" s="249" t="s">
        <v>56</v>
      </c>
      <c r="C295" s="249"/>
      <c r="D295" s="249"/>
      <c r="E295" s="249"/>
      <c r="F295" s="249"/>
      <c r="G295" s="130"/>
      <c r="H295" s="130"/>
      <c r="I295" s="130"/>
      <c r="J295" s="130"/>
      <c r="K295" s="130"/>
      <c r="M295" s="451" t="s">
        <v>57</v>
      </c>
      <c r="N295" s="451"/>
      <c r="O295" s="451"/>
      <c r="P295" s="451"/>
      <c r="Q295" s="130"/>
      <c r="R295" s="130"/>
      <c r="S295" s="130"/>
      <c r="T295" s="130"/>
      <c r="U295" s="130"/>
      <c r="W295" s="249" t="s">
        <v>58</v>
      </c>
      <c r="X295" s="249"/>
      <c r="Y295" s="249"/>
      <c r="Z295" s="249"/>
      <c r="AA295" s="249"/>
      <c r="AB295" s="130"/>
      <c r="AC295" s="130"/>
      <c r="AD295" s="130"/>
      <c r="AE295" s="130"/>
      <c r="AF295" s="130"/>
      <c r="AI295" s="451" t="s">
        <v>59</v>
      </c>
      <c r="AJ295" s="451"/>
      <c r="AK295" s="451"/>
      <c r="AL295" s="451"/>
      <c r="AM295" s="451"/>
      <c r="AN295" s="451"/>
      <c r="AO295" s="451"/>
      <c r="AP295" s="451"/>
      <c r="AQ295" s="451"/>
      <c r="AS295" s="451" t="s">
        <v>60</v>
      </c>
      <c r="AT295" s="451"/>
      <c r="AU295" s="451"/>
      <c r="AV295" s="451"/>
      <c r="AW295" s="451"/>
      <c r="AX295" s="451"/>
      <c r="AY295" s="451"/>
      <c r="AZ295" s="451"/>
      <c r="BA295" s="451"/>
      <c r="BC295" s="451" t="s">
        <v>61</v>
      </c>
      <c r="BD295" s="451"/>
      <c r="BE295" s="451"/>
      <c r="BF295" s="451"/>
      <c r="BG295" s="451"/>
      <c r="BH295" s="451"/>
      <c r="BI295" s="451"/>
      <c r="BJ295" s="451"/>
      <c r="BK295" s="451"/>
      <c r="BM295" s="249" t="s">
        <v>62</v>
      </c>
      <c r="BN295" s="249"/>
      <c r="BO295" s="249"/>
      <c r="BP295" s="249"/>
      <c r="BQ295" s="250"/>
      <c r="BR295" s="249"/>
      <c r="BS295" s="250"/>
      <c r="BT295" s="250"/>
      <c r="BU295" s="250"/>
      <c r="BV295" s="250"/>
      <c r="BW295" s="250"/>
      <c r="BY295" s="249" t="s">
        <v>63</v>
      </c>
      <c r="BZ295" s="249"/>
      <c r="CA295" s="249"/>
      <c r="CB295" s="249"/>
      <c r="CC295" s="249"/>
      <c r="CD295" s="250"/>
      <c r="CE295" s="250"/>
      <c r="CF295" s="250"/>
      <c r="CG295" s="250"/>
      <c r="CH295" s="250"/>
      <c r="CJ295" s="249" t="s">
        <v>64</v>
      </c>
      <c r="CK295" s="249"/>
      <c r="CL295" s="249"/>
      <c r="CM295" s="249"/>
      <c r="CN295" s="249"/>
      <c r="CO295" s="250"/>
      <c r="CP295" s="250"/>
      <c r="CQ295" s="250"/>
      <c r="CR295" s="250"/>
      <c r="CS295" s="250"/>
      <c r="CU295" s="249" t="s">
        <v>65</v>
      </c>
      <c r="CV295" s="249"/>
      <c r="CW295" s="249"/>
      <c r="CX295" s="249"/>
      <c r="CY295" s="249"/>
      <c r="CZ295" s="250"/>
      <c r="DA295" s="250"/>
      <c r="DB295" s="250"/>
      <c r="DC295" s="250"/>
      <c r="DD295" s="250"/>
      <c r="DE295" s="250"/>
      <c r="DH295" s="249" t="s">
        <v>66</v>
      </c>
      <c r="DI295" s="249"/>
      <c r="DJ295" s="249"/>
      <c r="DK295" s="249"/>
      <c r="DL295" s="249"/>
      <c r="DM295" s="249"/>
      <c r="DN295" s="250"/>
      <c r="DO295" s="250"/>
      <c r="DP295" s="250"/>
      <c r="DQ295" s="250"/>
      <c r="DR295" s="250"/>
      <c r="DT295" s="249" t="s">
        <v>67</v>
      </c>
      <c r="DU295" s="249"/>
      <c r="DV295" s="249"/>
      <c r="DW295" s="249"/>
      <c r="DX295" s="249"/>
      <c r="DY295" s="250"/>
      <c r="DZ295" s="250"/>
      <c r="EA295" s="250"/>
      <c r="EB295" s="250"/>
      <c r="EC295" s="250"/>
      <c r="EE295" s="249" t="s">
        <v>68</v>
      </c>
      <c r="EF295" s="249"/>
      <c r="EG295" s="249"/>
      <c r="EH295" s="249"/>
      <c r="EI295" s="249"/>
      <c r="EJ295" s="250"/>
      <c r="EK295" s="250"/>
      <c r="EL295" s="250"/>
      <c r="EM295" s="250"/>
      <c r="EN295" s="250"/>
      <c r="EO295" s="250"/>
      <c r="EQ295" s="249" t="s">
        <v>69</v>
      </c>
      <c r="ER295" s="249"/>
      <c r="ES295" s="249"/>
      <c r="ET295" s="249"/>
      <c r="EU295" s="249"/>
      <c r="EV295" s="250"/>
      <c r="EW295" s="250"/>
      <c r="EX295" s="250"/>
      <c r="EY295" s="250"/>
      <c r="EZ295" s="250"/>
      <c r="FB295" s="249" t="s">
        <v>70</v>
      </c>
      <c r="FC295" s="249"/>
      <c r="FD295" s="249"/>
      <c r="FE295" s="249"/>
      <c r="FF295" s="249"/>
      <c r="FG295" s="250"/>
      <c r="FH295" s="250"/>
      <c r="FI295" s="250"/>
      <c r="FJ295" s="250"/>
      <c r="FK295" s="250"/>
    </row>
    <row r="296" spans="2:167" x14ac:dyDescent="0.25">
      <c r="B296" s="119" t="s">
        <v>14</v>
      </c>
      <c r="C296" s="120" t="s">
        <v>15</v>
      </c>
      <c r="D296" s="120" t="s">
        <v>15</v>
      </c>
      <c r="E296" s="121" t="s">
        <v>16</v>
      </c>
      <c r="F296" s="121" t="s">
        <v>16</v>
      </c>
      <c r="G296" s="6"/>
      <c r="H296" s="7" t="s">
        <v>16</v>
      </c>
      <c r="I296" s="8" t="s">
        <v>16</v>
      </c>
      <c r="J296" s="9" t="s">
        <v>16</v>
      </c>
      <c r="K296" s="10" t="s">
        <v>17</v>
      </c>
      <c r="M296" s="119" t="s">
        <v>14</v>
      </c>
      <c r="N296" s="120" t="s">
        <v>15</v>
      </c>
      <c r="O296" s="120" t="s">
        <v>15</v>
      </c>
      <c r="P296" s="121" t="s">
        <v>16</v>
      </c>
      <c r="R296" s="134" t="s">
        <v>16</v>
      </c>
      <c r="S296" s="135" t="s">
        <v>16</v>
      </c>
      <c r="T296" s="136" t="s">
        <v>16</v>
      </c>
      <c r="U296" s="10" t="s">
        <v>17</v>
      </c>
      <c r="W296" s="119" t="s">
        <v>14</v>
      </c>
      <c r="X296" s="120" t="s">
        <v>15</v>
      </c>
      <c r="Y296" s="120" t="s">
        <v>15</v>
      </c>
      <c r="Z296" s="121" t="s">
        <v>16</v>
      </c>
      <c r="AA296" s="121" t="s">
        <v>16</v>
      </c>
      <c r="AC296" s="134" t="s">
        <v>16</v>
      </c>
      <c r="AD296" s="135" t="s">
        <v>16</v>
      </c>
      <c r="AE296" s="136" t="s">
        <v>16</v>
      </c>
      <c r="AF296" s="10" t="s">
        <v>17</v>
      </c>
      <c r="AI296" s="119" t="s">
        <v>14</v>
      </c>
      <c r="AJ296" s="120" t="s">
        <v>15</v>
      </c>
      <c r="AK296" s="120" t="s">
        <v>15</v>
      </c>
      <c r="AL296" s="121" t="s">
        <v>16</v>
      </c>
      <c r="AN296" s="134" t="s">
        <v>16</v>
      </c>
      <c r="AO296" s="135" t="s">
        <v>16</v>
      </c>
      <c r="AP296" s="136" t="s">
        <v>16</v>
      </c>
      <c r="AQ296" s="10" t="s">
        <v>17</v>
      </c>
      <c r="AS296" s="119" t="s">
        <v>14</v>
      </c>
      <c r="AT296" s="120" t="s">
        <v>15</v>
      </c>
      <c r="AU296" s="120" t="s">
        <v>15</v>
      </c>
      <c r="AV296" s="121" t="s">
        <v>16</v>
      </c>
      <c r="AX296" s="134" t="s">
        <v>16</v>
      </c>
      <c r="AY296" s="135" t="s">
        <v>16</v>
      </c>
      <c r="AZ296" s="136" t="s">
        <v>16</v>
      </c>
      <c r="BA296" s="10" t="s">
        <v>17</v>
      </c>
      <c r="BC296" s="119" t="s">
        <v>14</v>
      </c>
      <c r="BD296" s="120" t="s">
        <v>15</v>
      </c>
      <c r="BE296" s="120" t="s">
        <v>15</v>
      </c>
      <c r="BF296" s="121" t="s">
        <v>16</v>
      </c>
      <c r="BH296" s="134" t="s">
        <v>16</v>
      </c>
      <c r="BI296" s="135" t="s">
        <v>16</v>
      </c>
      <c r="BJ296" s="136" t="s">
        <v>16</v>
      </c>
      <c r="BK296" s="10" t="s">
        <v>17</v>
      </c>
      <c r="BM296" s="119" t="s">
        <v>14</v>
      </c>
      <c r="BN296" s="120" t="s">
        <v>15</v>
      </c>
      <c r="BO296" s="120" t="s">
        <v>15</v>
      </c>
      <c r="BP296" s="120" t="s">
        <v>15</v>
      </c>
      <c r="BQ296" s="121" t="s">
        <v>16</v>
      </c>
      <c r="BR296" s="121" t="s">
        <v>16</v>
      </c>
      <c r="BT296" s="134" t="s">
        <v>16</v>
      </c>
      <c r="BU296" s="135" t="s">
        <v>16</v>
      </c>
      <c r="BV296" s="136" t="s">
        <v>16</v>
      </c>
      <c r="BW296" s="10" t="s">
        <v>17</v>
      </c>
      <c r="BY296" s="119" t="s">
        <v>14</v>
      </c>
      <c r="BZ296" s="252" t="s">
        <v>15</v>
      </c>
      <c r="CA296" s="253" t="s">
        <v>15</v>
      </c>
      <c r="CB296" s="121" t="s">
        <v>16</v>
      </c>
      <c r="CC296" s="121" t="s">
        <v>16</v>
      </c>
      <c r="CE296" s="134" t="s">
        <v>16</v>
      </c>
      <c r="CF296" s="135" t="s">
        <v>16</v>
      </c>
      <c r="CG296" s="136" t="s">
        <v>16</v>
      </c>
      <c r="CH296" s="10" t="s">
        <v>17</v>
      </c>
      <c r="CJ296" s="119" t="s">
        <v>14</v>
      </c>
      <c r="CK296" s="120" t="s">
        <v>15</v>
      </c>
      <c r="CL296" s="120" t="s">
        <v>15</v>
      </c>
      <c r="CM296" s="121" t="s">
        <v>16</v>
      </c>
      <c r="CN296" s="121" t="s">
        <v>16</v>
      </c>
      <c r="CP296" s="134" t="s">
        <v>16</v>
      </c>
      <c r="CQ296" s="135" t="s">
        <v>16</v>
      </c>
      <c r="CR296" s="136" t="s">
        <v>16</v>
      </c>
      <c r="CS296" s="10" t="s">
        <v>17</v>
      </c>
      <c r="CU296" s="119" t="s">
        <v>14</v>
      </c>
      <c r="CV296" s="120" t="s">
        <v>15</v>
      </c>
      <c r="CW296" s="120" t="s">
        <v>15</v>
      </c>
      <c r="CX296" s="121" t="s">
        <v>16</v>
      </c>
      <c r="CY296" s="121" t="s">
        <v>16</v>
      </c>
      <c r="CZ296" s="6"/>
      <c r="DA296" s="7" t="s">
        <v>16</v>
      </c>
      <c r="DB296" s="7" t="s">
        <v>83</v>
      </c>
      <c r="DC296" s="8" t="s">
        <v>16</v>
      </c>
      <c r="DD296" s="9" t="s">
        <v>16</v>
      </c>
      <c r="DE296" s="10" t="s">
        <v>17</v>
      </c>
      <c r="DH296" s="119" t="s">
        <v>14</v>
      </c>
      <c r="DI296" s="120" t="s">
        <v>15</v>
      </c>
      <c r="DJ296" s="120" t="s">
        <v>15</v>
      </c>
      <c r="DK296" s="120" t="s">
        <v>15</v>
      </c>
      <c r="DL296" s="121" t="s">
        <v>16</v>
      </c>
      <c r="DM296" s="121" t="s">
        <v>16</v>
      </c>
      <c r="DO296" s="134" t="s">
        <v>16</v>
      </c>
      <c r="DP296" s="135" t="s">
        <v>16</v>
      </c>
      <c r="DQ296" s="136" t="s">
        <v>16</v>
      </c>
      <c r="DR296" s="10" t="s">
        <v>17</v>
      </c>
      <c r="DT296" s="119" t="s">
        <v>14</v>
      </c>
      <c r="DU296" s="120" t="s">
        <v>15</v>
      </c>
      <c r="DV296" s="120" t="s">
        <v>15</v>
      </c>
      <c r="DW296" s="121" t="s">
        <v>16</v>
      </c>
      <c r="DX296" s="121" t="s">
        <v>16</v>
      </c>
      <c r="DZ296" s="134" t="s">
        <v>16</v>
      </c>
      <c r="EA296" s="135" t="s">
        <v>16</v>
      </c>
      <c r="EB296" s="136" t="s">
        <v>16</v>
      </c>
      <c r="EC296" s="10" t="s">
        <v>17</v>
      </c>
      <c r="EE296" s="119" t="s">
        <v>14</v>
      </c>
      <c r="EF296" s="120" t="s">
        <v>15</v>
      </c>
      <c r="EG296" s="252" t="s">
        <v>15</v>
      </c>
      <c r="EH296" s="121" t="s">
        <v>16</v>
      </c>
      <c r="EI296" s="121" t="s">
        <v>16</v>
      </c>
      <c r="EK296" s="134" t="s">
        <v>16</v>
      </c>
      <c r="EL296" s="134" t="s">
        <v>83</v>
      </c>
      <c r="EM296" s="135" t="s">
        <v>16</v>
      </c>
      <c r="EN296" s="136" t="s">
        <v>16</v>
      </c>
      <c r="EO296" s="10" t="s">
        <v>17</v>
      </c>
      <c r="EQ296" s="119" t="s">
        <v>14</v>
      </c>
      <c r="ER296" s="120" t="s">
        <v>15</v>
      </c>
      <c r="ES296" s="120" t="s">
        <v>15</v>
      </c>
      <c r="ET296" s="121" t="s">
        <v>16</v>
      </c>
      <c r="EU296" s="121" t="s">
        <v>16</v>
      </c>
      <c r="EW296" s="134" t="s">
        <v>16</v>
      </c>
      <c r="EX296" s="135" t="s">
        <v>16</v>
      </c>
      <c r="EY296" s="136" t="s">
        <v>16</v>
      </c>
      <c r="EZ296" s="10" t="s">
        <v>17</v>
      </c>
      <c r="FB296" s="119" t="s">
        <v>14</v>
      </c>
      <c r="FC296" s="120" t="s">
        <v>15</v>
      </c>
      <c r="FD296" s="120" t="s">
        <v>15</v>
      </c>
      <c r="FE296" s="121" t="s">
        <v>16</v>
      </c>
      <c r="FF296" s="121" t="s">
        <v>16</v>
      </c>
      <c r="FH296" s="134" t="s">
        <v>16</v>
      </c>
      <c r="FI296" s="135" t="s">
        <v>16</v>
      </c>
      <c r="FJ296" s="136" t="s">
        <v>16</v>
      </c>
      <c r="FK296" s="10" t="s">
        <v>17</v>
      </c>
    </row>
    <row r="297" spans="2:167" ht="15.75" thickBot="1" x14ac:dyDescent="0.3">
      <c r="B297" s="119"/>
      <c r="C297" s="120" t="s">
        <v>18</v>
      </c>
      <c r="D297" s="120" t="s">
        <v>19</v>
      </c>
      <c r="E297" s="121" t="s">
        <v>19</v>
      </c>
      <c r="F297" s="121" t="s">
        <v>25</v>
      </c>
      <c r="G297" s="6"/>
      <c r="H297" s="16" t="s">
        <v>21</v>
      </c>
      <c r="I297" s="17" t="s">
        <v>22</v>
      </c>
      <c r="J297" s="18" t="s">
        <v>23</v>
      </c>
      <c r="K297" s="19" t="s">
        <v>24</v>
      </c>
      <c r="M297" s="119"/>
      <c r="N297" s="120" t="s">
        <v>18</v>
      </c>
      <c r="O297" s="120" t="s">
        <v>19</v>
      </c>
      <c r="P297" s="121" t="s">
        <v>25</v>
      </c>
      <c r="R297" s="145" t="s">
        <v>21</v>
      </c>
      <c r="S297" s="146" t="s">
        <v>22</v>
      </c>
      <c r="T297" s="147" t="s">
        <v>23</v>
      </c>
      <c r="U297" s="148" t="s">
        <v>24</v>
      </c>
      <c r="W297" s="119"/>
      <c r="X297" s="120" t="s">
        <v>18</v>
      </c>
      <c r="Y297" s="120" t="s">
        <v>19</v>
      </c>
      <c r="Z297" s="121" t="s">
        <v>19</v>
      </c>
      <c r="AA297" s="121" t="s">
        <v>25</v>
      </c>
      <c r="AC297" s="145" t="s">
        <v>21</v>
      </c>
      <c r="AD297" s="146" t="s">
        <v>22</v>
      </c>
      <c r="AE297" s="147" t="s">
        <v>23</v>
      </c>
      <c r="AF297" s="148" t="s">
        <v>24</v>
      </c>
      <c r="AI297" s="119"/>
      <c r="AJ297" s="120" t="s">
        <v>18</v>
      </c>
      <c r="AK297" s="120" t="s">
        <v>19</v>
      </c>
      <c r="AL297" s="121" t="s">
        <v>25</v>
      </c>
      <c r="AN297" s="145" t="s">
        <v>21</v>
      </c>
      <c r="AO297" s="146" t="s">
        <v>22</v>
      </c>
      <c r="AP297" s="147" t="s">
        <v>23</v>
      </c>
      <c r="AQ297" s="148" t="s">
        <v>24</v>
      </c>
      <c r="AS297" s="119"/>
      <c r="AT297" s="120" t="s">
        <v>18</v>
      </c>
      <c r="AU297" s="120" t="s">
        <v>19</v>
      </c>
      <c r="AV297" s="121" t="s">
        <v>25</v>
      </c>
      <c r="AX297" s="145" t="s">
        <v>21</v>
      </c>
      <c r="AY297" s="146" t="s">
        <v>22</v>
      </c>
      <c r="AZ297" s="147" t="s">
        <v>23</v>
      </c>
      <c r="BA297" s="148" t="s">
        <v>24</v>
      </c>
      <c r="BC297" s="119"/>
      <c r="BD297" s="120" t="s">
        <v>18</v>
      </c>
      <c r="BE297" s="120" t="s">
        <v>19</v>
      </c>
      <c r="BF297" s="121" t="s">
        <v>25</v>
      </c>
      <c r="BH297" s="145" t="s">
        <v>21</v>
      </c>
      <c r="BI297" s="146" t="s">
        <v>22</v>
      </c>
      <c r="BJ297" s="147" t="s">
        <v>23</v>
      </c>
      <c r="BK297" s="148" t="s">
        <v>24</v>
      </c>
      <c r="BM297" s="119"/>
      <c r="BN297" s="120" t="s">
        <v>18</v>
      </c>
      <c r="BO297" s="120" t="s">
        <v>19</v>
      </c>
      <c r="BP297" s="120" t="s">
        <v>20</v>
      </c>
      <c r="BQ297" s="121" t="s">
        <v>19</v>
      </c>
      <c r="BR297" s="121" t="s">
        <v>25</v>
      </c>
      <c r="BT297" s="145" t="s">
        <v>21</v>
      </c>
      <c r="BU297" s="146" t="s">
        <v>22</v>
      </c>
      <c r="BV297" s="147" t="s">
        <v>23</v>
      </c>
      <c r="BW297" s="148" t="s">
        <v>24</v>
      </c>
      <c r="BY297" s="119"/>
      <c r="BZ297" s="252" t="s">
        <v>18</v>
      </c>
      <c r="CA297" s="253" t="s">
        <v>19</v>
      </c>
      <c r="CB297" s="121" t="s">
        <v>19</v>
      </c>
      <c r="CC297" s="121" t="s">
        <v>25</v>
      </c>
      <c r="CE297" s="145" t="s">
        <v>21</v>
      </c>
      <c r="CF297" s="146" t="s">
        <v>22</v>
      </c>
      <c r="CG297" s="147" t="s">
        <v>23</v>
      </c>
      <c r="CH297" s="148" t="s">
        <v>24</v>
      </c>
      <c r="CJ297" s="119"/>
      <c r="CK297" s="120" t="s">
        <v>18</v>
      </c>
      <c r="CL297" s="120" t="s">
        <v>19</v>
      </c>
      <c r="CM297" s="121" t="s">
        <v>19</v>
      </c>
      <c r="CN297" s="121" t="s">
        <v>25</v>
      </c>
      <c r="CP297" s="145" t="s">
        <v>21</v>
      </c>
      <c r="CQ297" s="146" t="s">
        <v>22</v>
      </c>
      <c r="CR297" s="147" t="s">
        <v>23</v>
      </c>
      <c r="CS297" s="148" t="s">
        <v>24</v>
      </c>
      <c r="CU297" s="119"/>
      <c r="CV297" s="120" t="s">
        <v>18</v>
      </c>
      <c r="CW297" s="120" t="s">
        <v>19</v>
      </c>
      <c r="CX297" s="121" t="s">
        <v>19</v>
      </c>
      <c r="CY297" s="121" t="s">
        <v>25</v>
      </c>
      <c r="CZ297" s="6"/>
      <c r="DA297" s="16" t="s">
        <v>21</v>
      </c>
      <c r="DB297" s="16" t="s">
        <v>93</v>
      </c>
      <c r="DC297" s="17" t="s">
        <v>22</v>
      </c>
      <c r="DD297" s="18" t="s">
        <v>23</v>
      </c>
      <c r="DE297" s="19" t="s">
        <v>24</v>
      </c>
      <c r="DH297" s="119"/>
      <c r="DI297" s="120" t="s">
        <v>18</v>
      </c>
      <c r="DJ297" s="120" t="s">
        <v>19</v>
      </c>
      <c r="DK297" s="120" t="s">
        <v>20</v>
      </c>
      <c r="DL297" s="121" t="s">
        <v>19</v>
      </c>
      <c r="DM297" s="121" t="s">
        <v>25</v>
      </c>
      <c r="DO297" s="145" t="s">
        <v>21</v>
      </c>
      <c r="DP297" s="146" t="s">
        <v>22</v>
      </c>
      <c r="DQ297" s="147" t="s">
        <v>23</v>
      </c>
      <c r="DR297" s="148" t="s">
        <v>24</v>
      </c>
      <c r="DT297" s="119"/>
      <c r="DU297" s="120" t="s">
        <v>18</v>
      </c>
      <c r="DV297" s="120" t="s">
        <v>19</v>
      </c>
      <c r="DW297" s="121" t="s">
        <v>19</v>
      </c>
      <c r="DX297" s="121" t="s">
        <v>25</v>
      </c>
      <c r="DZ297" s="145" t="s">
        <v>21</v>
      </c>
      <c r="EA297" s="146" t="s">
        <v>22</v>
      </c>
      <c r="EB297" s="147" t="s">
        <v>23</v>
      </c>
      <c r="EC297" s="148" t="s">
        <v>24</v>
      </c>
      <c r="EE297" s="119"/>
      <c r="EF297" s="120" t="s">
        <v>18</v>
      </c>
      <c r="EG297" s="252" t="s">
        <v>19</v>
      </c>
      <c r="EH297" s="121" t="s">
        <v>19</v>
      </c>
      <c r="EI297" s="121" t="s">
        <v>25</v>
      </c>
      <c r="EK297" s="145" t="s">
        <v>21</v>
      </c>
      <c r="EL297" s="145" t="s">
        <v>21</v>
      </c>
      <c r="EM297" s="146" t="s">
        <v>22</v>
      </c>
      <c r="EN297" s="147" t="s">
        <v>23</v>
      </c>
      <c r="EO297" s="148" t="s">
        <v>24</v>
      </c>
      <c r="EQ297" s="119"/>
      <c r="ER297" s="120" t="s">
        <v>18</v>
      </c>
      <c r="ES297" s="120" t="s">
        <v>19</v>
      </c>
      <c r="ET297" s="121" t="s">
        <v>19</v>
      </c>
      <c r="EU297" s="121" t="s">
        <v>25</v>
      </c>
      <c r="EW297" s="145" t="s">
        <v>21</v>
      </c>
      <c r="EX297" s="146" t="s">
        <v>22</v>
      </c>
      <c r="EY297" s="147" t="s">
        <v>23</v>
      </c>
      <c r="EZ297" s="148" t="s">
        <v>24</v>
      </c>
      <c r="FB297" s="119"/>
      <c r="FC297" s="254" t="s">
        <v>18</v>
      </c>
      <c r="FD297" s="254" t="s">
        <v>19</v>
      </c>
      <c r="FE297" s="255" t="s">
        <v>19</v>
      </c>
      <c r="FF297" s="255" t="s">
        <v>25</v>
      </c>
      <c r="FH297" s="145" t="s">
        <v>21</v>
      </c>
      <c r="FI297" s="146" t="s">
        <v>22</v>
      </c>
      <c r="FJ297" s="147" t="s">
        <v>23</v>
      </c>
      <c r="FK297" s="148" t="s">
        <v>24</v>
      </c>
    </row>
    <row r="298" spans="2:167" x14ac:dyDescent="0.25">
      <c r="B298" s="443">
        <v>46082</v>
      </c>
      <c r="C298" s="123">
        <v>23197.51</v>
      </c>
      <c r="D298" s="126"/>
      <c r="E298" s="125"/>
      <c r="F298" s="126">
        <v>0</v>
      </c>
      <c r="G298" s="27"/>
      <c r="H298" s="239"/>
      <c r="I298" s="30"/>
      <c r="J298" s="29"/>
      <c r="K298" s="30">
        <f>SUM(F298:J298)</f>
        <v>0</v>
      </c>
      <c r="M298" s="122">
        <v>46082</v>
      </c>
      <c r="N298" s="123">
        <v>4507.41</v>
      </c>
      <c r="O298" s="125"/>
      <c r="P298" s="126">
        <v>0</v>
      </c>
      <c r="R298" s="239"/>
      <c r="S298" s="30"/>
      <c r="T298" s="29"/>
      <c r="U298" s="30">
        <f>SUM(P298:T298)</f>
        <v>0</v>
      </c>
      <c r="W298" s="122">
        <v>46082</v>
      </c>
      <c r="X298" s="123">
        <v>120</v>
      </c>
      <c r="Y298" s="123">
        <v>0</v>
      </c>
      <c r="Z298" s="125"/>
      <c r="AA298" s="273">
        <v>0</v>
      </c>
      <c r="AC298" s="239"/>
      <c r="AD298" s="30"/>
      <c r="AE298" s="29"/>
      <c r="AF298" s="30">
        <f>SUM(AA298:AE298)</f>
        <v>0</v>
      </c>
      <c r="AI298" s="122">
        <v>46082</v>
      </c>
      <c r="AJ298" s="123">
        <v>1400.95</v>
      </c>
      <c r="AK298" s="125"/>
      <c r="AL298" s="126"/>
      <c r="AN298" s="28"/>
      <c r="AO298" s="29"/>
      <c r="AP298" s="29"/>
      <c r="AQ298" s="30"/>
      <c r="AS298" s="122">
        <v>46082</v>
      </c>
      <c r="AT298" s="123">
        <v>3430.23</v>
      </c>
      <c r="AU298" s="125"/>
      <c r="AV298" s="128"/>
      <c r="AX298" s="28"/>
      <c r="AY298" s="29"/>
      <c r="AZ298" s="29"/>
      <c r="BA298" s="30"/>
      <c r="BC298" s="122">
        <v>46082</v>
      </c>
      <c r="BD298" s="123">
        <v>2318.64</v>
      </c>
      <c r="BE298" s="125"/>
      <c r="BF298" s="128">
        <v>0</v>
      </c>
      <c r="BH298" s="239">
        <v>8.8390499999999861</v>
      </c>
      <c r="BI298" s="29"/>
      <c r="BJ298" s="29"/>
      <c r="BK298" s="30">
        <f>SUM(BF298:BJ298)</f>
        <v>8.8390499999999861</v>
      </c>
      <c r="BM298" s="122">
        <v>46082</v>
      </c>
      <c r="BN298" s="123">
        <v>12696.5</v>
      </c>
      <c r="BO298" s="123">
        <v>1986.37</v>
      </c>
      <c r="BP298" s="123">
        <v>5897.62</v>
      </c>
      <c r="BQ298" s="125"/>
      <c r="BR298" s="125"/>
      <c r="BT298" s="239">
        <v>150.75365999999991</v>
      </c>
      <c r="BU298" s="30"/>
      <c r="BV298" s="30">
        <v>85.162397800000036</v>
      </c>
      <c r="BW298" s="30">
        <f t="shared" ref="BW298:BW328" si="197">SUM(BR298:BV298)</f>
        <v>235.91605779999995</v>
      </c>
      <c r="BY298" s="122">
        <v>46082</v>
      </c>
      <c r="BZ298" s="256">
        <v>0</v>
      </c>
      <c r="CA298" s="257">
        <v>70</v>
      </c>
      <c r="CB298" s="125"/>
      <c r="CC298" s="126"/>
      <c r="CE298" s="239"/>
      <c r="CF298" s="29"/>
      <c r="CG298" s="30"/>
      <c r="CH298" s="30">
        <f>SUM(CC298:CG298)</f>
        <v>0</v>
      </c>
      <c r="CJ298" s="122">
        <v>46082</v>
      </c>
      <c r="CK298" s="123">
        <v>5631.36</v>
      </c>
      <c r="CL298" s="123">
        <v>654.79999999999995</v>
      </c>
      <c r="CM298" s="125"/>
      <c r="CN298" s="126">
        <v>40.94</v>
      </c>
      <c r="CP298" s="239"/>
      <c r="CQ298" s="30"/>
      <c r="CR298" s="29"/>
      <c r="CS298" s="30">
        <f>SUM(CN298:CR298)</f>
        <v>40.94</v>
      </c>
      <c r="CU298" s="122">
        <v>46082</v>
      </c>
      <c r="CV298" s="123">
        <v>4422.3599999999997</v>
      </c>
      <c r="CW298" s="269">
        <v>1135.5999999999999</v>
      </c>
      <c r="CX298" s="125"/>
      <c r="CY298" s="126">
        <v>44.29</v>
      </c>
      <c r="CZ298" s="27"/>
      <c r="DA298" s="239"/>
      <c r="DB298" s="402">
        <v>167.51741935483872</v>
      </c>
      <c r="DC298" s="30"/>
      <c r="DD298" s="29"/>
      <c r="DE298" s="30">
        <f>SUM(CY298:DD298)</f>
        <v>211.80741935483871</v>
      </c>
      <c r="DH298" s="122">
        <v>46082</v>
      </c>
      <c r="DI298" s="123">
        <v>3839.32</v>
      </c>
      <c r="DJ298" s="127">
        <v>284.33</v>
      </c>
      <c r="DK298" s="127">
        <v>0</v>
      </c>
      <c r="DL298" s="127"/>
      <c r="DM298" s="126">
        <v>0</v>
      </c>
      <c r="DO298" s="239">
        <v>19.940819999999974</v>
      </c>
      <c r="DP298" s="30"/>
      <c r="DQ298" s="29"/>
      <c r="DR298" s="30">
        <f>SUM(DM298:DQ298)</f>
        <v>19.940819999999974</v>
      </c>
      <c r="DT298" s="122">
        <v>46082</v>
      </c>
      <c r="DU298" s="123">
        <v>1201.5</v>
      </c>
      <c r="DV298" s="125">
        <v>955.3</v>
      </c>
      <c r="DW298" s="127"/>
      <c r="DX298" s="126">
        <v>0</v>
      </c>
      <c r="DZ298" s="239"/>
      <c r="EA298" s="30"/>
      <c r="EB298" s="29"/>
      <c r="EC298" s="30">
        <f>SUM(DX298:EB298)</f>
        <v>0</v>
      </c>
      <c r="EE298" s="122">
        <v>46082</v>
      </c>
      <c r="EF298" s="123">
        <v>1201.08</v>
      </c>
      <c r="EG298" s="125">
        <v>512.71</v>
      </c>
      <c r="EH298" s="127"/>
      <c r="EI298" s="126">
        <v>7.1</v>
      </c>
      <c r="EK298" s="239">
        <v>195.07202000000009</v>
      </c>
      <c r="EL298" s="402">
        <v>167.51741935483872</v>
      </c>
      <c r="EM298" s="30"/>
      <c r="EN298" s="29">
        <v>71.85695960000001</v>
      </c>
      <c r="EO298" s="30">
        <f>SUM(EI298:EN298)</f>
        <v>441.54639895483876</v>
      </c>
      <c r="EQ298" s="122">
        <v>46082</v>
      </c>
      <c r="ER298" s="123">
        <v>3413.39</v>
      </c>
      <c r="ES298" s="400">
        <v>275.95</v>
      </c>
      <c r="ET298" s="127"/>
      <c r="EU298" s="258">
        <v>107.32</v>
      </c>
      <c r="EW298" s="239"/>
      <c r="EX298" s="30"/>
      <c r="EY298" s="29"/>
      <c r="EZ298" s="30">
        <f>SUM(EU298:EY298)</f>
        <v>107.32</v>
      </c>
      <c r="FB298" s="122">
        <v>46082</v>
      </c>
      <c r="FC298" s="123">
        <v>592.05999999999995</v>
      </c>
      <c r="FD298" s="123">
        <v>487.57</v>
      </c>
      <c r="FE298" s="125"/>
      <c r="FF298" s="126"/>
      <c r="FH298" s="28"/>
      <c r="FI298" s="29"/>
      <c r="FJ298" s="29"/>
      <c r="FK298" s="30"/>
    </row>
    <row r="299" spans="2:167" x14ac:dyDescent="0.25">
      <c r="B299" s="443">
        <v>46083</v>
      </c>
      <c r="C299" s="123">
        <v>18255.560000000001</v>
      </c>
      <c r="D299" s="125"/>
      <c r="E299" s="125"/>
      <c r="F299" s="123">
        <v>0</v>
      </c>
      <c r="G299" s="27"/>
      <c r="H299" s="240">
        <v>23.143700000000017</v>
      </c>
      <c r="I299" s="53">
        <v>24.161070215238112</v>
      </c>
      <c r="J299" s="52"/>
      <c r="K299" s="53">
        <f t="shared" ref="K299:K328" si="198">SUM(F299:J299)</f>
        <v>47.304770215238129</v>
      </c>
      <c r="M299" s="122">
        <v>46083</v>
      </c>
      <c r="N299" s="123">
        <v>4912.17</v>
      </c>
      <c r="O299" s="125"/>
      <c r="P299" s="126">
        <v>21.9</v>
      </c>
      <c r="R299" s="240">
        <v>31.449999999999989</v>
      </c>
      <c r="S299" s="53"/>
      <c r="T299" s="52"/>
      <c r="U299" s="53">
        <f t="shared" ref="U299:U328" si="199">SUM(P299:T299)</f>
        <v>53.349999999999987</v>
      </c>
      <c r="W299" s="122">
        <v>46083</v>
      </c>
      <c r="X299" s="123">
        <v>3048.93</v>
      </c>
      <c r="Y299" s="123">
        <v>88</v>
      </c>
      <c r="Z299" s="125"/>
      <c r="AA299" s="273">
        <v>36.659999999999997</v>
      </c>
      <c r="AC299" s="240"/>
      <c r="AD299" s="53"/>
      <c r="AE299" s="52"/>
      <c r="AF299" s="53">
        <f t="shared" ref="AF299:AF328" si="200">SUM(AA299:AE299)</f>
        <v>36.659999999999997</v>
      </c>
      <c r="AI299" s="122">
        <v>46083</v>
      </c>
      <c r="AJ299" s="123">
        <v>1657.21</v>
      </c>
      <c r="AK299" s="125"/>
      <c r="AL299" s="126"/>
      <c r="AN299" s="51"/>
      <c r="AO299" s="52"/>
      <c r="AP299" s="52"/>
      <c r="AQ299" s="53"/>
      <c r="AS299" s="122">
        <v>46083</v>
      </c>
      <c r="AT299" s="123">
        <v>3042.64</v>
      </c>
      <c r="AU299" s="125"/>
      <c r="AV299" s="128"/>
      <c r="AX299" s="51"/>
      <c r="AY299" s="52"/>
      <c r="AZ299" s="52"/>
      <c r="BA299" s="53"/>
      <c r="BC299" s="122">
        <v>46083</v>
      </c>
      <c r="BD299" s="123">
        <v>3170.53</v>
      </c>
      <c r="BE299" s="125"/>
      <c r="BF299" s="128">
        <v>0</v>
      </c>
      <c r="BH299" s="240">
        <v>8.9468499999999835</v>
      </c>
      <c r="BI299" s="52"/>
      <c r="BJ299" s="52"/>
      <c r="BK299" s="53">
        <f t="shared" ref="BK299:BK328" si="201">SUM(BF299:BJ299)</f>
        <v>8.9468499999999835</v>
      </c>
      <c r="BM299" s="122">
        <v>46083</v>
      </c>
      <c r="BN299" s="123">
        <v>23296.86</v>
      </c>
      <c r="BO299" s="123">
        <v>3928.83</v>
      </c>
      <c r="BP299" s="123">
        <v>4690.84</v>
      </c>
      <c r="BQ299" s="125"/>
      <c r="BR299" s="125"/>
      <c r="BT299" s="240">
        <v>284.87189999999998</v>
      </c>
      <c r="BU299" s="53">
        <v>30.559049057142872</v>
      </c>
      <c r="BV299" s="53"/>
      <c r="BW299" s="53">
        <f t="shared" si="197"/>
        <v>315.43094905714287</v>
      </c>
      <c r="BY299" s="122">
        <v>46083</v>
      </c>
      <c r="BZ299" s="256">
        <v>720</v>
      </c>
      <c r="CA299" s="257">
        <v>664.09</v>
      </c>
      <c r="CB299" s="125"/>
      <c r="CC299" s="126"/>
      <c r="CE299" s="240"/>
      <c r="CF299" s="52"/>
      <c r="CG299" s="53"/>
      <c r="CH299" s="53">
        <f t="shared" ref="CH299:CH328" si="202">SUM(CC299:CG299)</f>
        <v>0</v>
      </c>
      <c r="CJ299" s="122">
        <v>46083</v>
      </c>
      <c r="CK299" s="123">
        <v>6474.08</v>
      </c>
      <c r="CL299" s="123">
        <v>958.14</v>
      </c>
      <c r="CM299" s="125"/>
      <c r="CN299" s="126">
        <v>7.4</v>
      </c>
      <c r="CP299" s="240">
        <v>714.7730499999999</v>
      </c>
      <c r="CQ299" s="53">
        <v>37.939215113333375</v>
      </c>
      <c r="CR299" s="52"/>
      <c r="CS299" s="53">
        <f t="shared" ref="CS299:CS328" si="203">SUM(CN299:CR299)</f>
        <v>760.11226511333325</v>
      </c>
      <c r="CU299" s="122">
        <v>46083</v>
      </c>
      <c r="CV299" s="123">
        <v>7400.74</v>
      </c>
      <c r="CW299" s="269">
        <v>1882.48</v>
      </c>
      <c r="CX299" s="125"/>
      <c r="CY299" s="128">
        <v>162.79</v>
      </c>
      <c r="CZ299" s="27"/>
      <c r="DA299" s="240">
        <v>146.91999999999996</v>
      </c>
      <c r="DB299" s="435">
        <v>167.51741935483872</v>
      </c>
      <c r="DC299" s="53"/>
      <c r="DD299" s="52"/>
      <c r="DE299" s="53">
        <f t="shared" ref="DE299:DE328" si="204">SUM(CY299:DD299)</f>
        <v>477.22741935483862</v>
      </c>
      <c r="DH299" s="122">
        <v>46083</v>
      </c>
      <c r="DI299" s="123">
        <v>2799.21</v>
      </c>
      <c r="DJ299" s="127">
        <v>437.19</v>
      </c>
      <c r="DK299" s="127">
        <v>0</v>
      </c>
      <c r="DL299" s="127"/>
      <c r="DM299" s="126">
        <v>0</v>
      </c>
      <c r="DO299" s="240">
        <v>34.74602999999999</v>
      </c>
      <c r="DP299" s="53"/>
      <c r="DQ299" s="52"/>
      <c r="DR299" s="53">
        <f t="shared" ref="DR299:DR328" si="205">SUM(DM299:DQ299)</f>
        <v>34.74602999999999</v>
      </c>
      <c r="DT299" s="122">
        <v>46083</v>
      </c>
      <c r="DU299" s="123">
        <v>1369.18</v>
      </c>
      <c r="DV299" s="125">
        <v>868.48</v>
      </c>
      <c r="DW299" s="127"/>
      <c r="DX299" s="126">
        <v>32</v>
      </c>
      <c r="DZ299" s="240"/>
      <c r="EA299" s="53"/>
      <c r="EB299" s="52"/>
      <c r="EC299" s="53">
        <f t="shared" ref="EC299:EC328" si="206">SUM(DX299:EB299)</f>
        <v>32</v>
      </c>
      <c r="EE299" s="122">
        <v>46083</v>
      </c>
      <c r="EF299" s="123">
        <v>1158.99</v>
      </c>
      <c r="EG299" s="125">
        <v>850.36</v>
      </c>
      <c r="EH299" s="127"/>
      <c r="EI299" s="126">
        <v>12.83</v>
      </c>
      <c r="EK299" s="240">
        <v>512.81190000000015</v>
      </c>
      <c r="EL299" s="435">
        <v>167.51741935483872</v>
      </c>
      <c r="EM299" s="53">
        <v>126.78175238095241</v>
      </c>
      <c r="EN299" s="52"/>
      <c r="EO299" s="53">
        <f t="shared" ref="EO299:EO327" si="207">SUM(EI299:EN299)</f>
        <v>819.9410717357913</v>
      </c>
      <c r="EQ299" s="122">
        <v>46083</v>
      </c>
      <c r="ER299" s="123">
        <v>3269.28</v>
      </c>
      <c r="ES299" s="400">
        <v>207.18</v>
      </c>
      <c r="ET299" s="127"/>
      <c r="EU299" s="258">
        <v>595.72</v>
      </c>
      <c r="EW299" s="240">
        <v>17.435959999999994</v>
      </c>
      <c r="EX299" s="53"/>
      <c r="EY299" s="52"/>
      <c r="EZ299" s="53">
        <f t="shared" ref="EZ299:EZ328" si="208">SUM(EU299:EY299)</f>
        <v>613.15596000000005</v>
      </c>
      <c r="FB299" s="122">
        <v>46083</v>
      </c>
      <c r="FC299" s="123">
        <v>345.32</v>
      </c>
      <c r="FD299" s="123">
        <v>219.41</v>
      </c>
      <c r="FE299" s="125"/>
      <c r="FF299" s="126"/>
      <c r="FH299" s="51"/>
      <c r="FI299" s="52"/>
      <c r="FJ299" s="52"/>
      <c r="FK299" s="53"/>
    </row>
    <row r="300" spans="2:167" x14ac:dyDescent="0.25">
      <c r="B300" s="443">
        <v>46084</v>
      </c>
      <c r="C300" s="123">
        <v>17172.259999999998</v>
      </c>
      <c r="D300" s="125"/>
      <c r="E300" s="125"/>
      <c r="F300" s="123">
        <v>0</v>
      </c>
      <c r="G300" s="27"/>
      <c r="H300" s="240"/>
      <c r="I300" s="53">
        <v>12.137628571428593</v>
      </c>
      <c r="J300" s="52"/>
      <c r="K300" s="53">
        <f t="shared" si="198"/>
        <v>12.137628571428593</v>
      </c>
      <c r="M300" s="122">
        <v>46084</v>
      </c>
      <c r="N300" s="123">
        <v>5481.14</v>
      </c>
      <c r="O300" s="125"/>
      <c r="P300" s="126">
        <v>0</v>
      </c>
      <c r="R300" s="240"/>
      <c r="S300" s="53"/>
      <c r="T300" s="52"/>
      <c r="U300" s="53">
        <f t="shared" si="199"/>
        <v>0</v>
      </c>
      <c r="W300" s="122">
        <v>46084</v>
      </c>
      <c r="X300" s="123">
        <v>2143.02</v>
      </c>
      <c r="Y300" s="123">
        <v>266.23</v>
      </c>
      <c r="Z300" s="125"/>
      <c r="AA300" s="273">
        <v>28.46</v>
      </c>
      <c r="AC300" s="240"/>
      <c r="AD300" s="53">
        <v>5.9113926666666856</v>
      </c>
      <c r="AE300" s="52"/>
      <c r="AF300" s="53">
        <f t="shared" si="200"/>
        <v>34.371392666666686</v>
      </c>
      <c r="AI300" s="122">
        <v>46084</v>
      </c>
      <c r="AJ300" s="123">
        <v>1486.2</v>
      </c>
      <c r="AK300" s="125"/>
      <c r="AL300" s="126"/>
      <c r="AN300" s="51"/>
      <c r="AO300" s="52"/>
      <c r="AP300" s="52"/>
      <c r="AQ300" s="53"/>
      <c r="AS300" s="122">
        <v>46084</v>
      </c>
      <c r="AT300" s="123">
        <v>3070.78</v>
      </c>
      <c r="AU300" s="125"/>
      <c r="AV300" s="128"/>
      <c r="AX300" s="51"/>
      <c r="AY300" s="52"/>
      <c r="AZ300" s="52"/>
      <c r="BA300" s="53"/>
      <c r="BC300" s="122">
        <v>46084</v>
      </c>
      <c r="BD300" s="123">
        <v>2799.09</v>
      </c>
      <c r="BE300" s="125"/>
      <c r="BF300" s="128">
        <v>2.14</v>
      </c>
      <c r="BH300" s="240"/>
      <c r="BI300" s="52"/>
      <c r="BJ300" s="52"/>
      <c r="BK300" s="53">
        <f t="shared" si="201"/>
        <v>2.14</v>
      </c>
      <c r="BM300" s="122">
        <v>46084</v>
      </c>
      <c r="BN300" s="123">
        <v>30323.09</v>
      </c>
      <c r="BO300" s="123">
        <v>5166.6400000000003</v>
      </c>
      <c r="BP300" s="123">
        <v>0</v>
      </c>
      <c r="BQ300" s="125"/>
      <c r="BR300" s="125"/>
      <c r="BT300" s="240">
        <v>197.33951999999996</v>
      </c>
      <c r="BU300" s="53">
        <v>360.15948571428589</v>
      </c>
      <c r="BV300" s="53">
        <v>7.3219054999999997</v>
      </c>
      <c r="BW300" s="53">
        <f t="shared" si="197"/>
        <v>564.82091121428584</v>
      </c>
      <c r="BY300" s="122">
        <v>46084</v>
      </c>
      <c r="BZ300" s="256">
        <v>582.88</v>
      </c>
      <c r="CA300" s="257">
        <v>126</v>
      </c>
      <c r="CB300" s="125"/>
      <c r="CC300" s="126"/>
      <c r="CE300" s="240"/>
      <c r="CF300" s="52">
        <v>14.175594918095271</v>
      </c>
      <c r="CG300" s="53"/>
      <c r="CH300" s="53">
        <f t="shared" si="202"/>
        <v>14.175594918095271</v>
      </c>
      <c r="CJ300" s="122">
        <v>46084</v>
      </c>
      <c r="CK300" s="123">
        <v>7457.34</v>
      </c>
      <c r="CL300" s="123">
        <v>1134.57</v>
      </c>
      <c r="CM300" s="125"/>
      <c r="CN300" s="126">
        <v>12.46</v>
      </c>
      <c r="CP300" s="240">
        <v>120.74680999999993</v>
      </c>
      <c r="CQ300" s="53"/>
      <c r="CR300" s="52"/>
      <c r="CS300" s="53">
        <f t="shared" si="203"/>
        <v>133.20680999999993</v>
      </c>
      <c r="CU300" s="122">
        <v>46084</v>
      </c>
      <c r="CV300" s="123">
        <v>12086.37</v>
      </c>
      <c r="CW300" s="269">
        <v>3541.64</v>
      </c>
      <c r="CX300" s="125"/>
      <c r="CY300" s="126">
        <v>120.54</v>
      </c>
      <c r="CZ300" s="27"/>
      <c r="DA300" s="240"/>
      <c r="DB300" s="435">
        <v>167.51741935483872</v>
      </c>
      <c r="DC300" s="53"/>
      <c r="DD300" s="52"/>
      <c r="DE300" s="53">
        <f t="shared" si="204"/>
        <v>288.05741935483871</v>
      </c>
      <c r="DH300" s="122">
        <v>46084</v>
      </c>
      <c r="DI300" s="123">
        <v>817.43</v>
      </c>
      <c r="DJ300" s="126">
        <v>366.76</v>
      </c>
      <c r="DK300" s="126">
        <v>1361.36</v>
      </c>
      <c r="DL300" s="127"/>
      <c r="DM300" s="126">
        <v>0</v>
      </c>
      <c r="DO300" s="240"/>
      <c r="DP300" s="53"/>
      <c r="DQ300" s="52"/>
      <c r="DR300" s="53">
        <f t="shared" si="205"/>
        <v>0</v>
      </c>
      <c r="DT300" s="122">
        <v>46084</v>
      </c>
      <c r="DU300" s="123">
        <v>1586.28</v>
      </c>
      <c r="DV300" s="125">
        <v>1535.25</v>
      </c>
      <c r="DW300" s="127"/>
      <c r="DX300" s="126">
        <v>13.01</v>
      </c>
      <c r="DZ300" s="240"/>
      <c r="EA300" s="53"/>
      <c r="EB300" s="52"/>
      <c r="EC300" s="53">
        <f t="shared" si="206"/>
        <v>13.01</v>
      </c>
      <c r="EE300" s="122">
        <v>46084</v>
      </c>
      <c r="EF300" s="123">
        <v>953.63</v>
      </c>
      <c r="EG300" s="125">
        <v>955.26</v>
      </c>
      <c r="EH300" s="127"/>
      <c r="EI300" s="126">
        <v>8.8000000000000007</v>
      </c>
      <c r="EK300" s="240">
        <v>500.41685000000018</v>
      </c>
      <c r="EL300" s="435">
        <v>167.51741935483872</v>
      </c>
      <c r="EM300" s="53">
        <v>78.457664937904809</v>
      </c>
      <c r="EN300" s="52"/>
      <c r="EO300" s="53">
        <f t="shared" si="207"/>
        <v>755.19193429274378</v>
      </c>
      <c r="EQ300" s="122">
        <v>46084</v>
      </c>
      <c r="ER300" s="123">
        <v>4678.63</v>
      </c>
      <c r="ES300" s="400">
        <v>409.43</v>
      </c>
      <c r="ET300" s="127"/>
      <c r="EU300" s="258">
        <v>203.97</v>
      </c>
      <c r="EW300" s="240">
        <v>111.16871999999989</v>
      </c>
      <c r="EX300" s="53"/>
      <c r="EY300" s="52"/>
      <c r="EZ300" s="53">
        <f t="shared" si="208"/>
        <v>315.13871999999992</v>
      </c>
      <c r="FB300" s="122">
        <v>46084</v>
      </c>
      <c r="FC300" s="123">
        <v>1122.24</v>
      </c>
      <c r="FD300" s="123">
        <v>152.82</v>
      </c>
      <c r="FE300" s="125"/>
      <c r="FF300" s="126"/>
      <c r="FH300" s="51"/>
      <c r="FI300" s="52"/>
      <c r="FJ300" s="52"/>
      <c r="FK300" s="53"/>
    </row>
    <row r="301" spans="2:167" x14ac:dyDescent="0.25">
      <c r="B301" s="443">
        <v>46085</v>
      </c>
      <c r="C301" s="123">
        <v>19683.46</v>
      </c>
      <c r="D301" s="125"/>
      <c r="E301" s="125"/>
      <c r="F301" s="123">
        <v>0</v>
      </c>
      <c r="G301" s="27"/>
      <c r="H301" s="240">
        <v>7.7090999999999994</v>
      </c>
      <c r="I301" s="53"/>
      <c r="J301" s="52"/>
      <c r="K301" s="53">
        <f t="shared" si="198"/>
        <v>7.7090999999999994</v>
      </c>
      <c r="M301" s="122">
        <v>46085</v>
      </c>
      <c r="N301" s="123">
        <v>4818.24</v>
      </c>
      <c r="O301" s="125"/>
      <c r="P301" s="126">
        <v>0</v>
      </c>
      <c r="R301" s="240"/>
      <c r="S301" s="53"/>
      <c r="T301" s="52"/>
      <c r="U301" s="53">
        <f t="shared" si="199"/>
        <v>0</v>
      </c>
      <c r="W301" s="122">
        <v>46085</v>
      </c>
      <c r="X301" s="123">
        <v>1300.76</v>
      </c>
      <c r="Y301" s="123">
        <v>259.44</v>
      </c>
      <c r="Z301" s="125"/>
      <c r="AA301" s="273">
        <v>12.95</v>
      </c>
      <c r="AC301" s="240">
        <v>22.134559999999993</v>
      </c>
      <c r="AD301" s="53"/>
      <c r="AE301" s="52"/>
      <c r="AF301" s="53">
        <f t="shared" si="200"/>
        <v>35.084559999999996</v>
      </c>
      <c r="AI301" s="122">
        <v>46085</v>
      </c>
      <c r="AJ301" s="123">
        <v>1428.13</v>
      </c>
      <c r="AK301" s="125"/>
      <c r="AL301" s="126"/>
      <c r="AN301" s="51"/>
      <c r="AO301" s="52"/>
      <c r="AP301" s="52"/>
      <c r="AQ301" s="53"/>
      <c r="AS301" s="122">
        <v>46085</v>
      </c>
      <c r="AT301" s="123">
        <v>4681.2</v>
      </c>
      <c r="AU301" s="125"/>
      <c r="AV301" s="128"/>
      <c r="AX301" s="51"/>
      <c r="AY301" s="52"/>
      <c r="AZ301" s="52"/>
      <c r="BA301" s="53"/>
      <c r="BC301" s="122">
        <v>46085</v>
      </c>
      <c r="BD301" s="123">
        <v>2699.1</v>
      </c>
      <c r="BE301" s="125"/>
      <c r="BF301" s="128">
        <v>0</v>
      </c>
      <c r="BH301" s="240">
        <v>3.6244000000000085</v>
      </c>
      <c r="BI301" s="52"/>
      <c r="BJ301" s="52"/>
      <c r="BK301" s="53">
        <f t="shared" si="201"/>
        <v>3.6244000000000085</v>
      </c>
      <c r="BM301" s="122">
        <v>46085</v>
      </c>
      <c r="BN301" s="123">
        <v>28057.93</v>
      </c>
      <c r="BO301" s="123">
        <v>6098.1</v>
      </c>
      <c r="BP301" s="123">
        <v>0</v>
      </c>
      <c r="BQ301" s="125"/>
      <c r="BR301" s="125"/>
      <c r="BT301" s="240">
        <v>126.68400000000003</v>
      </c>
      <c r="BU301" s="53">
        <v>30.895454735238104</v>
      </c>
      <c r="BV301" s="53">
        <v>30.962800000000001</v>
      </c>
      <c r="BW301" s="53">
        <f t="shared" si="197"/>
        <v>188.54225473523815</v>
      </c>
      <c r="BY301" s="122">
        <v>46085</v>
      </c>
      <c r="BZ301" s="256">
        <v>790.64</v>
      </c>
      <c r="CA301" s="257">
        <v>345.55</v>
      </c>
      <c r="CB301" s="126"/>
      <c r="CC301" s="126"/>
      <c r="CE301" s="240"/>
      <c r="CF301" s="52">
        <v>10.835072937142826</v>
      </c>
      <c r="CG301" s="53"/>
      <c r="CH301" s="53">
        <f t="shared" si="202"/>
        <v>10.835072937142826</v>
      </c>
      <c r="CJ301" s="122">
        <v>46085</v>
      </c>
      <c r="CK301" s="123">
        <v>4246.7700000000004</v>
      </c>
      <c r="CL301" s="123">
        <v>2340.2600000000002</v>
      </c>
      <c r="CM301" s="125"/>
      <c r="CN301" s="126">
        <v>10</v>
      </c>
      <c r="CP301" s="240">
        <v>122.86233999999985</v>
      </c>
      <c r="CQ301" s="53"/>
      <c r="CR301" s="52"/>
      <c r="CS301" s="53">
        <f t="shared" si="203"/>
        <v>132.86233999999985</v>
      </c>
      <c r="CU301" s="122">
        <v>46085</v>
      </c>
      <c r="CV301" s="123">
        <v>9833.93</v>
      </c>
      <c r="CW301" s="269">
        <v>3876.99</v>
      </c>
      <c r="CX301" s="125"/>
      <c r="CY301" s="126">
        <v>21.72</v>
      </c>
      <c r="CZ301" s="27"/>
      <c r="DA301" s="240"/>
      <c r="DB301" s="435">
        <v>167.51741935483872</v>
      </c>
      <c r="DC301" s="53"/>
      <c r="DD301" s="52"/>
      <c r="DE301" s="53">
        <f t="shared" si="204"/>
        <v>189.23741935483872</v>
      </c>
      <c r="DH301" s="122">
        <v>46085</v>
      </c>
      <c r="DI301" s="123">
        <v>7505.08</v>
      </c>
      <c r="DJ301" s="127">
        <v>790.88</v>
      </c>
      <c r="DK301" s="127">
        <v>1615.45</v>
      </c>
      <c r="DL301" s="127"/>
      <c r="DM301" s="126">
        <v>0</v>
      </c>
      <c r="DO301" s="240"/>
      <c r="DP301" s="53"/>
      <c r="DQ301" s="52"/>
      <c r="DR301" s="53">
        <f t="shared" si="205"/>
        <v>0</v>
      </c>
      <c r="DT301" s="122">
        <v>46085</v>
      </c>
      <c r="DU301" s="123">
        <v>2055.86</v>
      </c>
      <c r="DV301" s="125">
        <v>1558.4</v>
      </c>
      <c r="DW301" s="127"/>
      <c r="DX301" s="126">
        <v>13.69</v>
      </c>
      <c r="DZ301" s="240"/>
      <c r="EA301" s="53"/>
      <c r="EB301" s="52"/>
      <c r="EC301" s="53">
        <f t="shared" si="206"/>
        <v>13.69</v>
      </c>
      <c r="EE301" s="122">
        <v>46085</v>
      </c>
      <c r="EF301" s="123">
        <v>1431.69</v>
      </c>
      <c r="EG301" s="125">
        <v>943.44</v>
      </c>
      <c r="EH301" s="127"/>
      <c r="EI301" s="126">
        <v>16.420000000000002</v>
      </c>
      <c r="EK301" s="240">
        <v>611.46744000000035</v>
      </c>
      <c r="EL301" s="435">
        <v>167.51741935483872</v>
      </c>
      <c r="EM301" s="53">
        <v>56.463888510476238</v>
      </c>
      <c r="EN301" s="52"/>
      <c r="EO301" s="53">
        <f t="shared" si="207"/>
        <v>851.8687478653153</v>
      </c>
      <c r="EQ301" s="122">
        <v>46085</v>
      </c>
      <c r="ER301" s="123">
        <v>2780.07</v>
      </c>
      <c r="ES301" s="400">
        <v>159.16999999999999</v>
      </c>
      <c r="ET301" s="127"/>
      <c r="EU301" s="258">
        <v>418.8</v>
      </c>
      <c r="EW301" s="240">
        <v>45.010350000000003</v>
      </c>
      <c r="EX301" s="53"/>
      <c r="EY301" s="52"/>
      <c r="EZ301" s="53">
        <f t="shared" si="208"/>
        <v>463.81035000000003</v>
      </c>
      <c r="FB301" s="122">
        <v>46085</v>
      </c>
      <c r="FC301" s="123">
        <v>571.54</v>
      </c>
      <c r="FD301" s="123">
        <v>378.03</v>
      </c>
      <c r="FE301" s="125"/>
      <c r="FF301" s="126"/>
      <c r="FH301" s="51"/>
      <c r="FI301" s="52"/>
      <c r="FJ301" s="52"/>
      <c r="FK301" s="53"/>
    </row>
    <row r="302" spans="2:167" x14ac:dyDescent="0.25">
      <c r="B302" s="443">
        <v>46086</v>
      </c>
      <c r="C302" s="123">
        <v>20507.54</v>
      </c>
      <c r="D302" s="125"/>
      <c r="E302" s="125"/>
      <c r="F302" s="123">
        <v>0</v>
      </c>
      <c r="G302" s="27"/>
      <c r="H302" s="240">
        <v>40.136130000000023</v>
      </c>
      <c r="I302" s="53"/>
      <c r="J302" s="52"/>
      <c r="K302" s="53">
        <f t="shared" si="198"/>
        <v>40.136130000000023</v>
      </c>
      <c r="M302" s="122">
        <v>46086</v>
      </c>
      <c r="N302" s="123">
        <v>6637.64</v>
      </c>
      <c r="O302" s="125"/>
      <c r="P302" s="126">
        <v>19.23</v>
      </c>
      <c r="R302" s="240"/>
      <c r="S302" s="53"/>
      <c r="T302" s="52"/>
      <c r="U302" s="53">
        <f t="shared" si="199"/>
        <v>19.23</v>
      </c>
      <c r="W302" s="122">
        <v>46086</v>
      </c>
      <c r="X302" s="123">
        <v>2292.5100000000002</v>
      </c>
      <c r="Y302" s="123">
        <v>152.03</v>
      </c>
      <c r="Z302" s="125"/>
      <c r="AA302" s="273">
        <v>13.25</v>
      </c>
      <c r="AC302" s="240">
        <v>-8.1695200000000057</v>
      </c>
      <c r="AD302" s="53"/>
      <c r="AE302" s="52"/>
      <c r="AF302" s="53">
        <f t="shared" si="200"/>
        <v>5.0804799999999943</v>
      </c>
      <c r="AI302" s="122">
        <v>46086</v>
      </c>
      <c r="AJ302" s="123">
        <v>1370.63</v>
      </c>
      <c r="AK302" s="125"/>
      <c r="AL302" s="126"/>
      <c r="AN302" s="51"/>
      <c r="AO302" s="52"/>
      <c r="AP302" s="52"/>
      <c r="AQ302" s="53"/>
      <c r="AS302" s="122">
        <v>46086</v>
      </c>
      <c r="AT302" s="123">
        <v>4375.51</v>
      </c>
      <c r="AU302" s="125"/>
      <c r="AV302" s="128"/>
      <c r="AX302" s="51"/>
      <c r="AY302" s="52"/>
      <c r="AZ302" s="52"/>
      <c r="BA302" s="53"/>
      <c r="BC302" s="122">
        <v>46086</v>
      </c>
      <c r="BD302" s="123">
        <v>4513.37</v>
      </c>
      <c r="BE302" s="125"/>
      <c r="BF302" s="128">
        <v>0</v>
      </c>
      <c r="BH302" s="240">
        <v>23.288640000000044</v>
      </c>
      <c r="BI302" s="52"/>
      <c r="BJ302" s="52"/>
      <c r="BK302" s="53">
        <f t="shared" si="201"/>
        <v>23.288640000000044</v>
      </c>
      <c r="BM302" s="122">
        <v>46086</v>
      </c>
      <c r="BN302" s="123">
        <v>26799.07</v>
      </c>
      <c r="BO302" s="123">
        <v>2716.58</v>
      </c>
      <c r="BP302" s="123">
        <v>0</v>
      </c>
      <c r="BQ302" s="125"/>
      <c r="BR302" s="125"/>
      <c r="BT302" s="240">
        <v>136.91615999999999</v>
      </c>
      <c r="BU302" s="53">
        <v>163.56582888914281</v>
      </c>
      <c r="BV302" s="53"/>
      <c r="BW302" s="53">
        <f t="shared" si="197"/>
        <v>300.48198888914283</v>
      </c>
      <c r="BY302" s="122">
        <v>46086</v>
      </c>
      <c r="BZ302" s="256">
        <v>1053.21</v>
      </c>
      <c r="CA302" s="257">
        <v>1249.56</v>
      </c>
      <c r="CB302" s="125"/>
      <c r="CC302" s="126"/>
      <c r="CE302" s="240"/>
      <c r="CF302" s="52">
        <v>-17.135220668571435</v>
      </c>
      <c r="CG302" s="53"/>
      <c r="CH302" s="53">
        <f t="shared" si="202"/>
        <v>-17.135220668571435</v>
      </c>
      <c r="CJ302" s="122">
        <v>46086</v>
      </c>
      <c r="CK302" s="123">
        <v>6442.26</v>
      </c>
      <c r="CL302" s="123">
        <v>1229</v>
      </c>
      <c r="CM302" s="125"/>
      <c r="CN302" s="126">
        <v>0</v>
      </c>
      <c r="CP302" s="240">
        <v>21.619009999999946</v>
      </c>
      <c r="CQ302" s="53"/>
      <c r="CR302" s="52"/>
      <c r="CS302" s="53">
        <f t="shared" si="203"/>
        <v>21.619009999999946</v>
      </c>
      <c r="CU302" s="122">
        <v>46086</v>
      </c>
      <c r="CV302" s="123">
        <v>10042.01</v>
      </c>
      <c r="CW302" s="269">
        <v>4538.6899999999996</v>
      </c>
      <c r="CX302" s="125"/>
      <c r="CY302" s="126">
        <v>352.98</v>
      </c>
      <c r="CZ302" s="27"/>
      <c r="DA302" s="240">
        <v>32.100000000000009</v>
      </c>
      <c r="DB302" s="435">
        <v>167.51741935483872</v>
      </c>
      <c r="DC302" s="53"/>
      <c r="DD302" s="52"/>
      <c r="DE302" s="53">
        <f t="shared" si="204"/>
        <v>552.59741935483873</v>
      </c>
      <c r="DH302" s="122">
        <v>46086</v>
      </c>
      <c r="DI302" s="123">
        <v>10093.36</v>
      </c>
      <c r="DJ302" s="127">
        <v>827.05</v>
      </c>
      <c r="DK302" s="127">
        <v>1596.62</v>
      </c>
      <c r="DL302" s="127"/>
      <c r="DM302" s="126">
        <v>0</v>
      </c>
      <c r="DO302" s="240">
        <v>-62.67008000000007</v>
      </c>
      <c r="DP302" s="53"/>
      <c r="DQ302" s="52"/>
      <c r="DR302" s="53">
        <f t="shared" si="205"/>
        <v>-62.67008000000007</v>
      </c>
      <c r="DT302" s="122">
        <v>46086</v>
      </c>
      <c r="DU302" s="123">
        <v>757.04</v>
      </c>
      <c r="DV302" s="125">
        <v>1648.27</v>
      </c>
      <c r="DW302" s="127"/>
      <c r="DX302" s="126">
        <v>5.33</v>
      </c>
      <c r="DZ302" s="240"/>
      <c r="EA302" s="53"/>
      <c r="EB302" s="52"/>
      <c r="EC302" s="53">
        <f t="shared" si="206"/>
        <v>5.33</v>
      </c>
      <c r="EE302" s="122">
        <v>46086</v>
      </c>
      <c r="EF302" s="123">
        <v>1581.72</v>
      </c>
      <c r="EG302" s="125">
        <v>1156.1500000000001</v>
      </c>
      <c r="EH302" s="127"/>
      <c r="EI302" s="126">
        <v>12.42</v>
      </c>
      <c r="EK302" s="240">
        <v>124.60602000000011</v>
      </c>
      <c r="EL302" s="435">
        <v>167.51741935483872</v>
      </c>
      <c r="EM302" s="53">
        <v>23.43928642000003</v>
      </c>
      <c r="EN302" s="52"/>
      <c r="EO302" s="53">
        <f t="shared" si="207"/>
        <v>327.98272577483885</v>
      </c>
      <c r="EQ302" s="122">
        <v>46086</v>
      </c>
      <c r="ER302" s="123">
        <v>10072.44</v>
      </c>
      <c r="ES302" s="400">
        <v>401.56</v>
      </c>
      <c r="ET302" s="127"/>
      <c r="EU302" s="258">
        <v>593.15</v>
      </c>
      <c r="EW302" s="240"/>
      <c r="EX302" s="53"/>
      <c r="EY302" s="52"/>
      <c r="EZ302" s="53">
        <f t="shared" si="208"/>
        <v>593.15</v>
      </c>
      <c r="FB302" s="122">
        <v>46086</v>
      </c>
      <c r="FC302" s="123">
        <v>1053.1500000000001</v>
      </c>
      <c r="FD302" s="123">
        <v>502.13</v>
      </c>
      <c r="FE302" s="125"/>
      <c r="FF302" s="126"/>
      <c r="FH302" s="51"/>
      <c r="FI302" s="52"/>
      <c r="FJ302" s="52"/>
      <c r="FK302" s="53"/>
    </row>
    <row r="303" spans="2:167" x14ac:dyDescent="0.25">
      <c r="B303" s="443">
        <v>46087</v>
      </c>
      <c r="C303" s="123">
        <v>31040.42</v>
      </c>
      <c r="D303" s="125"/>
      <c r="E303" s="125"/>
      <c r="F303" s="123">
        <v>0</v>
      </c>
      <c r="G303" s="27"/>
      <c r="H303" s="240">
        <v>130.33643000000001</v>
      </c>
      <c r="I303" s="53"/>
      <c r="J303" s="52"/>
      <c r="K303" s="53">
        <f t="shared" si="198"/>
        <v>130.33643000000001</v>
      </c>
      <c r="M303" s="122">
        <v>46087</v>
      </c>
      <c r="N303" s="123">
        <v>5964.15</v>
      </c>
      <c r="O303" s="125"/>
      <c r="P303" s="126">
        <v>33.65</v>
      </c>
      <c r="R303" s="240"/>
      <c r="S303" s="53"/>
      <c r="T303" s="52"/>
      <c r="U303" s="53">
        <f t="shared" si="199"/>
        <v>33.65</v>
      </c>
      <c r="W303" s="122">
        <v>46087</v>
      </c>
      <c r="X303" s="123">
        <v>2139.1</v>
      </c>
      <c r="Y303" s="123">
        <v>0</v>
      </c>
      <c r="Z303" s="125"/>
      <c r="AA303" s="273">
        <v>11.09</v>
      </c>
      <c r="AC303" s="240"/>
      <c r="AD303" s="53">
        <v>20.706608749714263</v>
      </c>
      <c r="AE303" s="52"/>
      <c r="AF303" s="53">
        <f t="shared" si="200"/>
        <v>31.796608749714263</v>
      </c>
      <c r="AI303" s="122">
        <v>46087</v>
      </c>
      <c r="AJ303" s="123">
        <v>1549.35</v>
      </c>
      <c r="AK303" s="125"/>
      <c r="AL303" s="126"/>
      <c r="AN303" s="51"/>
      <c r="AO303" s="52"/>
      <c r="AP303" s="52"/>
      <c r="AQ303" s="53"/>
      <c r="AS303" s="122">
        <v>46087</v>
      </c>
      <c r="AT303" s="123">
        <v>4154.41</v>
      </c>
      <c r="AU303" s="125"/>
      <c r="AV303" s="128"/>
      <c r="AX303" s="51"/>
      <c r="AY303" s="52"/>
      <c r="AZ303" s="52"/>
      <c r="BA303" s="53"/>
      <c r="BC303" s="122">
        <v>46087</v>
      </c>
      <c r="BD303" s="123">
        <v>5548.89</v>
      </c>
      <c r="BE303" s="125"/>
      <c r="BF303" s="128">
        <v>3.96</v>
      </c>
      <c r="BH303" s="240">
        <v>13.374719999999982</v>
      </c>
      <c r="BI303" s="52"/>
      <c r="BJ303" s="52"/>
      <c r="BK303" s="53">
        <f t="shared" si="201"/>
        <v>17.334719999999983</v>
      </c>
      <c r="BM303" s="122">
        <v>46087</v>
      </c>
      <c r="BN303" s="123">
        <v>54774.34</v>
      </c>
      <c r="BO303" s="123">
        <v>9598.0300000000007</v>
      </c>
      <c r="BP303" s="123">
        <v>0</v>
      </c>
      <c r="BQ303" s="125"/>
      <c r="BR303" s="125"/>
      <c r="BT303" s="240">
        <v>73.719129999999979</v>
      </c>
      <c r="BU303" s="53">
        <v>38.576151551999999</v>
      </c>
      <c r="BV303" s="53">
        <v>21.561999200000002</v>
      </c>
      <c r="BW303" s="53">
        <f t="shared" si="197"/>
        <v>133.85728075199998</v>
      </c>
      <c r="BY303" s="122">
        <v>46087</v>
      </c>
      <c r="BZ303" s="256">
        <v>840.43</v>
      </c>
      <c r="CA303" s="257">
        <v>1862.44</v>
      </c>
      <c r="CB303" s="125"/>
      <c r="CC303" s="126"/>
      <c r="CE303" s="240"/>
      <c r="CF303" s="52"/>
      <c r="CG303" s="53"/>
      <c r="CH303" s="53">
        <f t="shared" si="202"/>
        <v>0</v>
      </c>
      <c r="CJ303" s="122">
        <v>46087</v>
      </c>
      <c r="CK303" s="123">
        <v>7801.23</v>
      </c>
      <c r="CL303" s="123">
        <v>0</v>
      </c>
      <c r="CM303" s="125"/>
      <c r="CN303" s="126">
        <v>34.19</v>
      </c>
      <c r="CP303" s="240">
        <v>23.931399999999982</v>
      </c>
      <c r="CQ303" s="53"/>
      <c r="CR303" s="52"/>
      <c r="CS303" s="53">
        <f t="shared" si="203"/>
        <v>58.12139999999998</v>
      </c>
      <c r="CU303" s="122">
        <v>46087</v>
      </c>
      <c r="CV303" s="123">
        <v>10405.870000000001</v>
      </c>
      <c r="CW303" s="269">
        <v>6615.91</v>
      </c>
      <c r="CX303" s="125"/>
      <c r="CY303" s="126">
        <v>190.99</v>
      </c>
      <c r="CZ303" s="27"/>
      <c r="DA303" s="240"/>
      <c r="DB303" s="435">
        <v>167.51741935483872</v>
      </c>
      <c r="DC303" s="53"/>
      <c r="DD303" s="52"/>
      <c r="DE303" s="53">
        <f t="shared" si="204"/>
        <v>358.5074193548387</v>
      </c>
      <c r="DH303" s="122">
        <v>46087</v>
      </c>
      <c r="DI303" s="123">
        <v>3566.98</v>
      </c>
      <c r="DJ303" s="259">
        <v>1289.08</v>
      </c>
      <c r="DK303" s="259">
        <v>1380.38</v>
      </c>
      <c r="DL303" s="127"/>
      <c r="DM303" s="126">
        <v>0</v>
      </c>
      <c r="DO303" s="240">
        <v>18.669419999999974</v>
      </c>
      <c r="DP303" s="53"/>
      <c r="DQ303" s="52"/>
      <c r="DR303" s="53">
        <f t="shared" si="205"/>
        <v>18.669419999999974</v>
      </c>
      <c r="DT303" s="122">
        <v>46087</v>
      </c>
      <c r="DU303" s="123">
        <v>1564.29</v>
      </c>
      <c r="DV303" s="400">
        <v>543.48</v>
      </c>
      <c r="DW303" s="127"/>
      <c r="DX303" s="126">
        <v>39.11</v>
      </c>
      <c r="DZ303" s="240"/>
      <c r="EA303" s="53"/>
      <c r="EB303" s="52"/>
      <c r="EC303" s="53">
        <f t="shared" si="206"/>
        <v>39.11</v>
      </c>
      <c r="EE303" s="122">
        <v>46087</v>
      </c>
      <c r="EF303" s="123">
        <v>1111.82</v>
      </c>
      <c r="EG303" s="125">
        <v>776.32</v>
      </c>
      <c r="EH303" s="127"/>
      <c r="EI303" s="126">
        <v>4.59</v>
      </c>
      <c r="EK303" s="240">
        <v>133.08584999999954</v>
      </c>
      <c r="EL303" s="435">
        <v>167.51741935483872</v>
      </c>
      <c r="EM303" s="53">
        <v>-28.534950240000114</v>
      </c>
      <c r="EN303" s="52"/>
      <c r="EO303" s="53">
        <f t="shared" si="207"/>
        <v>276.65831911483815</v>
      </c>
      <c r="EQ303" s="122">
        <v>46087</v>
      </c>
      <c r="ER303" s="123">
        <v>4644.01</v>
      </c>
      <c r="ES303" s="400">
        <v>773.81</v>
      </c>
      <c r="ET303" s="127"/>
      <c r="EU303" s="258">
        <v>454.12</v>
      </c>
      <c r="EW303" s="240"/>
      <c r="EX303" s="53"/>
      <c r="EY303" s="52"/>
      <c r="EZ303" s="53">
        <f t="shared" si="208"/>
        <v>454.12</v>
      </c>
      <c r="FB303" s="122">
        <v>46087</v>
      </c>
      <c r="FC303" s="123">
        <v>1421.38</v>
      </c>
      <c r="FD303" s="123">
        <v>1127.73</v>
      </c>
      <c r="FE303" s="125"/>
      <c r="FF303" s="126"/>
      <c r="FH303" s="51"/>
      <c r="FI303" s="52"/>
      <c r="FJ303" s="52"/>
      <c r="FK303" s="53"/>
    </row>
    <row r="304" spans="2:167" x14ac:dyDescent="0.25">
      <c r="B304" s="443">
        <v>46088</v>
      </c>
      <c r="C304" s="123">
        <v>44105.120000000003</v>
      </c>
      <c r="D304" s="125"/>
      <c r="E304" s="125"/>
      <c r="F304" s="123">
        <v>0</v>
      </c>
      <c r="G304" s="27"/>
      <c r="H304" s="240"/>
      <c r="I304" s="53"/>
      <c r="J304" s="52"/>
      <c r="K304" s="53">
        <f t="shared" si="198"/>
        <v>0</v>
      </c>
      <c r="M304" s="122">
        <v>46088</v>
      </c>
      <c r="N304" s="123">
        <v>5943.49</v>
      </c>
      <c r="O304" s="125"/>
      <c r="P304" s="126">
        <v>54.22</v>
      </c>
      <c r="R304" s="240"/>
      <c r="S304" s="53"/>
      <c r="T304" s="52"/>
      <c r="U304" s="53">
        <f t="shared" si="199"/>
        <v>54.22</v>
      </c>
      <c r="W304" s="122">
        <v>46088</v>
      </c>
      <c r="X304" s="123">
        <v>1531.41</v>
      </c>
      <c r="Y304" s="123">
        <v>0</v>
      </c>
      <c r="Z304" s="125"/>
      <c r="AA304" s="273">
        <v>2.94</v>
      </c>
      <c r="AC304" s="240">
        <v>34.119819999999976</v>
      </c>
      <c r="AD304" s="53"/>
      <c r="AE304" s="52"/>
      <c r="AF304" s="53">
        <f t="shared" si="200"/>
        <v>37.059819999999974</v>
      </c>
      <c r="AI304" s="122">
        <v>46088</v>
      </c>
      <c r="AJ304" s="123">
        <v>733</v>
      </c>
      <c r="AK304" s="125"/>
      <c r="AL304" s="126"/>
      <c r="AN304" s="51"/>
      <c r="AO304" s="52"/>
      <c r="AP304" s="52"/>
      <c r="AQ304" s="53"/>
      <c r="AS304" s="122">
        <v>46088</v>
      </c>
      <c r="AT304" s="123">
        <v>5476.2</v>
      </c>
      <c r="AU304" s="125"/>
      <c r="AV304" s="128"/>
      <c r="AX304" s="51"/>
      <c r="AY304" s="52"/>
      <c r="AZ304" s="52"/>
      <c r="BA304" s="53"/>
      <c r="BC304" s="122">
        <v>46088</v>
      </c>
      <c r="BD304" s="123">
        <v>3269.29</v>
      </c>
      <c r="BE304" s="125"/>
      <c r="BF304" s="128">
        <v>0</v>
      </c>
      <c r="BH304" s="240">
        <v>44.855339999999956</v>
      </c>
      <c r="BI304" s="52"/>
      <c r="BJ304" s="52"/>
      <c r="BK304" s="53">
        <f t="shared" si="201"/>
        <v>44.855339999999956</v>
      </c>
      <c r="BM304" s="122">
        <v>46088</v>
      </c>
      <c r="BN304" s="123">
        <v>41023.93</v>
      </c>
      <c r="BO304" s="123">
        <v>14300.57</v>
      </c>
      <c r="BP304" s="123">
        <v>0</v>
      </c>
      <c r="BQ304" s="125"/>
      <c r="BR304" s="125"/>
      <c r="BT304" s="240">
        <v>277.03843999999992</v>
      </c>
      <c r="BU304" s="53">
        <v>1053.9428334354279</v>
      </c>
      <c r="BV304" s="53"/>
      <c r="BW304" s="53">
        <f t="shared" si="197"/>
        <v>1330.9812734354277</v>
      </c>
      <c r="BY304" s="122">
        <v>46088</v>
      </c>
      <c r="BZ304" s="256">
        <v>595.01</v>
      </c>
      <c r="CA304" s="257">
        <v>0</v>
      </c>
      <c r="CB304" s="125"/>
      <c r="CC304" s="126"/>
      <c r="CE304" s="240"/>
      <c r="CF304" s="52"/>
      <c r="CG304" s="53"/>
      <c r="CH304" s="53">
        <f t="shared" si="202"/>
        <v>0</v>
      </c>
      <c r="CJ304" s="122">
        <v>46088</v>
      </c>
      <c r="CK304" s="123">
        <v>5976.89</v>
      </c>
      <c r="CL304" s="123">
        <v>0</v>
      </c>
      <c r="CM304" s="125"/>
      <c r="CN304" s="126">
        <v>17.16</v>
      </c>
      <c r="CP304" s="240">
        <v>208.84796999999992</v>
      </c>
      <c r="CQ304" s="53"/>
      <c r="CR304" s="52"/>
      <c r="CS304" s="53">
        <f t="shared" si="203"/>
        <v>226.00796999999991</v>
      </c>
      <c r="CU304" s="122">
        <v>46088</v>
      </c>
      <c r="CV304" s="123">
        <v>16729.439999999999</v>
      </c>
      <c r="CW304" s="126">
        <v>0</v>
      </c>
      <c r="CX304" s="125"/>
      <c r="CY304" s="126">
        <v>19.3</v>
      </c>
      <c r="CZ304" s="27"/>
      <c r="DA304" s="240"/>
      <c r="DB304" s="435">
        <v>167.51741935483872</v>
      </c>
      <c r="DC304" s="53"/>
      <c r="DD304" s="52"/>
      <c r="DE304" s="53">
        <f t="shared" si="204"/>
        <v>186.81741935483873</v>
      </c>
      <c r="DH304" s="122">
        <v>46088</v>
      </c>
      <c r="DI304" s="123">
        <v>5447.21</v>
      </c>
      <c r="DJ304" s="127">
        <v>2328.42</v>
      </c>
      <c r="DK304" s="127">
        <v>1553.8</v>
      </c>
      <c r="DL304" s="127"/>
      <c r="DM304" s="126">
        <v>0</v>
      </c>
      <c r="DO304" s="240">
        <v>31.695839999999976</v>
      </c>
      <c r="DP304" s="53"/>
      <c r="DQ304" s="52"/>
      <c r="DR304" s="53">
        <f t="shared" si="205"/>
        <v>31.695839999999976</v>
      </c>
      <c r="DT304" s="122">
        <v>46088</v>
      </c>
      <c r="DU304" s="123">
        <v>1716.53</v>
      </c>
      <c r="DV304" s="125">
        <v>0</v>
      </c>
      <c r="DW304" s="127"/>
      <c r="DX304" s="126">
        <v>14.2</v>
      </c>
      <c r="DZ304" s="240"/>
      <c r="EA304" s="53"/>
      <c r="EB304" s="52"/>
      <c r="EC304" s="53">
        <f t="shared" si="206"/>
        <v>14.2</v>
      </c>
      <c r="EE304" s="122">
        <v>46088</v>
      </c>
      <c r="EF304" s="123">
        <v>1233.72</v>
      </c>
      <c r="EG304" s="125">
        <v>900.77</v>
      </c>
      <c r="EH304" s="127"/>
      <c r="EI304" s="126">
        <v>9.4499999999999993</v>
      </c>
      <c r="EK304" s="240">
        <v>177.48246999999984</v>
      </c>
      <c r="EL304" s="435">
        <v>167.51741935483872</v>
      </c>
      <c r="EM304" s="53">
        <v>43.897690834285697</v>
      </c>
      <c r="EN304" s="52"/>
      <c r="EO304" s="53">
        <f t="shared" si="207"/>
        <v>398.34758018912424</v>
      </c>
      <c r="EQ304" s="122">
        <v>46088</v>
      </c>
      <c r="ER304" s="123">
        <v>2119.25</v>
      </c>
      <c r="ES304" s="400">
        <v>2631.56</v>
      </c>
      <c r="ET304" s="127"/>
      <c r="EU304" s="258">
        <v>544.92999999999995</v>
      </c>
      <c r="EW304" s="240">
        <v>29.138920000000013</v>
      </c>
      <c r="EX304" s="53">
        <v>126.08704000000012</v>
      </c>
      <c r="EY304" s="52"/>
      <c r="EZ304" s="53">
        <f t="shared" si="208"/>
        <v>700.15596000000005</v>
      </c>
      <c r="FB304" s="122">
        <v>46088</v>
      </c>
      <c r="FC304" s="123">
        <v>1166.27</v>
      </c>
      <c r="FD304" s="123">
        <v>0</v>
      </c>
      <c r="FE304" s="125"/>
      <c r="FF304" s="126"/>
      <c r="FH304" s="51"/>
      <c r="FI304" s="52"/>
      <c r="FJ304" s="52"/>
      <c r="FK304" s="53"/>
    </row>
    <row r="305" spans="2:167" x14ac:dyDescent="0.25">
      <c r="B305" s="443">
        <v>46089</v>
      </c>
      <c r="C305" s="123">
        <v>31305.48</v>
      </c>
      <c r="D305" s="125"/>
      <c r="E305" s="125"/>
      <c r="F305" s="123">
        <v>18.88</v>
      </c>
      <c r="G305" s="27"/>
      <c r="H305" s="240"/>
      <c r="I305" s="53"/>
      <c r="J305" s="52"/>
      <c r="K305" s="53">
        <f>SUM(F305:J305)</f>
        <v>18.88</v>
      </c>
      <c r="M305" s="122">
        <v>46089</v>
      </c>
      <c r="N305" s="123">
        <v>5910.82</v>
      </c>
      <c r="O305" s="125"/>
      <c r="P305" s="126">
        <v>19.579999999999998</v>
      </c>
      <c r="R305" s="240"/>
      <c r="S305" s="53"/>
      <c r="T305" s="52"/>
      <c r="U305" s="53">
        <f t="shared" si="199"/>
        <v>19.579999999999998</v>
      </c>
      <c r="W305" s="122">
        <v>46089</v>
      </c>
      <c r="X305" s="123">
        <v>622.02</v>
      </c>
      <c r="Y305" s="123">
        <v>363.68</v>
      </c>
      <c r="Z305" s="125"/>
      <c r="AA305" s="273">
        <v>1.31</v>
      </c>
      <c r="AC305" s="240"/>
      <c r="AD305" s="53"/>
      <c r="AE305" s="52"/>
      <c r="AF305" s="53">
        <f t="shared" si="200"/>
        <v>1.31</v>
      </c>
      <c r="AI305" s="122">
        <v>46089</v>
      </c>
      <c r="AJ305" s="123">
        <v>647.04999999999995</v>
      </c>
      <c r="AK305" s="125"/>
      <c r="AL305" s="126"/>
      <c r="AN305" s="51"/>
      <c r="AO305" s="52"/>
      <c r="AP305" s="52"/>
      <c r="AQ305" s="53"/>
      <c r="AS305" s="122">
        <v>46089</v>
      </c>
      <c r="AT305" s="123">
        <v>3540.55</v>
      </c>
      <c r="AU305" s="125"/>
      <c r="AV305" s="128"/>
      <c r="AX305" s="51"/>
      <c r="AY305" s="52"/>
      <c r="AZ305" s="52"/>
      <c r="BA305" s="53"/>
      <c r="BC305" s="122">
        <v>46089</v>
      </c>
      <c r="BD305" s="123">
        <v>1350</v>
      </c>
      <c r="BE305" s="125"/>
      <c r="BF305" s="128">
        <v>0</v>
      </c>
      <c r="BH305" s="240"/>
      <c r="BI305" s="52"/>
      <c r="BJ305" s="52"/>
      <c r="BK305" s="53">
        <f t="shared" si="201"/>
        <v>0</v>
      </c>
      <c r="BM305" s="122">
        <v>46089</v>
      </c>
      <c r="BN305" s="123">
        <v>36828.300000000003</v>
      </c>
      <c r="BO305" s="123">
        <v>0</v>
      </c>
      <c r="BP305" s="123">
        <v>0</v>
      </c>
      <c r="BQ305" s="125"/>
      <c r="BR305" s="125"/>
      <c r="BT305" s="240">
        <v>546.23153999999988</v>
      </c>
      <c r="BU305" s="53"/>
      <c r="BV305" s="53">
        <v>19.536051630000003</v>
      </c>
      <c r="BW305" s="53">
        <f t="shared" si="197"/>
        <v>565.76759162999986</v>
      </c>
      <c r="BY305" s="122">
        <v>46089</v>
      </c>
      <c r="BZ305" s="256">
        <v>565.36</v>
      </c>
      <c r="CA305" s="257">
        <v>0</v>
      </c>
      <c r="CB305" s="125"/>
      <c r="CC305" s="126"/>
      <c r="CE305" s="240"/>
      <c r="CF305" s="52"/>
      <c r="CG305" s="53"/>
      <c r="CH305" s="53">
        <f t="shared" si="202"/>
        <v>0</v>
      </c>
      <c r="CJ305" s="122">
        <v>46089</v>
      </c>
      <c r="CK305" s="123">
        <v>6053.14</v>
      </c>
      <c r="CL305" s="123">
        <v>1592.15</v>
      </c>
      <c r="CM305" s="125"/>
      <c r="CN305" s="126">
        <v>0</v>
      </c>
      <c r="CP305" s="240">
        <v>113.79527999999999</v>
      </c>
      <c r="CQ305" s="53"/>
      <c r="CR305" s="52"/>
      <c r="CS305" s="53">
        <f t="shared" si="203"/>
        <v>113.79527999999999</v>
      </c>
      <c r="CU305" s="122">
        <v>46089</v>
      </c>
      <c r="CV305" s="123">
        <v>5041.84</v>
      </c>
      <c r="CW305" s="269">
        <v>7719.64</v>
      </c>
      <c r="CX305" s="125"/>
      <c r="CY305" s="126">
        <v>13.99</v>
      </c>
      <c r="CZ305" s="27"/>
      <c r="DA305" s="240">
        <v>811.7999999999995</v>
      </c>
      <c r="DB305" s="435">
        <v>167.51741935483872</v>
      </c>
      <c r="DC305" s="53"/>
      <c r="DD305" s="52"/>
      <c r="DE305" s="53">
        <f t="shared" si="204"/>
        <v>993.3074193548382</v>
      </c>
      <c r="DH305" s="122">
        <v>46089</v>
      </c>
      <c r="DI305" s="123">
        <v>2754.77</v>
      </c>
      <c r="DJ305" s="127">
        <v>0</v>
      </c>
      <c r="DK305" s="127">
        <v>1097.98</v>
      </c>
      <c r="DL305" s="127"/>
      <c r="DM305" s="126">
        <v>0</v>
      </c>
      <c r="DO305" s="240"/>
      <c r="DP305" s="53"/>
      <c r="DQ305" s="52"/>
      <c r="DR305" s="53">
        <f t="shared" si="205"/>
        <v>0</v>
      </c>
      <c r="DT305" s="122">
        <v>46089</v>
      </c>
      <c r="DU305" s="123">
        <v>1426.83</v>
      </c>
      <c r="DV305" s="125">
        <v>1715.01</v>
      </c>
      <c r="DW305" s="127"/>
      <c r="DX305" s="126">
        <v>0</v>
      </c>
      <c r="DZ305" s="240"/>
      <c r="EA305" s="53"/>
      <c r="EB305" s="52"/>
      <c r="EC305" s="53">
        <f t="shared" si="206"/>
        <v>0</v>
      </c>
      <c r="EE305" s="122">
        <v>46089</v>
      </c>
      <c r="EF305" s="123">
        <v>855.97</v>
      </c>
      <c r="EG305" s="125">
        <v>844.5</v>
      </c>
      <c r="EH305" s="127"/>
      <c r="EI305" s="126">
        <v>259.51</v>
      </c>
      <c r="EK305" s="240">
        <v>150.79287999999988</v>
      </c>
      <c r="EL305" s="435">
        <v>167.51741935483872</v>
      </c>
      <c r="EM305" s="53"/>
      <c r="EN305" s="52"/>
      <c r="EO305" s="53">
        <f t="shared" si="207"/>
        <v>577.82029935483854</v>
      </c>
      <c r="EQ305" s="122">
        <v>46089</v>
      </c>
      <c r="ER305" s="123">
        <v>1458.93</v>
      </c>
      <c r="ES305" s="400">
        <v>0</v>
      </c>
      <c r="ET305" s="127"/>
      <c r="EU305" s="258">
        <v>109.87</v>
      </c>
      <c r="EW305" s="240"/>
      <c r="EX305" s="53"/>
      <c r="EY305" s="52"/>
      <c r="EZ305" s="53">
        <f t="shared" si="208"/>
        <v>109.87</v>
      </c>
      <c r="FB305" s="122">
        <v>46089</v>
      </c>
      <c r="FC305" s="123">
        <v>761.59</v>
      </c>
      <c r="FD305" s="123">
        <v>0</v>
      </c>
      <c r="FE305" s="125"/>
      <c r="FF305" s="126"/>
      <c r="FH305" s="51"/>
      <c r="FI305" s="52"/>
      <c r="FJ305" s="52"/>
      <c r="FK305" s="53"/>
    </row>
    <row r="306" spans="2:167" x14ac:dyDescent="0.25">
      <c r="B306" s="443">
        <v>46090</v>
      </c>
      <c r="C306" s="123">
        <v>28452.57</v>
      </c>
      <c r="D306" s="125"/>
      <c r="E306" s="125"/>
      <c r="F306" s="123">
        <v>0</v>
      </c>
      <c r="G306" s="27"/>
      <c r="H306" s="240">
        <v>26.54232</v>
      </c>
      <c r="I306" s="53"/>
      <c r="J306" s="52"/>
      <c r="K306" s="53">
        <f t="shared" si="198"/>
        <v>26.54232</v>
      </c>
      <c r="M306" s="122">
        <v>46090</v>
      </c>
      <c r="N306" s="126">
        <v>6074.3</v>
      </c>
      <c r="O306" s="125"/>
      <c r="P306" s="126">
        <v>145.84</v>
      </c>
      <c r="R306" s="240"/>
      <c r="S306" s="53"/>
      <c r="T306" s="52"/>
      <c r="U306" s="53">
        <f t="shared" si="199"/>
        <v>145.84</v>
      </c>
      <c r="W306" s="122">
        <v>46090</v>
      </c>
      <c r="X306" s="123">
        <v>2919.45</v>
      </c>
      <c r="Y306" s="123">
        <v>0</v>
      </c>
      <c r="Z306" s="125"/>
      <c r="AA306" s="273">
        <v>19.64</v>
      </c>
      <c r="AC306" s="240">
        <v>76.687679999999915</v>
      </c>
      <c r="AD306" s="53"/>
      <c r="AE306" s="52"/>
      <c r="AF306" s="53">
        <f t="shared" si="200"/>
        <v>96.327679999999916</v>
      </c>
      <c r="AI306" s="122">
        <v>46090</v>
      </c>
      <c r="AJ306" s="123">
        <v>1614.85</v>
      </c>
      <c r="AK306" s="125"/>
      <c r="AL306" s="126"/>
      <c r="AN306" s="51"/>
      <c r="AO306" s="52"/>
      <c r="AP306" s="52"/>
      <c r="AQ306" s="53"/>
      <c r="AS306" s="122">
        <v>46090</v>
      </c>
      <c r="AT306" s="123">
        <v>1833.83</v>
      </c>
      <c r="AU306" s="125"/>
      <c r="AV306" s="128"/>
      <c r="AX306" s="51"/>
      <c r="AY306" s="52"/>
      <c r="AZ306" s="52"/>
      <c r="BA306" s="53"/>
      <c r="BC306" s="122">
        <v>46090</v>
      </c>
      <c r="BD306" s="123">
        <v>1715.45</v>
      </c>
      <c r="BE306" s="125"/>
      <c r="BF306" s="128">
        <v>0</v>
      </c>
      <c r="BH306" s="240">
        <v>95.782559999999961</v>
      </c>
      <c r="BI306" s="52"/>
      <c r="BJ306" s="52"/>
      <c r="BK306" s="53">
        <f t="shared" si="201"/>
        <v>95.782559999999961</v>
      </c>
      <c r="BM306" s="122">
        <v>46090</v>
      </c>
      <c r="BN306" s="123">
        <v>63425.96</v>
      </c>
      <c r="BO306" s="123">
        <v>0</v>
      </c>
      <c r="BP306" s="123">
        <v>0</v>
      </c>
      <c r="BQ306" s="125"/>
      <c r="BR306" s="125"/>
      <c r="BT306" s="240">
        <v>390.52145999999993</v>
      </c>
      <c r="BU306" s="53">
        <v>177.31437036114272</v>
      </c>
      <c r="BV306" s="53"/>
      <c r="BW306" s="53">
        <f t="shared" si="197"/>
        <v>567.8358303611426</v>
      </c>
      <c r="BY306" s="122">
        <v>46090</v>
      </c>
      <c r="BZ306" s="256">
        <v>1527.04</v>
      </c>
      <c r="CA306" s="257">
        <v>0</v>
      </c>
      <c r="CB306" s="125"/>
      <c r="CC306" s="126"/>
      <c r="CE306" s="240">
        <v>27.134819999999991</v>
      </c>
      <c r="CF306" s="52"/>
      <c r="CG306" s="53"/>
      <c r="CH306" s="53">
        <f t="shared" si="202"/>
        <v>27.134819999999991</v>
      </c>
      <c r="CJ306" s="122">
        <v>46090</v>
      </c>
      <c r="CK306" s="123">
        <v>9925.0499999999993</v>
      </c>
      <c r="CL306" s="123">
        <v>0</v>
      </c>
      <c r="CM306" s="125"/>
      <c r="CN306" s="126">
        <v>30.92</v>
      </c>
      <c r="CP306" s="240">
        <v>133.28045999999995</v>
      </c>
      <c r="CQ306" s="53">
        <v>34.292172354285675</v>
      </c>
      <c r="CR306" s="52"/>
      <c r="CS306" s="53">
        <f t="shared" si="203"/>
        <v>198.49263235428563</v>
      </c>
      <c r="CU306" s="122">
        <v>46090</v>
      </c>
      <c r="CV306" s="123">
        <v>14663.94</v>
      </c>
      <c r="CW306" s="126">
        <v>0</v>
      </c>
      <c r="CX306" s="125"/>
      <c r="CY306" s="128">
        <v>98.1</v>
      </c>
      <c r="CZ306" s="27"/>
      <c r="DA306" s="240"/>
      <c r="DB306" s="435">
        <v>167.51741935483872</v>
      </c>
      <c r="DC306" s="53"/>
      <c r="DD306" s="52"/>
      <c r="DE306" s="53">
        <f t="shared" si="204"/>
        <v>265.61741935483872</v>
      </c>
      <c r="DH306" s="122">
        <v>46090</v>
      </c>
      <c r="DI306" s="123">
        <v>4765.22</v>
      </c>
      <c r="DJ306" s="127">
        <v>0</v>
      </c>
      <c r="DK306" s="127">
        <v>1385.46</v>
      </c>
      <c r="DL306" s="127"/>
      <c r="DM306" s="126">
        <v>0</v>
      </c>
      <c r="DO306" s="240">
        <v>90.253799999999984</v>
      </c>
      <c r="DP306" s="53"/>
      <c r="DQ306" s="52"/>
      <c r="DR306" s="53">
        <f t="shared" si="205"/>
        <v>90.253799999999984</v>
      </c>
      <c r="DT306" s="122">
        <v>46090</v>
      </c>
      <c r="DU306" s="123">
        <v>2673.81</v>
      </c>
      <c r="DV306" s="125">
        <v>0</v>
      </c>
      <c r="DW306" s="127"/>
      <c r="DX306" s="126">
        <v>32.799999999999997</v>
      </c>
      <c r="DZ306" s="240"/>
      <c r="EA306" s="53">
        <v>24.024049771428572</v>
      </c>
      <c r="EB306" s="52"/>
      <c r="EC306" s="53">
        <f t="shared" si="206"/>
        <v>56.824049771428569</v>
      </c>
      <c r="EE306" s="122">
        <v>46090</v>
      </c>
      <c r="EF306" s="123">
        <v>1008.61</v>
      </c>
      <c r="EG306" s="125">
        <v>1062.8800000000001</v>
      </c>
      <c r="EH306" s="127"/>
      <c r="EI306" s="126">
        <v>36.64</v>
      </c>
      <c r="EK306" s="240">
        <v>717.46595999999943</v>
      </c>
      <c r="EL306" s="435">
        <v>167.51741935483872</v>
      </c>
      <c r="EM306" s="53">
        <v>45.595026285714283</v>
      </c>
      <c r="EN306" s="52"/>
      <c r="EO306" s="53">
        <f t="shared" si="207"/>
        <v>967.21840564055242</v>
      </c>
      <c r="EQ306" s="122">
        <v>46090</v>
      </c>
      <c r="ER306" s="123">
        <v>1332.63</v>
      </c>
      <c r="ES306" s="400">
        <v>0</v>
      </c>
      <c r="ET306" s="127"/>
      <c r="EU306" s="258">
        <v>692.63</v>
      </c>
      <c r="EW306" s="240"/>
      <c r="EX306" s="53">
        <v>364.61754709714296</v>
      </c>
      <c r="EY306" s="52"/>
      <c r="EZ306" s="53">
        <f t="shared" si="208"/>
        <v>1057.2475470971431</v>
      </c>
      <c r="FB306" s="122">
        <v>46090</v>
      </c>
      <c r="FC306" s="123">
        <v>1716.73</v>
      </c>
      <c r="FD306" s="123">
        <v>0</v>
      </c>
      <c r="FE306" s="125"/>
      <c r="FF306" s="126"/>
      <c r="FH306" s="51"/>
      <c r="FI306" s="52"/>
      <c r="FJ306" s="52"/>
      <c r="FK306" s="53"/>
    </row>
    <row r="307" spans="2:167" x14ac:dyDescent="0.25">
      <c r="B307" s="443">
        <v>46091</v>
      </c>
      <c r="C307" s="123">
        <v>19369.59</v>
      </c>
      <c r="D307" s="125"/>
      <c r="E307" s="125"/>
      <c r="F307" s="123">
        <v>0</v>
      </c>
      <c r="G307" s="27"/>
      <c r="H307" s="240">
        <v>81.247659999999996</v>
      </c>
      <c r="I307" s="53"/>
      <c r="J307" s="52"/>
      <c r="K307" s="53">
        <f t="shared" si="198"/>
        <v>81.247659999999996</v>
      </c>
      <c r="M307" s="122">
        <v>46091</v>
      </c>
      <c r="N307" s="123">
        <v>4882.6000000000004</v>
      </c>
      <c r="O307" s="125"/>
      <c r="P307" s="126">
        <v>249.57</v>
      </c>
      <c r="R307" s="240"/>
      <c r="S307" s="53"/>
      <c r="T307" s="52"/>
      <c r="U307" s="53">
        <f t="shared" si="199"/>
        <v>249.57</v>
      </c>
      <c r="W307" s="122">
        <v>46091</v>
      </c>
      <c r="X307" s="123">
        <v>2139.83</v>
      </c>
      <c r="Y307" s="123">
        <v>0</v>
      </c>
      <c r="Z307" s="125"/>
      <c r="AA307" s="273">
        <v>6.84</v>
      </c>
      <c r="AC307" s="240"/>
      <c r="AD307" s="53"/>
      <c r="AE307" s="52"/>
      <c r="AF307" s="53">
        <f t="shared" si="200"/>
        <v>6.84</v>
      </c>
      <c r="AI307" s="122">
        <v>46091</v>
      </c>
      <c r="AJ307" s="123">
        <v>305.02999999999997</v>
      </c>
      <c r="AK307" s="125"/>
      <c r="AL307" s="126"/>
      <c r="AN307" s="51"/>
      <c r="AO307" s="52"/>
      <c r="AP307" s="52"/>
      <c r="AQ307" s="53"/>
      <c r="AS307" s="122">
        <v>46091</v>
      </c>
      <c r="AT307" s="123">
        <v>3612.36</v>
      </c>
      <c r="AU307" s="125"/>
      <c r="AV307" s="128"/>
      <c r="AX307" s="51"/>
      <c r="AY307" s="52"/>
      <c r="AZ307" s="52"/>
      <c r="BA307" s="53"/>
      <c r="BC307" s="122">
        <v>46091</v>
      </c>
      <c r="BD307" s="123">
        <v>1739.77</v>
      </c>
      <c r="BE307" s="125"/>
      <c r="BF307" s="128">
        <v>0</v>
      </c>
      <c r="BH307" s="240">
        <v>47.412399999999977</v>
      </c>
      <c r="BI307" s="52"/>
      <c r="BJ307" s="52"/>
      <c r="BK307" s="53">
        <f t="shared" si="201"/>
        <v>47.412399999999977</v>
      </c>
      <c r="BM307" s="122">
        <v>46091</v>
      </c>
      <c r="BN307" s="123">
        <v>52925.18</v>
      </c>
      <c r="BO307" s="123">
        <v>0</v>
      </c>
      <c r="BP307" s="123">
        <v>0</v>
      </c>
      <c r="BQ307" s="125"/>
      <c r="BR307" s="125"/>
      <c r="BT307" s="240">
        <v>272.40546999999987</v>
      </c>
      <c r="BU307" s="53"/>
      <c r="BV307" s="53"/>
      <c r="BW307" s="53">
        <f t="shared" si="197"/>
        <v>272.40546999999987</v>
      </c>
      <c r="BY307" s="122">
        <v>46091</v>
      </c>
      <c r="BZ307" s="256">
        <v>1820.58</v>
      </c>
      <c r="CA307" s="257">
        <v>0</v>
      </c>
      <c r="CB307" s="125"/>
      <c r="CC307" s="126"/>
      <c r="CE307" s="240"/>
      <c r="CF307" s="52"/>
      <c r="CG307" s="53"/>
      <c r="CH307" s="53">
        <f t="shared" si="202"/>
        <v>0</v>
      </c>
      <c r="CJ307" s="122">
        <v>46091</v>
      </c>
      <c r="CK307" s="123">
        <v>12218.38</v>
      </c>
      <c r="CL307" s="123">
        <v>0</v>
      </c>
      <c r="CM307" s="125"/>
      <c r="CN307" s="126">
        <v>10.81</v>
      </c>
      <c r="CP307" s="240">
        <v>575.10686999999996</v>
      </c>
      <c r="CQ307" s="53"/>
      <c r="CR307" s="52"/>
      <c r="CS307" s="53">
        <f t="shared" si="203"/>
        <v>585.9168699999999</v>
      </c>
      <c r="CU307" s="122">
        <v>46091</v>
      </c>
      <c r="CV307" s="123">
        <v>12037.86</v>
      </c>
      <c r="CW307" s="269">
        <v>8439.92</v>
      </c>
      <c r="CX307" s="125"/>
      <c r="CY307" s="128">
        <v>33</v>
      </c>
      <c r="CZ307" s="27"/>
      <c r="DA307" s="240"/>
      <c r="DB307" s="435">
        <v>167.51741935483872</v>
      </c>
      <c r="DC307" s="53"/>
      <c r="DD307" s="52"/>
      <c r="DE307" s="53">
        <f t="shared" si="204"/>
        <v>200.51741935483872</v>
      </c>
      <c r="DH307" s="122">
        <v>46091</v>
      </c>
      <c r="DI307" s="123">
        <v>2975.96</v>
      </c>
      <c r="DJ307" s="127">
        <v>0</v>
      </c>
      <c r="DK307" s="127">
        <v>1077.56</v>
      </c>
      <c r="DL307" s="127"/>
      <c r="DM307" s="126">
        <v>0</v>
      </c>
      <c r="DO307" s="240"/>
      <c r="DP307" s="53"/>
      <c r="DQ307" s="52"/>
      <c r="DR307" s="53">
        <f t="shared" si="205"/>
        <v>0</v>
      </c>
      <c r="DT307" s="122">
        <v>46091</v>
      </c>
      <c r="DU307" s="123">
        <v>3328.71</v>
      </c>
      <c r="DV307" s="125">
        <v>0</v>
      </c>
      <c r="DW307" s="127"/>
      <c r="DX307" s="126">
        <v>25.37</v>
      </c>
      <c r="DZ307" s="240"/>
      <c r="EA307" s="53"/>
      <c r="EB307" s="52"/>
      <c r="EC307" s="53">
        <f t="shared" si="206"/>
        <v>25.37</v>
      </c>
      <c r="EE307" s="122">
        <v>46091</v>
      </c>
      <c r="EF307" s="123">
        <v>529</v>
      </c>
      <c r="EG307" s="125">
        <v>869.89</v>
      </c>
      <c r="EH307" s="127"/>
      <c r="EI307" s="126">
        <v>130.30000000000001</v>
      </c>
      <c r="EK307" s="240">
        <v>279.01679999999976</v>
      </c>
      <c r="EL307" s="435">
        <v>167.51741935483872</v>
      </c>
      <c r="EM307" s="53">
        <v>149.09521762666645</v>
      </c>
      <c r="EN307" s="52"/>
      <c r="EO307" s="53">
        <f t="shared" si="207"/>
        <v>725.92943698150498</v>
      </c>
      <c r="EQ307" s="122">
        <v>46091</v>
      </c>
      <c r="ER307" s="123">
        <v>2183.6</v>
      </c>
      <c r="ES307" s="400">
        <v>0</v>
      </c>
      <c r="ET307" s="127"/>
      <c r="EU307" s="258">
        <v>70.55</v>
      </c>
      <c r="EW307" s="240"/>
      <c r="EX307" s="53"/>
      <c r="EY307" s="52"/>
      <c r="EZ307" s="53">
        <f t="shared" si="208"/>
        <v>70.55</v>
      </c>
      <c r="FB307" s="122">
        <v>46091</v>
      </c>
      <c r="FC307" s="123">
        <v>1118.8599999999999</v>
      </c>
      <c r="FD307" s="123">
        <v>0</v>
      </c>
      <c r="FE307" s="125"/>
      <c r="FF307" s="126"/>
      <c r="FH307" s="51"/>
      <c r="FI307" s="52"/>
      <c r="FJ307" s="52"/>
      <c r="FK307" s="53"/>
    </row>
    <row r="308" spans="2:167" x14ac:dyDescent="0.25">
      <c r="B308" s="443">
        <v>46092</v>
      </c>
      <c r="C308" s="123">
        <v>18123.439999999999</v>
      </c>
      <c r="D308" s="126"/>
      <c r="E308" s="125"/>
      <c r="F308" s="126">
        <v>0</v>
      </c>
      <c r="G308" s="27"/>
      <c r="H308" s="240">
        <v>117.28883999999999</v>
      </c>
      <c r="I308" s="53"/>
      <c r="J308" s="52"/>
      <c r="K308" s="53">
        <f t="shared" si="198"/>
        <v>117.28883999999999</v>
      </c>
      <c r="M308" s="122">
        <v>46092</v>
      </c>
      <c r="N308" s="123">
        <v>6189.99</v>
      </c>
      <c r="O308" s="125"/>
      <c r="P308" s="126">
        <v>163.58000000000001</v>
      </c>
      <c r="R308" s="240"/>
      <c r="S308" s="53"/>
      <c r="T308" s="52"/>
      <c r="U308" s="53">
        <f t="shared" si="199"/>
        <v>163.58000000000001</v>
      </c>
      <c r="W308" s="122">
        <v>46092</v>
      </c>
      <c r="X308" s="123">
        <v>2252.16</v>
      </c>
      <c r="Y308" s="123">
        <v>0</v>
      </c>
      <c r="Z308" s="125"/>
      <c r="AA308" s="273">
        <v>5.39</v>
      </c>
      <c r="AC308" s="240"/>
      <c r="AD308" s="53"/>
      <c r="AE308" s="52"/>
      <c r="AF308" s="53">
        <f t="shared" si="200"/>
        <v>5.39</v>
      </c>
      <c r="AI308" s="122">
        <v>46092</v>
      </c>
      <c r="AJ308" s="123">
        <v>1873.83</v>
      </c>
      <c r="AK308" s="125"/>
      <c r="AL308" s="126"/>
      <c r="AN308" s="51"/>
      <c r="AO308" s="52"/>
      <c r="AP308" s="52"/>
      <c r="AQ308" s="53"/>
      <c r="AS308" s="122">
        <v>46092</v>
      </c>
      <c r="AT308" s="123">
        <v>2345.56</v>
      </c>
      <c r="AU308" s="125"/>
      <c r="AV308" s="128"/>
      <c r="AX308" s="51"/>
      <c r="AY308" s="52"/>
      <c r="AZ308" s="52"/>
      <c r="BA308" s="53"/>
      <c r="BC308" s="122">
        <v>46092</v>
      </c>
      <c r="BD308" s="123">
        <v>784.29</v>
      </c>
      <c r="BE308" s="125"/>
      <c r="BF308" s="128">
        <v>0</v>
      </c>
      <c r="BH308" s="240">
        <v>55.368319999999983</v>
      </c>
      <c r="BI308" s="52"/>
      <c r="BJ308" s="52"/>
      <c r="BK308" s="53">
        <f t="shared" si="201"/>
        <v>55.368319999999983</v>
      </c>
      <c r="BM308" s="122">
        <v>46092</v>
      </c>
      <c r="BN308" s="123">
        <v>15451.72</v>
      </c>
      <c r="BO308" s="123">
        <v>3000.34</v>
      </c>
      <c r="BP308" s="123">
        <v>0</v>
      </c>
      <c r="BQ308" s="125"/>
      <c r="BR308" s="125"/>
      <c r="BT308" s="240">
        <v>88.112449999999939</v>
      </c>
      <c r="BU308" s="53">
        <v>145.48243062000006</v>
      </c>
      <c r="BV308" s="53"/>
      <c r="BW308" s="53">
        <f t="shared" si="197"/>
        <v>233.59488062</v>
      </c>
      <c r="BY308" s="122">
        <v>46092</v>
      </c>
      <c r="BZ308" s="256">
        <v>1512.01</v>
      </c>
      <c r="CA308" s="257">
        <v>0</v>
      </c>
      <c r="CB308" s="125"/>
      <c r="CC308" s="126"/>
      <c r="CE308" s="240"/>
      <c r="CF308" s="52">
        <v>257.63471422999987</v>
      </c>
      <c r="CG308" s="53"/>
      <c r="CH308" s="53">
        <f t="shared" si="202"/>
        <v>257.63471422999987</v>
      </c>
      <c r="CJ308" s="122">
        <v>46092</v>
      </c>
      <c r="CK308" s="123">
        <v>8635.49</v>
      </c>
      <c r="CL308" s="123">
        <v>0</v>
      </c>
      <c r="CM308" s="125"/>
      <c r="CN308" s="126">
        <v>55.11</v>
      </c>
      <c r="CP308" s="240">
        <v>250.6076099999998</v>
      </c>
      <c r="CQ308" s="53"/>
      <c r="CR308" s="52"/>
      <c r="CS308" s="53">
        <f t="shared" si="203"/>
        <v>305.71760999999981</v>
      </c>
      <c r="CU308" s="122">
        <v>46092</v>
      </c>
      <c r="CV308" s="123">
        <v>6627.85</v>
      </c>
      <c r="CW308" s="269">
        <v>13501.7</v>
      </c>
      <c r="CX308" s="125"/>
      <c r="CY308" s="128">
        <v>33.57</v>
      </c>
      <c r="CZ308" s="27"/>
      <c r="DA308" s="240">
        <v>743.39999999999941</v>
      </c>
      <c r="DB308" s="435">
        <v>167.51741935483872</v>
      </c>
      <c r="DC308" s="53"/>
      <c r="DD308" s="52"/>
      <c r="DE308" s="53">
        <f t="shared" si="204"/>
        <v>944.48741935483815</v>
      </c>
      <c r="DH308" s="122">
        <v>46092</v>
      </c>
      <c r="DI308" s="123">
        <v>2697.52</v>
      </c>
      <c r="DJ308" s="127">
        <v>0</v>
      </c>
      <c r="DK308" s="127">
        <v>1315.54</v>
      </c>
      <c r="DL308" s="127"/>
      <c r="DM308" s="126">
        <v>7.37</v>
      </c>
      <c r="DO308" s="240">
        <v>64.14922999999996</v>
      </c>
      <c r="DP308" s="53"/>
      <c r="DQ308" s="52"/>
      <c r="DR308" s="53">
        <f t="shared" si="205"/>
        <v>71.519229999999965</v>
      </c>
      <c r="DT308" s="122">
        <v>46092</v>
      </c>
      <c r="DU308" s="123">
        <v>3681.79</v>
      </c>
      <c r="DV308" s="125">
        <v>0</v>
      </c>
      <c r="DW308" s="127"/>
      <c r="DX308" s="126">
        <v>25.99</v>
      </c>
      <c r="DZ308" s="240"/>
      <c r="EA308" s="53"/>
      <c r="EB308" s="52"/>
      <c r="EC308" s="53">
        <f t="shared" si="206"/>
        <v>25.99</v>
      </c>
      <c r="EE308" s="122">
        <v>46092</v>
      </c>
      <c r="EF308" s="123">
        <v>928.87</v>
      </c>
      <c r="EG308" s="125">
        <v>1189.26</v>
      </c>
      <c r="EH308" s="127"/>
      <c r="EI308" s="126">
        <v>133.94999999999999</v>
      </c>
      <c r="EK308" s="240">
        <v>626.72893999999962</v>
      </c>
      <c r="EL308" s="435">
        <v>167.51741935483872</v>
      </c>
      <c r="EM308" s="53">
        <v>305.2910313499998</v>
      </c>
      <c r="EN308" s="52"/>
      <c r="EO308" s="53">
        <f t="shared" si="207"/>
        <v>1233.4873907048382</v>
      </c>
      <c r="EQ308" s="122">
        <v>46092</v>
      </c>
      <c r="ER308" s="123">
        <v>2466.4699999999998</v>
      </c>
      <c r="ES308" s="400">
        <v>0</v>
      </c>
      <c r="ET308" s="127"/>
      <c r="EU308" s="258">
        <v>74.3</v>
      </c>
      <c r="EW308" s="240"/>
      <c r="EX308" s="53"/>
      <c r="EY308" s="52"/>
      <c r="EZ308" s="53">
        <f t="shared" si="208"/>
        <v>74.3</v>
      </c>
      <c r="FB308" s="122">
        <v>46092</v>
      </c>
      <c r="FC308" s="123">
        <v>454.58</v>
      </c>
      <c r="FD308" s="123">
        <v>0</v>
      </c>
      <c r="FE308" s="125"/>
      <c r="FF308" s="126"/>
      <c r="FH308" s="51"/>
      <c r="FI308" s="52"/>
      <c r="FJ308" s="52"/>
      <c r="FK308" s="53"/>
    </row>
    <row r="309" spans="2:167" x14ac:dyDescent="0.25">
      <c r="B309" s="443">
        <v>46093</v>
      </c>
      <c r="C309" s="123">
        <v>16869.79</v>
      </c>
      <c r="D309" s="125"/>
      <c r="E309" s="125"/>
      <c r="F309" s="123">
        <v>0</v>
      </c>
      <c r="G309" s="27"/>
      <c r="H309" s="240">
        <v>34.299999999999983</v>
      </c>
      <c r="I309" s="53">
        <v>145.62554499733332</v>
      </c>
      <c r="J309" s="52"/>
      <c r="K309" s="53">
        <f t="shared" si="198"/>
        <v>179.9255449973333</v>
      </c>
      <c r="M309" s="122">
        <v>46093</v>
      </c>
      <c r="N309" s="123">
        <v>4290.93</v>
      </c>
      <c r="O309" s="125"/>
      <c r="P309" s="126">
        <v>207.01</v>
      </c>
      <c r="R309" s="240"/>
      <c r="S309" s="53"/>
      <c r="T309" s="52"/>
      <c r="U309" s="53">
        <f t="shared" si="199"/>
        <v>207.01</v>
      </c>
      <c r="W309" s="122">
        <v>46093</v>
      </c>
      <c r="X309" s="123">
        <v>3574.33</v>
      </c>
      <c r="Y309" s="123">
        <v>0</v>
      </c>
      <c r="Z309" s="125"/>
      <c r="AA309" s="273">
        <v>13.52</v>
      </c>
      <c r="AC309" s="240">
        <v>277.30295999999942</v>
      </c>
      <c r="AD309" s="53"/>
      <c r="AE309" s="52"/>
      <c r="AF309" s="53">
        <f t="shared" si="200"/>
        <v>290.8229599999994</v>
      </c>
      <c r="AI309" s="122">
        <v>46093</v>
      </c>
      <c r="AJ309" s="123">
        <v>2108.25</v>
      </c>
      <c r="AK309" s="125"/>
      <c r="AL309" s="126"/>
      <c r="AN309" s="51"/>
      <c r="AO309" s="52"/>
      <c r="AP309" s="52"/>
      <c r="AQ309" s="53"/>
      <c r="AS309" s="122">
        <v>46093</v>
      </c>
      <c r="AT309" s="123">
        <v>3472.66</v>
      </c>
      <c r="AU309" s="125"/>
      <c r="AV309" s="128"/>
      <c r="AX309" s="51"/>
      <c r="AY309" s="52"/>
      <c r="AZ309" s="52"/>
      <c r="BA309" s="53"/>
      <c r="BC309" s="122">
        <v>46093</v>
      </c>
      <c r="BD309" s="123">
        <v>5437.38</v>
      </c>
      <c r="BE309" s="125"/>
      <c r="BF309" s="128">
        <v>0</v>
      </c>
      <c r="BH309" s="240">
        <v>238.83551999999983</v>
      </c>
      <c r="BI309" s="52"/>
      <c r="BJ309" s="52"/>
      <c r="BK309" s="53">
        <f t="shared" si="201"/>
        <v>238.83551999999983</v>
      </c>
      <c r="BM309" s="122">
        <v>46093</v>
      </c>
      <c r="BN309" s="123">
        <v>16656.560000000001</v>
      </c>
      <c r="BO309" s="123">
        <v>20805.64</v>
      </c>
      <c r="BP309" s="123">
        <v>0</v>
      </c>
      <c r="BQ309" s="125"/>
      <c r="BR309" s="125"/>
      <c r="BT309" s="240">
        <v>105.78209999999996</v>
      </c>
      <c r="BU309" s="53"/>
      <c r="BV309" s="53"/>
      <c r="BW309" s="53">
        <f t="shared" si="197"/>
        <v>105.78209999999996</v>
      </c>
      <c r="BY309" s="122">
        <v>46093</v>
      </c>
      <c r="BZ309" s="256">
        <v>214.52</v>
      </c>
      <c r="CA309" s="257">
        <v>0</v>
      </c>
      <c r="CB309" s="125"/>
      <c r="CC309" s="126"/>
      <c r="CE309" s="240"/>
      <c r="CF309" s="52"/>
      <c r="CG309" s="53"/>
      <c r="CH309" s="53">
        <f t="shared" si="202"/>
        <v>0</v>
      </c>
      <c r="CJ309" s="122">
        <v>46093</v>
      </c>
      <c r="CK309" s="123">
        <v>4793.92</v>
      </c>
      <c r="CL309" s="123">
        <v>0</v>
      </c>
      <c r="CM309" s="125"/>
      <c r="CN309" s="126">
        <v>0</v>
      </c>
      <c r="CP309" s="240">
        <v>107.09839999999993</v>
      </c>
      <c r="CQ309" s="53">
        <v>56.504378486666646</v>
      </c>
      <c r="CR309" s="52"/>
      <c r="CS309" s="53">
        <f t="shared" si="203"/>
        <v>163.60277848666658</v>
      </c>
      <c r="CU309" s="122">
        <v>46093</v>
      </c>
      <c r="CV309" s="123">
        <v>14358.64</v>
      </c>
      <c r="CW309" s="269">
        <v>4260.93</v>
      </c>
      <c r="CX309" s="125"/>
      <c r="CY309" s="128">
        <v>73.64</v>
      </c>
      <c r="CZ309" s="27"/>
      <c r="DA309" s="240">
        <v>1177.0499999999995</v>
      </c>
      <c r="DB309" s="435">
        <v>167.51741935483872</v>
      </c>
      <c r="DC309" s="53"/>
      <c r="DD309" s="52"/>
      <c r="DE309" s="53">
        <f t="shared" si="204"/>
        <v>1418.2074193548383</v>
      </c>
      <c r="DH309" s="122">
        <v>46093</v>
      </c>
      <c r="DI309" s="123">
        <v>2509.63</v>
      </c>
      <c r="DJ309" s="127">
        <v>0</v>
      </c>
      <c r="DK309" s="127">
        <v>1346.03</v>
      </c>
      <c r="DL309" s="127"/>
      <c r="DM309" s="126">
        <v>0</v>
      </c>
      <c r="DO309" s="240">
        <v>21.639999999999997</v>
      </c>
      <c r="DP309" s="53"/>
      <c r="DQ309" s="52"/>
      <c r="DR309" s="53">
        <f t="shared" si="205"/>
        <v>21.639999999999997</v>
      </c>
      <c r="DT309" s="122">
        <v>46093</v>
      </c>
      <c r="DU309" s="123">
        <v>2657.45</v>
      </c>
      <c r="DV309" s="125">
        <v>0</v>
      </c>
      <c r="DW309" s="127"/>
      <c r="DX309" s="126">
        <v>43.42</v>
      </c>
      <c r="DZ309" s="240"/>
      <c r="EA309" s="53"/>
      <c r="EB309" s="52"/>
      <c r="EC309" s="53">
        <f t="shared" si="206"/>
        <v>43.42</v>
      </c>
      <c r="EE309" s="122">
        <v>46093</v>
      </c>
      <c r="EF309" s="123">
        <v>1127.03</v>
      </c>
      <c r="EG309" s="125">
        <v>144.05000000000001</v>
      </c>
      <c r="EH309" s="127"/>
      <c r="EI309" s="126">
        <v>0</v>
      </c>
      <c r="EK309" s="240">
        <v>602.83027999999945</v>
      </c>
      <c r="EL309" s="435">
        <v>167.51741935483872</v>
      </c>
      <c r="EM309" s="53">
        <v>416.35895859333323</v>
      </c>
      <c r="EN309" s="52"/>
      <c r="EO309" s="53">
        <f t="shared" si="207"/>
        <v>1186.7066579481714</v>
      </c>
      <c r="EQ309" s="122">
        <v>46093</v>
      </c>
      <c r="ER309" s="123">
        <v>3300.71</v>
      </c>
      <c r="ES309" s="400">
        <v>0</v>
      </c>
      <c r="ET309" s="127"/>
      <c r="EU309" s="258">
        <v>124.84</v>
      </c>
      <c r="EW309" s="240">
        <v>217.63071999999988</v>
      </c>
      <c r="EX309" s="53"/>
      <c r="EY309" s="52"/>
      <c r="EZ309" s="53">
        <f t="shared" si="208"/>
        <v>342.47071999999991</v>
      </c>
      <c r="FB309" s="122">
        <v>46093</v>
      </c>
      <c r="FC309" s="123">
        <v>640.27</v>
      </c>
      <c r="FD309" s="123">
        <v>0</v>
      </c>
      <c r="FE309" s="125"/>
      <c r="FF309" s="126"/>
      <c r="FH309" s="51"/>
      <c r="FI309" s="52"/>
      <c r="FJ309" s="52"/>
      <c r="FK309" s="53"/>
    </row>
    <row r="310" spans="2:167" x14ac:dyDescent="0.25">
      <c r="B310" s="443">
        <v>46094</v>
      </c>
      <c r="C310" s="123">
        <v>17775.23</v>
      </c>
      <c r="D310" s="125"/>
      <c r="E310" s="125"/>
      <c r="F310" s="123">
        <v>0</v>
      </c>
      <c r="G310" s="27"/>
      <c r="H310" s="240">
        <v>175.68653999999998</v>
      </c>
      <c r="I310" s="53"/>
      <c r="J310" s="52"/>
      <c r="K310" s="53">
        <f t="shared" si="198"/>
        <v>175.68653999999998</v>
      </c>
      <c r="M310" s="122">
        <v>46094</v>
      </c>
      <c r="N310" s="123">
        <v>1564.41</v>
      </c>
      <c r="O310" s="125"/>
      <c r="P310" s="126">
        <v>64.989999999999995</v>
      </c>
      <c r="R310" s="240"/>
      <c r="S310" s="53"/>
      <c r="T310" s="52"/>
      <c r="U310" s="53">
        <f t="shared" si="199"/>
        <v>64.989999999999995</v>
      </c>
      <c r="W310" s="122">
        <v>46094</v>
      </c>
      <c r="X310" s="123">
        <v>2193.9</v>
      </c>
      <c r="Y310" s="123">
        <v>0</v>
      </c>
      <c r="Z310" s="125"/>
      <c r="AA310" s="273">
        <v>0</v>
      </c>
      <c r="AC310" s="240">
        <v>83.781389999999931</v>
      </c>
      <c r="AD310" s="53">
        <v>31.797572863333301</v>
      </c>
      <c r="AE310" s="52"/>
      <c r="AF310" s="53">
        <f t="shared" si="200"/>
        <v>115.57896286333323</v>
      </c>
      <c r="AI310" s="122">
        <v>46094</v>
      </c>
      <c r="AJ310" s="123">
        <v>3046.29</v>
      </c>
      <c r="AK310" s="125"/>
      <c r="AL310" s="126"/>
      <c r="AN310" s="51"/>
      <c r="AO310" s="52"/>
      <c r="AP310" s="52"/>
      <c r="AQ310" s="53"/>
      <c r="AS310" s="122">
        <v>46094</v>
      </c>
      <c r="AT310" s="123">
        <v>3817.29</v>
      </c>
      <c r="AU310" s="125"/>
      <c r="AV310" s="128"/>
      <c r="AX310" s="51"/>
      <c r="AY310" s="52"/>
      <c r="AZ310" s="52"/>
      <c r="BA310" s="53"/>
      <c r="BC310" s="122">
        <v>46094</v>
      </c>
      <c r="BD310" s="123">
        <v>1414.98</v>
      </c>
      <c r="BE310" s="125"/>
      <c r="BF310" s="128">
        <v>0</v>
      </c>
      <c r="BH310" s="240">
        <v>446.15116999999947</v>
      </c>
      <c r="BI310" s="52"/>
      <c r="BJ310" s="52"/>
      <c r="BK310" s="53">
        <f t="shared" si="201"/>
        <v>446.15116999999947</v>
      </c>
      <c r="BM310" s="122">
        <v>46094</v>
      </c>
      <c r="BN310" s="123">
        <v>15929.95</v>
      </c>
      <c r="BO310" s="123">
        <v>0</v>
      </c>
      <c r="BP310" s="123">
        <v>7774.36</v>
      </c>
      <c r="BQ310" s="125"/>
      <c r="BR310" s="125"/>
      <c r="BT310" s="240">
        <v>316.26809999999989</v>
      </c>
      <c r="BU310" s="53">
        <f>1626.87172666667-51.28</f>
        <v>1575.59172666667</v>
      </c>
      <c r="BV310" s="53">
        <v>20.539962699999997</v>
      </c>
      <c r="BW310" s="53">
        <f t="shared" si="197"/>
        <v>1912.3997893666699</v>
      </c>
      <c r="BY310" s="122">
        <v>46094</v>
      </c>
      <c r="BZ310" s="256">
        <v>717.96</v>
      </c>
      <c r="CA310" s="257">
        <v>0</v>
      </c>
      <c r="CB310" s="125"/>
      <c r="CC310" s="126"/>
      <c r="CE310" s="240"/>
      <c r="CF310" s="52"/>
      <c r="CG310" s="53"/>
      <c r="CH310" s="53">
        <f t="shared" si="202"/>
        <v>0</v>
      </c>
      <c r="CJ310" s="122">
        <v>46094</v>
      </c>
      <c r="CK310" s="123">
        <v>6810.19</v>
      </c>
      <c r="CL310" s="123">
        <v>2641.66</v>
      </c>
      <c r="CM310" s="125"/>
      <c r="CN310" s="126">
        <v>0</v>
      </c>
      <c r="CP310" s="240">
        <v>117.57157999999983</v>
      </c>
      <c r="CQ310" s="53">
        <v>23.561829413333328</v>
      </c>
      <c r="CR310" s="52"/>
      <c r="CS310" s="53">
        <f t="shared" si="203"/>
        <v>141.13340941333314</v>
      </c>
      <c r="CU310" s="122">
        <v>46094</v>
      </c>
      <c r="CV310" s="123">
        <v>13915.19</v>
      </c>
      <c r="CW310" s="269">
        <v>159.69</v>
      </c>
      <c r="CX310" s="125"/>
      <c r="CY310" s="128">
        <v>65.45</v>
      </c>
      <c r="CZ310" s="27"/>
      <c r="DA310" s="240">
        <v>4774.0322899999956</v>
      </c>
      <c r="DB310" s="435">
        <v>167.51741935483872</v>
      </c>
      <c r="DC310" s="53"/>
      <c r="DD310" s="52"/>
      <c r="DE310" s="53">
        <f t="shared" si="204"/>
        <v>5006.9997093548345</v>
      </c>
      <c r="DH310" s="122">
        <v>46094</v>
      </c>
      <c r="DI310" s="123">
        <v>2611.94</v>
      </c>
      <c r="DJ310" s="127">
        <v>0</v>
      </c>
      <c r="DK310" s="127">
        <v>1346.05</v>
      </c>
      <c r="DL310" s="127"/>
      <c r="DM310" s="126">
        <v>0</v>
      </c>
      <c r="DO310" s="240">
        <v>38.318309999999997</v>
      </c>
      <c r="DP310" s="53"/>
      <c r="DQ310" s="52"/>
      <c r="DR310" s="53">
        <f t="shared" si="205"/>
        <v>38.318309999999997</v>
      </c>
      <c r="DT310" s="122">
        <v>46094</v>
      </c>
      <c r="DU310" s="123">
        <v>1035.8399999999999</v>
      </c>
      <c r="DV310" s="125">
        <v>3365.31</v>
      </c>
      <c r="DW310" s="127"/>
      <c r="DX310" s="126">
        <v>14.7</v>
      </c>
      <c r="DZ310" s="240"/>
      <c r="EA310" s="53"/>
      <c r="EB310" s="52"/>
      <c r="EC310" s="53">
        <f t="shared" si="206"/>
        <v>14.7</v>
      </c>
      <c r="EE310" s="122">
        <v>46094</v>
      </c>
      <c r="EF310" s="123">
        <v>1399.98</v>
      </c>
      <c r="EG310" s="125">
        <v>859.14</v>
      </c>
      <c r="EH310" s="127"/>
      <c r="EI310" s="126">
        <v>4.12</v>
      </c>
      <c r="EK310" s="240">
        <v>392.83476999999971</v>
      </c>
      <c r="EL310" s="435">
        <v>167.51741935483872</v>
      </c>
      <c r="EM310" s="53">
        <v>452.9485181266665</v>
      </c>
      <c r="EN310" s="52"/>
      <c r="EO310" s="53">
        <f t="shared" si="207"/>
        <v>1017.4207074815049</v>
      </c>
      <c r="EQ310" s="122">
        <v>46094</v>
      </c>
      <c r="ER310" s="123">
        <v>3457.57</v>
      </c>
      <c r="ES310" s="400">
        <v>0</v>
      </c>
      <c r="ET310" s="127"/>
      <c r="EU310" s="258">
        <v>264</v>
      </c>
      <c r="EW310" s="240">
        <v>195.04559999999992</v>
      </c>
      <c r="EX310" s="53"/>
      <c r="EY310" s="52"/>
      <c r="EZ310" s="53">
        <f t="shared" si="208"/>
        <v>459.04559999999992</v>
      </c>
      <c r="FB310" s="122">
        <v>46094</v>
      </c>
      <c r="FC310" s="123">
        <v>581.45000000000005</v>
      </c>
      <c r="FD310" s="123">
        <v>0</v>
      </c>
      <c r="FE310" s="125"/>
      <c r="FF310" s="126"/>
      <c r="FH310" s="51"/>
      <c r="FI310" s="52"/>
      <c r="FJ310" s="52"/>
      <c r="FK310" s="53"/>
    </row>
    <row r="311" spans="2:167" x14ac:dyDescent="0.25">
      <c r="B311" s="443">
        <v>46095</v>
      </c>
      <c r="C311" s="123">
        <v>17145.990000000002</v>
      </c>
      <c r="D311" s="125"/>
      <c r="E311" s="125"/>
      <c r="F311" s="123">
        <v>9.4700000000000006</v>
      </c>
      <c r="G311" s="27"/>
      <c r="H311" s="240">
        <v>51.449999999999989</v>
      </c>
      <c r="I311" s="53"/>
      <c r="J311" s="52"/>
      <c r="K311" s="53">
        <f t="shared" si="198"/>
        <v>60.919999999999987</v>
      </c>
      <c r="M311" s="122">
        <v>46095</v>
      </c>
      <c r="N311" s="123">
        <v>0</v>
      </c>
      <c r="O311" s="125"/>
      <c r="P311" s="126">
        <v>0</v>
      </c>
      <c r="R311" s="240"/>
      <c r="S311" s="53"/>
      <c r="T311" s="52"/>
      <c r="U311" s="53">
        <f t="shared" si="199"/>
        <v>0</v>
      </c>
      <c r="W311" s="122">
        <v>46095</v>
      </c>
      <c r="X311" s="123">
        <v>2076.29</v>
      </c>
      <c r="Y311" s="123">
        <v>0</v>
      </c>
      <c r="Z311" s="125"/>
      <c r="AA311" s="273">
        <v>0</v>
      </c>
      <c r="AC311" s="240"/>
      <c r="AD311" s="53"/>
      <c r="AE311" s="52"/>
      <c r="AF311" s="53">
        <f t="shared" si="200"/>
        <v>0</v>
      </c>
      <c r="AI311" s="122">
        <v>46095</v>
      </c>
      <c r="AJ311" s="123">
        <v>2106.91</v>
      </c>
      <c r="AK311" s="125"/>
      <c r="AL311" s="126"/>
      <c r="AN311" s="51"/>
      <c r="AO311" s="52"/>
      <c r="AP311" s="52"/>
      <c r="AQ311" s="53"/>
      <c r="AS311" s="122">
        <v>46095</v>
      </c>
      <c r="AT311" s="123">
        <v>3306.25</v>
      </c>
      <c r="AU311" s="125"/>
      <c r="AV311" s="128"/>
      <c r="AX311" s="51"/>
      <c r="AY311" s="52"/>
      <c r="AZ311" s="52"/>
      <c r="BA311" s="53"/>
      <c r="BC311" s="122">
        <v>46095</v>
      </c>
      <c r="BD311" s="123">
        <v>1166.8800000000001</v>
      </c>
      <c r="BE311" s="125"/>
      <c r="BF311" s="128">
        <v>0</v>
      </c>
      <c r="BH311" s="240">
        <v>48.032480000000021</v>
      </c>
      <c r="BI311" s="52"/>
      <c r="BJ311" s="52"/>
      <c r="BK311" s="53">
        <f t="shared" si="201"/>
        <v>48.032480000000021</v>
      </c>
      <c r="BM311" s="122">
        <v>46095</v>
      </c>
      <c r="BN311" s="123">
        <v>11842.34</v>
      </c>
      <c r="BO311" s="123">
        <v>7397.47</v>
      </c>
      <c r="BP311" s="123">
        <v>8600.93</v>
      </c>
      <c r="BQ311" s="125"/>
      <c r="BR311" s="125"/>
      <c r="BT311" s="240">
        <v>302.65233999999981</v>
      </c>
      <c r="BU311" s="53"/>
      <c r="BV311" s="53"/>
      <c r="BW311" s="53">
        <f t="shared" si="197"/>
        <v>302.65233999999981</v>
      </c>
      <c r="BY311" s="122">
        <v>46095</v>
      </c>
      <c r="BZ311" s="256">
        <v>1087.3900000000001</v>
      </c>
      <c r="CA311" s="257">
        <v>0</v>
      </c>
      <c r="CB311" s="125"/>
      <c r="CC311" s="126"/>
      <c r="CE311" s="240"/>
      <c r="CF311" s="52"/>
      <c r="CG311" s="53"/>
      <c r="CH311" s="53">
        <f t="shared" si="202"/>
        <v>0</v>
      </c>
      <c r="CJ311" s="122">
        <v>46095</v>
      </c>
      <c r="CK311" s="123">
        <v>7101.46</v>
      </c>
      <c r="CL311" s="123">
        <v>0</v>
      </c>
      <c r="CM311" s="125"/>
      <c r="CN311" s="126">
        <v>9.23</v>
      </c>
      <c r="CP311" s="240">
        <v>750.08951999999931</v>
      </c>
      <c r="CQ311" s="53"/>
      <c r="CR311" s="52"/>
      <c r="CS311" s="53">
        <f t="shared" si="203"/>
        <v>759.31951999999933</v>
      </c>
      <c r="CU311" s="122">
        <v>46095</v>
      </c>
      <c r="CV311" s="123">
        <v>5062.63</v>
      </c>
      <c r="CW311" s="126">
        <v>0</v>
      </c>
      <c r="CX311" s="125"/>
      <c r="CY311" s="128">
        <v>60.78</v>
      </c>
      <c r="CZ311" s="27"/>
      <c r="DA311" s="240">
        <v>4251.9085000000023</v>
      </c>
      <c r="DB311" s="435">
        <v>167.51741935483872</v>
      </c>
      <c r="DC311" s="53"/>
      <c r="DD311" s="52"/>
      <c r="DE311" s="53">
        <f t="shared" si="204"/>
        <v>4480.2059193548412</v>
      </c>
      <c r="DH311" s="122">
        <v>46095</v>
      </c>
      <c r="DI311" s="123">
        <v>2054.0300000000002</v>
      </c>
      <c r="DJ311" s="127">
        <v>0</v>
      </c>
      <c r="DK311" s="127">
        <v>1908.62</v>
      </c>
      <c r="DL311" s="127"/>
      <c r="DM311" s="126">
        <v>0</v>
      </c>
      <c r="DO311" s="240"/>
      <c r="DP311" s="53"/>
      <c r="DQ311" s="52"/>
      <c r="DR311" s="53">
        <f t="shared" si="205"/>
        <v>0</v>
      </c>
      <c r="DT311" s="122">
        <v>46095</v>
      </c>
      <c r="DU311" s="123">
        <v>1294.42</v>
      </c>
      <c r="DV311" s="125">
        <v>0</v>
      </c>
      <c r="DW311" s="127"/>
      <c r="DX311" s="126">
        <v>10.199999999999999</v>
      </c>
      <c r="DZ311" s="240"/>
      <c r="EA311" s="53"/>
      <c r="EB311" s="52"/>
      <c r="EC311" s="53">
        <f t="shared" si="206"/>
        <v>10.199999999999999</v>
      </c>
      <c r="EE311" s="122">
        <v>46095</v>
      </c>
      <c r="EF311" s="123">
        <v>1092.67</v>
      </c>
      <c r="EG311" s="125">
        <v>849.16</v>
      </c>
      <c r="EH311" s="127"/>
      <c r="EI311" s="126">
        <v>1.93</v>
      </c>
      <c r="EK311" s="240">
        <v>316.82599999999979</v>
      </c>
      <c r="EL311" s="435">
        <v>167.51741935483872</v>
      </c>
      <c r="EM311" s="53">
        <v>19.957369046666649</v>
      </c>
      <c r="EN311" s="52"/>
      <c r="EO311" s="53">
        <f t="shared" si="207"/>
        <v>506.23078840150521</v>
      </c>
      <c r="EQ311" s="122">
        <v>46095</v>
      </c>
      <c r="ER311" s="123">
        <v>7664.52</v>
      </c>
      <c r="ES311" s="400">
        <v>0</v>
      </c>
      <c r="ET311" s="127"/>
      <c r="EU311" s="258">
        <v>258.47000000000003</v>
      </c>
      <c r="EW311" s="240"/>
      <c r="EX311" s="53"/>
      <c r="EY311" s="52"/>
      <c r="EZ311" s="53">
        <f t="shared" si="208"/>
        <v>258.47000000000003</v>
      </c>
      <c r="FB311" s="122">
        <v>46095</v>
      </c>
      <c r="FC311" s="123">
        <v>860.37</v>
      </c>
      <c r="FD311" s="123">
        <v>0</v>
      </c>
      <c r="FE311" s="125"/>
      <c r="FF311" s="126"/>
      <c r="FH311" s="51"/>
      <c r="FI311" s="52"/>
      <c r="FJ311" s="52"/>
      <c r="FK311" s="53"/>
    </row>
    <row r="312" spans="2:167" x14ac:dyDescent="0.25">
      <c r="B312" s="443">
        <v>46096</v>
      </c>
      <c r="C312" s="123">
        <v>17636.349999999999</v>
      </c>
      <c r="D312" s="126"/>
      <c r="E312" s="125"/>
      <c r="F312" s="126">
        <v>0</v>
      </c>
      <c r="G312" s="27"/>
      <c r="H312" s="240">
        <v>44.860999999999997</v>
      </c>
      <c r="I312" s="53"/>
      <c r="J312" s="52"/>
      <c r="K312" s="53">
        <f t="shared" si="198"/>
        <v>44.860999999999997</v>
      </c>
      <c r="M312" s="122">
        <v>46096</v>
      </c>
      <c r="N312" s="123">
        <v>0</v>
      </c>
      <c r="O312" s="125"/>
      <c r="P312" s="126">
        <v>0</v>
      </c>
      <c r="R312" s="240"/>
      <c r="S312" s="53"/>
      <c r="T312" s="52"/>
      <c r="U312" s="53">
        <f t="shared" si="199"/>
        <v>0</v>
      </c>
      <c r="W312" s="122">
        <v>46096</v>
      </c>
      <c r="X312" s="123">
        <v>0</v>
      </c>
      <c r="Y312" s="123">
        <v>0</v>
      </c>
      <c r="Z312" s="125"/>
      <c r="AA312" s="273">
        <v>0</v>
      </c>
      <c r="AC312" s="240"/>
      <c r="AD312" s="53"/>
      <c r="AE312" s="52"/>
      <c r="AF312" s="53">
        <f t="shared" si="200"/>
        <v>0</v>
      </c>
      <c r="AI312" s="122">
        <v>46096</v>
      </c>
      <c r="AJ312" s="123">
        <v>1518.3</v>
      </c>
      <c r="AK312" s="125"/>
      <c r="AL312" s="126"/>
      <c r="AN312" s="51"/>
      <c r="AO312" s="52"/>
      <c r="AP312" s="52"/>
      <c r="AQ312" s="53"/>
      <c r="AS312" s="122">
        <v>46096</v>
      </c>
      <c r="AT312" s="123">
        <v>2203.63</v>
      </c>
      <c r="AU312" s="125"/>
      <c r="AV312" s="128"/>
      <c r="AX312" s="51"/>
      <c r="AY312" s="52"/>
      <c r="AZ312" s="52"/>
      <c r="BA312" s="53"/>
      <c r="BC312" s="122">
        <v>46096</v>
      </c>
      <c r="BD312" s="123">
        <v>2996.48</v>
      </c>
      <c r="BE312" s="125"/>
      <c r="BF312" s="128">
        <v>0</v>
      </c>
      <c r="BH312" s="240"/>
      <c r="BI312" s="52"/>
      <c r="BJ312" s="52"/>
      <c r="BK312" s="53">
        <f t="shared" si="201"/>
        <v>0</v>
      </c>
      <c r="BM312" s="122">
        <v>46096</v>
      </c>
      <c r="BN312" s="123">
        <v>10616.33</v>
      </c>
      <c r="BO312" s="123">
        <v>1690.14</v>
      </c>
      <c r="BP312" s="123">
        <v>5200.03</v>
      </c>
      <c r="BQ312" s="125"/>
      <c r="BR312" s="125"/>
      <c r="BT312" s="240">
        <v>496.3399099999998</v>
      </c>
      <c r="BU312" s="53"/>
      <c r="BV312" s="53">
        <v>65.518269199999963</v>
      </c>
      <c r="BW312" s="53">
        <f t="shared" si="197"/>
        <v>561.85817919999977</v>
      </c>
      <c r="BY312" s="122">
        <v>46096</v>
      </c>
      <c r="BZ312" s="256">
        <v>410</v>
      </c>
      <c r="CA312" s="257">
        <v>0</v>
      </c>
      <c r="CB312" s="125"/>
      <c r="CC312" s="126"/>
      <c r="CE312" s="240"/>
      <c r="CF312" s="52"/>
      <c r="CG312" s="53"/>
      <c r="CH312" s="53">
        <f t="shared" si="202"/>
        <v>0</v>
      </c>
      <c r="CJ312" s="122">
        <v>46096</v>
      </c>
      <c r="CK312" s="123">
        <v>3568.87</v>
      </c>
      <c r="CL312" s="123">
        <v>0</v>
      </c>
      <c r="CM312" s="125"/>
      <c r="CN312" s="126">
        <v>0</v>
      </c>
      <c r="CP312" s="240">
        <v>78.726719999999915</v>
      </c>
      <c r="CQ312" s="53"/>
      <c r="CR312" s="52"/>
      <c r="CS312" s="53">
        <f t="shared" si="203"/>
        <v>78.726719999999915</v>
      </c>
      <c r="CU312" s="122">
        <v>46096</v>
      </c>
      <c r="CV312" s="123">
        <v>2045.54</v>
      </c>
      <c r="CW312" s="269">
        <v>3197.89</v>
      </c>
      <c r="CX312" s="125"/>
      <c r="CY312" s="128">
        <v>34.85</v>
      </c>
      <c r="CZ312" s="27"/>
      <c r="DA312" s="240">
        <v>3210.480000000005</v>
      </c>
      <c r="DB312" s="435">
        <v>167.51741935483872</v>
      </c>
      <c r="DC312" s="53"/>
      <c r="DD312" s="52"/>
      <c r="DE312" s="53">
        <f t="shared" si="204"/>
        <v>3412.8474193548436</v>
      </c>
      <c r="DH312" s="122">
        <v>46096</v>
      </c>
      <c r="DI312" s="123">
        <v>2181.39</v>
      </c>
      <c r="DJ312" s="127">
        <v>0</v>
      </c>
      <c r="DK312" s="127">
        <v>1512.02</v>
      </c>
      <c r="DL312" s="127"/>
      <c r="DM312" s="126">
        <v>0</v>
      </c>
      <c r="DO312" s="240"/>
      <c r="DP312" s="53"/>
      <c r="DQ312" s="52"/>
      <c r="DR312" s="53">
        <f t="shared" si="205"/>
        <v>0</v>
      </c>
      <c r="DT312" s="122">
        <v>46096</v>
      </c>
      <c r="DU312" s="123">
        <v>1027.8</v>
      </c>
      <c r="DV312" s="125">
        <v>0</v>
      </c>
      <c r="DW312" s="127"/>
      <c r="DX312" s="126">
        <v>0</v>
      </c>
      <c r="DZ312" s="240"/>
      <c r="EA312" s="53"/>
      <c r="EB312" s="52"/>
      <c r="EC312" s="53">
        <f t="shared" si="206"/>
        <v>0</v>
      </c>
      <c r="EE312" s="122">
        <v>46096</v>
      </c>
      <c r="EF312" s="123">
        <v>1010.56</v>
      </c>
      <c r="EG312" s="125">
        <v>745.14</v>
      </c>
      <c r="EH312" s="127"/>
      <c r="EI312" s="126">
        <v>1.96</v>
      </c>
      <c r="EK312" s="240">
        <v>193.97354999999976</v>
      </c>
      <c r="EL312" s="435">
        <v>167.51741935483872</v>
      </c>
      <c r="EM312" s="53">
        <v>79.821198196666671</v>
      </c>
      <c r="EN312" s="52"/>
      <c r="EO312" s="53">
        <f t="shared" si="207"/>
        <v>443.27216755150516</v>
      </c>
      <c r="EQ312" s="122">
        <v>46096</v>
      </c>
      <c r="ER312" s="123">
        <v>3391.63</v>
      </c>
      <c r="ES312" s="400">
        <v>0</v>
      </c>
      <c r="ET312" s="127"/>
      <c r="EU312" s="258">
        <v>139.37</v>
      </c>
      <c r="EW312" s="240">
        <v>55.774290000000008</v>
      </c>
      <c r="EX312" s="53"/>
      <c r="EY312" s="52"/>
      <c r="EZ312" s="53">
        <f t="shared" si="208"/>
        <v>195.14429000000001</v>
      </c>
      <c r="FB312" s="122">
        <v>46096</v>
      </c>
      <c r="FC312" s="123">
        <v>566.91999999999996</v>
      </c>
      <c r="FD312" s="123">
        <v>0</v>
      </c>
      <c r="FE312" s="125"/>
      <c r="FF312" s="126"/>
      <c r="FH312" s="51"/>
      <c r="FI312" s="52"/>
      <c r="FJ312" s="52"/>
      <c r="FK312" s="53"/>
    </row>
    <row r="313" spans="2:167" x14ac:dyDescent="0.25">
      <c r="B313" s="443">
        <v>46097</v>
      </c>
      <c r="C313" s="123">
        <v>17091.53</v>
      </c>
      <c r="D313" s="125"/>
      <c r="E313" s="125"/>
      <c r="F313" s="123">
        <v>0</v>
      </c>
      <c r="G313" s="27"/>
      <c r="H313" s="240">
        <v>137.45339999999999</v>
      </c>
      <c r="I313" s="53">
        <v>16.402835800000005</v>
      </c>
      <c r="J313" s="52"/>
      <c r="K313" s="53">
        <f t="shared" si="198"/>
        <v>153.85623579999998</v>
      </c>
      <c r="M313" s="122">
        <v>46097</v>
      </c>
      <c r="N313" s="123">
        <v>3719.71</v>
      </c>
      <c r="O313" s="125"/>
      <c r="P313" s="126">
        <v>0</v>
      </c>
      <c r="R313" s="240"/>
      <c r="S313" s="53"/>
      <c r="T313" s="52"/>
      <c r="U313" s="53">
        <f t="shared" si="199"/>
        <v>0</v>
      </c>
      <c r="W313" s="122">
        <v>46097</v>
      </c>
      <c r="X313" s="123">
        <v>0</v>
      </c>
      <c r="Y313" s="123">
        <v>69.349999999999994</v>
      </c>
      <c r="Z313" s="125"/>
      <c r="AA313" s="273">
        <v>17.239999999999998</v>
      </c>
      <c r="AC313" s="240"/>
      <c r="AD313" s="53"/>
      <c r="AE313" s="52"/>
      <c r="AF313" s="53">
        <f t="shared" si="200"/>
        <v>17.239999999999998</v>
      </c>
      <c r="AI313" s="122">
        <v>46097</v>
      </c>
      <c r="AJ313" s="123">
        <v>522.49</v>
      </c>
      <c r="AK313" s="125"/>
      <c r="AL313" s="126"/>
      <c r="AN313" s="51"/>
      <c r="AO313" s="52"/>
      <c r="AP313" s="52"/>
      <c r="AQ313" s="53"/>
      <c r="AS313" s="122">
        <v>46097</v>
      </c>
      <c r="AT313" s="123">
        <v>1260.47</v>
      </c>
      <c r="AU313" s="125"/>
      <c r="AV313" s="128"/>
      <c r="AX313" s="51"/>
      <c r="AY313" s="52"/>
      <c r="AZ313" s="52"/>
      <c r="BA313" s="53"/>
      <c r="BC313" s="122">
        <v>46097</v>
      </c>
      <c r="BD313" s="123">
        <v>3073.63</v>
      </c>
      <c r="BE313" s="125"/>
      <c r="BF313" s="128">
        <v>0</v>
      </c>
      <c r="BH313" s="240">
        <v>125.67388</v>
      </c>
      <c r="BI313" s="52"/>
      <c r="BJ313" s="52"/>
      <c r="BK313" s="53">
        <f t="shared" si="201"/>
        <v>125.67388</v>
      </c>
      <c r="BM313" s="122">
        <v>46097</v>
      </c>
      <c r="BN313" s="123">
        <v>14442.7</v>
      </c>
      <c r="BO313" s="123">
        <v>0</v>
      </c>
      <c r="BP313" s="123">
        <v>8418.64</v>
      </c>
      <c r="BQ313" s="125"/>
      <c r="BR313" s="125"/>
      <c r="BT313" s="240">
        <v>383.86085999999978</v>
      </c>
      <c r="BU313" s="53"/>
      <c r="BV313" s="53"/>
      <c r="BW313" s="53">
        <f t="shared" si="197"/>
        <v>383.86085999999978</v>
      </c>
      <c r="BY313" s="122">
        <v>46097</v>
      </c>
      <c r="BZ313" s="256">
        <v>1207.0999999999999</v>
      </c>
      <c r="CA313" s="257">
        <v>105</v>
      </c>
      <c r="CB313" s="125"/>
      <c r="CC313" s="126"/>
      <c r="CE313" s="240"/>
      <c r="CF313" s="52"/>
      <c r="CG313" s="53"/>
      <c r="CH313" s="53">
        <f t="shared" si="202"/>
        <v>0</v>
      </c>
      <c r="CJ313" s="122">
        <v>46097</v>
      </c>
      <c r="CK313" s="123">
        <v>3687.8</v>
      </c>
      <c r="CL313" s="123">
        <v>0</v>
      </c>
      <c r="CM313" s="125"/>
      <c r="CN313" s="126">
        <v>0</v>
      </c>
      <c r="CP313" s="240">
        <v>168.97258999999991</v>
      </c>
      <c r="CQ313" s="53"/>
      <c r="CR313" s="52"/>
      <c r="CS313" s="53">
        <f t="shared" si="203"/>
        <v>168.97258999999991</v>
      </c>
      <c r="CU313" s="122">
        <v>46097</v>
      </c>
      <c r="CV313" s="123">
        <v>13778.42</v>
      </c>
      <c r="CW313" s="269">
        <v>7244.66</v>
      </c>
      <c r="CX313" s="125"/>
      <c r="CY313" s="128">
        <v>203.06</v>
      </c>
      <c r="CZ313" s="27"/>
      <c r="DA313" s="240"/>
      <c r="DB313" s="435">
        <v>167.51741935483872</v>
      </c>
      <c r="DC313" s="53"/>
      <c r="DD313" s="52"/>
      <c r="DE313" s="53">
        <f t="shared" si="204"/>
        <v>370.57741935483875</v>
      </c>
      <c r="DH313" s="122">
        <v>46097</v>
      </c>
      <c r="DI313" s="123">
        <v>3484.36</v>
      </c>
      <c r="DJ313" s="259">
        <v>0</v>
      </c>
      <c r="DK313" s="259">
        <v>2132.94</v>
      </c>
      <c r="DL313" s="127"/>
      <c r="DM313" s="126">
        <v>0</v>
      </c>
      <c r="DO313" s="240">
        <v>72.727359999999962</v>
      </c>
      <c r="DP313" s="53"/>
      <c r="DQ313" s="52"/>
      <c r="DR313" s="53">
        <f t="shared" si="205"/>
        <v>72.727359999999962</v>
      </c>
      <c r="DT313" s="122">
        <v>46097</v>
      </c>
      <c r="DU313" s="123">
        <v>2285.4499999999998</v>
      </c>
      <c r="DV313" s="400">
        <v>0</v>
      </c>
      <c r="DW313" s="127"/>
      <c r="DX313" s="126">
        <v>59.66</v>
      </c>
      <c r="DZ313" s="240"/>
      <c r="EA313" s="53">
        <v>38.200325199999952</v>
      </c>
      <c r="EB313" s="52"/>
      <c r="EC313" s="53">
        <f t="shared" si="206"/>
        <v>97.860325199999949</v>
      </c>
      <c r="EE313" s="122">
        <v>46097</v>
      </c>
      <c r="EF313" s="123">
        <v>830.45</v>
      </c>
      <c r="EG313" s="125">
        <v>811.34</v>
      </c>
      <c r="EH313" s="127"/>
      <c r="EI313" s="126">
        <v>2.4</v>
      </c>
      <c r="EK313" s="240">
        <v>402.15569999999968</v>
      </c>
      <c r="EL313" s="435">
        <v>167.51741935483872</v>
      </c>
      <c r="EM313" s="53"/>
      <c r="EN313" s="52"/>
      <c r="EO313" s="53">
        <f t="shared" si="207"/>
        <v>572.07311935483835</v>
      </c>
      <c r="EQ313" s="122">
        <v>46097</v>
      </c>
      <c r="ER313" s="123">
        <v>1742.94</v>
      </c>
      <c r="ES313" s="400">
        <v>0</v>
      </c>
      <c r="ET313" s="127"/>
      <c r="EU313" s="258">
        <v>244.55</v>
      </c>
      <c r="EW313" s="240">
        <v>37.249799999999965</v>
      </c>
      <c r="EX313" s="53"/>
      <c r="EY313" s="52"/>
      <c r="EZ313" s="53">
        <f t="shared" si="208"/>
        <v>281.7998</v>
      </c>
      <c r="FB313" s="122">
        <v>46097</v>
      </c>
      <c r="FC313" s="123">
        <v>1539.32</v>
      </c>
      <c r="FD313" s="123">
        <v>0</v>
      </c>
      <c r="FE313" s="125"/>
      <c r="FF313" s="126"/>
      <c r="FH313" s="51"/>
      <c r="FI313" s="52"/>
      <c r="FJ313" s="52"/>
      <c r="FK313" s="53"/>
    </row>
    <row r="314" spans="2:167" x14ac:dyDescent="0.25">
      <c r="B314" s="443">
        <v>46098</v>
      </c>
      <c r="C314" s="123">
        <v>15439.85</v>
      </c>
      <c r="D314" s="125"/>
      <c r="E314" s="125"/>
      <c r="F314" s="123">
        <v>0</v>
      </c>
      <c r="G314" s="27"/>
      <c r="H314" s="240"/>
      <c r="I314" s="53"/>
      <c r="J314" s="52"/>
      <c r="K314" s="53">
        <f t="shared" si="198"/>
        <v>0</v>
      </c>
      <c r="M314" s="122">
        <v>46098</v>
      </c>
      <c r="N314" s="123">
        <v>4637.7</v>
      </c>
      <c r="O314" s="125"/>
      <c r="P314" s="126">
        <v>83.59</v>
      </c>
      <c r="R314" s="240"/>
      <c r="S314" s="53"/>
      <c r="T314" s="52"/>
      <c r="U314" s="53">
        <f t="shared" si="199"/>
        <v>83.59</v>
      </c>
      <c r="W314" s="122">
        <v>46098</v>
      </c>
      <c r="X314" s="123">
        <v>654.99</v>
      </c>
      <c r="Y314" s="123">
        <v>174.11</v>
      </c>
      <c r="Z314" s="125"/>
      <c r="AA314" s="273">
        <v>20.309999999999999</v>
      </c>
      <c r="AC314" s="240">
        <v>26.221139999999963</v>
      </c>
      <c r="AD314" s="53"/>
      <c r="AE314" s="52"/>
      <c r="AF314" s="53">
        <f t="shared" si="200"/>
        <v>46.531139999999965</v>
      </c>
      <c r="AI314" s="122">
        <v>46098</v>
      </c>
      <c r="AJ314" s="123">
        <v>630</v>
      </c>
      <c r="AK314" s="125"/>
      <c r="AL314" s="126"/>
      <c r="AN314" s="51"/>
      <c r="AO314" s="52"/>
      <c r="AP314" s="52"/>
      <c r="AQ314" s="53"/>
      <c r="AS314" s="122">
        <v>46098</v>
      </c>
      <c r="AT314" s="123">
        <v>2904.58</v>
      </c>
      <c r="AU314" s="125"/>
      <c r="AV314" s="128"/>
      <c r="AX314" s="51"/>
      <c r="AY314" s="52"/>
      <c r="AZ314" s="52"/>
      <c r="BA314" s="53"/>
      <c r="BC314" s="122">
        <v>46098</v>
      </c>
      <c r="BD314" s="123">
        <v>3376.47</v>
      </c>
      <c r="BE314" s="125"/>
      <c r="BF314" s="128">
        <v>0</v>
      </c>
      <c r="BH314" s="240">
        <v>308.79999999999995</v>
      </c>
      <c r="BI314" s="52"/>
      <c r="BJ314" s="52"/>
      <c r="BK314" s="53">
        <f t="shared" si="201"/>
        <v>308.79999999999995</v>
      </c>
      <c r="BM314" s="122">
        <v>46098</v>
      </c>
      <c r="BN314" s="123">
        <v>15972.23</v>
      </c>
      <c r="BO314" s="123">
        <v>9370.5</v>
      </c>
      <c r="BP314" s="123">
        <v>8980.5300000000007</v>
      </c>
      <c r="BQ314" s="125"/>
      <c r="BR314" s="125"/>
      <c r="BT314" s="240">
        <v>394.05495999999982</v>
      </c>
      <c r="BU314" s="53">
        <v>720.79499999999996</v>
      </c>
      <c r="BV314" s="53"/>
      <c r="BW314" s="53">
        <f t="shared" si="197"/>
        <v>1114.8499599999998</v>
      </c>
      <c r="BY314" s="122">
        <v>46098</v>
      </c>
      <c r="BZ314" s="256">
        <v>1190.95</v>
      </c>
      <c r="CA314" s="257">
        <v>342</v>
      </c>
      <c r="CB314" s="125"/>
      <c r="CC314" s="126"/>
      <c r="CE314" s="240"/>
      <c r="CF314" s="52">
        <v>-75.533886000000052</v>
      </c>
      <c r="CG314" s="53"/>
      <c r="CH314" s="53">
        <f t="shared" si="202"/>
        <v>-75.533886000000052</v>
      </c>
      <c r="CJ314" s="122">
        <v>46098</v>
      </c>
      <c r="CK314" s="123">
        <v>7796.82</v>
      </c>
      <c r="CL314" s="123">
        <v>585.21</v>
      </c>
      <c r="CM314" s="125"/>
      <c r="CN314" s="126">
        <v>0</v>
      </c>
      <c r="CP314" s="240">
        <v>278.49589999999966</v>
      </c>
      <c r="CQ314" s="53">
        <v>-8.8919394000000125</v>
      </c>
      <c r="CR314" s="52"/>
      <c r="CS314" s="53">
        <f t="shared" si="203"/>
        <v>269.60396059999965</v>
      </c>
      <c r="CU314" s="122">
        <v>46098</v>
      </c>
      <c r="CV314" s="123">
        <v>8787.93</v>
      </c>
      <c r="CW314" s="269">
        <v>8968.9599999999991</v>
      </c>
      <c r="CX314" s="125"/>
      <c r="CY314" s="128">
        <v>169.32</v>
      </c>
      <c r="CZ314" s="27"/>
      <c r="DA314" s="240">
        <v>1135.6799999999987</v>
      </c>
      <c r="DB314" s="435">
        <v>167.51741935483872</v>
      </c>
      <c r="DC314" s="53"/>
      <c r="DD314" s="52"/>
      <c r="DE314" s="53">
        <f t="shared" si="204"/>
        <v>1472.5174193548373</v>
      </c>
      <c r="DH314" s="122">
        <v>46098</v>
      </c>
      <c r="DI314" s="123">
        <v>9015.01</v>
      </c>
      <c r="DJ314" s="127">
        <v>0</v>
      </c>
      <c r="DK314" s="127">
        <v>1978.96</v>
      </c>
      <c r="DL314" s="127"/>
      <c r="DM314" s="126">
        <v>0</v>
      </c>
      <c r="DO314" s="240">
        <v>24.58735999999999</v>
      </c>
      <c r="DP314" s="53"/>
      <c r="DQ314" s="52"/>
      <c r="DR314" s="53">
        <f t="shared" si="205"/>
        <v>24.58735999999999</v>
      </c>
      <c r="DT314" s="122">
        <v>46098</v>
      </c>
      <c r="DU314" s="123">
        <v>1169.07</v>
      </c>
      <c r="DV314" s="125">
        <v>758.87</v>
      </c>
      <c r="DW314" s="127"/>
      <c r="DX314" s="126">
        <v>18.13</v>
      </c>
      <c r="DZ314" s="240"/>
      <c r="EA314" s="53"/>
      <c r="EB314" s="52"/>
      <c r="EC314" s="53">
        <f t="shared" si="206"/>
        <v>18.13</v>
      </c>
      <c r="EE314" s="122">
        <v>46098</v>
      </c>
      <c r="EF314" s="123">
        <v>1387.51</v>
      </c>
      <c r="EG314" s="125">
        <v>900.45</v>
      </c>
      <c r="EH314" s="127"/>
      <c r="EI314" s="126">
        <v>4.3899999999999997</v>
      </c>
      <c r="EK314" s="240">
        <v>228.0296499999998</v>
      </c>
      <c r="EL314" s="435">
        <v>167.51741935483872</v>
      </c>
      <c r="EM314" s="53">
        <v>-3.0527100000000189</v>
      </c>
      <c r="EN314" s="52"/>
      <c r="EO314" s="53">
        <f t="shared" si="207"/>
        <v>396.88435935483847</v>
      </c>
      <c r="EQ314" s="122">
        <v>46098</v>
      </c>
      <c r="ER314" s="123">
        <v>5295.63</v>
      </c>
      <c r="ES314" s="400">
        <v>0</v>
      </c>
      <c r="ET314" s="127"/>
      <c r="EU314" s="258">
        <v>381.8</v>
      </c>
      <c r="EW314" s="240">
        <v>110.92764999999991</v>
      </c>
      <c r="EX314" s="53">
        <v>27.441653599999995</v>
      </c>
      <c r="EY314" s="52"/>
      <c r="EZ314" s="53">
        <f t="shared" si="208"/>
        <v>520.16930359999992</v>
      </c>
      <c r="FB314" s="122">
        <v>46098</v>
      </c>
      <c r="FC314" s="123">
        <v>454.86</v>
      </c>
      <c r="FD314" s="123">
        <v>145.80000000000001</v>
      </c>
      <c r="FE314" s="125"/>
      <c r="FF314" s="126"/>
      <c r="FH314" s="51"/>
      <c r="FI314" s="52"/>
      <c r="FJ314" s="52"/>
      <c r="FK314" s="53"/>
    </row>
    <row r="315" spans="2:167" x14ac:dyDescent="0.25">
      <c r="B315" s="443">
        <v>46099</v>
      </c>
      <c r="C315" s="123">
        <v>15946.54</v>
      </c>
      <c r="D315" s="125"/>
      <c r="E315" s="125"/>
      <c r="F315" s="123">
        <v>0</v>
      </c>
      <c r="G315" s="27"/>
      <c r="H315" s="240">
        <v>16.871239999999986</v>
      </c>
      <c r="I315" s="53"/>
      <c r="J315" s="52"/>
      <c r="K315" s="53">
        <f t="shared" si="198"/>
        <v>16.871239999999986</v>
      </c>
      <c r="M315" s="122">
        <v>46099</v>
      </c>
      <c r="N315" s="123">
        <v>6251.02</v>
      </c>
      <c r="O315" s="125"/>
      <c r="P315" s="126">
        <v>7.22</v>
      </c>
      <c r="R315" s="240">
        <v>-0.84966000000000008</v>
      </c>
      <c r="S315" s="53"/>
      <c r="T315" s="52"/>
      <c r="U315" s="53">
        <f t="shared" si="199"/>
        <v>6.3703399999999997</v>
      </c>
      <c r="W315" s="122">
        <v>46099</v>
      </c>
      <c r="X315" s="123">
        <v>2110.21</v>
      </c>
      <c r="Y315" s="123">
        <v>230.52</v>
      </c>
      <c r="Z315" s="125"/>
      <c r="AA315" s="273">
        <v>4.51</v>
      </c>
      <c r="AC315" s="240">
        <v>5.1999999999999886</v>
      </c>
      <c r="AD315" s="53"/>
      <c r="AE315" s="52"/>
      <c r="AF315" s="53">
        <f t="shared" si="200"/>
        <v>9.7099999999999884</v>
      </c>
      <c r="AI315" s="122">
        <v>46099</v>
      </c>
      <c r="AJ315" s="123">
        <v>1029.08</v>
      </c>
      <c r="AK315" s="125"/>
      <c r="AL315" s="126"/>
      <c r="AN315" s="51"/>
      <c r="AO315" s="52"/>
      <c r="AP315" s="52"/>
      <c r="AQ315" s="53"/>
      <c r="AS315" s="122">
        <v>46099</v>
      </c>
      <c r="AT315" s="123">
        <v>3025.09</v>
      </c>
      <c r="AU315" s="125"/>
      <c r="AV315" s="128"/>
      <c r="AX315" s="51"/>
      <c r="AY315" s="52"/>
      <c r="AZ315" s="52"/>
      <c r="BA315" s="53"/>
      <c r="BC315" s="122">
        <v>46099</v>
      </c>
      <c r="BD315" s="123">
        <v>2221.0700000000002</v>
      </c>
      <c r="BE315" s="125"/>
      <c r="BF315" s="128">
        <v>0</v>
      </c>
      <c r="BH315" s="240">
        <v>24.927719999999979</v>
      </c>
      <c r="BI315" s="52"/>
      <c r="BJ315" s="52"/>
      <c r="BK315" s="53">
        <f t="shared" si="201"/>
        <v>24.927719999999979</v>
      </c>
      <c r="BM315" s="122">
        <v>46099</v>
      </c>
      <c r="BN315" s="123">
        <v>15183.93</v>
      </c>
      <c r="BO315" s="123">
        <v>8367.4500000000007</v>
      </c>
      <c r="BP315" s="123">
        <v>8077.67</v>
      </c>
      <c r="BQ315" s="125"/>
      <c r="BR315" s="125"/>
      <c r="BT315" s="240">
        <v>8.6199999999999974</v>
      </c>
      <c r="BU315" s="53"/>
      <c r="BV315" s="53">
        <v>12.291218399999998</v>
      </c>
      <c r="BW315" s="53">
        <f t="shared" si="197"/>
        <v>20.911218399999996</v>
      </c>
      <c r="BY315" s="122">
        <v>46099</v>
      </c>
      <c r="BZ315" s="256">
        <v>625.29999999999995</v>
      </c>
      <c r="CA315" s="257">
        <v>347.21</v>
      </c>
      <c r="CB315" s="125"/>
      <c r="CC315" s="126"/>
      <c r="CE315" s="240"/>
      <c r="CF315" s="52"/>
      <c r="CG315" s="53"/>
      <c r="CH315" s="53">
        <f t="shared" si="202"/>
        <v>0</v>
      </c>
      <c r="CJ315" s="122">
        <v>46099</v>
      </c>
      <c r="CK315" s="123">
        <v>6741.37</v>
      </c>
      <c r="CL315" s="123">
        <v>360.21</v>
      </c>
      <c r="CM315" s="125"/>
      <c r="CN315" s="126">
        <v>10.25</v>
      </c>
      <c r="CP315" s="240">
        <v>-13.51085000000003</v>
      </c>
      <c r="CQ315" s="53"/>
      <c r="CR315" s="52"/>
      <c r="CS315" s="53">
        <f t="shared" si="203"/>
        <v>-3.2608500000000298</v>
      </c>
      <c r="CU315" s="122">
        <v>46099</v>
      </c>
      <c r="CV315" s="123">
        <v>10005.370000000001</v>
      </c>
      <c r="CW315" s="269">
        <v>5611.48</v>
      </c>
      <c r="CX315" s="125"/>
      <c r="CY315" s="128">
        <v>151.28</v>
      </c>
      <c r="CZ315" s="27"/>
      <c r="DA315" s="240">
        <v>1884.9447599999946</v>
      </c>
      <c r="DB315" s="435">
        <v>167.51741935483872</v>
      </c>
      <c r="DC315" s="53"/>
      <c r="DD315" s="52"/>
      <c r="DE315" s="53">
        <f t="shared" si="204"/>
        <v>2203.7421793548333</v>
      </c>
      <c r="DH315" s="122">
        <v>46099</v>
      </c>
      <c r="DI315" s="123">
        <v>3905.38</v>
      </c>
      <c r="DJ315" s="127">
        <v>0</v>
      </c>
      <c r="DK315" s="127">
        <v>1709.55</v>
      </c>
      <c r="DL315" s="127"/>
      <c r="DM315" s="126">
        <v>0</v>
      </c>
      <c r="DO315" s="240">
        <v>161.21188999999993</v>
      </c>
      <c r="DP315" s="53"/>
      <c r="DQ315" s="52"/>
      <c r="DR315" s="53">
        <f t="shared" si="205"/>
        <v>161.21188999999993</v>
      </c>
      <c r="DT315" s="122">
        <v>46099</v>
      </c>
      <c r="DU315" s="123">
        <v>2036.81</v>
      </c>
      <c r="DV315" s="125">
        <v>807.19</v>
      </c>
      <c r="DW315" s="127"/>
      <c r="DX315" s="126">
        <v>28.2</v>
      </c>
      <c r="DZ315" s="240"/>
      <c r="EA315" s="53"/>
      <c r="EB315" s="52"/>
      <c r="EC315" s="53">
        <f t="shared" si="206"/>
        <v>28.2</v>
      </c>
      <c r="EE315" s="122">
        <v>46099</v>
      </c>
      <c r="EF315" s="123">
        <v>1626.17</v>
      </c>
      <c r="EG315" s="125">
        <v>910.81</v>
      </c>
      <c r="EH315" s="127"/>
      <c r="EI315" s="126">
        <v>9.64</v>
      </c>
      <c r="EK315" s="240">
        <v>6.3951499999996742</v>
      </c>
      <c r="EL315" s="435">
        <v>167.51741935483872</v>
      </c>
      <c r="EM315" s="53">
        <v>-7.2226548000000435</v>
      </c>
      <c r="EN315" s="52"/>
      <c r="EO315" s="53">
        <f t="shared" si="207"/>
        <v>176.32991455483835</v>
      </c>
      <c r="EQ315" s="122">
        <v>46099</v>
      </c>
      <c r="ER315" s="123">
        <v>6538.38</v>
      </c>
      <c r="ES315" s="400">
        <v>642.07000000000005</v>
      </c>
      <c r="ET315" s="127"/>
      <c r="EU315" s="258">
        <v>241.26</v>
      </c>
      <c r="EW315" s="240">
        <v>380.33702999999969</v>
      </c>
      <c r="EX315" s="53"/>
      <c r="EY315" s="52"/>
      <c r="EZ315" s="53">
        <f t="shared" si="208"/>
        <v>621.59702999999968</v>
      </c>
      <c r="FB315" s="122">
        <v>46099</v>
      </c>
      <c r="FC315" s="123">
        <v>145.80000000000001</v>
      </c>
      <c r="FD315" s="123">
        <v>92.34</v>
      </c>
      <c r="FE315" s="125"/>
      <c r="FF315" s="126"/>
      <c r="FH315" s="51"/>
      <c r="FI315" s="52"/>
      <c r="FJ315" s="52"/>
      <c r="FK315" s="53"/>
    </row>
    <row r="316" spans="2:167" x14ac:dyDescent="0.25">
      <c r="B316" s="443">
        <v>46100</v>
      </c>
      <c r="C316" s="123">
        <v>17888.650000000001</v>
      </c>
      <c r="D316" s="125"/>
      <c r="E316" s="125"/>
      <c r="F316" s="123">
        <v>0</v>
      </c>
      <c r="G316" s="27"/>
      <c r="H316" s="240">
        <v>1.9649999999999999</v>
      </c>
      <c r="I316" s="53">
        <v>3.2885999999999882</v>
      </c>
      <c r="J316" s="52"/>
      <c r="K316" s="53">
        <f t="shared" si="198"/>
        <v>5.2535999999999881</v>
      </c>
      <c r="M316" s="122">
        <v>46100</v>
      </c>
      <c r="N316" s="123">
        <v>5656.39</v>
      </c>
      <c r="O316" s="125"/>
      <c r="P316" s="126">
        <v>6.94</v>
      </c>
      <c r="R316" s="240"/>
      <c r="S316" s="53"/>
      <c r="T316" s="52"/>
      <c r="U316" s="53">
        <f t="shared" si="199"/>
        <v>6.94</v>
      </c>
      <c r="W316" s="122">
        <v>46100</v>
      </c>
      <c r="X316" s="123">
        <v>4860.1000000000004</v>
      </c>
      <c r="Y316" s="123">
        <v>458.15</v>
      </c>
      <c r="Z316" s="125"/>
      <c r="AA316" s="273">
        <v>33.49</v>
      </c>
      <c r="AC316" s="240">
        <v>18.053099999999944</v>
      </c>
      <c r="AD316" s="53">
        <v>46.523727999999977</v>
      </c>
      <c r="AE316" s="52"/>
      <c r="AF316" s="53">
        <f t="shared" si="200"/>
        <v>98.06682799999993</v>
      </c>
      <c r="AI316" s="122">
        <v>46100</v>
      </c>
      <c r="AJ316" s="123">
        <v>2932.53</v>
      </c>
      <c r="AK316" s="125"/>
      <c r="AL316" s="126"/>
      <c r="AN316" s="51"/>
      <c r="AO316" s="52"/>
      <c r="AP316" s="52"/>
      <c r="AQ316" s="53"/>
      <c r="AS316" s="122">
        <v>46100</v>
      </c>
      <c r="AT316" s="123">
        <v>3144.83</v>
      </c>
      <c r="AU316" s="125"/>
      <c r="AV316" s="128"/>
      <c r="AX316" s="51"/>
      <c r="AY316" s="52"/>
      <c r="AZ316" s="52"/>
      <c r="BA316" s="53"/>
      <c r="BC316" s="122">
        <v>46100</v>
      </c>
      <c r="BD316" s="123">
        <v>3417.43</v>
      </c>
      <c r="BE316" s="125"/>
      <c r="BF316" s="128">
        <v>0</v>
      </c>
      <c r="BH316" s="240">
        <v>18.09999999999998</v>
      </c>
      <c r="BI316" s="52"/>
      <c r="BJ316" s="52"/>
      <c r="BK316" s="53">
        <f t="shared" si="201"/>
        <v>18.09999999999998</v>
      </c>
      <c r="BM316" s="122">
        <v>46100</v>
      </c>
      <c r="BN316" s="123">
        <v>15092.76</v>
      </c>
      <c r="BO316" s="123">
        <v>19794.77</v>
      </c>
      <c r="BP316" s="123">
        <v>8866.77</v>
      </c>
      <c r="BQ316" s="125"/>
      <c r="BR316" s="125"/>
      <c r="BT316" s="240">
        <v>173.75883999999991</v>
      </c>
      <c r="BU316" s="53">
        <v>336.37099999999998</v>
      </c>
      <c r="BV316" s="53"/>
      <c r="BW316" s="53">
        <f t="shared" si="197"/>
        <v>510.12983999999989</v>
      </c>
      <c r="BY316" s="122">
        <v>46100</v>
      </c>
      <c r="BZ316" s="256">
        <v>565.09</v>
      </c>
      <c r="CA316" s="260">
        <v>444.67</v>
      </c>
      <c r="CB316" s="125"/>
      <c r="CC316" s="126"/>
      <c r="CE316" s="240"/>
      <c r="CF316" s="52"/>
      <c r="CG316" s="53"/>
      <c r="CH316" s="53">
        <f t="shared" si="202"/>
        <v>0</v>
      </c>
      <c r="CJ316" s="122">
        <v>46100</v>
      </c>
      <c r="CK316" s="123">
        <v>9415.91</v>
      </c>
      <c r="CL316" s="123">
        <v>425.48</v>
      </c>
      <c r="CM316" s="125"/>
      <c r="CN316" s="126">
        <v>13.24</v>
      </c>
      <c r="CP316" s="240">
        <v>-3.7845500000000278</v>
      </c>
      <c r="CQ316" s="53"/>
      <c r="CR316" s="52"/>
      <c r="CS316" s="53">
        <f t="shared" si="203"/>
        <v>9.4554499999999724</v>
      </c>
      <c r="CU316" s="122">
        <v>46100</v>
      </c>
      <c r="CV316" s="123">
        <v>6876.09</v>
      </c>
      <c r="CW316" s="269">
        <v>6179.87</v>
      </c>
      <c r="CX316" s="125"/>
      <c r="CY316" s="128">
        <v>217.92</v>
      </c>
      <c r="CZ316" s="27"/>
      <c r="DA316" s="240">
        <v>1413.5699999999961</v>
      </c>
      <c r="DB316" s="435">
        <v>167.51741935483872</v>
      </c>
      <c r="DC316" s="53"/>
      <c r="DD316" s="52"/>
      <c r="DE316" s="53">
        <f t="shared" si="204"/>
        <v>1799.0074193548348</v>
      </c>
      <c r="DH316" s="122">
        <v>46100</v>
      </c>
      <c r="DI316" s="123">
        <v>3423.86</v>
      </c>
      <c r="DJ316" s="127">
        <v>0</v>
      </c>
      <c r="DK316" s="127">
        <v>1793.31</v>
      </c>
      <c r="DL316" s="127"/>
      <c r="DM316" s="126">
        <v>0</v>
      </c>
      <c r="DO316" s="240">
        <v>21.428549999999973</v>
      </c>
      <c r="DP316" s="53"/>
      <c r="DQ316" s="52"/>
      <c r="DR316" s="53">
        <f t="shared" si="205"/>
        <v>21.428549999999973</v>
      </c>
      <c r="DT316" s="122">
        <v>46100</v>
      </c>
      <c r="DU316" s="123">
        <v>1850.23</v>
      </c>
      <c r="DV316" s="125">
        <v>580.21</v>
      </c>
      <c r="DW316" s="127"/>
      <c r="DX316" s="126">
        <v>33.06</v>
      </c>
      <c r="DZ316" s="240"/>
      <c r="EA316" s="53"/>
      <c r="EB316" s="52"/>
      <c r="EC316" s="53">
        <f t="shared" si="206"/>
        <v>33.06</v>
      </c>
      <c r="EE316" s="122">
        <v>46100</v>
      </c>
      <c r="EF316" s="123">
        <v>1408.23</v>
      </c>
      <c r="EG316" s="125">
        <v>1313.1</v>
      </c>
      <c r="EH316" s="127"/>
      <c r="EI316" s="126">
        <v>4.6399999999999997</v>
      </c>
      <c r="EK316" s="240">
        <v>70.998379999999543</v>
      </c>
      <c r="EL316" s="435">
        <v>167.51741935483872</v>
      </c>
      <c r="EM316" s="53">
        <v>31.037050800000003</v>
      </c>
      <c r="EN316" s="52"/>
      <c r="EO316" s="53">
        <f t="shared" si="207"/>
        <v>274.19285015483831</v>
      </c>
      <c r="EQ316" s="122">
        <v>46100</v>
      </c>
      <c r="ER316" s="123">
        <v>5290.17</v>
      </c>
      <c r="ES316" s="400">
        <v>539.63</v>
      </c>
      <c r="ET316" s="127"/>
      <c r="EU316" s="258">
        <v>332.11</v>
      </c>
      <c r="EW316" s="240"/>
      <c r="EX316" s="53"/>
      <c r="EY316" s="52"/>
      <c r="EZ316" s="53">
        <f t="shared" si="208"/>
        <v>332.11</v>
      </c>
      <c r="FB316" s="122">
        <v>46100</v>
      </c>
      <c r="FC316" s="123">
        <v>921</v>
      </c>
      <c r="FD316" s="123">
        <v>77</v>
      </c>
      <c r="FE316" s="125"/>
      <c r="FF316" s="126"/>
      <c r="FH316" s="51"/>
      <c r="FI316" s="52"/>
      <c r="FJ316" s="52"/>
      <c r="FK316" s="53"/>
    </row>
    <row r="317" spans="2:167" x14ac:dyDescent="0.25">
      <c r="B317" s="443">
        <v>46101</v>
      </c>
      <c r="C317" s="123">
        <v>25794.41</v>
      </c>
      <c r="D317" s="126"/>
      <c r="E317" s="125"/>
      <c r="F317" s="126">
        <v>0</v>
      </c>
      <c r="G317" s="27"/>
      <c r="H317" s="240">
        <v>45.801669999999973</v>
      </c>
      <c r="I317" s="53"/>
      <c r="J317" s="52"/>
      <c r="K317" s="53">
        <f t="shared" si="198"/>
        <v>45.801669999999973</v>
      </c>
      <c r="M317" s="122">
        <v>46101</v>
      </c>
      <c r="N317" s="123">
        <v>7754.26</v>
      </c>
      <c r="O317" s="125"/>
      <c r="P317" s="126">
        <v>23.33</v>
      </c>
      <c r="R317" s="240"/>
      <c r="S317" s="53"/>
      <c r="T317" s="52"/>
      <c r="U317" s="53">
        <f t="shared" si="199"/>
        <v>23.33</v>
      </c>
      <c r="W317" s="122">
        <v>46101</v>
      </c>
      <c r="X317" s="123">
        <v>2194.9699999999998</v>
      </c>
      <c r="Y317" s="123">
        <v>360.01</v>
      </c>
      <c r="Z317" s="125"/>
      <c r="AA317" s="273">
        <v>24</v>
      </c>
      <c r="AC317" s="240">
        <v>23.715249999999941</v>
      </c>
      <c r="AD317" s="53"/>
      <c r="AE317" s="52"/>
      <c r="AF317" s="53">
        <f t="shared" si="200"/>
        <v>47.715249999999941</v>
      </c>
      <c r="AI317" s="122">
        <v>46101</v>
      </c>
      <c r="AJ317" s="123">
        <v>2727.67</v>
      </c>
      <c r="AK317" s="125"/>
      <c r="AL317" s="126"/>
      <c r="AN317" s="51"/>
      <c r="AO317" s="52"/>
      <c r="AP317" s="52"/>
      <c r="AQ317" s="53"/>
      <c r="AS317" s="122">
        <v>46101</v>
      </c>
      <c r="AT317" s="123">
        <v>4048.16</v>
      </c>
      <c r="AU317" s="125"/>
      <c r="AV317" s="128"/>
      <c r="AX317" s="51"/>
      <c r="AY317" s="52"/>
      <c r="AZ317" s="52"/>
      <c r="BA317" s="53"/>
      <c r="BC317" s="122">
        <v>46101</v>
      </c>
      <c r="BD317" s="123">
        <v>3544.56</v>
      </c>
      <c r="BE317" s="125"/>
      <c r="BF317" s="128">
        <v>0</v>
      </c>
      <c r="BH317" s="240">
        <v>59.133999999999972</v>
      </c>
      <c r="BI317" s="52"/>
      <c r="BJ317" s="52"/>
      <c r="BK317" s="53">
        <f t="shared" si="201"/>
        <v>59.133999999999972</v>
      </c>
      <c r="BM317" s="122">
        <v>46101</v>
      </c>
      <c r="BN317" s="123">
        <v>19060.2</v>
      </c>
      <c r="BO317" s="123">
        <v>14515.3</v>
      </c>
      <c r="BP317" s="123">
        <v>10107.450000000001</v>
      </c>
      <c r="BQ317" s="125"/>
      <c r="BR317" s="125"/>
      <c r="BT317" s="240">
        <v>172.64463999999992</v>
      </c>
      <c r="BU317" s="53">
        <v>7.7190731999999969</v>
      </c>
      <c r="BV317" s="53"/>
      <c r="BW317" s="53">
        <f t="shared" si="197"/>
        <v>180.36371319999992</v>
      </c>
      <c r="BY317" s="122">
        <v>46101</v>
      </c>
      <c r="BZ317" s="256">
        <v>1051.03</v>
      </c>
      <c r="CA317" s="260">
        <v>425</v>
      </c>
      <c r="CB317" s="125"/>
      <c r="CC317" s="126"/>
      <c r="CE317" s="240"/>
      <c r="CF317" s="52"/>
      <c r="CG317" s="53"/>
      <c r="CH317" s="53">
        <f t="shared" si="202"/>
        <v>0</v>
      </c>
      <c r="CJ317" s="122">
        <v>46101</v>
      </c>
      <c r="CK317" s="123">
        <v>11804.03</v>
      </c>
      <c r="CL317" s="123">
        <v>335.43</v>
      </c>
      <c r="CM317" s="125"/>
      <c r="CN317" s="126">
        <v>26.35</v>
      </c>
      <c r="CP317" s="240">
        <v>-137.41673000000034</v>
      </c>
      <c r="CQ317" s="53"/>
      <c r="CR317" s="52"/>
      <c r="CS317" s="53">
        <f t="shared" si="203"/>
        <v>-111.06673000000035</v>
      </c>
      <c r="CU317" s="122">
        <v>46101</v>
      </c>
      <c r="CV317" s="123">
        <v>10210.59</v>
      </c>
      <c r="CW317" s="269">
        <v>10535.51</v>
      </c>
      <c r="CX317" s="125"/>
      <c r="CY317" s="128">
        <v>90.77</v>
      </c>
      <c r="CZ317" s="27"/>
      <c r="DA317" s="240"/>
      <c r="DB317" s="435">
        <v>167.51741935483872</v>
      </c>
      <c r="DC317" s="53"/>
      <c r="DD317" s="52"/>
      <c r="DE317" s="53">
        <f t="shared" si="204"/>
        <v>258.28741935483873</v>
      </c>
      <c r="DH317" s="122">
        <v>46101</v>
      </c>
      <c r="DI317" s="123">
        <v>3148.45</v>
      </c>
      <c r="DJ317" s="127">
        <v>3841.42</v>
      </c>
      <c r="DK317" s="127">
        <v>844.67</v>
      </c>
      <c r="DL317" s="127"/>
      <c r="DM317" s="126">
        <v>0</v>
      </c>
      <c r="DO317" s="240">
        <v>33.886079999999964</v>
      </c>
      <c r="DP317" s="53"/>
      <c r="DQ317" s="52"/>
      <c r="DR317" s="53">
        <f t="shared" si="205"/>
        <v>33.886079999999964</v>
      </c>
      <c r="DT317" s="122">
        <v>46101</v>
      </c>
      <c r="DU317" s="123">
        <v>2708.84</v>
      </c>
      <c r="DV317" s="125">
        <v>999.6</v>
      </c>
      <c r="DW317" s="127"/>
      <c r="DX317" s="126">
        <v>29.54</v>
      </c>
      <c r="DZ317" s="240"/>
      <c r="EA317" s="53">
        <v>2.6703502000000015</v>
      </c>
      <c r="EB317" s="52"/>
      <c r="EC317" s="53">
        <f t="shared" si="206"/>
        <v>32.210350200000001</v>
      </c>
      <c r="EE317" s="122">
        <v>46101</v>
      </c>
      <c r="EF317" s="123">
        <v>1062.03</v>
      </c>
      <c r="EG317" s="125">
        <v>1239.3599999999999</v>
      </c>
      <c r="EH317" s="127"/>
      <c r="EI317" s="126">
        <v>6.39</v>
      </c>
      <c r="EK317" s="240">
        <v>0.20004999999964923</v>
      </c>
      <c r="EL317" s="435">
        <v>167.51741935483872</v>
      </c>
      <c r="EM317" s="53">
        <v>370.3063517999999</v>
      </c>
      <c r="EN317" s="52"/>
      <c r="EO317" s="53">
        <f t="shared" si="207"/>
        <v>544.41382115483827</v>
      </c>
      <c r="EQ317" s="122">
        <v>46101</v>
      </c>
      <c r="ER317" s="123">
        <v>6870.71</v>
      </c>
      <c r="ES317" s="400">
        <v>592.91999999999996</v>
      </c>
      <c r="ET317" s="127"/>
      <c r="EU317" s="258">
        <v>144.21</v>
      </c>
      <c r="EW317" s="240">
        <v>240.4855799999998</v>
      </c>
      <c r="EX317" s="53"/>
      <c r="EY317" s="52"/>
      <c r="EZ317" s="53">
        <f t="shared" si="208"/>
        <v>384.69557999999984</v>
      </c>
      <c r="FB317" s="122">
        <v>46101</v>
      </c>
      <c r="FC317" s="123">
        <v>1111.53</v>
      </c>
      <c r="FD317" s="123">
        <v>218.68</v>
      </c>
      <c r="FE317" s="125"/>
      <c r="FF317" s="126"/>
      <c r="FH317" s="51"/>
      <c r="FI317" s="52"/>
      <c r="FJ317" s="52"/>
      <c r="FK317" s="53"/>
    </row>
    <row r="318" spans="2:167" x14ac:dyDescent="0.25">
      <c r="B318" s="443">
        <v>46102</v>
      </c>
      <c r="C318" s="123">
        <v>21684.14</v>
      </c>
      <c r="D318" s="126"/>
      <c r="E318" s="125"/>
      <c r="F318" s="126">
        <v>0</v>
      </c>
      <c r="G318" s="27"/>
      <c r="H318" s="240"/>
      <c r="I318" s="53"/>
      <c r="J318" s="52"/>
      <c r="K318" s="53">
        <f t="shared" si="198"/>
        <v>0</v>
      </c>
      <c r="M318" s="122">
        <v>46102</v>
      </c>
      <c r="N318" s="123">
        <v>9943.69</v>
      </c>
      <c r="O318" s="125"/>
      <c r="P318" s="126">
        <v>21.09</v>
      </c>
      <c r="R318" s="240">
        <v>162.5999999999998</v>
      </c>
      <c r="S318" s="53"/>
      <c r="T318" s="52"/>
      <c r="U318" s="53">
        <f t="shared" si="199"/>
        <v>183.6899999999998</v>
      </c>
      <c r="W318" s="122">
        <v>46102</v>
      </c>
      <c r="X318" s="123">
        <v>2970.27</v>
      </c>
      <c r="Y318" s="123">
        <v>143.03</v>
      </c>
      <c r="Z318" s="125"/>
      <c r="AA318" s="273">
        <v>1.4</v>
      </c>
      <c r="AC318" s="240">
        <v>42.742399999999975</v>
      </c>
      <c r="AD318" s="53"/>
      <c r="AE318" s="52"/>
      <c r="AF318" s="53">
        <f t="shared" si="200"/>
        <v>44.142399999999974</v>
      </c>
      <c r="AI318" s="122">
        <v>46102</v>
      </c>
      <c r="AJ318" s="123">
        <v>3192.73</v>
      </c>
      <c r="AK318" s="125"/>
      <c r="AL318" s="126"/>
      <c r="AN318" s="51"/>
      <c r="AO318" s="52"/>
      <c r="AP318" s="52"/>
      <c r="AQ318" s="53"/>
      <c r="AS318" s="122">
        <v>46102</v>
      </c>
      <c r="AT318" s="123">
        <v>5769.16</v>
      </c>
      <c r="AU318" s="125"/>
      <c r="AV318" s="128"/>
      <c r="AX318" s="51"/>
      <c r="AY318" s="52"/>
      <c r="AZ318" s="52"/>
      <c r="BA318" s="53"/>
      <c r="BC318" s="122">
        <v>46102</v>
      </c>
      <c r="BD318" s="123">
        <v>1707.07</v>
      </c>
      <c r="BE318" s="125"/>
      <c r="BF318" s="128">
        <v>0</v>
      </c>
      <c r="BH318" s="240"/>
      <c r="BI318" s="52"/>
      <c r="BJ318" s="52"/>
      <c r="BK318" s="53">
        <f t="shared" si="201"/>
        <v>0</v>
      </c>
      <c r="BM318" s="122">
        <v>46102</v>
      </c>
      <c r="BN318" s="123">
        <v>17382.169999999998</v>
      </c>
      <c r="BO318" s="123">
        <v>13692.19</v>
      </c>
      <c r="BP318" s="123">
        <v>9349.6</v>
      </c>
      <c r="BQ318" s="125"/>
      <c r="BR318" s="125"/>
      <c r="BT318" s="240">
        <v>110.77906999999996</v>
      </c>
      <c r="BU318" s="53"/>
      <c r="BV318" s="53"/>
      <c r="BW318" s="53">
        <f t="shared" si="197"/>
        <v>110.77906999999996</v>
      </c>
      <c r="BY318" s="122">
        <v>46102</v>
      </c>
      <c r="BZ318" s="256">
        <v>1050.51</v>
      </c>
      <c r="CA318" s="257">
        <v>713.31</v>
      </c>
      <c r="CB318" s="125"/>
      <c r="CC318" s="126"/>
      <c r="CE318" s="240"/>
      <c r="CF318" s="52">
        <v>13.520557399999916</v>
      </c>
      <c r="CG318" s="53"/>
      <c r="CH318" s="53">
        <f t="shared" si="202"/>
        <v>13.520557399999916</v>
      </c>
      <c r="CJ318" s="122">
        <v>46102</v>
      </c>
      <c r="CK318" s="123">
        <v>8786.34</v>
      </c>
      <c r="CL318" s="123">
        <v>904.79</v>
      </c>
      <c r="CM318" s="125"/>
      <c r="CN318" s="126">
        <v>27.88</v>
      </c>
      <c r="CP318" s="240">
        <v>251.43157999999968</v>
      </c>
      <c r="CQ318" s="53"/>
      <c r="CR318" s="52"/>
      <c r="CS318" s="53">
        <f t="shared" si="203"/>
        <v>279.31157999999971</v>
      </c>
      <c r="CU318" s="122">
        <v>46102</v>
      </c>
      <c r="CV318" s="123">
        <v>10036.94</v>
      </c>
      <c r="CW318" s="269">
        <v>6875.6</v>
      </c>
      <c r="CX318" s="125"/>
      <c r="CY318" s="128">
        <v>19.12</v>
      </c>
      <c r="CZ318" s="27"/>
      <c r="DA318" s="240">
        <v>546.47999999999911</v>
      </c>
      <c r="DB318" s="435">
        <v>167.51741935483872</v>
      </c>
      <c r="DC318" s="53"/>
      <c r="DD318" s="52"/>
      <c r="DE318" s="53">
        <f t="shared" si="204"/>
        <v>733.11741935483781</v>
      </c>
      <c r="DH318" s="122">
        <v>46102</v>
      </c>
      <c r="DI318" s="123">
        <v>3954.05</v>
      </c>
      <c r="DJ318" s="127">
        <v>0</v>
      </c>
      <c r="DK318" s="127">
        <v>1644.7</v>
      </c>
      <c r="DL318" s="127"/>
      <c r="DM318" s="126">
        <v>0</v>
      </c>
      <c r="DO318" s="240">
        <v>60.486119999999971</v>
      </c>
      <c r="DP318" s="53"/>
      <c r="DQ318" s="52"/>
      <c r="DR318" s="53">
        <f t="shared" si="205"/>
        <v>60.486119999999971</v>
      </c>
      <c r="DT318" s="122">
        <v>46102</v>
      </c>
      <c r="DU318" s="123">
        <v>3298.07</v>
      </c>
      <c r="DV318" s="125">
        <v>772.13</v>
      </c>
      <c r="DW318" s="127"/>
      <c r="DX318" s="126">
        <v>16.8</v>
      </c>
      <c r="DZ318" s="240"/>
      <c r="EA318" s="53"/>
      <c r="EB318" s="52"/>
      <c r="EC318" s="53">
        <f t="shared" si="206"/>
        <v>16.8</v>
      </c>
      <c r="EE318" s="122">
        <v>46102</v>
      </c>
      <c r="EF318" s="123">
        <v>1833.87</v>
      </c>
      <c r="EG318" s="125">
        <v>1556.17</v>
      </c>
      <c r="EH318" s="127"/>
      <c r="EI318" s="126">
        <v>4.66</v>
      </c>
      <c r="EK318" s="240">
        <v>86.337989999999635</v>
      </c>
      <c r="EL318" s="435">
        <v>167.51741935483872</v>
      </c>
      <c r="EM318" s="53">
        <v>93.479236199999988</v>
      </c>
      <c r="EN318" s="52"/>
      <c r="EO318" s="53">
        <f t="shared" si="207"/>
        <v>351.99464555483837</v>
      </c>
      <c r="EQ318" s="122">
        <v>46102</v>
      </c>
      <c r="ER318" s="123">
        <v>4706.38</v>
      </c>
      <c r="ES318" s="400">
        <v>718.91</v>
      </c>
      <c r="ET318" s="127"/>
      <c r="EU318" s="258">
        <v>339</v>
      </c>
      <c r="EW318" s="240"/>
      <c r="EX318" s="53"/>
      <c r="EY318" s="52"/>
      <c r="EZ318" s="53">
        <f t="shared" si="208"/>
        <v>339</v>
      </c>
      <c r="FB318" s="122">
        <v>46102</v>
      </c>
      <c r="FC318" s="123">
        <v>1197.57</v>
      </c>
      <c r="FD318" s="126">
        <v>180</v>
      </c>
      <c r="FE318" s="125"/>
      <c r="FF318" s="126"/>
      <c r="FH318" s="51"/>
      <c r="FI318" s="52"/>
      <c r="FJ318" s="52"/>
      <c r="FK318" s="53"/>
    </row>
    <row r="319" spans="2:167" x14ac:dyDescent="0.25">
      <c r="B319" s="443">
        <v>46103</v>
      </c>
      <c r="C319" s="123">
        <v>18758.650000000001</v>
      </c>
      <c r="D319" s="125"/>
      <c r="E319" s="125"/>
      <c r="F319" s="123">
        <v>0</v>
      </c>
      <c r="G319" s="27"/>
      <c r="H319" s="240"/>
      <c r="I319" s="53"/>
      <c r="J319" s="52"/>
      <c r="K319" s="53">
        <f t="shared" si="198"/>
        <v>0</v>
      </c>
      <c r="M319" s="122">
        <v>46103</v>
      </c>
      <c r="N319" s="123">
        <v>6820.06</v>
      </c>
      <c r="O319" s="125"/>
      <c r="P319" s="126">
        <v>1.42</v>
      </c>
      <c r="R319" s="240"/>
      <c r="S319" s="53"/>
      <c r="T319" s="52"/>
      <c r="U319" s="53">
        <f t="shared" si="199"/>
        <v>1.42</v>
      </c>
      <c r="W319" s="122">
        <v>46103</v>
      </c>
      <c r="X319" s="123">
        <v>3469.12</v>
      </c>
      <c r="Y319" s="123">
        <v>221.67</v>
      </c>
      <c r="Z319" s="125"/>
      <c r="AA319" s="273">
        <v>2.57</v>
      </c>
      <c r="AC319" s="240"/>
      <c r="AD319" s="53"/>
      <c r="AE319" s="52"/>
      <c r="AF319" s="53">
        <f t="shared" si="200"/>
        <v>2.57</v>
      </c>
      <c r="AI319" s="122">
        <v>46103</v>
      </c>
      <c r="AJ319" s="123">
        <v>2497.0500000000002</v>
      </c>
      <c r="AK319" s="125"/>
      <c r="AL319" s="126"/>
      <c r="AN319" s="51"/>
      <c r="AO319" s="52"/>
      <c r="AP319" s="52"/>
      <c r="AQ319" s="53"/>
      <c r="AS319" s="122">
        <v>46103</v>
      </c>
      <c r="AT319" s="123">
        <v>3554.91</v>
      </c>
      <c r="AU319" s="125"/>
      <c r="AV319" s="128"/>
      <c r="AX319" s="51"/>
      <c r="AY319" s="52"/>
      <c r="AZ319" s="52"/>
      <c r="BA319" s="53"/>
      <c r="BC319" s="122">
        <v>46103</v>
      </c>
      <c r="BD319" s="123">
        <v>1070.3800000000001</v>
      </c>
      <c r="BE319" s="125"/>
      <c r="BF319" s="128">
        <v>0</v>
      </c>
      <c r="BH319" s="240">
        <v>49.386719999999997</v>
      </c>
      <c r="BI319" s="52"/>
      <c r="BJ319" s="52"/>
      <c r="BK319" s="53">
        <f t="shared" si="201"/>
        <v>49.386719999999997</v>
      </c>
      <c r="BM319" s="122">
        <v>46103</v>
      </c>
      <c r="BN319" s="123">
        <v>11466.59</v>
      </c>
      <c r="BO319" s="123">
        <v>9619.4500000000007</v>
      </c>
      <c r="BP319" s="123">
        <v>5602.4</v>
      </c>
      <c r="BQ319" s="125"/>
      <c r="BR319" s="125"/>
      <c r="BT319" s="240">
        <v>142.71431999999993</v>
      </c>
      <c r="BU319" s="53"/>
      <c r="BV319" s="53"/>
      <c r="BW319" s="53">
        <f t="shared" si="197"/>
        <v>142.71431999999993</v>
      </c>
      <c r="BY319" s="122">
        <v>46103</v>
      </c>
      <c r="BZ319" s="256">
        <v>856.3</v>
      </c>
      <c r="CA319" s="257">
        <v>529.36</v>
      </c>
      <c r="CB319" s="125"/>
      <c r="CC319" s="126"/>
      <c r="CE319" s="240"/>
      <c r="CF319" s="52"/>
      <c r="CG319" s="53"/>
      <c r="CH319" s="53">
        <f t="shared" si="202"/>
        <v>0</v>
      </c>
      <c r="CJ319" s="122">
        <v>46103</v>
      </c>
      <c r="CK319" s="123">
        <v>8206.7800000000007</v>
      </c>
      <c r="CL319" s="123">
        <v>887.37</v>
      </c>
      <c r="CM319" s="125"/>
      <c r="CN319" s="126">
        <v>6.99</v>
      </c>
      <c r="CP319" s="240">
        <v>86.491289999999978</v>
      </c>
      <c r="CQ319" s="53"/>
      <c r="CR319" s="52"/>
      <c r="CS319" s="53">
        <f t="shared" si="203"/>
        <v>93.481289999999973</v>
      </c>
      <c r="CU319" s="122">
        <v>46103</v>
      </c>
      <c r="CV319" s="123">
        <v>6714.36</v>
      </c>
      <c r="CW319" s="269">
        <v>3267.35</v>
      </c>
      <c r="CX319" s="125"/>
      <c r="CY319" s="126">
        <v>57.44</v>
      </c>
      <c r="CZ319" s="27"/>
      <c r="DA319" s="240"/>
      <c r="DB319" s="435">
        <v>167.51741935483872</v>
      </c>
      <c r="DC319" s="53"/>
      <c r="DD319" s="52"/>
      <c r="DE319" s="53">
        <f t="shared" si="204"/>
        <v>224.95741935483872</v>
      </c>
      <c r="DH319" s="122">
        <v>46103</v>
      </c>
      <c r="DI319" s="123">
        <v>2816.64</v>
      </c>
      <c r="DJ319" s="127">
        <v>0</v>
      </c>
      <c r="DK319" s="127">
        <v>1220.04</v>
      </c>
      <c r="DL319" s="127"/>
      <c r="DM319" s="126">
        <v>0</v>
      </c>
      <c r="DO319" s="240"/>
      <c r="DP319" s="53"/>
      <c r="DQ319" s="52"/>
      <c r="DR319" s="53">
        <f t="shared" si="205"/>
        <v>0</v>
      </c>
      <c r="DT319" s="122">
        <v>46103</v>
      </c>
      <c r="DU319" s="123">
        <v>967.44</v>
      </c>
      <c r="DV319" s="125">
        <v>338.91</v>
      </c>
      <c r="DW319" s="127"/>
      <c r="DX319" s="126">
        <v>0</v>
      </c>
      <c r="DZ319" s="240"/>
      <c r="EA319" s="53"/>
      <c r="EB319" s="52"/>
      <c r="EC319" s="53">
        <f t="shared" si="206"/>
        <v>0</v>
      </c>
      <c r="EE319" s="122">
        <v>46103</v>
      </c>
      <c r="EF319" s="123">
        <v>1017.18</v>
      </c>
      <c r="EG319" s="125">
        <v>38.03</v>
      </c>
      <c r="EH319" s="127"/>
      <c r="EI319" s="126">
        <v>2.13</v>
      </c>
      <c r="EK319" s="240">
        <v>31.592129999999997</v>
      </c>
      <c r="EL319" s="435">
        <v>167.51741935483872</v>
      </c>
      <c r="EM319" s="53"/>
      <c r="EN319" s="52"/>
      <c r="EO319" s="53">
        <f t="shared" si="207"/>
        <v>201.23954935483872</v>
      </c>
      <c r="EQ319" s="122">
        <v>46103</v>
      </c>
      <c r="ER319" s="123">
        <v>2926.6</v>
      </c>
      <c r="ES319" s="400">
        <v>292.8</v>
      </c>
      <c r="ET319" s="127"/>
      <c r="EU319" s="258">
        <v>5.74</v>
      </c>
      <c r="EW319" s="240"/>
      <c r="EX319" s="53"/>
      <c r="EY319" s="52"/>
      <c r="EZ319" s="53">
        <f t="shared" si="208"/>
        <v>5.74</v>
      </c>
      <c r="FB319" s="122">
        <v>46103</v>
      </c>
      <c r="FC319" s="123">
        <v>229</v>
      </c>
      <c r="FD319" s="123">
        <v>212.07</v>
      </c>
      <c r="FE319" s="125"/>
      <c r="FF319" s="126"/>
      <c r="FH319" s="51"/>
      <c r="FI319" s="52"/>
      <c r="FJ319" s="52"/>
      <c r="FK319" s="53"/>
    </row>
    <row r="320" spans="2:167" x14ac:dyDescent="0.25">
      <c r="B320" s="443">
        <v>46104</v>
      </c>
      <c r="C320" s="123">
        <v>19375.37</v>
      </c>
      <c r="D320" s="125"/>
      <c r="E320" s="125"/>
      <c r="F320" s="123">
        <v>0</v>
      </c>
      <c r="G320" s="27"/>
      <c r="H320" s="240">
        <v>16.802520000000001</v>
      </c>
      <c r="I320" s="53"/>
      <c r="J320" s="52"/>
      <c r="K320" s="53">
        <f t="shared" si="198"/>
        <v>16.802520000000001</v>
      </c>
      <c r="M320" s="122">
        <v>46104</v>
      </c>
      <c r="N320" s="123">
        <v>5658.7</v>
      </c>
      <c r="O320" s="125"/>
      <c r="P320" s="126">
        <v>21.17</v>
      </c>
      <c r="R320" s="240">
        <v>20.066669999999988</v>
      </c>
      <c r="S320" s="53">
        <v>-10.87</v>
      </c>
      <c r="T320" s="52"/>
      <c r="U320" s="53">
        <f t="shared" si="199"/>
        <v>30.366669999999992</v>
      </c>
      <c r="W320" s="122">
        <v>46104</v>
      </c>
      <c r="X320" s="123">
        <v>3864.77</v>
      </c>
      <c r="Y320" s="123">
        <v>76</v>
      </c>
      <c r="Z320" s="125"/>
      <c r="AA320" s="273">
        <v>21.42</v>
      </c>
      <c r="AC320" s="240">
        <v>8.5162999999999442</v>
      </c>
      <c r="AD320" s="53"/>
      <c r="AE320" s="52"/>
      <c r="AF320" s="53">
        <f t="shared" si="200"/>
        <v>29.936299999999946</v>
      </c>
      <c r="AI320" s="122">
        <v>46104</v>
      </c>
      <c r="AJ320" s="123">
        <v>3749.8</v>
      </c>
      <c r="AK320" s="125"/>
      <c r="AL320" s="126"/>
      <c r="AN320" s="51"/>
      <c r="AO320" s="52"/>
      <c r="AP320" s="52"/>
      <c r="AQ320" s="53"/>
      <c r="AS320" s="122">
        <v>46104</v>
      </c>
      <c r="AT320" s="123">
        <v>4137.6400000000003</v>
      </c>
      <c r="AU320" s="125"/>
      <c r="AV320" s="128"/>
      <c r="AX320" s="51"/>
      <c r="AY320" s="52"/>
      <c r="AZ320" s="52"/>
      <c r="BA320" s="53"/>
      <c r="BC320" s="122">
        <v>46104</v>
      </c>
      <c r="BD320" s="123">
        <v>5353.26</v>
      </c>
      <c r="BE320" s="125"/>
      <c r="BF320" s="128">
        <v>0</v>
      </c>
      <c r="BH320" s="240"/>
      <c r="BI320" s="52"/>
      <c r="BJ320" s="52"/>
      <c r="BK320" s="53">
        <f t="shared" si="201"/>
        <v>0</v>
      </c>
      <c r="BM320" s="122">
        <v>46104</v>
      </c>
      <c r="BN320" s="123">
        <v>15516.06</v>
      </c>
      <c r="BO320" s="123">
        <v>10013.26</v>
      </c>
      <c r="BP320" s="123">
        <v>8957.74</v>
      </c>
      <c r="BQ320" s="125"/>
      <c r="BR320" s="125"/>
      <c r="BT320" s="240">
        <v>171.80037999999993</v>
      </c>
      <c r="BU320" s="53">
        <v>720.78907142857111</v>
      </c>
      <c r="BV320" s="53">
        <v>11.8541448</v>
      </c>
      <c r="BW320" s="53">
        <f t="shared" si="197"/>
        <v>904.44359622857098</v>
      </c>
      <c r="BY320" s="122">
        <v>46104</v>
      </c>
      <c r="BZ320" s="256">
        <v>1861.84</v>
      </c>
      <c r="CA320" s="260">
        <v>0</v>
      </c>
      <c r="CB320" s="125"/>
      <c r="CC320" s="126"/>
      <c r="CE320" s="240"/>
      <c r="CF320" s="52"/>
      <c r="CG320" s="53"/>
      <c r="CH320" s="53">
        <f t="shared" si="202"/>
        <v>0</v>
      </c>
      <c r="CJ320" s="122">
        <v>46104</v>
      </c>
      <c r="CK320" s="123">
        <v>12876.3</v>
      </c>
      <c r="CL320" s="123">
        <v>378.02</v>
      </c>
      <c r="CM320" s="125"/>
      <c r="CN320" s="126">
        <v>0</v>
      </c>
      <c r="CP320" s="240">
        <v>69.476229999999816</v>
      </c>
      <c r="CQ320" s="53"/>
      <c r="CR320" s="52"/>
      <c r="CS320" s="53">
        <f t="shared" si="203"/>
        <v>69.476229999999816</v>
      </c>
      <c r="CU320" s="122">
        <v>46104</v>
      </c>
      <c r="CV320" s="123">
        <v>14859.13</v>
      </c>
      <c r="CW320" s="269">
        <v>3824.16</v>
      </c>
      <c r="CX320" s="125"/>
      <c r="CY320" s="126">
        <v>230.64</v>
      </c>
      <c r="CZ320" s="27"/>
      <c r="DA320" s="240">
        <v>1519.0929548627228</v>
      </c>
      <c r="DB320" s="435">
        <v>167.51741935483872</v>
      </c>
      <c r="DC320" s="53"/>
      <c r="DD320" s="52"/>
      <c r="DE320" s="53">
        <f t="shared" si="204"/>
        <v>1917.2503742175613</v>
      </c>
      <c r="DH320" s="122">
        <v>46104</v>
      </c>
      <c r="DI320" s="123">
        <v>4276.66</v>
      </c>
      <c r="DJ320" s="127">
        <v>0</v>
      </c>
      <c r="DK320" s="127">
        <v>1461.8</v>
      </c>
      <c r="DL320" s="127"/>
      <c r="DM320" s="126">
        <v>0</v>
      </c>
      <c r="DO320" s="240">
        <v>70.553459999999916</v>
      </c>
      <c r="DP320" s="53"/>
      <c r="DQ320" s="52"/>
      <c r="DR320" s="53">
        <f t="shared" si="205"/>
        <v>70.553459999999916</v>
      </c>
      <c r="DT320" s="122">
        <v>46104</v>
      </c>
      <c r="DU320" s="123">
        <v>2340.9499999999998</v>
      </c>
      <c r="DV320" s="125">
        <v>946.14</v>
      </c>
      <c r="DW320" s="127"/>
      <c r="DX320" s="126">
        <v>49.85</v>
      </c>
      <c r="DZ320" s="240"/>
      <c r="EA320" s="53"/>
      <c r="EB320" s="52"/>
      <c r="EC320" s="53">
        <f t="shared" si="206"/>
        <v>49.85</v>
      </c>
      <c r="EE320" s="122">
        <v>46104</v>
      </c>
      <c r="EF320" s="123">
        <v>1653.93</v>
      </c>
      <c r="EG320" s="125">
        <v>314.29000000000002</v>
      </c>
      <c r="EH320" s="127"/>
      <c r="EI320" s="126">
        <v>5.16</v>
      </c>
      <c r="EK320" s="240">
        <v>388.0119599999997</v>
      </c>
      <c r="EL320" s="435">
        <v>167.51741935483872</v>
      </c>
      <c r="EM320" s="53">
        <v>72.326271299523739</v>
      </c>
      <c r="EN320" s="52"/>
      <c r="EO320" s="53">
        <f t="shared" si="207"/>
        <v>633.01565065436216</v>
      </c>
      <c r="EQ320" s="122">
        <v>46104</v>
      </c>
      <c r="ER320" s="123">
        <v>5324.65</v>
      </c>
      <c r="ES320" s="400">
        <v>226.92</v>
      </c>
      <c r="ET320" s="127"/>
      <c r="EU320" s="258">
        <v>276.39999999999998</v>
      </c>
      <c r="EW320" s="240">
        <v>403.03709999999978</v>
      </c>
      <c r="EX320" s="53"/>
      <c r="EY320" s="52"/>
      <c r="EZ320" s="53">
        <f t="shared" si="208"/>
        <v>679.43709999999976</v>
      </c>
      <c r="FB320" s="122">
        <v>46104</v>
      </c>
      <c r="FC320" s="123">
        <v>648.6</v>
      </c>
      <c r="FD320" s="123">
        <v>101</v>
      </c>
      <c r="FE320" s="125"/>
      <c r="FF320" s="126"/>
      <c r="FH320" s="51"/>
      <c r="FI320" s="52"/>
      <c r="FJ320" s="52"/>
      <c r="FK320" s="53"/>
    </row>
    <row r="321" spans="2:167" x14ac:dyDescent="0.25">
      <c r="B321" s="443">
        <v>46105</v>
      </c>
      <c r="C321" s="123">
        <v>22152.71</v>
      </c>
      <c r="D321" s="125"/>
      <c r="E321" s="125"/>
      <c r="F321" s="123">
        <v>0</v>
      </c>
      <c r="G321" s="27"/>
      <c r="H321" s="240">
        <v>73.412579999999878</v>
      </c>
      <c r="I321" s="53"/>
      <c r="J321" s="52"/>
      <c r="K321" s="53">
        <f t="shared" si="198"/>
        <v>73.412579999999878</v>
      </c>
      <c r="M321" s="122">
        <v>46105</v>
      </c>
      <c r="N321" s="123">
        <v>8117.61</v>
      </c>
      <c r="O321" s="125"/>
      <c r="P321" s="126">
        <v>42.34</v>
      </c>
      <c r="R321" s="240"/>
      <c r="S321" s="53"/>
      <c r="T321" s="52"/>
      <c r="U321" s="53">
        <f t="shared" si="199"/>
        <v>42.34</v>
      </c>
      <c r="W321" s="122">
        <v>46105</v>
      </c>
      <c r="X321" s="123">
        <v>2623.97</v>
      </c>
      <c r="Y321" s="123">
        <v>316.19</v>
      </c>
      <c r="Z321" s="125"/>
      <c r="AA321" s="273">
        <v>4.46</v>
      </c>
      <c r="AC321" s="240">
        <v>38.29240999999999</v>
      </c>
      <c r="AD321" s="53">
        <v>9.7657047999999804</v>
      </c>
      <c r="AE321" s="52"/>
      <c r="AF321" s="53">
        <f t="shared" si="200"/>
        <v>52.518114799999971</v>
      </c>
      <c r="AI321" s="122">
        <v>46105</v>
      </c>
      <c r="AJ321" s="123">
        <v>2709.15</v>
      </c>
      <c r="AK321" s="125"/>
      <c r="AL321" s="126"/>
      <c r="AN321" s="51"/>
      <c r="AO321" s="52"/>
      <c r="AP321" s="52"/>
      <c r="AQ321" s="53"/>
      <c r="AS321" s="122">
        <v>46105</v>
      </c>
      <c r="AT321" s="123">
        <v>5113.2</v>
      </c>
      <c r="AU321" s="125"/>
      <c r="AV321" s="128"/>
      <c r="AX321" s="51"/>
      <c r="AY321" s="52"/>
      <c r="AZ321" s="52"/>
      <c r="BA321" s="53"/>
      <c r="BC321" s="122">
        <v>46105</v>
      </c>
      <c r="BD321" s="123">
        <v>3427.18</v>
      </c>
      <c r="BE321" s="125"/>
      <c r="BF321" s="128">
        <v>0</v>
      </c>
      <c r="BH321" s="240">
        <v>55.559779999999932</v>
      </c>
      <c r="BI321" s="52"/>
      <c r="BJ321" s="52"/>
      <c r="BK321" s="53">
        <f t="shared" si="201"/>
        <v>55.559779999999932</v>
      </c>
      <c r="BM321" s="122">
        <v>46105</v>
      </c>
      <c r="BN321" s="123">
        <v>17994.22</v>
      </c>
      <c r="BO321" s="123">
        <v>7290.57</v>
      </c>
      <c r="BP321" s="123">
        <v>8613.93</v>
      </c>
      <c r="BQ321" s="125"/>
      <c r="BR321" s="125"/>
      <c r="BT321" s="240">
        <v>307.17914999999988</v>
      </c>
      <c r="BU321" s="53">
        <v>375.27484946514272</v>
      </c>
      <c r="BV321" s="53"/>
      <c r="BW321" s="53">
        <f t="shared" si="197"/>
        <v>682.4539994651426</v>
      </c>
      <c r="BY321" s="122">
        <v>46105</v>
      </c>
      <c r="BZ321" s="256">
        <v>845.96</v>
      </c>
      <c r="CA321" s="257">
        <v>255.94</v>
      </c>
      <c r="CB321" s="125"/>
      <c r="CC321" s="126"/>
      <c r="CE321" s="240">
        <v>7.9898000000000025</v>
      </c>
      <c r="CF321" s="52"/>
      <c r="CG321" s="53"/>
      <c r="CH321" s="53">
        <f t="shared" si="202"/>
        <v>7.9898000000000025</v>
      </c>
      <c r="CJ321" s="122">
        <v>46105</v>
      </c>
      <c r="CK321" s="123">
        <v>9947.25</v>
      </c>
      <c r="CL321" s="123">
        <v>598.65</v>
      </c>
      <c r="CM321" s="125"/>
      <c r="CN321" s="126">
        <v>20.05</v>
      </c>
      <c r="CP321" s="240">
        <v>95.348649999999907</v>
      </c>
      <c r="CQ321" s="53"/>
      <c r="CR321" s="52"/>
      <c r="CS321" s="53">
        <f t="shared" si="203"/>
        <v>115.3986499999999</v>
      </c>
      <c r="CU321" s="122">
        <v>46105</v>
      </c>
      <c r="CV321" s="123">
        <v>10715.91</v>
      </c>
      <c r="CW321" s="269">
        <v>4623.49</v>
      </c>
      <c r="CX321" s="125"/>
      <c r="CY321" s="126">
        <v>112.02</v>
      </c>
      <c r="CZ321" s="27"/>
      <c r="DA321" s="240">
        <v>1548.3599999999958</v>
      </c>
      <c r="DB321" s="435">
        <v>167.51741935483872</v>
      </c>
      <c r="DC321" s="53"/>
      <c r="DD321" s="52"/>
      <c r="DE321" s="53">
        <f t="shared" si="204"/>
        <v>1827.8974193548345</v>
      </c>
      <c r="DH321" s="122">
        <v>46105</v>
      </c>
      <c r="DI321" s="123">
        <v>3079.45</v>
      </c>
      <c r="DJ321" s="127">
        <v>494.71</v>
      </c>
      <c r="DK321" s="127">
        <v>1841.35</v>
      </c>
      <c r="DL321" s="127"/>
      <c r="DM321" s="126">
        <v>0</v>
      </c>
      <c r="DO321" s="240">
        <v>53.148919999999947</v>
      </c>
      <c r="DP321" s="53"/>
      <c r="DQ321" s="52"/>
      <c r="DR321" s="53">
        <f t="shared" si="205"/>
        <v>53.148919999999947</v>
      </c>
      <c r="DT321" s="122">
        <v>46105</v>
      </c>
      <c r="DU321" s="123">
        <v>2344.8000000000002</v>
      </c>
      <c r="DV321" s="125">
        <v>805.54</v>
      </c>
      <c r="DW321" s="127"/>
      <c r="DX321" s="126">
        <v>18.11</v>
      </c>
      <c r="DZ321" s="240"/>
      <c r="EA321" s="53"/>
      <c r="EB321" s="52"/>
      <c r="EC321" s="53">
        <f t="shared" si="206"/>
        <v>18.11</v>
      </c>
      <c r="EE321" s="122">
        <v>46105</v>
      </c>
      <c r="EF321" s="123">
        <v>1895.1</v>
      </c>
      <c r="EG321" s="125">
        <v>881.71</v>
      </c>
      <c r="EH321" s="127"/>
      <c r="EI321" s="126">
        <v>6.46</v>
      </c>
      <c r="EK321" s="240">
        <v>512.59703999999965</v>
      </c>
      <c r="EL321" s="435">
        <v>167.51741935483872</v>
      </c>
      <c r="EM321" s="53">
        <v>10.2603598114286</v>
      </c>
      <c r="EN321" s="52"/>
      <c r="EO321" s="53">
        <f t="shared" si="207"/>
        <v>696.83481916626693</v>
      </c>
      <c r="EQ321" s="122">
        <v>46105</v>
      </c>
      <c r="ER321" s="123">
        <v>5647.67</v>
      </c>
      <c r="ES321" s="400">
        <v>501.47</v>
      </c>
      <c r="ET321" s="127"/>
      <c r="EU321" s="258">
        <v>270.39999999999998</v>
      </c>
      <c r="EW321" s="240">
        <v>49.913099999999986</v>
      </c>
      <c r="EX321" s="53"/>
      <c r="EY321" s="52"/>
      <c r="EZ321" s="53">
        <f t="shared" si="208"/>
        <v>320.31309999999996</v>
      </c>
      <c r="FB321" s="122">
        <v>46105</v>
      </c>
      <c r="FC321" s="123">
        <v>111.83</v>
      </c>
      <c r="FD321" s="123">
        <v>83.05</v>
      </c>
      <c r="FE321" s="125"/>
      <c r="FF321" s="126"/>
      <c r="FH321" s="51"/>
      <c r="FI321" s="52"/>
      <c r="FJ321" s="52"/>
      <c r="FK321" s="53"/>
    </row>
    <row r="322" spans="2:167" x14ac:dyDescent="0.25">
      <c r="B322" s="443">
        <v>46106</v>
      </c>
      <c r="C322" s="123">
        <v>23205.58</v>
      </c>
      <c r="D322" s="125"/>
      <c r="E322" s="125"/>
      <c r="F322" s="123">
        <v>0</v>
      </c>
      <c r="G322" s="27"/>
      <c r="H322" s="240"/>
      <c r="I322" s="53"/>
      <c r="J322" s="52"/>
      <c r="K322" s="53">
        <f t="shared" si="198"/>
        <v>0</v>
      </c>
      <c r="M322" s="122">
        <v>46106</v>
      </c>
      <c r="N322" s="123">
        <v>8204.9500000000007</v>
      </c>
      <c r="O322" s="125"/>
      <c r="P322" s="126">
        <v>64.72</v>
      </c>
      <c r="R322" s="240">
        <v>-40.14143999999996</v>
      </c>
      <c r="S322" s="53"/>
      <c r="T322" s="52"/>
      <c r="U322" s="53">
        <f t="shared" si="199"/>
        <v>24.578560000000039</v>
      </c>
      <c r="W322" s="122">
        <v>46106</v>
      </c>
      <c r="X322" s="123">
        <v>12095.42</v>
      </c>
      <c r="Y322" s="123">
        <v>116.73</v>
      </c>
      <c r="Z322" s="125"/>
      <c r="AA322" s="273">
        <v>2.19</v>
      </c>
      <c r="AC322" s="240">
        <v>24.510750000000002</v>
      </c>
      <c r="AD322" s="53"/>
      <c r="AE322" s="52"/>
      <c r="AF322" s="53">
        <f t="shared" si="200"/>
        <v>26.700750000000003</v>
      </c>
      <c r="AI322" s="122">
        <v>46106</v>
      </c>
      <c r="AJ322" s="123">
        <v>2666.19</v>
      </c>
      <c r="AK322" s="125"/>
      <c r="AL322" s="126"/>
      <c r="AN322" s="51"/>
      <c r="AO322" s="52"/>
      <c r="AP322" s="52"/>
      <c r="AQ322" s="53"/>
      <c r="AS322" s="122">
        <v>46106</v>
      </c>
      <c r="AT322" s="123">
        <v>4409.3599999999997</v>
      </c>
      <c r="AU322" s="125"/>
      <c r="AV322" s="128"/>
      <c r="AX322" s="51"/>
      <c r="AY322" s="52"/>
      <c r="AZ322" s="52"/>
      <c r="BA322" s="53"/>
      <c r="BC322" s="122">
        <v>46106</v>
      </c>
      <c r="BD322" s="123">
        <v>4037.09</v>
      </c>
      <c r="BE322" s="125"/>
      <c r="BF322" s="128">
        <v>0</v>
      </c>
      <c r="BH322" s="240">
        <v>20.446400000000011</v>
      </c>
      <c r="BI322" s="52"/>
      <c r="BJ322" s="52"/>
      <c r="BK322" s="53">
        <f t="shared" si="201"/>
        <v>20.446400000000011</v>
      </c>
      <c r="BM322" s="122">
        <v>46106</v>
      </c>
      <c r="BN322" s="123">
        <v>15355.8</v>
      </c>
      <c r="BO322" s="123">
        <v>6475.81</v>
      </c>
      <c r="BP322" s="123">
        <v>9591.6</v>
      </c>
      <c r="BQ322" s="125"/>
      <c r="BR322" s="125"/>
      <c r="BT322" s="240">
        <v>105.58327999999996</v>
      </c>
      <c r="BU322" s="53"/>
      <c r="BV322" s="53">
        <v>7.6884761999999682</v>
      </c>
      <c r="BW322" s="53">
        <f t="shared" si="197"/>
        <v>113.27175619999993</v>
      </c>
      <c r="BY322" s="122">
        <v>46106</v>
      </c>
      <c r="BZ322" s="256">
        <v>1997.98</v>
      </c>
      <c r="CA322" s="257">
        <v>275</v>
      </c>
      <c r="CB322" s="125"/>
      <c r="CC322" s="126"/>
      <c r="CE322" s="240"/>
      <c r="CF322" s="52"/>
      <c r="CG322" s="53"/>
      <c r="CH322" s="53">
        <f t="shared" si="202"/>
        <v>0</v>
      </c>
      <c r="CJ322" s="122">
        <v>46106</v>
      </c>
      <c r="CK322" s="123">
        <v>8610.02</v>
      </c>
      <c r="CL322" s="123">
        <v>382.08</v>
      </c>
      <c r="CM322" s="125"/>
      <c r="CN322" s="126">
        <v>0</v>
      </c>
      <c r="CP322" s="240">
        <v>-20.537730000000344</v>
      </c>
      <c r="CQ322" s="53"/>
      <c r="CR322" s="52"/>
      <c r="CS322" s="53">
        <f t="shared" si="203"/>
        <v>-20.537730000000344</v>
      </c>
      <c r="CU322" s="122">
        <v>46106</v>
      </c>
      <c r="CV322" s="123">
        <v>17729.12</v>
      </c>
      <c r="CW322" s="269">
        <v>3556.08</v>
      </c>
      <c r="CX322" s="125"/>
      <c r="CY322" s="126">
        <v>155.63999999999999</v>
      </c>
      <c r="CZ322" s="27"/>
      <c r="DA322" s="240">
        <v>1123.9800000000002</v>
      </c>
      <c r="DB322" s="435">
        <v>167.51741935483872</v>
      </c>
      <c r="DC322" s="53"/>
      <c r="DD322" s="52"/>
      <c r="DE322" s="53">
        <f t="shared" si="204"/>
        <v>1447.137419354839</v>
      </c>
      <c r="DH322" s="122">
        <v>46106</v>
      </c>
      <c r="DI322" s="123">
        <v>4421.95</v>
      </c>
      <c r="DJ322" s="127">
        <v>35</v>
      </c>
      <c r="DK322" s="127">
        <v>1694.6</v>
      </c>
      <c r="DL322" s="127"/>
      <c r="DM322" s="126">
        <v>7</v>
      </c>
      <c r="DO322" s="240">
        <v>20.220239999999933</v>
      </c>
      <c r="DP322" s="53"/>
      <c r="DQ322" s="52"/>
      <c r="DR322" s="53">
        <f t="shared" si="205"/>
        <v>27.220239999999933</v>
      </c>
      <c r="DT322" s="122">
        <v>46106</v>
      </c>
      <c r="DU322" s="123">
        <v>2532.42</v>
      </c>
      <c r="DV322" s="125">
        <v>680.3</v>
      </c>
      <c r="DW322" s="127"/>
      <c r="DX322" s="126">
        <v>8.08</v>
      </c>
      <c r="DZ322" s="240"/>
      <c r="EA322" s="53">
        <v>-7.3617618000000675</v>
      </c>
      <c r="EB322" s="52"/>
      <c r="EC322" s="53">
        <f t="shared" si="206"/>
        <v>0.71823819999993255</v>
      </c>
      <c r="EE322" s="122">
        <v>46106</v>
      </c>
      <c r="EF322" s="123">
        <v>2177.3200000000002</v>
      </c>
      <c r="EG322" s="125">
        <v>1436.48</v>
      </c>
      <c r="EH322" s="127"/>
      <c r="EI322" s="126">
        <v>8.43</v>
      </c>
      <c r="EK322" s="240">
        <v>113.9494399999997</v>
      </c>
      <c r="EL322" s="435">
        <v>167.51741935483872</v>
      </c>
      <c r="EM322" s="53">
        <v>66.501169337142954</v>
      </c>
      <c r="EN322" s="52"/>
      <c r="EO322" s="53">
        <f t="shared" si="207"/>
        <v>356.39802869198138</v>
      </c>
      <c r="EQ322" s="122">
        <v>46106</v>
      </c>
      <c r="ER322" s="123">
        <v>6092.75</v>
      </c>
      <c r="ES322" s="400">
        <v>360.21</v>
      </c>
      <c r="ET322" s="127"/>
      <c r="EU322" s="258">
        <v>401.58</v>
      </c>
      <c r="EW322" s="240">
        <v>81.753480000000025</v>
      </c>
      <c r="EX322" s="53"/>
      <c r="EY322" s="52"/>
      <c r="EZ322" s="53">
        <f t="shared" si="208"/>
        <v>483.33348000000001</v>
      </c>
      <c r="FB322" s="122">
        <v>46106</v>
      </c>
      <c r="FC322" s="123">
        <v>204.99</v>
      </c>
      <c r="FD322" s="123">
        <v>105.6</v>
      </c>
      <c r="FE322" s="125"/>
      <c r="FF322" s="126"/>
      <c r="FH322" s="51"/>
      <c r="FI322" s="52"/>
      <c r="FJ322" s="52"/>
      <c r="FK322" s="53"/>
    </row>
    <row r="323" spans="2:167" x14ac:dyDescent="0.25">
      <c r="B323" s="443">
        <v>46107</v>
      </c>
      <c r="C323" s="123">
        <v>20565.36</v>
      </c>
      <c r="D323" s="126"/>
      <c r="E323" s="125"/>
      <c r="F323" s="126">
        <v>0</v>
      </c>
      <c r="G323" s="27"/>
      <c r="H323" s="240">
        <v>2.1709599999999938</v>
      </c>
      <c r="I323" s="53">
        <v>-102.24017814857075</v>
      </c>
      <c r="J323" s="52"/>
      <c r="K323" s="53">
        <f t="shared" si="198"/>
        <v>-100.06921814857076</v>
      </c>
      <c r="M323" s="122">
        <v>46107</v>
      </c>
      <c r="N323" s="123">
        <v>8645.2800000000007</v>
      </c>
      <c r="O323" s="125"/>
      <c r="P323" s="126">
        <v>12.41</v>
      </c>
      <c r="R323" s="240">
        <v>-5.3990400000000136</v>
      </c>
      <c r="S323" s="53"/>
      <c r="T323" s="52"/>
      <c r="U323" s="53">
        <f t="shared" si="199"/>
        <v>7.0109599999999865</v>
      </c>
      <c r="W323" s="122">
        <v>46107</v>
      </c>
      <c r="X323" s="123">
        <v>2561.16</v>
      </c>
      <c r="Y323" s="123">
        <v>192.82</v>
      </c>
      <c r="Z323" s="125"/>
      <c r="AA323" s="273">
        <v>12.94</v>
      </c>
      <c r="AC323" s="240">
        <v>31.187969999999936</v>
      </c>
      <c r="AD323" s="53"/>
      <c r="AE323" s="52"/>
      <c r="AF323" s="53">
        <f t="shared" si="200"/>
        <v>44.127969999999934</v>
      </c>
      <c r="AI323" s="122">
        <v>46107</v>
      </c>
      <c r="AJ323" s="123">
        <v>3146.02</v>
      </c>
      <c r="AK323" s="125"/>
      <c r="AL323" s="126"/>
      <c r="AN323" s="51"/>
      <c r="AO323" s="52"/>
      <c r="AP323" s="52"/>
      <c r="AQ323" s="53"/>
      <c r="AS323" s="122">
        <v>46107</v>
      </c>
      <c r="AT323" s="123">
        <v>3287.23</v>
      </c>
      <c r="AU323" s="125"/>
      <c r="AV323" s="128"/>
      <c r="AX323" s="51"/>
      <c r="AY323" s="52"/>
      <c r="AZ323" s="52"/>
      <c r="BA323" s="53"/>
      <c r="BC323" s="122">
        <v>46107</v>
      </c>
      <c r="BD323" s="123">
        <v>5681.5</v>
      </c>
      <c r="BE323" s="125"/>
      <c r="BF323" s="128">
        <v>0</v>
      </c>
      <c r="BH323" s="240">
        <v>55.539949999999891</v>
      </c>
      <c r="BI323" s="52"/>
      <c r="BJ323" s="52"/>
      <c r="BK323" s="53">
        <f t="shared" si="201"/>
        <v>55.539949999999891</v>
      </c>
      <c r="BM323" s="122">
        <v>46107</v>
      </c>
      <c r="BN323" s="123">
        <v>16428.349999999999</v>
      </c>
      <c r="BO323" s="123">
        <v>5146.74</v>
      </c>
      <c r="BP323" s="123">
        <v>9456.48</v>
      </c>
      <c r="BQ323" s="125"/>
      <c r="BR323" s="125"/>
      <c r="BT323" s="240">
        <v>84.95451999999986</v>
      </c>
      <c r="BU323" s="53">
        <v>430.19633714285715</v>
      </c>
      <c r="BV323" s="53">
        <v>7.8773715000000024</v>
      </c>
      <c r="BW323" s="53">
        <f t="shared" si="197"/>
        <v>523.02822864285702</v>
      </c>
      <c r="BY323" s="122">
        <v>46107</v>
      </c>
      <c r="BZ323" s="256">
        <v>1465.58</v>
      </c>
      <c r="CA323" s="257">
        <v>273.04000000000002</v>
      </c>
      <c r="CB323" s="125"/>
      <c r="CC323" s="126"/>
      <c r="CE323" s="240"/>
      <c r="CF323" s="52"/>
      <c r="CG323" s="53"/>
      <c r="CH323" s="53">
        <f t="shared" si="202"/>
        <v>0</v>
      </c>
      <c r="CJ323" s="122">
        <v>46107</v>
      </c>
      <c r="CK323" s="123">
        <v>10137.08</v>
      </c>
      <c r="CL323" s="123">
        <v>381.39</v>
      </c>
      <c r="CM323" s="125"/>
      <c r="CN323" s="126">
        <v>44.47</v>
      </c>
      <c r="CP323" s="240">
        <v>-66.888030000000725</v>
      </c>
      <c r="CQ323" s="53"/>
      <c r="CR323" s="52"/>
      <c r="CS323" s="53">
        <f t="shared" si="203"/>
        <v>-22.418030000000726</v>
      </c>
      <c r="CU323" s="122">
        <v>46107</v>
      </c>
      <c r="CV323" s="123">
        <v>14888.95</v>
      </c>
      <c r="CW323" s="269">
        <v>2386.66</v>
      </c>
      <c r="CX323" s="125"/>
      <c r="CY323" s="126">
        <v>92.18</v>
      </c>
      <c r="CZ323" s="27"/>
      <c r="DA323" s="240">
        <v>7.8599999999999994</v>
      </c>
      <c r="DB323" s="435">
        <v>167.51741935483872</v>
      </c>
      <c r="DC323" s="53"/>
      <c r="DD323" s="52"/>
      <c r="DE323" s="53">
        <f t="shared" si="204"/>
        <v>267.55741935483871</v>
      </c>
      <c r="DH323" s="122">
        <v>46107</v>
      </c>
      <c r="DI323" s="123">
        <v>3355.55</v>
      </c>
      <c r="DJ323" s="259">
        <v>706.39</v>
      </c>
      <c r="DK323" s="259">
        <v>2000.86</v>
      </c>
      <c r="DL323" s="127"/>
      <c r="DM323" s="126">
        <v>0</v>
      </c>
      <c r="DO323" s="240"/>
      <c r="DP323" s="53"/>
      <c r="DQ323" s="52"/>
      <c r="DR323" s="53">
        <f t="shared" si="205"/>
        <v>0</v>
      </c>
      <c r="DT323" s="122">
        <v>46107</v>
      </c>
      <c r="DU323" s="123">
        <v>3424.9</v>
      </c>
      <c r="DV323" s="400">
        <v>795.98</v>
      </c>
      <c r="DW323" s="127"/>
      <c r="DX323" s="126">
        <v>28.29</v>
      </c>
      <c r="DZ323" s="240"/>
      <c r="EA323" s="53"/>
      <c r="EB323" s="52"/>
      <c r="EC323" s="53">
        <f t="shared" si="206"/>
        <v>28.29</v>
      </c>
      <c r="EE323" s="122">
        <v>46107</v>
      </c>
      <c r="EF323" s="123">
        <v>3680.38</v>
      </c>
      <c r="EG323" s="125">
        <v>1585.88</v>
      </c>
      <c r="EH323" s="127"/>
      <c r="EI323" s="126">
        <v>8.76</v>
      </c>
      <c r="EK323" s="240">
        <v>157.83003999999954</v>
      </c>
      <c r="EL323" s="435">
        <v>167.51741935483872</v>
      </c>
      <c r="EM323" s="53">
        <v>30.787879628571432</v>
      </c>
      <c r="EN323" s="52"/>
      <c r="EO323" s="53">
        <f t="shared" si="207"/>
        <v>364.89533898340972</v>
      </c>
      <c r="EQ323" s="122">
        <v>46107</v>
      </c>
      <c r="ER323" s="123">
        <v>5072.51</v>
      </c>
      <c r="ES323" s="400">
        <v>89</v>
      </c>
      <c r="ET323" s="127"/>
      <c r="EU323" s="258">
        <v>358.4</v>
      </c>
      <c r="EW323" s="240">
        <v>139.93254000000007</v>
      </c>
      <c r="EX323" s="53">
        <v>55.93750001142871</v>
      </c>
      <c r="EY323" s="52"/>
      <c r="EZ323" s="53">
        <f t="shared" si="208"/>
        <v>554.27004001142882</v>
      </c>
      <c r="FB323" s="122">
        <v>46107</v>
      </c>
      <c r="FC323" s="123">
        <v>1104.72</v>
      </c>
      <c r="FD323" s="123">
        <v>200.79</v>
      </c>
      <c r="FE323" s="125"/>
      <c r="FF323" s="126"/>
      <c r="FH323" s="51"/>
      <c r="FI323" s="52"/>
      <c r="FJ323" s="52"/>
      <c r="FK323" s="53"/>
    </row>
    <row r="324" spans="2:167" x14ac:dyDescent="0.25">
      <c r="B324" s="443">
        <v>46108</v>
      </c>
      <c r="C324" s="123">
        <v>25224.7</v>
      </c>
      <c r="D324" s="125"/>
      <c r="E324" s="125"/>
      <c r="F324" s="123">
        <v>0</v>
      </c>
      <c r="G324" s="27"/>
      <c r="H324" s="240">
        <v>64.968339999999827</v>
      </c>
      <c r="I324" s="53">
        <v>3.7987623761904672</v>
      </c>
      <c r="J324" s="52"/>
      <c r="K324" s="53">
        <f t="shared" si="198"/>
        <v>68.767102376190294</v>
      </c>
      <c r="M324" s="122">
        <v>46108</v>
      </c>
      <c r="N324" s="123">
        <v>8860.34</v>
      </c>
      <c r="O324" s="125"/>
      <c r="P324" s="126">
        <v>50.4</v>
      </c>
      <c r="R324" s="240">
        <v>7.0699999999999932</v>
      </c>
      <c r="S324" s="53"/>
      <c r="T324" s="52"/>
      <c r="U324" s="53">
        <f t="shared" si="199"/>
        <v>57.469999999999992</v>
      </c>
      <c r="W324" s="122">
        <v>46108</v>
      </c>
      <c r="X324" s="123">
        <v>3878.77</v>
      </c>
      <c r="Y324" s="123">
        <v>176.62</v>
      </c>
      <c r="Z324" s="125"/>
      <c r="AA324" s="273">
        <v>2.94</v>
      </c>
      <c r="AC324" s="240">
        <v>8.816250000000025</v>
      </c>
      <c r="AD324" s="53">
        <v>20.92634019999997</v>
      </c>
      <c r="AE324" s="52"/>
      <c r="AF324" s="53">
        <f t="shared" si="200"/>
        <v>32.682590199999993</v>
      </c>
      <c r="AI324" s="122">
        <v>46108</v>
      </c>
      <c r="AJ324" s="123">
        <v>2823.21</v>
      </c>
      <c r="AK324" s="125"/>
      <c r="AL324" s="126"/>
      <c r="AN324" s="51"/>
      <c r="AO324" s="52"/>
      <c r="AP324" s="52"/>
      <c r="AQ324" s="53"/>
      <c r="AS324" s="122">
        <v>46108</v>
      </c>
      <c r="AT324" s="123">
        <v>3833.79</v>
      </c>
      <c r="AU324" s="125"/>
      <c r="AV324" s="128"/>
      <c r="AX324" s="51"/>
      <c r="AY324" s="52"/>
      <c r="AZ324" s="52"/>
      <c r="BA324" s="53"/>
      <c r="BC324" s="122">
        <v>46108</v>
      </c>
      <c r="BD324" s="123">
        <v>3791.55</v>
      </c>
      <c r="BE324" s="125"/>
      <c r="BF324" s="128">
        <v>0</v>
      </c>
      <c r="BH324" s="240">
        <v>22.548329999999964</v>
      </c>
      <c r="BI324" s="52"/>
      <c r="BJ324" s="52"/>
      <c r="BK324" s="53">
        <f t="shared" si="201"/>
        <v>22.548329999999964</v>
      </c>
      <c r="BM324" s="122">
        <v>46108</v>
      </c>
      <c r="BN324" s="123">
        <v>14611.43</v>
      </c>
      <c r="BO324" s="123">
        <v>4383.8500000000004</v>
      </c>
      <c r="BP324" s="123">
        <v>10361.49</v>
      </c>
      <c r="BQ324" s="125"/>
      <c r="BR324" s="125"/>
      <c r="BT324" s="240">
        <v>104.57459999999996</v>
      </c>
      <c r="BU324" s="53"/>
      <c r="BV324" s="53">
        <v>173.67510400000003</v>
      </c>
      <c r="BW324" s="53">
        <f t="shared" si="197"/>
        <v>278.24970400000001</v>
      </c>
      <c r="BY324" s="122">
        <v>46108</v>
      </c>
      <c r="BZ324" s="256">
        <v>1121.74</v>
      </c>
      <c r="CA324" s="260">
        <v>500.07</v>
      </c>
      <c r="CB324" s="125"/>
      <c r="CC324" s="126"/>
      <c r="CE324" s="240"/>
      <c r="CF324" s="52"/>
      <c r="CG324" s="53"/>
      <c r="CH324" s="53">
        <f t="shared" si="202"/>
        <v>0</v>
      </c>
      <c r="CJ324" s="122">
        <v>46108</v>
      </c>
      <c r="CK324" s="123">
        <v>13816.3</v>
      </c>
      <c r="CL324" s="123">
        <v>265.64999999999998</v>
      </c>
      <c r="CM324" s="125"/>
      <c r="CN324" s="126">
        <v>38.1</v>
      </c>
      <c r="CP324" s="240">
        <v>108.22398000000001</v>
      </c>
      <c r="CQ324" s="53"/>
      <c r="CR324" s="52"/>
      <c r="CS324" s="53">
        <f t="shared" si="203"/>
        <v>146.32398000000001</v>
      </c>
      <c r="CU324" s="122">
        <v>46108</v>
      </c>
      <c r="CV324" s="123">
        <v>17606.7</v>
      </c>
      <c r="CW324" s="269">
        <v>3383.57</v>
      </c>
      <c r="CX324" s="125"/>
      <c r="CY324" s="126">
        <v>104.91</v>
      </c>
      <c r="CZ324" s="27"/>
      <c r="DA324" s="240"/>
      <c r="DB324" s="435">
        <v>167.51741935483872</v>
      </c>
      <c r="DC324" s="53"/>
      <c r="DD324" s="52"/>
      <c r="DE324" s="53">
        <f t="shared" si="204"/>
        <v>272.42741935483872</v>
      </c>
      <c r="DH324" s="122">
        <v>46108</v>
      </c>
      <c r="DI324" s="123">
        <v>1820.1</v>
      </c>
      <c r="DJ324" s="127">
        <v>399.17</v>
      </c>
      <c r="DK324" s="127">
        <v>2071.4</v>
      </c>
      <c r="DL324" s="127"/>
      <c r="DM324" s="126">
        <v>0</v>
      </c>
      <c r="DO324" s="240">
        <v>36.423599999999936</v>
      </c>
      <c r="DP324" s="53"/>
      <c r="DQ324" s="52"/>
      <c r="DR324" s="53">
        <f t="shared" si="205"/>
        <v>36.423599999999936</v>
      </c>
      <c r="DT324" s="122">
        <v>46108</v>
      </c>
      <c r="DU324" s="123">
        <v>2066.42</v>
      </c>
      <c r="DV324" s="125">
        <v>634.14</v>
      </c>
      <c r="DW324" s="127"/>
      <c r="DX324" s="126">
        <v>26.72</v>
      </c>
      <c r="DZ324" s="240"/>
      <c r="EA324" s="53"/>
      <c r="EB324" s="52"/>
      <c r="EC324" s="53">
        <f t="shared" si="206"/>
        <v>26.72</v>
      </c>
      <c r="EE324" s="122">
        <v>46108</v>
      </c>
      <c r="EF324" s="123">
        <v>5166.6499999999996</v>
      </c>
      <c r="EG324" s="125">
        <v>1296.96</v>
      </c>
      <c r="EH324" s="127"/>
      <c r="EI324" s="126">
        <v>8.67</v>
      </c>
      <c r="EK324" s="240">
        <v>500.05640999999912</v>
      </c>
      <c r="EL324" s="435">
        <v>167.51741935483872</v>
      </c>
      <c r="EM324" s="53">
        <v>12.692022342857143</v>
      </c>
      <c r="EN324" s="52"/>
      <c r="EO324" s="53">
        <f t="shared" si="207"/>
        <v>688.93585169769506</v>
      </c>
      <c r="EQ324" s="122">
        <v>46108</v>
      </c>
      <c r="ER324" s="123">
        <v>6611.74</v>
      </c>
      <c r="ES324" s="400">
        <v>153.47</v>
      </c>
      <c r="ET324" s="127"/>
      <c r="EU324" s="258">
        <v>151.83000000000001</v>
      </c>
      <c r="EW324" s="240">
        <v>88.236269999999877</v>
      </c>
      <c r="EX324" s="53">
        <v>10.293848992380958</v>
      </c>
      <c r="EY324" s="52"/>
      <c r="EZ324" s="53">
        <f t="shared" si="208"/>
        <v>250.36011899238085</v>
      </c>
      <c r="FB324" s="122">
        <v>46108</v>
      </c>
      <c r="FC324" s="123">
        <v>1148.53</v>
      </c>
      <c r="FD324" s="123">
        <v>60</v>
      </c>
      <c r="FE324" s="125"/>
      <c r="FF324" s="126"/>
      <c r="FH324" s="51"/>
      <c r="FI324" s="52"/>
      <c r="FJ324" s="52"/>
      <c r="FK324" s="53"/>
    </row>
    <row r="325" spans="2:167" x14ac:dyDescent="0.25">
      <c r="B325" s="443">
        <v>46109</v>
      </c>
      <c r="C325" s="123">
        <v>17343.990000000002</v>
      </c>
      <c r="D325" s="126"/>
      <c r="E325" s="125"/>
      <c r="F325" s="126">
        <v>0</v>
      </c>
      <c r="G325" s="27"/>
      <c r="H325" s="240"/>
      <c r="I325" s="53"/>
      <c r="J325" s="52"/>
      <c r="K325" s="53">
        <f t="shared" si="198"/>
        <v>0</v>
      </c>
      <c r="M325" s="122">
        <v>46109</v>
      </c>
      <c r="N325" s="123">
        <v>8600.35</v>
      </c>
      <c r="O325" s="125"/>
      <c r="P325" s="126">
        <v>32.51</v>
      </c>
      <c r="R325" s="240"/>
      <c r="S325" s="52">
        <v>2.9155970114286163</v>
      </c>
      <c r="T325" s="52"/>
      <c r="U325" s="53">
        <f t="shared" si="199"/>
        <v>35.425597011428614</v>
      </c>
      <c r="W325" s="122">
        <v>46109</v>
      </c>
      <c r="X325" s="123">
        <v>2886.57</v>
      </c>
      <c r="Y325" s="123">
        <v>170.21</v>
      </c>
      <c r="Z325" s="125"/>
      <c r="AA325" s="273">
        <v>1.1499999999999999</v>
      </c>
      <c r="AC325" s="240"/>
      <c r="AD325" s="53">
        <v>19.162349999999947</v>
      </c>
      <c r="AE325" s="52"/>
      <c r="AF325" s="53">
        <f t="shared" si="200"/>
        <v>20.312349999999945</v>
      </c>
      <c r="AI325" s="122">
        <v>46109</v>
      </c>
      <c r="AJ325" s="123">
        <v>3166.46</v>
      </c>
      <c r="AK325" s="125"/>
      <c r="AL325" s="126"/>
      <c r="AN325" s="51"/>
      <c r="AO325" s="52"/>
      <c r="AP325" s="52"/>
      <c r="AQ325" s="53"/>
      <c r="AS325" s="122">
        <v>46109</v>
      </c>
      <c r="AT325" s="123">
        <v>4411.9799999999996</v>
      </c>
      <c r="AU325" s="125"/>
      <c r="AV325" s="128"/>
      <c r="AX325" s="51"/>
      <c r="AY325" s="52"/>
      <c r="AZ325" s="52"/>
      <c r="BA325" s="53"/>
      <c r="BC325" s="122">
        <v>46109</v>
      </c>
      <c r="BD325" s="123">
        <v>3091.05</v>
      </c>
      <c r="BE325" s="125"/>
      <c r="BF325" s="128">
        <v>0</v>
      </c>
      <c r="BH325" s="240">
        <v>106.83224999999987</v>
      </c>
      <c r="BI325" s="52"/>
      <c r="BJ325" s="52"/>
      <c r="BK325" s="53">
        <f t="shared" si="201"/>
        <v>106.83224999999987</v>
      </c>
      <c r="BM325" s="122">
        <v>46109</v>
      </c>
      <c r="BN325" s="123">
        <v>12929.42</v>
      </c>
      <c r="BO325" s="123">
        <v>4277.1499999999996</v>
      </c>
      <c r="BP325" s="123">
        <v>10423.43</v>
      </c>
      <c r="BQ325" s="125"/>
      <c r="BR325" s="125"/>
      <c r="BT325" s="240">
        <v>28.191339999999983</v>
      </c>
      <c r="BU325" s="53">
        <v>57.154923072761875</v>
      </c>
      <c r="BV325" s="53"/>
      <c r="BW325" s="53">
        <f t="shared" si="197"/>
        <v>85.346263072761857</v>
      </c>
      <c r="BY325" s="122">
        <v>46109</v>
      </c>
      <c r="BZ325" s="256">
        <v>2862.36</v>
      </c>
      <c r="CA325" s="257">
        <v>202.63</v>
      </c>
      <c r="CB325" s="125"/>
      <c r="CC325" s="126"/>
      <c r="CE325" s="240">
        <v>7.4407500000000084</v>
      </c>
      <c r="CF325" s="52"/>
      <c r="CG325" s="53"/>
      <c r="CH325" s="53">
        <f t="shared" si="202"/>
        <v>7.4407500000000084</v>
      </c>
      <c r="CJ325" s="122">
        <v>46109</v>
      </c>
      <c r="CK325" s="123">
        <v>7294.25</v>
      </c>
      <c r="CL325" s="123">
        <v>207.09</v>
      </c>
      <c r="CM325" s="125"/>
      <c r="CN325" s="126">
        <v>0</v>
      </c>
      <c r="CP325" s="240">
        <v>48.625879999999924</v>
      </c>
      <c r="CQ325" s="53"/>
      <c r="CR325" s="52"/>
      <c r="CS325" s="53">
        <f t="shared" si="203"/>
        <v>48.625879999999924</v>
      </c>
      <c r="CU325" s="122">
        <v>46109</v>
      </c>
      <c r="CV325" s="123">
        <v>9719.41</v>
      </c>
      <c r="CW325" s="269">
        <v>1910.42</v>
      </c>
      <c r="CX325" s="125"/>
      <c r="CY325" s="126">
        <v>61.28</v>
      </c>
      <c r="CZ325" s="27"/>
      <c r="DA325" s="240"/>
      <c r="DB325" s="435">
        <v>167.51741935483872</v>
      </c>
      <c r="DC325" s="53"/>
      <c r="DD325" s="52"/>
      <c r="DE325" s="53">
        <f t="shared" si="204"/>
        <v>228.79741935483872</v>
      </c>
      <c r="DH325" s="122">
        <v>46109</v>
      </c>
      <c r="DI325" s="123">
        <v>2828.47</v>
      </c>
      <c r="DJ325" s="127">
        <v>434.2</v>
      </c>
      <c r="DK325" s="127">
        <v>2154.6</v>
      </c>
      <c r="DL325" s="127"/>
      <c r="DM325" s="126">
        <v>0</v>
      </c>
      <c r="DO325" s="240"/>
      <c r="DP325" s="53"/>
      <c r="DQ325" s="52"/>
      <c r="DR325" s="53">
        <f t="shared" si="205"/>
        <v>0</v>
      </c>
      <c r="DT325" s="122">
        <v>46109</v>
      </c>
      <c r="DU325" s="123">
        <v>1671.47</v>
      </c>
      <c r="DV325" s="125">
        <v>670.43</v>
      </c>
      <c r="DW325" s="127"/>
      <c r="DX325" s="126">
        <v>0</v>
      </c>
      <c r="DZ325" s="240"/>
      <c r="EA325" s="53"/>
      <c r="EB325" s="52"/>
      <c r="EC325" s="53">
        <f t="shared" si="206"/>
        <v>0</v>
      </c>
      <c r="EE325" s="122">
        <v>46109</v>
      </c>
      <c r="EF325" s="123">
        <v>4625.1099999999997</v>
      </c>
      <c r="EG325" s="125">
        <v>938.31</v>
      </c>
      <c r="EH325" s="127"/>
      <c r="EI325" s="126">
        <v>9.01</v>
      </c>
      <c r="EK325" s="240">
        <v>197.14785999999955</v>
      </c>
      <c r="EL325" s="435">
        <v>167.51741935483872</v>
      </c>
      <c r="EM325" s="53">
        <v>24.25100207809524</v>
      </c>
      <c r="EN325" s="52"/>
      <c r="EO325" s="53">
        <f t="shared" si="207"/>
        <v>397.92628143293348</v>
      </c>
      <c r="EQ325" s="122">
        <v>46109</v>
      </c>
      <c r="ER325" s="123">
        <v>7244.24</v>
      </c>
      <c r="ES325" s="400">
        <v>642.44000000000005</v>
      </c>
      <c r="ET325" s="127"/>
      <c r="EU325" s="258">
        <v>202.07</v>
      </c>
      <c r="EW325" s="240"/>
      <c r="EX325" s="53"/>
      <c r="EY325" s="52"/>
      <c r="EZ325" s="53">
        <f t="shared" si="208"/>
        <v>202.07</v>
      </c>
      <c r="FB325" s="122">
        <v>46109</v>
      </c>
      <c r="FC325" s="123">
        <v>623.25</v>
      </c>
      <c r="FD325" s="123">
        <v>70</v>
      </c>
      <c r="FE325" s="125"/>
      <c r="FF325" s="126"/>
      <c r="FH325" s="51"/>
      <c r="FI325" s="52"/>
      <c r="FJ325" s="52"/>
      <c r="FK325" s="53"/>
    </row>
    <row r="326" spans="2:167" x14ac:dyDescent="0.25">
      <c r="B326" s="443">
        <v>46110</v>
      </c>
      <c r="C326" s="123">
        <v>19651.740000000002</v>
      </c>
      <c r="D326" s="125"/>
      <c r="E326" s="125"/>
      <c r="F326" s="123">
        <v>0</v>
      </c>
      <c r="G326" s="27"/>
      <c r="H326" s="240">
        <v>39.421799999999905</v>
      </c>
      <c r="I326" s="53"/>
      <c r="J326" s="52"/>
      <c r="K326" s="53">
        <f t="shared" si="198"/>
        <v>39.421799999999905</v>
      </c>
      <c r="M326" s="122">
        <v>46110</v>
      </c>
      <c r="N326" s="123">
        <v>10933.17</v>
      </c>
      <c r="O326" s="127"/>
      <c r="P326" s="261">
        <v>0</v>
      </c>
      <c r="R326" s="240"/>
      <c r="S326" s="52"/>
      <c r="T326" s="52"/>
      <c r="U326" s="53">
        <f t="shared" si="199"/>
        <v>0</v>
      </c>
      <c r="W326" s="122">
        <v>46110</v>
      </c>
      <c r="X326" s="123">
        <v>2143.83</v>
      </c>
      <c r="Y326" s="123">
        <v>86.86</v>
      </c>
      <c r="Z326" s="125"/>
      <c r="AA326" s="273">
        <v>3.3</v>
      </c>
      <c r="AC326" s="240">
        <v>14.107500000000002</v>
      </c>
      <c r="AD326" s="53"/>
      <c r="AE326" s="52"/>
      <c r="AF326" s="53">
        <f t="shared" si="200"/>
        <v>17.407500000000002</v>
      </c>
      <c r="AI326" s="122">
        <v>46110</v>
      </c>
      <c r="AJ326" s="123">
        <v>2231.25</v>
      </c>
      <c r="AK326" s="127"/>
      <c r="AL326" s="262"/>
      <c r="AN326" s="51"/>
      <c r="AO326" s="52"/>
      <c r="AP326" s="52"/>
      <c r="AQ326" s="53"/>
      <c r="AS326" s="122">
        <v>46110</v>
      </c>
      <c r="AT326" s="123">
        <v>3143.13</v>
      </c>
      <c r="AU326" s="127"/>
      <c r="AV326" s="261"/>
      <c r="AX326" s="51"/>
      <c r="AY326" s="52"/>
      <c r="AZ326" s="52"/>
      <c r="BA326" s="53"/>
      <c r="BC326" s="122">
        <v>46110</v>
      </c>
      <c r="BD326" s="123">
        <v>2369.5300000000002</v>
      </c>
      <c r="BE326" s="125"/>
      <c r="BF326" s="128">
        <v>0</v>
      </c>
      <c r="BH326" s="240"/>
      <c r="BI326" s="52"/>
      <c r="BJ326" s="52"/>
      <c r="BK326" s="53">
        <f t="shared" si="201"/>
        <v>0</v>
      </c>
      <c r="BM326" s="122">
        <v>46110</v>
      </c>
      <c r="BN326" s="123">
        <v>10495.19</v>
      </c>
      <c r="BO326" s="123">
        <v>1319.83</v>
      </c>
      <c r="BP326" s="123">
        <v>6162.24</v>
      </c>
      <c r="BQ326" s="125"/>
      <c r="BR326" s="125"/>
      <c r="BT326" s="240">
        <v>158.06495999999999</v>
      </c>
      <c r="BU326" s="53">
        <v>55.933845663999989</v>
      </c>
      <c r="BV326" s="53"/>
      <c r="BW326" s="53">
        <f t="shared" si="197"/>
        <v>213.99880566399997</v>
      </c>
      <c r="BY326" s="122">
        <v>46110</v>
      </c>
      <c r="BZ326" s="256">
        <v>949.45</v>
      </c>
      <c r="CA326" s="257">
        <v>386.65</v>
      </c>
      <c r="CB326" s="125"/>
      <c r="CC326" s="126"/>
      <c r="CE326" s="240"/>
      <c r="CF326" s="52"/>
      <c r="CG326" s="53"/>
      <c r="CH326" s="53">
        <f t="shared" si="202"/>
        <v>0</v>
      </c>
      <c r="CJ326" s="122">
        <v>46110</v>
      </c>
      <c r="CK326" s="123">
        <v>7337.65</v>
      </c>
      <c r="CL326" s="123">
        <v>321.57</v>
      </c>
      <c r="CM326" s="125"/>
      <c r="CN326" s="126">
        <v>19.93</v>
      </c>
      <c r="CP326" s="240">
        <v>82.467489999999941</v>
      </c>
      <c r="CQ326" s="53">
        <v>23.489474799999982</v>
      </c>
      <c r="CR326" s="52"/>
      <c r="CS326" s="53">
        <f t="shared" si="203"/>
        <v>125.88696479999993</v>
      </c>
      <c r="CU326" s="122">
        <v>46110</v>
      </c>
      <c r="CV326" s="123">
        <v>3133.47</v>
      </c>
      <c r="CW326" s="269">
        <v>1586.19</v>
      </c>
      <c r="CX326" s="125"/>
      <c r="CY326" s="126">
        <v>46.11</v>
      </c>
      <c r="CZ326" s="27"/>
      <c r="DA326" s="240"/>
      <c r="DB326" s="435">
        <v>167.51741935483872</v>
      </c>
      <c r="DC326" s="53"/>
      <c r="DD326" s="52"/>
      <c r="DE326" s="53">
        <f t="shared" si="204"/>
        <v>213.62741935483871</v>
      </c>
      <c r="DH326" s="122">
        <v>46110</v>
      </c>
      <c r="DI326" s="123">
        <v>2276.21</v>
      </c>
      <c r="DJ326" s="127">
        <v>226.1</v>
      </c>
      <c r="DK326" s="127">
        <v>2241.15</v>
      </c>
      <c r="DL326" s="127"/>
      <c r="DM326" s="126">
        <v>0</v>
      </c>
      <c r="DO326" s="240"/>
      <c r="DP326" s="53"/>
      <c r="DQ326" s="52"/>
      <c r="DR326" s="53">
        <f t="shared" si="205"/>
        <v>0</v>
      </c>
      <c r="DT326" s="122">
        <v>46110</v>
      </c>
      <c r="DU326" s="123">
        <v>1554.86</v>
      </c>
      <c r="DV326" s="125">
        <v>775.66</v>
      </c>
      <c r="DW326" s="127"/>
      <c r="DX326" s="126">
        <v>4.3499999999999996</v>
      </c>
      <c r="DZ326" s="240"/>
      <c r="EA326" s="53"/>
      <c r="EB326" s="52"/>
      <c r="EC326" s="53">
        <f t="shared" si="206"/>
        <v>4.3499999999999996</v>
      </c>
      <c r="EE326" s="122">
        <v>46110</v>
      </c>
      <c r="EF326" s="123">
        <v>4384.26</v>
      </c>
      <c r="EG326" s="125">
        <v>1131.8599999999999</v>
      </c>
      <c r="EH326" s="127"/>
      <c r="EI326" s="126">
        <v>9.41</v>
      </c>
      <c r="EK326" s="240">
        <v>63.054269999999974</v>
      </c>
      <c r="EL326" s="435">
        <v>167.51741935483872</v>
      </c>
      <c r="EM326" s="53"/>
      <c r="EN326" s="52"/>
      <c r="EO326" s="53">
        <f t="shared" si="207"/>
        <v>239.98168935483869</v>
      </c>
      <c r="EQ326" s="122">
        <v>46110</v>
      </c>
      <c r="ER326" s="123">
        <v>6859.94</v>
      </c>
      <c r="ES326" s="400">
        <v>206.07</v>
      </c>
      <c r="ET326" s="127"/>
      <c r="EU326" s="258">
        <v>32.82</v>
      </c>
      <c r="EW326" s="240">
        <v>1.7819999999999965</v>
      </c>
      <c r="EX326" s="53"/>
      <c r="EY326" s="52"/>
      <c r="EZ326" s="53">
        <f t="shared" si="208"/>
        <v>34.601999999999997</v>
      </c>
      <c r="FB326" s="122">
        <v>46110</v>
      </c>
      <c r="FC326" s="123">
        <v>847.53</v>
      </c>
      <c r="FD326" s="123">
        <v>115.98</v>
      </c>
      <c r="FE326" s="125"/>
      <c r="FF326" s="126"/>
      <c r="FH326" s="51"/>
      <c r="FI326" s="52"/>
      <c r="FJ326" s="52"/>
      <c r="FK326" s="53"/>
    </row>
    <row r="327" spans="2:167" x14ac:dyDescent="0.25">
      <c r="B327" s="443">
        <v>46111</v>
      </c>
      <c r="C327" s="123">
        <v>20497.830000000002</v>
      </c>
      <c r="D327" s="125"/>
      <c r="E327" s="125"/>
      <c r="F327" s="123">
        <v>0</v>
      </c>
      <c r="G327" s="27"/>
      <c r="H327" s="240">
        <v>18.172799999999967</v>
      </c>
      <c r="I327" s="52">
        <v>7.2044695238095073</v>
      </c>
      <c r="J327" s="52"/>
      <c r="K327" s="53">
        <f t="shared" si="198"/>
        <v>25.377269523809474</v>
      </c>
      <c r="M327" s="122">
        <v>46111</v>
      </c>
      <c r="N327" s="123">
        <v>9214.41</v>
      </c>
      <c r="O327" s="127"/>
      <c r="P327" s="261">
        <v>52.39</v>
      </c>
      <c r="R327" s="51"/>
      <c r="S327" s="52"/>
      <c r="T327" s="52"/>
      <c r="U327" s="53">
        <f t="shared" si="199"/>
        <v>52.39</v>
      </c>
      <c r="W327" s="122">
        <v>46111</v>
      </c>
      <c r="X327" s="123">
        <v>5094.5200000000004</v>
      </c>
      <c r="Y327" s="123">
        <v>215.98</v>
      </c>
      <c r="Z327" s="125"/>
      <c r="AA327" s="273">
        <v>16.059999999999999</v>
      </c>
      <c r="AC327" s="240">
        <v>17.4375</v>
      </c>
      <c r="AD327" s="53">
        <v>8.4435837999999706</v>
      </c>
      <c r="AE327" s="52"/>
      <c r="AF327" s="53">
        <f t="shared" si="200"/>
        <v>41.941083799999973</v>
      </c>
      <c r="AI327" s="122">
        <v>46111</v>
      </c>
      <c r="AJ327" s="123">
        <v>3919.79</v>
      </c>
      <c r="AK327" s="127"/>
      <c r="AL327" s="262"/>
      <c r="AN327" s="51"/>
      <c r="AO327" s="52"/>
      <c r="AP327" s="52"/>
      <c r="AQ327" s="53"/>
      <c r="AS327" s="122">
        <v>46111</v>
      </c>
      <c r="AT327" s="123">
        <v>3280.42</v>
      </c>
      <c r="AU327" s="127"/>
      <c r="AV327" s="261"/>
      <c r="AX327" s="51"/>
      <c r="AY327" s="52"/>
      <c r="AZ327" s="52"/>
      <c r="BA327" s="53"/>
      <c r="BC327" s="122">
        <v>46111</v>
      </c>
      <c r="BD327" s="123">
        <v>2770.11</v>
      </c>
      <c r="BE327" s="125"/>
      <c r="BF327" s="128">
        <v>0</v>
      </c>
      <c r="BH327" s="240">
        <v>66.144859999999937</v>
      </c>
      <c r="BI327" s="52"/>
      <c r="BJ327" s="52"/>
      <c r="BK327" s="53">
        <f t="shared" si="201"/>
        <v>66.144859999999937</v>
      </c>
      <c r="BM327" s="122">
        <v>46111</v>
      </c>
      <c r="BN327" s="123">
        <v>15650.2</v>
      </c>
      <c r="BO327" s="123">
        <v>4038.57</v>
      </c>
      <c r="BP327" s="123">
        <v>8919.2000000000007</v>
      </c>
      <c r="BQ327" s="125"/>
      <c r="BR327" s="125"/>
      <c r="BT327" s="240">
        <v>163.69359999999986</v>
      </c>
      <c r="BU327" s="53">
        <v>739.14006696076206</v>
      </c>
      <c r="BV327" s="53">
        <v>67.738</v>
      </c>
      <c r="BW327" s="53">
        <f t="shared" si="197"/>
        <v>970.57166696076183</v>
      </c>
      <c r="BY327" s="122">
        <v>46111</v>
      </c>
      <c r="BZ327" s="256">
        <v>1414.42</v>
      </c>
      <c r="CA327" s="257">
        <v>449.43</v>
      </c>
      <c r="CB327" s="125"/>
      <c r="CC327" s="126"/>
      <c r="CE327" s="240"/>
      <c r="CF327" s="52"/>
      <c r="CG327" s="53"/>
      <c r="CH327" s="53">
        <f t="shared" si="202"/>
        <v>0</v>
      </c>
      <c r="CJ327" s="122">
        <v>46111</v>
      </c>
      <c r="CK327" s="123">
        <v>14826.13</v>
      </c>
      <c r="CL327" s="123">
        <v>366.26</v>
      </c>
      <c r="CM327" s="125"/>
      <c r="CN327" s="126">
        <v>58.25</v>
      </c>
      <c r="CP327" s="240">
        <v>34.255620000000008</v>
      </c>
      <c r="CQ327" s="53"/>
      <c r="CR327" s="52"/>
      <c r="CS327" s="53">
        <f t="shared" si="203"/>
        <v>92.505620000000008</v>
      </c>
      <c r="CU327" s="122">
        <v>46111</v>
      </c>
      <c r="CV327" s="123">
        <v>21478.240000000002</v>
      </c>
      <c r="CW327" s="269">
        <v>2180.4499999999998</v>
      </c>
      <c r="CX327" s="125"/>
      <c r="CY327" s="126">
        <v>116.29</v>
      </c>
      <c r="CZ327" s="27"/>
      <c r="DA327" s="240"/>
      <c r="DB327" s="435">
        <v>167.51741935483872</v>
      </c>
      <c r="DC327" s="53"/>
      <c r="DD327" s="52"/>
      <c r="DE327" s="53">
        <f t="shared" si="204"/>
        <v>283.80741935483871</v>
      </c>
      <c r="DH327" s="122">
        <v>46111</v>
      </c>
      <c r="DI327" s="123">
        <v>2825.18</v>
      </c>
      <c r="DJ327" s="127">
        <v>140</v>
      </c>
      <c r="DK327" s="127">
        <v>1998.57</v>
      </c>
      <c r="DL327" s="127"/>
      <c r="DM327" s="126">
        <v>0</v>
      </c>
      <c r="DO327" s="240">
        <v>44.309759999999926</v>
      </c>
      <c r="DP327" s="53"/>
      <c r="DQ327" s="52"/>
      <c r="DR327" s="53">
        <f t="shared" si="205"/>
        <v>44.309759999999926</v>
      </c>
      <c r="DT327" s="122">
        <v>46111</v>
      </c>
      <c r="DU327" s="123">
        <v>1550.4</v>
      </c>
      <c r="DV327" s="125">
        <v>1080.52</v>
      </c>
      <c r="DW327" s="127"/>
      <c r="DX327" s="126">
        <v>32.22</v>
      </c>
      <c r="DZ327" s="240"/>
      <c r="EA327" s="53"/>
      <c r="EB327" s="52"/>
      <c r="EC327" s="53">
        <f t="shared" si="206"/>
        <v>32.22</v>
      </c>
      <c r="EE327" s="122">
        <v>46111</v>
      </c>
      <c r="EF327" s="123">
        <v>3459.51</v>
      </c>
      <c r="EG327" s="125">
        <v>945.38</v>
      </c>
      <c r="EH327" s="127"/>
      <c r="EI327" s="126">
        <v>14.83</v>
      </c>
      <c r="EK327" s="240">
        <v>201.69121999999973</v>
      </c>
      <c r="EL327" s="435">
        <v>167.51741935483872</v>
      </c>
      <c r="EM327" s="53">
        <v>107.12358627999998</v>
      </c>
      <c r="EN327" s="52"/>
      <c r="EO327" s="53">
        <f t="shared" si="207"/>
        <v>491.16222563483842</v>
      </c>
      <c r="EQ327" s="122">
        <v>46111</v>
      </c>
      <c r="ER327" s="123">
        <v>6495.2</v>
      </c>
      <c r="ES327" s="400">
        <v>699.44</v>
      </c>
      <c r="ET327" s="127"/>
      <c r="EU327" s="258">
        <v>403.9</v>
      </c>
      <c r="EW327" s="240">
        <v>46.739009999999723</v>
      </c>
      <c r="EX327" s="53"/>
      <c r="EY327" s="52"/>
      <c r="EZ327" s="53">
        <f t="shared" si="208"/>
        <v>450.6390099999997</v>
      </c>
      <c r="FB327" s="122">
        <v>46111</v>
      </c>
      <c r="FC327" s="123">
        <v>941.16</v>
      </c>
      <c r="FD327" s="123">
        <v>0</v>
      </c>
      <c r="FE327" s="125"/>
      <c r="FF327" s="126"/>
      <c r="FH327" s="51"/>
      <c r="FI327" s="52"/>
      <c r="FJ327" s="52"/>
      <c r="FK327" s="53"/>
    </row>
    <row r="328" spans="2:167" ht="15.75" thickBot="1" x14ac:dyDescent="0.3">
      <c r="B328" s="443">
        <v>46112</v>
      </c>
      <c r="C328" s="123">
        <v>19452.34</v>
      </c>
      <c r="D328" s="125"/>
      <c r="E328" s="125"/>
      <c r="F328" s="123">
        <v>0</v>
      </c>
      <c r="G328" s="27"/>
      <c r="H328" s="240">
        <v>9.7945599999999331</v>
      </c>
      <c r="I328" s="52"/>
      <c r="J328" s="52"/>
      <c r="K328" s="53">
        <f t="shared" si="198"/>
        <v>9.7945599999999331</v>
      </c>
      <c r="M328" s="122">
        <v>46112</v>
      </c>
      <c r="N328" s="123">
        <v>7212.69</v>
      </c>
      <c r="O328" s="127"/>
      <c r="P328" s="261">
        <v>0</v>
      </c>
      <c r="R328" s="51">
        <v>23.990459999999956</v>
      </c>
      <c r="S328" s="52"/>
      <c r="T328" s="52"/>
      <c r="U328" s="53">
        <f t="shared" si="199"/>
        <v>23.990459999999956</v>
      </c>
      <c r="W328" s="122">
        <v>46112</v>
      </c>
      <c r="X328" s="123">
        <v>2149.04</v>
      </c>
      <c r="Y328" s="123">
        <v>268.14999999999998</v>
      </c>
      <c r="Z328" s="125"/>
      <c r="AA328" s="273">
        <v>5.19</v>
      </c>
      <c r="AC328" s="240">
        <v>-53.949030000000008</v>
      </c>
      <c r="AD328" s="52"/>
      <c r="AE328" s="52"/>
      <c r="AF328" s="53">
        <f t="shared" si="200"/>
        <v>-48.75903000000001</v>
      </c>
      <c r="AI328" s="122">
        <v>46112</v>
      </c>
      <c r="AJ328" s="123">
        <v>2310.8200000000002</v>
      </c>
      <c r="AK328" s="127"/>
      <c r="AL328" s="262"/>
      <c r="AN328" s="51"/>
      <c r="AO328" s="52"/>
      <c r="AP328" s="52"/>
      <c r="AQ328" s="53"/>
      <c r="AS328" s="122">
        <v>46112</v>
      </c>
      <c r="AT328" s="123">
        <v>3750.42</v>
      </c>
      <c r="AU328" s="127"/>
      <c r="AV328" s="261"/>
      <c r="AX328" s="51"/>
      <c r="AY328" s="52"/>
      <c r="AZ328" s="52"/>
      <c r="BA328" s="53"/>
      <c r="BC328" s="122">
        <v>46112</v>
      </c>
      <c r="BD328" s="123">
        <v>4249.28</v>
      </c>
      <c r="BE328" s="125"/>
      <c r="BF328" s="128">
        <v>0</v>
      </c>
      <c r="BH328" s="240">
        <v>30.813919999999925</v>
      </c>
      <c r="BI328" s="52"/>
      <c r="BJ328" s="52"/>
      <c r="BK328" s="53">
        <f t="shared" si="201"/>
        <v>30.813919999999925</v>
      </c>
      <c r="BM328" s="122">
        <v>46112</v>
      </c>
      <c r="BN328" s="123">
        <v>16640.060000000001</v>
      </c>
      <c r="BO328" s="123">
        <v>3483.51</v>
      </c>
      <c r="BP328" s="123">
        <v>5296.86</v>
      </c>
      <c r="BQ328" s="125"/>
      <c r="BR328" s="125"/>
      <c r="BT328" s="240">
        <v>108.02652</v>
      </c>
      <c r="BU328" s="53"/>
      <c r="BV328" s="53">
        <v>10.036353599999998</v>
      </c>
      <c r="BW328" s="53">
        <f t="shared" si="197"/>
        <v>118.0628736</v>
      </c>
      <c r="BY328" s="122">
        <v>46112</v>
      </c>
      <c r="BZ328" s="256">
        <v>2327.5</v>
      </c>
      <c r="CA328" s="257">
        <v>188</v>
      </c>
      <c r="CB328" s="125"/>
      <c r="CC328" s="126"/>
      <c r="CE328" s="240"/>
      <c r="CF328" s="52"/>
      <c r="CG328" s="53"/>
      <c r="CH328" s="53">
        <f t="shared" si="202"/>
        <v>0</v>
      </c>
      <c r="CJ328" s="122">
        <v>46112</v>
      </c>
      <c r="CK328" s="123">
        <v>9549.75</v>
      </c>
      <c r="CL328" s="123">
        <v>906.64</v>
      </c>
      <c r="CM328" s="125"/>
      <c r="CN328" s="126">
        <v>29.09</v>
      </c>
      <c r="CP328" s="240">
        <v>-11.278570000000006</v>
      </c>
      <c r="CQ328" s="53"/>
      <c r="CR328" s="52"/>
      <c r="CS328" s="53">
        <f t="shared" si="203"/>
        <v>17.811429999999994</v>
      </c>
      <c r="CU328" s="122">
        <v>46112</v>
      </c>
      <c r="CV328" s="123">
        <v>16771.89</v>
      </c>
      <c r="CW328" s="269">
        <v>2199.31</v>
      </c>
      <c r="CX328" s="125"/>
      <c r="CY328" s="126">
        <v>86.78</v>
      </c>
      <c r="CZ328" s="27"/>
      <c r="DA328" s="240"/>
      <c r="DB328" s="435">
        <v>167.51741935483872</v>
      </c>
      <c r="DC328" s="53"/>
      <c r="DD328" s="52"/>
      <c r="DE328" s="53">
        <f t="shared" si="204"/>
        <v>254.29741935483872</v>
      </c>
      <c r="DH328" s="122">
        <v>46112</v>
      </c>
      <c r="DI328" s="123">
        <v>4085.93</v>
      </c>
      <c r="DJ328" s="127">
        <v>570.66</v>
      </c>
      <c r="DK328" s="127">
        <v>1708.58</v>
      </c>
      <c r="DL328" s="127"/>
      <c r="DM328" s="126">
        <v>4</v>
      </c>
      <c r="DO328" s="240">
        <v>14.171239999999955</v>
      </c>
      <c r="DP328" s="53"/>
      <c r="DQ328" s="52"/>
      <c r="DR328" s="53">
        <f t="shared" si="205"/>
        <v>18.171239999999955</v>
      </c>
      <c r="DT328" s="122">
        <v>46112</v>
      </c>
      <c r="DU328" s="123">
        <v>2158.29</v>
      </c>
      <c r="DV328" s="125">
        <v>1123.76</v>
      </c>
      <c r="DW328" s="127"/>
      <c r="DX328" s="126">
        <v>17.059999999999999</v>
      </c>
      <c r="DZ328" s="240"/>
      <c r="EA328" s="53"/>
      <c r="EB328" s="52"/>
      <c r="EC328" s="53">
        <f t="shared" si="206"/>
        <v>17.059999999999999</v>
      </c>
      <c r="EE328" s="122">
        <v>46112</v>
      </c>
      <c r="EF328" s="123">
        <v>5202.1899999999996</v>
      </c>
      <c r="EG328" s="125">
        <v>1472.23</v>
      </c>
      <c r="EH328" s="127"/>
      <c r="EI328" s="126">
        <v>10.71</v>
      </c>
      <c r="EK328" s="240">
        <v>117.52402999999981</v>
      </c>
      <c r="EL328" s="435">
        <v>167.51741935483872</v>
      </c>
      <c r="EM328" s="53">
        <v>37.844677928571429</v>
      </c>
      <c r="EN328" s="52"/>
      <c r="EO328" s="53">
        <f>SUM(EI328:EN328)</f>
        <v>333.59612728340994</v>
      </c>
      <c r="EQ328" s="122">
        <v>46112</v>
      </c>
      <c r="ER328" s="123">
        <v>5502.98</v>
      </c>
      <c r="ES328" s="401">
        <v>539.17999999999995</v>
      </c>
      <c r="ET328" s="127"/>
      <c r="EU328" s="258">
        <v>278.32</v>
      </c>
      <c r="EW328" s="240">
        <v>-11.036760000000072</v>
      </c>
      <c r="EX328" s="53">
        <v>12.06283382514286</v>
      </c>
      <c r="EY328" s="52"/>
      <c r="EZ328" s="53">
        <f t="shared" si="208"/>
        <v>279.34607382514275</v>
      </c>
      <c r="FB328" s="122">
        <v>46112</v>
      </c>
      <c r="FC328" s="123">
        <v>1425.22</v>
      </c>
      <c r="FD328" s="123">
        <v>0</v>
      </c>
      <c r="FE328" s="125"/>
      <c r="FF328" s="126"/>
      <c r="FH328" s="51"/>
      <c r="FI328" s="52"/>
      <c r="FJ328" s="52"/>
      <c r="FK328" s="53"/>
    </row>
    <row r="329" spans="2:167" ht="16.5" thickBot="1" x14ac:dyDescent="0.3">
      <c r="B329" s="32"/>
      <c r="C329" s="129">
        <f>SUM(C298:C328)</f>
        <v>660713.69999999984</v>
      </c>
      <c r="D329" s="129">
        <f>SUM(D298:D328)</f>
        <v>0</v>
      </c>
      <c r="E329" s="32"/>
      <c r="F329" s="129">
        <f>SUM(F298:F328)</f>
        <v>28.35</v>
      </c>
      <c r="G329" s="241"/>
      <c r="H329" s="242">
        <f>SUM(H298:H328)</f>
        <v>1159.5365899999997</v>
      </c>
      <c r="I329" s="243">
        <f>SUM(I298:I328)</f>
        <v>110.37873333542925</v>
      </c>
      <c r="J329" s="243">
        <f>SUM(J298:J328)</f>
        <v>0</v>
      </c>
      <c r="K329" s="243">
        <f>SUM(K298:K328)</f>
        <v>1298.2653233354285</v>
      </c>
      <c r="L329" s="274"/>
      <c r="M329" s="32"/>
      <c r="N329" s="129">
        <f>SUM(N298:N328)</f>
        <v>187407.62000000002</v>
      </c>
      <c r="O329" s="129"/>
      <c r="P329" s="129">
        <f>SUM(P298:P328)</f>
        <v>1399.1000000000004</v>
      </c>
      <c r="Q329" s="274"/>
      <c r="R329" s="84">
        <f t="shared" ref="R329:T329" si="209">SUM(R298:R328)</f>
        <v>198.78698999999975</v>
      </c>
      <c r="S329" s="84">
        <f t="shared" si="209"/>
        <v>-7.9544029885713829</v>
      </c>
      <c r="T329" s="84">
        <f t="shared" si="209"/>
        <v>0</v>
      </c>
      <c r="U329" s="84">
        <f>SUM(U298:U328)</f>
        <v>1589.9325870114285</v>
      </c>
      <c r="V329" s="274"/>
      <c r="W329" s="32"/>
      <c r="X329" s="129">
        <f>SUM(X298:X328)</f>
        <v>81911.420000000013</v>
      </c>
      <c r="Y329" s="129">
        <f>SUM(Y298:Y328)</f>
        <v>4405.7800000000007</v>
      </c>
      <c r="Z329" s="32"/>
      <c r="AA329" s="129">
        <f>SUM(AA298:AA328)</f>
        <v>325.21999999999997</v>
      </c>
      <c r="AB329" s="274"/>
      <c r="AC329" s="84">
        <f t="shared" ref="AC329:AE329" si="210">SUM(AC298:AC328)</f>
        <v>690.70842999999911</v>
      </c>
      <c r="AD329" s="84">
        <f t="shared" si="210"/>
        <v>163.23728107971411</v>
      </c>
      <c r="AE329" s="84">
        <f t="shared" si="210"/>
        <v>0</v>
      </c>
      <c r="AF329" s="84">
        <f>SUM(AF298:AF328)</f>
        <v>1179.1657110797132</v>
      </c>
      <c r="AG329" s="274"/>
      <c r="AH329" s="274"/>
      <c r="AI329" s="32"/>
      <c r="AJ329" s="129">
        <f>SUM(AJ298:AJ328)</f>
        <v>63100.220000000008</v>
      </c>
      <c r="AK329" s="32"/>
      <c r="AL329" s="32"/>
      <c r="AM329" s="274"/>
      <c r="AN329" s="84">
        <f t="shared" ref="AN329:AP329" si="211">SUM(AN298:AN328)</f>
        <v>0</v>
      </c>
      <c r="AO329" s="84">
        <f t="shared" si="211"/>
        <v>0</v>
      </c>
      <c r="AP329" s="84">
        <f t="shared" si="211"/>
        <v>0</v>
      </c>
      <c r="AQ329" s="84">
        <f>SUM(AQ298:AQ328)</f>
        <v>0</v>
      </c>
      <c r="AR329" s="274"/>
      <c r="AS329" s="32"/>
      <c r="AT329" s="129">
        <f>SUM(AT298:AT328)</f>
        <v>111437.46999999999</v>
      </c>
      <c r="AU329" s="32"/>
      <c r="AV329" s="129">
        <f>SUM(AV298:AV328)</f>
        <v>0</v>
      </c>
      <c r="AW329" s="274"/>
      <c r="AX329" s="84">
        <f t="shared" ref="AX329:AZ329" si="212">SUM(AX298:AX328)</f>
        <v>0</v>
      </c>
      <c r="AY329" s="84">
        <f t="shared" si="212"/>
        <v>0</v>
      </c>
      <c r="AZ329" s="84">
        <f t="shared" si="212"/>
        <v>0</v>
      </c>
      <c r="BA329" s="84">
        <f>SUM(BA298:BA328)</f>
        <v>0</v>
      </c>
      <c r="BB329" s="274"/>
      <c r="BC329" s="32"/>
      <c r="BD329" s="129">
        <f>SUM(BD298:BD328)</f>
        <v>94105.3</v>
      </c>
      <c r="BE329" s="32"/>
      <c r="BF329" s="129">
        <f>SUM(BF298:BF328)</f>
        <v>6.1</v>
      </c>
      <c r="BG329" s="274"/>
      <c r="BH329" s="84">
        <f t="shared" ref="BH329:BJ329" si="213">SUM(BH298:BH328)</f>
        <v>1978.4192599999985</v>
      </c>
      <c r="BI329" s="84">
        <f t="shared" si="213"/>
        <v>0</v>
      </c>
      <c r="BJ329" s="84">
        <f t="shared" si="213"/>
        <v>0</v>
      </c>
      <c r="BK329" s="84">
        <f>SUM(BK298:BK328)</f>
        <v>1984.5192599999984</v>
      </c>
      <c r="BL329" s="274"/>
      <c r="BM329" s="32"/>
      <c r="BN329" s="129">
        <f>SUM(BN298:BN328)</f>
        <v>684869.37000000011</v>
      </c>
      <c r="BO329" s="129">
        <f>SUM(BO298:BO328)</f>
        <v>198477.66000000003</v>
      </c>
      <c r="BP329" s="129">
        <f>SUM(BP298:BP328)</f>
        <v>169349.81</v>
      </c>
      <c r="BQ329" s="129">
        <f>SUM(BQ298:BQ328)</f>
        <v>0</v>
      </c>
      <c r="BR329" s="129">
        <f>SUM(BR298:BR328)</f>
        <v>0</v>
      </c>
      <c r="BS329" s="274"/>
      <c r="BT329" s="84">
        <f t="shared" ref="BT329:BV329" si="214">SUM(BT298:BT328)</f>
        <v>6384.137219999996</v>
      </c>
      <c r="BU329" s="84">
        <f t="shared" si="214"/>
        <v>7019.4614979651442</v>
      </c>
      <c r="BV329" s="84">
        <f t="shared" si="214"/>
        <v>541.76405453000007</v>
      </c>
      <c r="BW329" s="84">
        <f>SUM(BW298:BW328)</f>
        <v>13945.362772495144</v>
      </c>
      <c r="BX329" s="274"/>
      <c r="BY329" s="32"/>
      <c r="BZ329" s="129">
        <f>SUM(BZ298:BZ328)</f>
        <v>33830.14</v>
      </c>
      <c r="CA329" s="129">
        <f>SUM(CA298:CA328)</f>
        <v>9754.9499999999989</v>
      </c>
      <c r="CB329" s="32"/>
      <c r="CC329" s="129"/>
      <c r="CD329" s="274"/>
      <c r="CE329" s="84">
        <f t="shared" ref="CE329:CG329" si="215">SUM(CE298:CE328)</f>
        <v>42.565370000000001</v>
      </c>
      <c r="CF329" s="84">
        <f t="shared" si="215"/>
        <v>203.49683281666637</v>
      </c>
      <c r="CG329" s="84">
        <f t="shared" si="215"/>
        <v>0</v>
      </c>
      <c r="CH329" s="84">
        <f>SUM(CH298:CH328)</f>
        <v>246.06220281666637</v>
      </c>
      <c r="CI329" s="274"/>
      <c r="CJ329" s="32"/>
      <c r="CK329" s="129">
        <f>SUM(CK298:CK328)</f>
        <v>253970.20999999996</v>
      </c>
      <c r="CL329" s="129">
        <f>SUM(CL298:CL328)</f>
        <v>17856.419999999998</v>
      </c>
      <c r="CM329" s="32"/>
      <c r="CN329" s="129">
        <f>SUM(CN298:CN328)</f>
        <v>522.82000000000005</v>
      </c>
      <c r="CO329" s="274"/>
      <c r="CP329" s="84">
        <f t="shared" ref="CP329:CR329" si="216">SUM(CP298:CP328)</f>
        <v>4309.4297699999961</v>
      </c>
      <c r="CQ329" s="84">
        <f t="shared" si="216"/>
        <v>166.89513076761898</v>
      </c>
      <c r="CR329" s="84">
        <f t="shared" si="216"/>
        <v>0</v>
      </c>
      <c r="CS329" s="84">
        <f>SUM(CS298:CS328)</f>
        <v>4999.1449007676147</v>
      </c>
      <c r="CT329" s="274"/>
      <c r="CU329" s="32"/>
      <c r="CV329" s="129">
        <f>SUM(CV298:CV328)</f>
        <v>337986.73</v>
      </c>
      <c r="CW329" s="129">
        <f>SUM(CW298:CW328)</f>
        <v>133204.84</v>
      </c>
      <c r="CX329" s="32"/>
      <c r="CY329" s="129">
        <f>SUM(CY298:CY328)</f>
        <v>3240.7499999999995</v>
      </c>
      <c r="CZ329" s="241"/>
      <c r="DA329" s="242">
        <f>SUM(DA298:DA328)</f>
        <v>24327.658504862709</v>
      </c>
      <c r="DB329" s="242">
        <f t="shared" ref="DB329:DD329" si="217">SUM(DB298:DB328)</f>
        <v>5193.0400000000027</v>
      </c>
      <c r="DC329" s="242">
        <f t="shared" si="217"/>
        <v>0</v>
      </c>
      <c r="DD329" s="242">
        <f t="shared" si="217"/>
        <v>0</v>
      </c>
      <c r="DE329" s="243">
        <f>SUM(DE298:DE328)</f>
        <v>32761.44850486271</v>
      </c>
      <c r="DF329" s="274"/>
      <c r="DG329" s="274"/>
      <c r="DH329" s="32"/>
      <c r="DI329" s="129">
        <f>SUM(DI298:DI328)</f>
        <v>115336.3</v>
      </c>
      <c r="DJ329" s="129">
        <f>SUM(DJ298:DJ328)</f>
        <v>13171.36</v>
      </c>
      <c r="DK329" s="129">
        <f>SUM(DK298:DK328)</f>
        <v>46993.95</v>
      </c>
      <c r="DL329" s="32"/>
      <c r="DM329" s="129">
        <f>SUM(DM298:DM328)</f>
        <v>18.37</v>
      </c>
      <c r="DN329" s="274"/>
      <c r="DO329" s="84">
        <f t="shared" ref="DO329:DQ329" si="218">SUM(DO298:DO328)</f>
        <v>869.89794999999935</v>
      </c>
      <c r="DP329" s="84">
        <f t="shared" si="218"/>
        <v>0</v>
      </c>
      <c r="DQ329" s="84">
        <f t="shared" si="218"/>
        <v>0</v>
      </c>
      <c r="DR329" s="84">
        <f>SUM(DR298:DR328)</f>
        <v>888.26794999999925</v>
      </c>
      <c r="DS329" s="274"/>
      <c r="DT329" s="32"/>
      <c r="DU329" s="264">
        <f>SUM(DU298:DU328)</f>
        <v>61337.75</v>
      </c>
      <c r="DV329" s="129">
        <f>SUM(DV298:DV328)</f>
        <v>23958.879999999997</v>
      </c>
      <c r="DW329" s="32"/>
      <c r="DX329" s="264">
        <f>SUM(DX298:DX328)</f>
        <v>639.8900000000001</v>
      </c>
      <c r="DY329" s="274"/>
      <c r="DZ329" s="84">
        <f t="shared" ref="DZ329:EB329" si="219">SUM(DZ298:DZ328)</f>
        <v>0</v>
      </c>
      <c r="EA329" s="84">
        <f t="shared" si="219"/>
        <v>57.532963371428451</v>
      </c>
      <c r="EB329" s="84">
        <f t="shared" si="219"/>
        <v>0</v>
      </c>
      <c r="EC329" s="84">
        <f>SUM(EC298:EC328)</f>
        <v>697.42296337142841</v>
      </c>
      <c r="ED329" s="274"/>
      <c r="EE329" s="32"/>
      <c r="EF329" s="129">
        <f>SUM(EF298:EF328)</f>
        <v>58035.23</v>
      </c>
      <c r="EG329" s="129">
        <f>SUM(EG298:EG328)</f>
        <v>29431.390000000003</v>
      </c>
      <c r="EH329" s="32"/>
      <c r="EI329" s="129">
        <f>SUM(EI298:EI328)</f>
        <v>755.70999999999981</v>
      </c>
      <c r="EJ329" s="274"/>
      <c r="EK329" s="84">
        <f t="shared" ref="EK329:EN329" si="220">SUM(EK298:EK328)</f>
        <v>8612.9830499999935</v>
      </c>
      <c r="EL329" s="84">
        <f t="shared" si="220"/>
        <v>5193.0400000000027</v>
      </c>
      <c r="EM329" s="84">
        <f t="shared" si="220"/>
        <v>2615.9068947755222</v>
      </c>
      <c r="EN329" s="84">
        <f t="shared" si="220"/>
        <v>71.85695960000001</v>
      </c>
      <c r="EO329" s="84">
        <f>SUM(EO298:EO328)</f>
        <v>17249.496904375515</v>
      </c>
      <c r="EP329" s="274"/>
      <c r="EQ329" s="265"/>
      <c r="ER329" s="129">
        <f>SUM(ER298:ER328)</f>
        <v>144455.62000000002</v>
      </c>
      <c r="ES329" s="129">
        <f>SUM(ES298:ES328)</f>
        <v>11063.189999999999</v>
      </c>
      <c r="ET329" s="32"/>
      <c r="EU329" s="129">
        <f>SUM(EU298:EU328)</f>
        <v>8716.4299999999985</v>
      </c>
      <c r="EV329" s="274"/>
      <c r="EW329" s="84">
        <f t="shared" ref="EW329:EY329" si="221">SUM(EW298:EW328)</f>
        <v>2240.5613599999988</v>
      </c>
      <c r="EX329" s="84">
        <f t="shared" si="221"/>
        <v>596.44042352609563</v>
      </c>
      <c r="EY329" s="84">
        <f t="shared" si="221"/>
        <v>0</v>
      </c>
      <c r="EZ329" s="84">
        <f>SUM(EZ298:EZ328)</f>
        <v>11553.431783526092</v>
      </c>
      <c r="FA329" s="274"/>
      <c r="FB329" s="32"/>
      <c r="FC329" s="129">
        <f>SUM(FC298:FC328)</f>
        <v>25627.640000000003</v>
      </c>
      <c r="FD329" s="129">
        <f>SUM(FD298:FD328)</f>
        <v>4530</v>
      </c>
      <c r="FE329" s="32"/>
      <c r="FF329" s="129">
        <f>SUM(FF298:FF328)</f>
        <v>0</v>
      </c>
      <c r="FG329" s="274"/>
      <c r="FH329" s="84">
        <f t="shared" ref="FH329:FJ329" si="222">SUM(FH298:FH328)</f>
        <v>0</v>
      </c>
      <c r="FI329" s="84">
        <f t="shared" si="222"/>
        <v>0</v>
      </c>
      <c r="FJ329" s="84">
        <f t="shared" si="222"/>
        <v>0</v>
      </c>
      <c r="FK329" s="84">
        <f>SUM(FK298:FK328)</f>
        <v>0</v>
      </c>
    </row>
    <row r="332" spans="2:167" ht="24" thickBot="1" x14ac:dyDescent="0.4">
      <c r="B332" s="249" t="s">
        <v>56</v>
      </c>
      <c r="C332" s="249"/>
      <c r="D332" s="249"/>
      <c r="E332" s="249"/>
      <c r="F332" s="249"/>
      <c r="G332" s="130"/>
      <c r="H332" s="130"/>
      <c r="I332" s="130"/>
      <c r="J332" s="130"/>
      <c r="K332" s="130"/>
      <c r="M332" s="451" t="s">
        <v>57</v>
      </c>
      <c r="N332" s="451"/>
      <c r="O332" s="451"/>
      <c r="P332" s="451"/>
      <c r="Q332" s="130"/>
      <c r="R332" s="130"/>
      <c r="S332" s="130"/>
      <c r="T332" s="130"/>
      <c r="U332" s="130"/>
      <c r="W332" s="249" t="s">
        <v>58</v>
      </c>
      <c r="X332" s="249"/>
      <c r="Y332" s="249"/>
      <c r="Z332" s="249"/>
      <c r="AA332" s="249"/>
      <c r="AB332" s="130"/>
      <c r="AC332" s="130"/>
      <c r="AD332" s="130"/>
      <c r="AE332" s="130"/>
      <c r="AF332" s="130"/>
      <c r="AI332" s="451" t="s">
        <v>59</v>
      </c>
      <c r="AJ332" s="451"/>
      <c r="AK332" s="451"/>
      <c r="AL332" s="451"/>
      <c r="AM332" s="451"/>
      <c r="AN332" s="451"/>
      <c r="AO332" s="451"/>
      <c r="AP332" s="451"/>
      <c r="AQ332" s="451"/>
      <c r="AS332" s="451" t="s">
        <v>60</v>
      </c>
      <c r="AT332" s="451"/>
      <c r="AU332" s="451"/>
      <c r="AV332" s="451"/>
      <c r="AW332" s="451"/>
      <c r="AX332" s="451"/>
      <c r="AY332" s="451"/>
      <c r="AZ332" s="451"/>
      <c r="BA332" s="451"/>
      <c r="BC332" s="451" t="s">
        <v>61</v>
      </c>
      <c r="BD332" s="451"/>
      <c r="BE332" s="451"/>
      <c r="BF332" s="451"/>
      <c r="BG332" s="451"/>
      <c r="BH332" s="451"/>
      <c r="BI332" s="451"/>
      <c r="BJ332" s="451"/>
      <c r="BK332" s="451"/>
      <c r="BM332" s="249" t="s">
        <v>62</v>
      </c>
      <c r="BN332" s="249"/>
      <c r="BO332" s="249"/>
      <c r="BP332" s="249"/>
      <c r="BQ332" s="250"/>
      <c r="BR332" s="249"/>
      <c r="BS332" s="250"/>
      <c r="BT332" s="250"/>
      <c r="BU332" s="250"/>
      <c r="BV332" s="250"/>
      <c r="BW332" s="250"/>
      <c r="BY332" s="249" t="s">
        <v>63</v>
      </c>
      <c r="BZ332" s="249"/>
      <c r="CA332" s="249"/>
      <c r="CB332" s="249"/>
      <c r="CC332" s="249"/>
      <c r="CD332" s="250"/>
      <c r="CE332" s="250"/>
      <c r="CF332" s="250"/>
      <c r="CG332" s="250"/>
      <c r="CH332" s="250"/>
      <c r="CJ332" s="249" t="s">
        <v>64</v>
      </c>
      <c r="CK332" s="249"/>
      <c r="CL332" s="249"/>
      <c r="CM332" s="249"/>
      <c r="CN332" s="249"/>
      <c r="CO332" s="250"/>
      <c r="CP332" s="250"/>
      <c r="CQ332" s="250"/>
      <c r="CR332" s="250"/>
      <c r="CS332" s="250"/>
      <c r="CU332" s="249" t="s">
        <v>65</v>
      </c>
      <c r="CV332" s="249"/>
      <c r="CW332" s="249"/>
      <c r="CX332" s="249"/>
      <c r="CY332" s="249"/>
      <c r="CZ332" s="250"/>
      <c r="DA332" s="250"/>
      <c r="DB332" s="250"/>
      <c r="DC332" s="250"/>
      <c r="DD332" s="250"/>
      <c r="DE332" s="250"/>
      <c r="DH332" s="249" t="s">
        <v>66</v>
      </c>
      <c r="DI332" s="249"/>
      <c r="DJ332" s="249"/>
      <c r="DK332" s="249"/>
      <c r="DL332" s="249"/>
      <c r="DM332" s="249"/>
      <c r="DN332" s="250"/>
      <c r="DO332" s="250"/>
      <c r="DP332" s="250"/>
      <c r="DQ332" s="250"/>
      <c r="DR332" s="250"/>
      <c r="DT332" s="249" t="s">
        <v>67</v>
      </c>
      <c r="DU332" s="249"/>
      <c r="DV332" s="249"/>
      <c r="DW332" s="249"/>
      <c r="DX332" s="249"/>
      <c r="DY332" s="250"/>
      <c r="DZ332" s="250"/>
      <c r="EA332" s="250"/>
      <c r="EB332" s="250"/>
      <c r="EC332" s="250"/>
      <c r="EE332" s="249" t="s">
        <v>68</v>
      </c>
      <c r="EF332" s="249"/>
      <c r="EG332" s="249"/>
      <c r="EH332" s="249"/>
      <c r="EI332" s="249"/>
      <c r="EJ332" s="250"/>
      <c r="EK332" s="250"/>
      <c r="EL332" s="250"/>
      <c r="EM332" s="250"/>
      <c r="EN332" s="250"/>
      <c r="EO332" s="250"/>
      <c r="EQ332" s="249" t="s">
        <v>69</v>
      </c>
      <c r="ER332" s="249"/>
      <c r="ES332" s="249"/>
      <c r="ET332" s="249"/>
      <c r="EU332" s="249"/>
      <c r="EV332" s="250"/>
      <c r="EW332" s="250"/>
      <c r="EX332" s="250"/>
      <c r="EY332" s="250"/>
      <c r="EZ332" s="250"/>
      <c r="FB332" s="249" t="s">
        <v>70</v>
      </c>
      <c r="FC332" s="249"/>
      <c r="FD332" s="249"/>
      <c r="FE332" s="249"/>
      <c r="FF332" s="249"/>
      <c r="FG332" s="250"/>
      <c r="FH332" s="250"/>
      <c r="FI332" s="250"/>
      <c r="FJ332" s="250"/>
      <c r="FK332" s="250"/>
    </row>
    <row r="333" spans="2:167" x14ac:dyDescent="0.25">
      <c r="B333" s="119" t="s">
        <v>14</v>
      </c>
      <c r="C333" s="120" t="s">
        <v>15</v>
      </c>
      <c r="D333" s="120" t="s">
        <v>15</v>
      </c>
      <c r="E333" s="121" t="s">
        <v>16</v>
      </c>
      <c r="F333" s="121" t="s">
        <v>16</v>
      </c>
      <c r="G333" s="6"/>
      <c r="H333" s="7" t="s">
        <v>16</v>
      </c>
      <c r="I333" s="8" t="s">
        <v>16</v>
      </c>
      <c r="J333" s="9" t="s">
        <v>16</v>
      </c>
      <c r="K333" s="10" t="s">
        <v>17</v>
      </c>
      <c r="M333" s="119" t="s">
        <v>14</v>
      </c>
      <c r="N333" s="120" t="s">
        <v>15</v>
      </c>
      <c r="O333" s="120" t="s">
        <v>15</v>
      </c>
      <c r="P333" s="121" t="s">
        <v>16</v>
      </c>
      <c r="R333" s="134" t="s">
        <v>16</v>
      </c>
      <c r="S333" s="135" t="s">
        <v>16</v>
      </c>
      <c r="T333" s="136" t="s">
        <v>16</v>
      </c>
      <c r="U333" s="10" t="s">
        <v>17</v>
      </c>
      <c r="W333" s="119" t="s">
        <v>14</v>
      </c>
      <c r="X333" s="120" t="s">
        <v>15</v>
      </c>
      <c r="Y333" s="120" t="s">
        <v>15</v>
      </c>
      <c r="Z333" s="121" t="s">
        <v>16</v>
      </c>
      <c r="AA333" s="121" t="s">
        <v>16</v>
      </c>
      <c r="AC333" s="134" t="s">
        <v>16</v>
      </c>
      <c r="AD333" s="135" t="s">
        <v>16</v>
      </c>
      <c r="AE333" s="136" t="s">
        <v>16</v>
      </c>
      <c r="AF333" s="10" t="s">
        <v>17</v>
      </c>
      <c r="AI333" s="119" t="s">
        <v>14</v>
      </c>
      <c r="AJ333" s="120" t="s">
        <v>15</v>
      </c>
      <c r="AK333" s="120" t="s">
        <v>15</v>
      </c>
      <c r="AL333" s="121" t="s">
        <v>16</v>
      </c>
      <c r="AN333" s="134" t="s">
        <v>16</v>
      </c>
      <c r="AO333" s="135" t="s">
        <v>16</v>
      </c>
      <c r="AP333" s="136" t="s">
        <v>16</v>
      </c>
      <c r="AQ333" s="10" t="s">
        <v>17</v>
      </c>
      <c r="AS333" s="119" t="s">
        <v>14</v>
      </c>
      <c r="AT333" s="120" t="s">
        <v>15</v>
      </c>
      <c r="AU333" s="120" t="s">
        <v>15</v>
      </c>
      <c r="AV333" s="121" t="s">
        <v>16</v>
      </c>
      <c r="AX333" s="134" t="s">
        <v>16</v>
      </c>
      <c r="AY333" s="135" t="s">
        <v>16</v>
      </c>
      <c r="AZ333" s="136" t="s">
        <v>16</v>
      </c>
      <c r="BA333" s="10" t="s">
        <v>17</v>
      </c>
      <c r="BC333" s="119" t="s">
        <v>14</v>
      </c>
      <c r="BD333" s="120" t="s">
        <v>15</v>
      </c>
      <c r="BE333" s="120" t="s">
        <v>15</v>
      </c>
      <c r="BF333" s="121" t="s">
        <v>16</v>
      </c>
      <c r="BH333" s="134" t="s">
        <v>16</v>
      </c>
      <c r="BI333" s="135" t="s">
        <v>16</v>
      </c>
      <c r="BJ333" s="136" t="s">
        <v>16</v>
      </c>
      <c r="BK333" s="10" t="s">
        <v>17</v>
      </c>
      <c r="BM333" s="119" t="s">
        <v>14</v>
      </c>
      <c r="BN333" s="120" t="s">
        <v>15</v>
      </c>
      <c r="BO333" s="120" t="s">
        <v>15</v>
      </c>
      <c r="BP333" s="120" t="s">
        <v>15</v>
      </c>
      <c r="BQ333" s="121" t="s">
        <v>16</v>
      </c>
      <c r="BR333" s="121" t="s">
        <v>16</v>
      </c>
      <c r="BT333" s="134" t="s">
        <v>16</v>
      </c>
      <c r="BU333" s="135" t="s">
        <v>16</v>
      </c>
      <c r="BV333" s="136" t="s">
        <v>16</v>
      </c>
      <c r="BW333" s="10" t="s">
        <v>17</v>
      </c>
      <c r="BY333" s="119" t="s">
        <v>14</v>
      </c>
      <c r="BZ333" s="252" t="s">
        <v>15</v>
      </c>
      <c r="CA333" s="253" t="s">
        <v>15</v>
      </c>
      <c r="CB333" s="121" t="s">
        <v>16</v>
      </c>
      <c r="CC333" s="121" t="s">
        <v>16</v>
      </c>
      <c r="CE333" s="134" t="s">
        <v>16</v>
      </c>
      <c r="CF333" s="135" t="s">
        <v>16</v>
      </c>
      <c r="CG333" s="136" t="s">
        <v>16</v>
      </c>
      <c r="CH333" s="10" t="s">
        <v>17</v>
      </c>
      <c r="CJ333" s="119" t="s">
        <v>14</v>
      </c>
      <c r="CK333" s="120" t="s">
        <v>15</v>
      </c>
      <c r="CL333" s="120" t="s">
        <v>15</v>
      </c>
      <c r="CM333" s="121" t="s">
        <v>16</v>
      </c>
      <c r="CN333" s="121" t="s">
        <v>16</v>
      </c>
      <c r="CP333" s="134" t="s">
        <v>16</v>
      </c>
      <c r="CQ333" s="135" t="s">
        <v>16</v>
      </c>
      <c r="CR333" s="136" t="s">
        <v>16</v>
      </c>
      <c r="CS333" s="10" t="s">
        <v>17</v>
      </c>
      <c r="CU333" s="119" t="s">
        <v>14</v>
      </c>
      <c r="CV333" s="120" t="s">
        <v>15</v>
      </c>
      <c r="CW333" s="120" t="s">
        <v>15</v>
      </c>
      <c r="CX333" s="121" t="s">
        <v>16</v>
      </c>
      <c r="CY333" s="121" t="s">
        <v>16</v>
      </c>
      <c r="CZ333" s="6"/>
      <c r="DA333" s="7" t="s">
        <v>16</v>
      </c>
      <c r="DB333" s="7" t="s">
        <v>83</v>
      </c>
      <c r="DC333" s="8" t="s">
        <v>16</v>
      </c>
      <c r="DD333" s="9" t="s">
        <v>16</v>
      </c>
      <c r="DE333" s="10" t="s">
        <v>17</v>
      </c>
      <c r="DH333" s="119" t="s">
        <v>14</v>
      </c>
      <c r="DI333" s="120" t="s">
        <v>15</v>
      </c>
      <c r="DJ333" s="120" t="s">
        <v>15</v>
      </c>
      <c r="DK333" s="120" t="s">
        <v>15</v>
      </c>
      <c r="DL333" s="121" t="s">
        <v>16</v>
      </c>
      <c r="DM333" s="121" t="s">
        <v>16</v>
      </c>
      <c r="DO333" s="134" t="s">
        <v>16</v>
      </c>
      <c r="DP333" s="135" t="s">
        <v>16</v>
      </c>
      <c r="DQ333" s="136" t="s">
        <v>16</v>
      </c>
      <c r="DR333" s="10" t="s">
        <v>17</v>
      </c>
      <c r="DT333" s="119" t="s">
        <v>14</v>
      </c>
      <c r="DU333" s="120" t="s">
        <v>15</v>
      </c>
      <c r="DV333" s="120" t="s">
        <v>15</v>
      </c>
      <c r="DW333" s="121" t="s">
        <v>16</v>
      </c>
      <c r="DX333" s="121" t="s">
        <v>16</v>
      </c>
      <c r="DZ333" s="134" t="s">
        <v>16</v>
      </c>
      <c r="EA333" s="135" t="s">
        <v>16</v>
      </c>
      <c r="EB333" s="136" t="s">
        <v>16</v>
      </c>
      <c r="EC333" s="10" t="s">
        <v>17</v>
      </c>
      <c r="EE333" s="119" t="s">
        <v>14</v>
      </c>
      <c r="EF333" s="120" t="s">
        <v>15</v>
      </c>
      <c r="EG333" s="252" t="s">
        <v>15</v>
      </c>
      <c r="EH333" s="121" t="s">
        <v>16</v>
      </c>
      <c r="EI333" s="121" t="s">
        <v>16</v>
      </c>
      <c r="EK333" s="134" t="s">
        <v>16</v>
      </c>
      <c r="EL333" s="134" t="s">
        <v>83</v>
      </c>
      <c r="EM333" s="135" t="s">
        <v>16</v>
      </c>
      <c r="EN333" s="136" t="s">
        <v>16</v>
      </c>
      <c r="EO333" s="10" t="s">
        <v>17</v>
      </c>
      <c r="EQ333" s="119" t="s">
        <v>14</v>
      </c>
      <c r="ER333" s="120" t="s">
        <v>15</v>
      </c>
      <c r="ES333" s="120" t="s">
        <v>15</v>
      </c>
      <c r="ET333" s="121" t="s">
        <v>16</v>
      </c>
      <c r="EU333" s="121" t="s">
        <v>16</v>
      </c>
      <c r="EW333" s="134" t="s">
        <v>16</v>
      </c>
      <c r="EX333" s="135" t="s">
        <v>16</v>
      </c>
      <c r="EY333" s="136" t="s">
        <v>16</v>
      </c>
      <c r="EZ333" s="10" t="s">
        <v>17</v>
      </c>
      <c r="FB333" s="119" t="s">
        <v>14</v>
      </c>
      <c r="FC333" s="120" t="s">
        <v>15</v>
      </c>
      <c r="FD333" s="120" t="s">
        <v>15</v>
      </c>
      <c r="FE333" s="121" t="s">
        <v>16</v>
      </c>
      <c r="FF333" s="121" t="s">
        <v>16</v>
      </c>
      <c r="FH333" s="134" t="s">
        <v>16</v>
      </c>
      <c r="FI333" s="135" t="s">
        <v>16</v>
      </c>
      <c r="FJ333" s="136" t="s">
        <v>16</v>
      </c>
      <c r="FK333" s="10" t="s">
        <v>17</v>
      </c>
    </row>
    <row r="334" spans="2:167" ht="15.75" thickBot="1" x14ac:dyDescent="0.3">
      <c r="B334" s="119"/>
      <c r="C334" s="120" t="s">
        <v>18</v>
      </c>
      <c r="D334" s="120" t="s">
        <v>19</v>
      </c>
      <c r="E334" s="121" t="s">
        <v>19</v>
      </c>
      <c r="F334" s="121" t="s">
        <v>25</v>
      </c>
      <c r="G334" s="6"/>
      <c r="H334" s="16" t="s">
        <v>21</v>
      </c>
      <c r="I334" s="17" t="s">
        <v>22</v>
      </c>
      <c r="J334" s="18" t="s">
        <v>23</v>
      </c>
      <c r="K334" s="19" t="s">
        <v>24</v>
      </c>
      <c r="M334" s="119"/>
      <c r="N334" s="120" t="s">
        <v>18</v>
      </c>
      <c r="O334" s="120" t="s">
        <v>19</v>
      </c>
      <c r="P334" s="121" t="s">
        <v>25</v>
      </c>
      <c r="R334" s="145" t="s">
        <v>21</v>
      </c>
      <c r="S334" s="146" t="s">
        <v>22</v>
      </c>
      <c r="T334" s="147" t="s">
        <v>23</v>
      </c>
      <c r="U334" s="148" t="s">
        <v>24</v>
      </c>
      <c r="W334" s="119"/>
      <c r="X334" s="120" t="s">
        <v>18</v>
      </c>
      <c r="Y334" s="120" t="s">
        <v>19</v>
      </c>
      <c r="Z334" s="121" t="s">
        <v>19</v>
      </c>
      <c r="AA334" s="121" t="s">
        <v>25</v>
      </c>
      <c r="AC334" s="145" t="s">
        <v>21</v>
      </c>
      <c r="AD334" s="146" t="s">
        <v>22</v>
      </c>
      <c r="AE334" s="147" t="s">
        <v>23</v>
      </c>
      <c r="AF334" s="148" t="s">
        <v>24</v>
      </c>
      <c r="AI334" s="119"/>
      <c r="AJ334" s="120" t="s">
        <v>18</v>
      </c>
      <c r="AK334" s="120" t="s">
        <v>19</v>
      </c>
      <c r="AL334" s="121" t="s">
        <v>25</v>
      </c>
      <c r="AN334" s="145" t="s">
        <v>21</v>
      </c>
      <c r="AO334" s="146" t="s">
        <v>22</v>
      </c>
      <c r="AP334" s="147" t="s">
        <v>23</v>
      </c>
      <c r="AQ334" s="148" t="s">
        <v>24</v>
      </c>
      <c r="AS334" s="119"/>
      <c r="AT334" s="120" t="s">
        <v>18</v>
      </c>
      <c r="AU334" s="120" t="s">
        <v>19</v>
      </c>
      <c r="AV334" s="121" t="s">
        <v>25</v>
      </c>
      <c r="AX334" s="145" t="s">
        <v>21</v>
      </c>
      <c r="AY334" s="146" t="s">
        <v>22</v>
      </c>
      <c r="AZ334" s="147" t="s">
        <v>23</v>
      </c>
      <c r="BA334" s="148" t="s">
        <v>24</v>
      </c>
      <c r="BC334" s="119"/>
      <c r="BD334" s="120" t="s">
        <v>18</v>
      </c>
      <c r="BE334" s="120" t="s">
        <v>19</v>
      </c>
      <c r="BF334" s="121" t="s">
        <v>25</v>
      </c>
      <c r="BH334" s="145" t="s">
        <v>21</v>
      </c>
      <c r="BI334" s="146" t="s">
        <v>22</v>
      </c>
      <c r="BJ334" s="147" t="s">
        <v>23</v>
      </c>
      <c r="BK334" s="148" t="s">
        <v>24</v>
      </c>
      <c r="BM334" s="119"/>
      <c r="BN334" s="120" t="s">
        <v>18</v>
      </c>
      <c r="BO334" s="120" t="s">
        <v>19</v>
      </c>
      <c r="BP334" s="120" t="s">
        <v>20</v>
      </c>
      <c r="BQ334" s="121" t="s">
        <v>19</v>
      </c>
      <c r="BR334" s="121" t="s">
        <v>25</v>
      </c>
      <c r="BT334" s="145" t="s">
        <v>21</v>
      </c>
      <c r="BU334" s="146" t="s">
        <v>22</v>
      </c>
      <c r="BV334" s="147" t="s">
        <v>23</v>
      </c>
      <c r="BW334" s="148" t="s">
        <v>24</v>
      </c>
      <c r="BY334" s="119"/>
      <c r="BZ334" s="252" t="s">
        <v>18</v>
      </c>
      <c r="CA334" s="253" t="s">
        <v>19</v>
      </c>
      <c r="CB334" s="121" t="s">
        <v>19</v>
      </c>
      <c r="CC334" s="121" t="s">
        <v>25</v>
      </c>
      <c r="CE334" s="145" t="s">
        <v>21</v>
      </c>
      <c r="CF334" s="146" t="s">
        <v>22</v>
      </c>
      <c r="CG334" s="147" t="s">
        <v>23</v>
      </c>
      <c r="CH334" s="148" t="s">
        <v>24</v>
      </c>
      <c r="CJ334" s="119"/>
      <c r="CK334" s="120" t="s">
        <v>18</v>
      </c>
      <c r="CL334" s="120" t="s">
        <v>19</v>
      </c>
      <c r="CM334" s="121" t="s">
        <v>19</v>
      </c>
      <c r="CN334" s="121" t="s">
        <v>25</v>
      </c>
      <c r="CP334" s="145" t="s">
        <v>21</v>
      </c>
      <c r="CQ334" s="146" t="s">
        <v>22</v>
      </c>
      <c r="CR334" s="147" t="s">
        <v>23</v>
      </c>
      <c r="CS334" s="148" t="s">
        <v>24</v>
      </c>
      <c r="CU334" s="119"/>
      <c r="CV334" s="120" t="s">
        <v>18</v>
      </c>
      <c r="CW334" s="120" t="s">
        <v>19</v>
      </c>
      <c r="CX334" s="121" t="s">
        <v>19</v>
      </c>
      <c r="CY334" s="121" t="s">
        <v>25</v>
      </c>
      <c r="CZ334" s="6"/>
      <c r="DA334" s="16" t="s">
        <v>21</v>
      </c>
      <c r="DB334" s="16" t="s">
        <v>93</v>
      </c>
      <c r="DC334" s="17" t="s">
        <v>22</v>
      </c>
      <c r="DD334" s="18" t="s">
        <v>23</v>
      </c>
      <c r="DE334" s="19" t="s">
        <v>24</v>
      </c>
      <c r="DH334" s="119"/>
      <c r="DI334" s="120" t="s">
        <v>18</v>
      </c>
      <c r="DJ334" s="120" t="s">
        <v>19</v>
      </c>
      <c r="DK334" s="120" t="s">
        <v>20</v>
      </c>
      <c r="DL334" s="121" t="s">
        <v>19</v>
      </c>
      <c r="DM334" s="121" t="s">
        <v>25</v>
      </c>
      <c r="DO334" s="145" t="s">
        <v>21</v>
      </c>
      <c r="DP334" s="146" t="s">
        <v>22</v>
      </c>
      <c r="DQ334" s="147" t="s">
        <v>23</v>
      </c>
      <c r="DR334" s="148" t="s">
        <v>24</v>
      </c>
      <c r="DT334" s="119"/>
      <c r="DU334" s="120" t="s">
        <v>18</v>
      </c>
      <c r="DV334" s="120" t="s">
        <v>19</v>
      </c>
      <c r="DW334" s="121" t="s">
        <v>19</v>
      </c>
      <c r="DX334" s="121" t="s">
        <v>25</v>
      </c>
      <c r="DZ334" s="145" t="s">
        <v>21</v>
      </c>
      <c r="EA334" s="146" t="s">
        <v>22</v>
      </c>
      <c r="EB334" s="147" t="s">
        <v>23</v>
      </c>
      <c r="EC334" s="148" t="s">
        <v>24</v>
      </c>
      <c r="EE334" s="119"/>
      <c r="EF334" s="120" t="s">
        <v>18</v>
      </c>
      <c r="EG334" s="252" t="s">
        <v>19</v>
      </c>
      <c r="EH334" s="121" t="s">
        <v>19</v>
      </c>
      <c r="EI334" s="121" t="s">
        <v>25</v>
      </c>
      <c r="EK334" s="145" t="s">
        <v>21</v>
      </c>
      <c r="EL334" s="145" t="s">
        <v>21</v>
      </c>
      <c r="EM334" s="146" t="s">
        <v>22</v>
      </c>
      <c r="EN334" s="147" t="s">
        <v>23</v>
      </c>
      <c r="EO334" s="148" t="s">
        <v>24</v>
      </c>
      <c r="EQ334" s="119"/>
      <c r="ER334" s="120" t="s">
        <v>18</v>
      </c>
      <c r="ES334" s="120" t="s">
        <v>19</v>
      </c>
      <c r="ET334" s="121" t="s">
        <v>19</v>
      </c>
      <c r="EU334" s="121" t="s">
        <v>25</v>
      </c>
      <c r="EW334" s="145" t="s">
        <v>21</v>
      </c>
      <c r="EX334" s="146" t="s">
        <v>22</v>
      </c>
      <c r="EY334" s="147" t="s">
        <v>23</v>
      </c>
      <c r="EZ334" s="148" t="s">
        <v>24</v>
      </c>
      <c r="FB334" s="119"/>
      <c r="FC334" s="254" t="s">
        <v>18</v>
      </c>
      <c r="FD334" s="254" t="s">
        <v>19</v>
      </c>
      <c r="FE334" s="255" t="s">
        <v>19</v>
      </c>
      <c r="FF334" s="255" t="s">
        <v>25</v>
      </c>
      <c r="FH334" s="145" t="s">
        <v>21</v>
      </c>
      <c r="FI334" s="146" t="s">
        <v>22</v>
      </c>
      <c r="FJ334" s="147" t="s">
        <v>23</v>
      </c>
      <c r="FK334" s="148" t="s">
        <v>24</v>
      </c>
    </row>
    <row r="335" spans="2:167" x14ac:dyDescent="0.25">
      <c r="B335" s="122">
        <v>46113</v>
      </c>
      <c r="C335" s="123">
        <v>32006.82</v>
      </c>
      <c r="D335" s="126"/>
      <c r="E335" s="125"/>
      <c r="F335" s="126">
        <v>0</v>
      </c>
      <c r="G335" s="27"/>
      <c r="H335" s="239">
        <v>36.948879999999917</v>
      </c>
      <c r="I335" s="30">
        <v>35.682401606571446</v>
      </c>
      <c r="J335" s="29"/>
      <c r="K335" s="30">
        <f>SUM(F335:J335)</f>
        <v>72.631281606571363</v>
      </c>
      <c r="M335" s="122">
        <v>46113</v>
      </c>
      <c r="N335" s="123">
        <v>9536.2000000000007</v>
      </c>
      <c r="O335" s="125"/>
      <c r="P335" s="126">
        <v>42.41</v>
      </c>
      <c r="R335" s="239">
        <v>19.618259999999964</v>
      </c>
      <c r="S335" s="30"/>
      <c r="T335" s="29"/>
      <c r="U335" s="30">
        <f>SUM(P335:T335)</f>
        <v>62.02825999999996</v>
      </c>
      <c r="W335" s="122">
        <v>46113</v>
      </c>
      <c r="X335" s="123">
        <v>4118.3599999999997</v>
      </c>
      <c r="Y335" s="123">
        <v>162.41</v>
      </c>
      <c r="Z335" s="125"/>
      <c r="AA335" s="273">
        <v>11.36</v>
      </c>
      <c r="AC335" s="239">
        <v>15.496129999999965</v>
      </c>
      <c r="AD335" s="30">
        <v>13.907183567999937</v>
      </c>
      <c r="AE335" s="29"/>
      <c r="AF335" s="30">
        <f>SUM(AA335:AE335)</f>
        <v>40.763313567999901</v>
      </c>
      <c r="AI335" s="122">
        <v>46113</v>
      </c>
      <c r="AJ335" s="123">
        <v>2275.96</v>
      </c>
      <c r="AK335" s="125"/>
      <c r="AL335" s="126"/>
      <c r="AN335" s="28"/>
      <c r="AO335" s="29"/>
      <c r="AP335" s="29"/>
      <c r="AQ335" s="30"/>
      <c r="AS335" s="122">
        <v>46113</v>
      </c>
      <c r="AT335" s="123">
        <v>6387.09</v>
      </c>
      <c r="AU335" s="125"/>
      <c r="AV335" s="128"/>
      <c r="AX335" s="28"/>
      <c r="AY335" s="29"/>
      <c r="AZ335" s="29"/>
      <c r="BA335" s="30"/>
      <c r="BC335" s="122">
        <v>46113</v>
      </c>
      <c r="BD335" s="123">
        <v>5827.23</v>
      </c>
      <c r="BE335" s="125"/>
      <c r="BF335" s="128">
        <v>0</v>
      </c>
      <c r="BH335" s="239"/>
      <c r="BI335" s="30"/>
      <c r="BJ335" s="29"/>
      <c r="BK335" s="30">
        <f>SUM(BF335:BJ335)</f>
        <v>0</v>
      </c>
      <c r="BM335" s="122">
        <v>46113</v>
      </c>
      <c r="BN335" s="123">
        <v>15417.88</v>
      </c>
      <c r="BO335" s="123">
        <v>3800.19</v>
      </c>
      <c r="BP335" s="123">
        <v>11361.03</v>
      </c>
      <c r="BQ335" s="125"/>
      <c r="BR335" s="125"/>
      <c r="BT335" s="239">
        <v>288.42655999999999</v>
      </c>
      <c r="BU335" s="30">
        <v>35.824896928571491</v>
      </c>
      <c r="BV335" s="30"/>
      <c r="BW335" s="30">
        <f t="shared" ref="BW335:BW364" si="223">SUM(BR335:BV335)</f>
        <v>324.25145692857149</v>
      </c>
      <c r="BY335" s="122">
        <v>46113</v>
      </c>
      <c r="BZ335" s="256">
        <v>2963.55</v>
      </c>
      <c r="CA335" s="257">
        <v>704.59</v>
      </c>
      <c r="CB335" s="125"/>
      <c r="CC335" s="126"/>
      <c r="CE335" s="239"/>
      <c r="CF335" s="30"/>
      <c r="CG335" s="29"/>
      <c r="CH335" s="30">
        <f>SUM(CC335:CG335)</f>
        <v>0</v>
      </c>
      <c r="CJ335" s="122">
        <v>46113</v>
      </c>
      <c r="CK335" s="123">
        <v>17292.3</v>
      </c>
      <c r="CL335" s="123">
        <v>754.63</v>
      </c>
      <c r="CM335" s="125"/>
      <c r="CN335" s="126">
        <v>26.36</v>
      </c>
      <c r="CP335" s="239">
        <v>-30.400790000000026</v>
      </c>
      <c r="CQ335" s="30">
        <v>15.870600521428543</v>
      </c>
      <c r="CR335" s="29"/>
      <c r="CS335" s="30">
        <f>SUM(CN335:CR335)</f>
        <v>11.829810521428517</v>
      </c>
      <c r="CU335" s="122">
        <v>46113</v>
      </c>
      <c r="CV335" s="123">
        <v>28985.11</v>
      </c>
      <c r="CW335" s="269">
        <v>1830.93</v>
      </c>
      <c r="CX335" s="125"/>
      <c r="CY335" s="126">
        <v>190.65</v>
      </c>
      <c r="CZ335" s="27"/>
      <c r="DA335" s="239">
        <v>712.32000000000176</v>
      </c>
      <c r="DB335" s="402">
        <v>134.84800000000001</v>
      </c>
      <c r="DC335" s="30"/>
      <c r="DD335" s="29"/>
      <c r="DE335" s="30">
        <f>SUM(CY335:DD335)</f>
        <v>1037.8180000000018</v>
      </c>
      <c r="DH335" s="122">
        <v>46113</v>
      </c>
      <c r="DI335" s="123">
        <v>18314.419999999998</v>
      </c>
      <c r="DJ335" s="127">
        <v>5333.85</v>
      </c>
      <c r="DK335" s="127">
        <v>385.84</v>
      </c>
      <c r="DL335" s="127"/>
      <c r="DM335" s="126">
        <v>0</v>
      </c>
      <c r="DO335" s="239">
        <v>28.136599999999966</v>
      </c>
      <c r="DP335" s="30"/>
      <c r="DQ335" s="29"/>
      <c r="DR335" s="30">
        <f>SUM(DM335:DQ335)</f>
        <v>28.136599999999966</v>
      </c>
      <c r="DT335" s="122">
        <v>46113</v>
      </c>
      <c r="DU335" s="123">
        <v>3262.65</v>
      </c>
      <c r="DV335" s="125">
        <v>964.01</v>
      </c>
      <c r="DW335" s="127"/>
      <c r="DX335" s="126">
        <v>29.07</v>
      </c>
      <c r="DZ335" s="239"/>
      <c r="EA335" s="30">
        <v>-1.2925644928571387</v>
      </c>
      <c r="EB335" s="29"/>
      <c r="EC335" s="30">
        <f>SUM(DX335:EB335)</f>
        <v>27.777435507142862</v>
      </c>
      <c r="EE335" s="122">
        <v>46113</v>
      </c>
      <c r="EF335" s="123">
        <v>3181.85</v>
      </c>
      <c r="EG335" s="125">
        <v>1138.96</v>
      </c>
      <c r="EH335" s="127"/>
      <c r="EI335" s="126">
        <v>3.87</v>
      </c>
      <c r="EK335" s="239">
        <v>388.04306000000003</v>
      </c>
      <c r="EL335" s="402">
        <v>134.84800000000001</v>
      </c>
      <c r="EM335" s="30">
        <v>45.70258902857131</v>
      </c>
      <c r="EN335" s="29"/>
      <c r="EO335" s="30">
        <f>SUM(EI335:EN335)</f>
        <v>572.46364902857135</v>
      </c>
      <c r="EQ335" s="122">
        <v>46113</v>
      </c>
      <c r="ER335" s="123">
        <v>9830.2000000000007</v>
      </c>
      <c r="ES335" s="400">
        <v>170.75</v>
      </c>
      <c r="ET335" s="127"/>
      <c r="EU335" s="258">
        <v>607.99</v>
      </c>
      <c r="EW335" s="239">
        <v>31.975999999999999</v>
      </c>
      <c r="EX335" s="30">
        <v>0.1022376214285714</v>
      </c>
      <c r="EY335" s="29"/>
      <c r="EZ335" s="30">
        <f>SUM(EU335:EY335)</f>
        <v>640.06823762142858</v>
      </c>
      <c r="FB335" s="122">
        <v>46113</v>
      </c>
      <c r="FC335" s="123">
        <v>986.76</v>
      </c>
      <c r="FD335" s="123">
        <v>154.06</v>
      </c>
      <c r="FE335" s="125"/>
      <c r="FF335" s="126"/>
      <c r="FH335" s="28"/>
      <c r="FI335" s="29"/>
      <c r="FJ335" s="29"/>
      <c r="FK335" s="30"/>
    </row>
    <row r="336" spans="2:167" x14ac:dyDescent="0.25">
      <c r="B336" s="122">
        <v>46114</v>
      </c>
      <c r="C336" s="123">
        <v>32303.3</v>
      </c>
      <c r="D336" s="125"/>
      <c r="E336" s="125"/>
      <c r="F336" s="123">
        <v>0</v>
      </c>
      <c r="G336" s="27"/>
      <c r="H336" s="240">
        <v>15.354640000000003</v>
      </c>
      <c r="I336" s="53"/>
      <c r="J336" s="52"/>
      <c r="K336" s="53">
        <f t="shared" ref="K336:K341" si="224">SUM(F336:J336)</f>
        <v>15.354640000000003</v>
      </c>
      <c r="M336" s="122">
        <v>46114</v>
      </c>
      <c r="N336" s="123">
        <v>8392.75</v>
      </c>
      <c r="O336" s="125"/>
      <c r="P336" s="126">
        <v>54.64</v>
      </c>
      <c r="R336" s="240"/>
      <c r="S336" s="53">
        <v>4.8657859357143138</v>
      </c>
      <c r="T336" s="52"/>
      <c r="U336" s="53">
        <f t="shared" ref="U336:U364" si="225">SUM(P336:T336)</f>
        <v>59.505785935714314</v>
      </c>
      <c r="W336" s="122">
        <v>46114</v>
      </c>
      <c r="X336" s="123">
        <v>3635.33</v>
      </c>
      <c r="Y336" s="123">
        <v>473.84</v>
      </c>
      <c r="Z336" s="125"/>
      <c r="AA336" s="273">
        <v>5.97</v>
      </c>
      <c r="AC336" s="240"/>
      <c r="AD336" s="53"/>
      <c r="AE336" s="52"/>
      <c r="AF336" s="53">
        <f t="shared" ref="AF336:AF364" si="226">SUM(AA336:AE336)</f>
        <v>5.97</v>
      </c>
      <c r="AI336" s="122">
        <v>46114</v>
      </c>
      <c r="AJ336" s="123">
        <v>3101.33</v>
      </c>
      <c r="AK336" s="125"/>
      <c r="AL336" s="126"/>
      <c r="AN336" s="51"/>
      <c r="AO336" s="52"/>
      <c r="AP336" s="52"/>
      <c r="AQ336" s="53"/>
      <c r="AS336" s="122">
        <v>46114</v>
      </c>
      <c r="AT336" s="123">
        <v>4398.29</v>
      </c>
      <c r="AU336" s="125"/>
      <c r="AV336" s="128"/>
      <c r="AX336" s="51"/>
      <c r="AY336" s="52"/>
      <c r="AZ336" s="52"/>
      <c r="BA336" s="53"/>
      <c r="BC336" s="122">
        <v>46114</v>
      </c>
      <c r="BD336" s="123">
        <v>5472.68</v>
      </c>
      <c r="BE336" s="125"/>
      <c r="BF336" s="128">
        <v>0</v>
      </c>
      <c r="BH336" s="240"/>
      <c r="BI336" s="53"/>
      <c r="BJ336" s="52"/>
      <c r="BK336" s="53">
        <f t="shared" ref="BK336:BK364" si="227">SUM(BF336:BJ336)</f>
        <v>0</v>
      </c>
      <c r="BM336" s="122">
        <v>46114</v>
      </c>
      <c r="BN336" s="123">
        <v>10322.98</v>
      </c>
      <c r="BO336" s="123">
        <v>1850.08</v>
      </c>
      <c r="BP336" s="123">
        <v>6075.1</v>
      </c>
      <c r="BQ336" s="125"/>
      <c r="BR336" s="125"/>
      <c r="BT336" s="240">
        <v>280.48077999999992</v>
      </c>
      <c r="BU336" s="53">
        <v>449.87198891285743</v>
      </c>
      <c r="BV336" s="53">
        <v>43.723204800000019</v>
      </c>
      <c r="BW336" s="53">
        <f t="shared" si="223"/>
        <v>774.07597371285738</v>
      </c>
      <c r="BY336" s="122">
        <v>46114</v>
      </c>
      <c r="BZ336" s="256">
        <v>5781.52</v>
      </c>
      <c r="CA336" s="257">
        <v>688.31</v>
      </c>
      <c r="CB336" s="125"/>
      <c r="CC336" s="126"/>
      <c r="CE336" s="240"/>
      <c r="CF336" s="53"/>
      <c r="CG336" s="52"/>
      <c r="CH336" s="53">
        <f t="shared" ref="CH336:CH364" si="228">SUM(CC336:CG336)</f>
        <v>0</v>
      </c>
      <c r="CJ336" s="122">
        <v>46114</v>
      </c>
      <c r="CK336" s="123">
        <v>13596.5</v>
      </c>
      <c r="CL336" s="123">
        <v>1028.3499999999999</v>
      </c>
      <c r="CM336" s="125"/>
      <c r="CN336" s="126">
        <v>41.45</v>
      </c>
      <c r="CP336" s="240">
        <v>-89.636520000000004</v>
      </c>
      <c r="CQ336" s="53"/>
      <c r="CR336" s="52"/>
      <c r="CS336" s="53">
        <f t="shared" ref="CS336:CS364" si="229">SUM(CN336:CR336)</f>
        <v>-48.186520000000002</v>
      </c>
      <c r="CU336" s="122">
        <v>46114</v>
      </c>
      <c r="CV336" s="123">
        <v>14781.84</v>
      </c>
      <c r="CW336" s="269">
        <v>1942.57</v>
      </c>
      <c r="CX336" s="125"/>
      <c r="CY336" s="128">
        <v>0</v>
      </c>
      <c r="CZ336" s="27"/>
      <c r="DA336" s="240">
        <v>416.64000000000055</v>
      </c>
      <c r="DB336" s="435">
        <v>134.84800000000001</v>
      </c>
      <c r="DC336" s="53"/>
      <c r="DD336" s="52"/>
      <c r="DE336" s="53">
        <f t="shared" ref="DE336:DE364" si="230">SUM(CY336:DD336)</f>
        <v>551.48800000000051</v>
      </c>
      <c r="DH336" s="122">
        <v>46114</v>
      </c>
      <c r="DI336" s="123">
        <v>4298.91</v>
      </c>
      <c r="DJ336" s="127">
        <v>300.89999999999998</v>
      </c>
      <c r="DK336" s="127">
        <v>1928.19</v>
      </c>
      <c r="DL336" s="127"/>
      <c r="DM336" s="126">
        <v>0</v>
      </c>
      <c r="DO336" s="240"/>
      <c r="DP336" s="53"/>
      <c r="DQ336" s="52"/>
      <c r="DR336" s="53">
        <f t="shared" ref="DR336:DR364" si="231">SUM(DM336:DQ336)</f>
        <v>0</v>
      </c>
      <c r="DT336" s="122">
        <v>46114</v>
      </c>
      <c r="DU336" s="123">
        <v>2842.28</v>
      </c>
      <c r="DV336" s="125">
        <v>764.25</v>
      </c>
      <c r="DW336" s="127"/>
      <c r="DX336" s="126">
        <v>30.71</v>
      </c>
      <c r="DZ336" s="240"/>
      <c r="EA336" s="53"/>
      <c r="EB336" s="52"/>
      <c r="EC336" s="53">
        <f t="shared" ref="EC336:EC364" si="232">SUM(DX336:EB336)</f>
        <v>30.71</v>
      </c>
      <c r="EE336" s="122">
        <v>46114</v>
      </c>
      <c r="EF336" s="123">
        <v>2495.69</v>
      </c>
      <c r="EG336" s="125">
        <v>1139.02</v>
      </c>
      <c r="EH336" s="127"/>
      <c r="EI336" s="126">
        <v>1.45</v>
      </c>
      <c r="EK336" s="240">
        <v>160.46224999999998</v>
      </c>
      <c r="EL336" s="435">
        <v>134.84800000000001</v>
      </c>
      <c r="EM336" s="53">
        <v>89.790924449999949</v>
      </c>
      <c r="EN336" s="52"/>
      <c r="EO336" s="53">
        <f t="shared" ref="EO336:EO364" si="233">SUM(EI336:EN336)</f>
        <v>386.55117444999996</v>
      </c>
      <c r="EQ336" s="122">
        <v>46114</v>
      </c>
      <c r="ER336" s="123">
        <v>7250.6</v>
      </c>
      <c r="ES336" s="400">
        <v>505</v>
      </c>
      <c r="ET336" s="127"/>
      <c r="EU336" s="258">
        <v>409.46</v>
      </c>
      <c r="EW336" s="240"/>
      <c r="EX336" s="53"/>
      <c r="EY336" s="52"/>
      <c r="EZ336" s="53">
        <f t="shared" ref="EZ336:EZ364" si="234">SUM(EU336:EY336)</f>
        <v>409.46</v>
      </c>
      <c r="FB336" s="122">
        <v>46114</v>
      </c>
      <c r="FC336" s="123">
        <v>1998.03</v>
      </c>
      <c r="FD336" s="123">
        <v>117.69</v>
      </c>
      <c r="FE336" s="125"/>
      <c r="FF336" s="126"/>
      <c r="FH336" s="51"/>
      <c r="FI336" s="52"/>
      <c r="FJ336" s="52"/>
      <c r="FK336" s="53"/>
    </row>
    <row r="337" spans="2:167" x14ac:dyDescent="0.25">
      <c r="B337" s="122">
        <v>46115</v>
      </c>
      <c r="C337" s="123">
        <v>22097.29</v>
      </c>
      <c r="D337" s="125"/>
      <c r="E337" s="125"/>
      <c r="F337" s="123">
        <v>0</v>
      </c>
      <c r="G337" s="27"/>
      <c r="H337" s="240">
        <v>21.023759999999982</v>
      </c>
      <c r="I337" s="53"/>
      <c r="J337" s="52"/>
      <c r="K337" s="53">
        <f t="shared" si="224"/>
        <v>21.023759999999982</v>
      </c>
      <c r="M337" s="122">
        <v>46115</v>
      </c>
      <c r="N337" s="123">
        <v>8392.6299999999992</v>
      </c>
      <c r="O337" s="125"/>
      <c r="P337" s="126">
        <v>15.06</v>
      </c>
      <c r="R337" s="240"/>
      <c r="S337" s="53"/>
      <c r="T337" s="52"/>
      <c r="U337" s="53">
        <f t="shared" si="225"/>
        <v>15.06</v>
      </c>
      <c r="W337" s="122">
        <v>46115</v>
      </c>
      <c r="X337" s="123">
        <v>4081.76</v>
      </c>
      <c r="Y337" s="123">
        <v>738.94</v>
      </c>
      <c r="Z337" s="125"/>
      <c r="AA337" s="273">
        <v>0</v>
      </c>
      <c r="AC337" s="240"/>
      <c r="AD337" s="53"/>
      <c r="AE337" s="52"/>
      <c r="AF337" s="53">
        <f t="shared" si="226"/>
        <v>0</v>
      </c>
      <c r="AI337" s="122">
        <v>46115</v>
      </c>
      <c r="AJ337" s="123">
        <v>2568.23</v>
      </c>
      <c r="AK337" s="125"/>
      <c r="AL337" s="126"/>
      <c r="AN337" s="51"/>
      <c r="AO337" s="52"/>
      <c r="AP337" s="52"/>
      <c r="AQ337" s="53"/>
      <c r="AS337" s="122">
        <v>46115</v>
      </c>
      <c r="AT337" s="123">
        <v>4253.53</v>
      </c>
      <c r="AU337" s="125"/>
      <c r="AV337" s="128"/>
      <c r="AX337" s="51"/>
      <c r="AY337" s="52"/>
      <c r="AZ337" s="52"/>
      <c r="BA337" s="53"/>
      <c r="BC337" s="122">
        <v>46115</v>
      </c>
      <c r="BD337" s="123">
        <v>2391.2199999999998</v>
      </c>
      <c r="BE337" s="125"/>
      <c r="BF337" s="128">
        <v>0</v>
      </c>
      <c r="BH337" s="240">
        <v>127.80683999999971</v>
      </c>
      <c r="BI337" s="53"/>
      <c r="BJ337" s="52"/>
      <c r="BK337" s="53">
        <f t="shared" si="227"/>
        <v>127.80683999999971</v>
      </c>
      <c r="BM337" s="122">
        <v>46115</v>
      </c>
      <c r="BN337" s="123">
        <v>7699.13</v>
      </c>
      <c r="BO337" s="123">
        <v>1674.1</v>
      </c>
      <c r="BP337" s="123">
        <v>4562.2299999999996</v>
      </c>
      <c r="BQ337" s="125"/>
      <c r="BR337" s="125"/>
      <c r="BT337" s="240">
        <v>72.639999999999986</v>
      </c>
      <c r="BU337" s="53"/>
      <c r="BV337" s="53"/>
      <c r="BW337" s="53">
        <f t="shared" si="223"/>
        <v>72.639999999999986</v>
      </c>
      <c r="BY337" s="122">
        <v>46115</v>
      </c>
      <c r="BZ337" s="256">
        <v>3253.34</v>
      </c>
      <c r="CA337" s="257">
        <v>739.92</v>
      </c>
      <c r="CB337" s="125"/>
      <c r="CC337" s="126"/>
      <c r="CE337" s="240"/>
      <c r="CF337" s="53"/>
      <c r="CG337" s="52"/>
      <c r="CH337" s="53">
        <f t="shared" si="228"/>
        <v>0</v>
      </c>
      <c r="CJ337" s="122">
        <v>46115</v>
      </c>
      <c r="CK337" s="123">
        <v>10848.06</v>
      </c>
      <c r="CL337" s="123">
        <v>566.78</v>
      </c>
      <c r="CM337" s="125"/>
      <c r="CN337" s="126">
        <v>6.04</v>
      </c>
      <c r="CP337" s="240">
        <v>-21.666419999999942</v>
      </c>
      <c r="CQ337" s="53"/>
      <c r="CR337" s="52"/>
      <c r="CS337" s="53">
        <f t="shared" si="229"/>
        <v>-15.626419999999943</v>
      </c>
      <c r="CU337" s="122">
        <v>46115</v>
      </c>
      <c r="CV337" s="123">
        <v>9243.7900000000009</v>
      </c>
      <c r="CW337" s="269">
        <v>669.18</v>
      </c>
      <c r="CX337" s="125"/>
      <c r="CY337" s="126">
        <v>80.7</v>
      </c>
      <c r="CZ337" s="27"/>
      <c r="DA337" s="240">
        <v>2626.5599999999895</v>
      </c>
      <c r="DB337" s="435">
        <v>134.84800000000001</v>
      </c>
      <c r="DC337" s="53"/>
      <c r="DD337" s="52"/>
      <c r="DE337" s="53">
        <f t="shared" si="230"/>
        <v>2842.1079999999893</v>
      </c>
      <c r="DH337" s="122">
        <v>46115</v>
      </c>
      <c r="DI337" s="123">
        <v>3064.2</v>
      </c>
      <c r="DJ337" s="126">
        <v>135.46</v>
      </c>
      <c r="DK337" s="126">
        <v>1551.21</v>
      </c>
      <c r="DL337" s="127"/>
      <c r="DM337" s="126">
        <v>0</v>
      </c>
      <c r="DO337" s="240"/>
      <c r="DP337" s="53"/>
      <c r="DQ337" s="52"/>
      <c r="DR337" s="53">
        <f t="shared" si="231"/>
        <v>0</v>
      </c>
      <c r="DT337" s="122">
        <v>46115</v>
      </c>
      <c r="DU337" s="123">
        <v>1575.13</v>
      </c>
      <c r="DV337" s="125">
        <v>783.78</v>
      </c>
      <c r="DW337" s="127"/>
      <c r="DX337" s="126">
        <v>0</v>
      </c>
      <c r="DZ337" s="240"/>
      <c r="EA337" s="53"/>
      <c r="EB337" s="52"/>
      <c r="EC337" s="53">
        <f t="shared" si="232"/>
        <v>0</v>
      </c>
      <c r="EE337" s="122">
        <v>46115</v>
      </c>
      <c r="EF337" s="123">
        <v>1417.32</v>
      </c>
      <c r="EG337" s="125">
        <v>510.8</v>
      </c>
      <c r="EH337" s="127"/>
      <c r="EI337" s="126">
        <v>2.2999999999999998</v>
      </c>
      <c r="EK337" s="240">
        <v>47.317919999999972</v>
      </c>
      <c r="EL337" s="435">
        <v>134.84800000000001</v>
      </c>
      <c r="EM337" s="53"/>
      <c r="EN337" s="52"/>
      <c r="EO337" s="53">
        <f t="shared" si="233"/>
        <v>184.46591999999998</v>
      </c>
      <c r="EQ337" s="122">
        <v>46115</v>
      </c>
      <c r="ER337" s="123">
        <v>6890.16</v>
      </c>
      <c r="ES337" s="400">
        <v>361.48</v>
      </c>
      <c r="ET337" s="127"/>
      <c r="EU337" s="258">
        <v>398.9</v>
      </c>
      <c r="EW337" s="240">
        <v>26.196499999999958</v>
      </c>
      <c r="EX337" s="53"/>
      <c r="EY337" s="52"/>
      <c r="EZ337" s="53">
        <f t="shared" si="234"/>
        <v>425.09649999999993</v>
      </c>
      <c r="FB337" s="122">
        <v>46115</v>
      </c>
      <c r="FC337" s="123">
        <v>1208.56</v>
      </c>
      <c r="FD337" s="123">
        <v>119.24</v>
      </c>
      <c r="FE337" s="125"/>
      <c r="FF337" s="126"/>
      <c r="FH337" s="51"/>
      <c r="FI337" s="52"/>
      <c r="FJ337" s="52"/>
      <c r="FK337" s="53"/>
    </row>
    <row r="338" spans="2:167" x14ac:dyDescent="0.25">
      <c r="B338" s="122">
        <v>46116</v>
      </c>
      <c r="C338" s="123">
        <v>32162.16</v>
      </c>
      <c r="D338" s="125"/>
      <c r="E338" s="125"/>
      <c r="F338" s="123">
        <v>0</v>
      </c>
      <c r="G338" s="27"/>
      <c r="H338" s="240"/>
      <c r="I338" s="53"/>
      <c r="J338" s="52"/>
      <c r="K338" s="53">
        <f t="shared" si="224"/>
        <v>0</v>
      </c>
      <c r="M338" s="122">
        <v>46116</v>
      </c>
      <c r="N338" s="123">
        <v>10274.86</v>
      </c>
      <c r="O338" s="125"/>
      <c r="P338" s="126">
        <v>4.3600000000000003</v>
      </c>
      <c r="R338" s="240">
        <v>150.20000000000005</v>
      </c>
      <c r="S338" s="53"/>
      <c r="T338" s="52"/>
      <c r="U338" s="53">
        <f t="shared" si="225"/>
        <v>154.56000000000006</v>
      </c>
      <c r="W338" s="122">
        <v>46116</v>
      </c>
      <c r="X338" s="123">
        <v>4794.49</v>
      </c>
      <c r="Y338" s="123">
        <v>705.79</v>
      </c>
      <c r="Z338" s="125"/>
      <c r="AA338" s="273">
        <v>7.53</v>
      </c>
      <c r="AC338" s="240"/>
      <c r="AD338" s="53">
        <v>16.070605603142809</v>
      </c>
      <c r="AE338" s="52"/>
      <c r="AF338" s="53">
        <f t="shared" si="226"/>
        <v>23.60060560314281</v>
      </c>
      <c r="AI338" s="122">
        <v>46116</v>
      </c>
      <c r="AJ338" s="123">
        <v>2848.73</v>
      </c>
      <c r="AK338" s="125"/>
      <c r="AL338" s="126"/>
      <c r="AN338" s="51"/>
      <c r="AO338" s="52"/>
      <c r="AP338" s="52"/>
      <c r="AQ338" s="53"/>
      <c r="AS338" s="122">
        <v>46116</v>
      </c>
      <c r="AT338" s="123">
        <v>4625.1000000000004</v>
      </c>
      <c r="AU338" s="125"/>
      <c r="AV338" s="128"/>
      <c r="AX338" s="51"/>
      <c r="AY338" s="52"/>
      <c r="AZ338" s="52"/>
      <c r="BA338" s="53"/>
      <c r="BC338" s="122">
        <v>46116</v>
      </c>
      <c r="BD338" s="123">
        <v>4154.8500000000004</v>
      </c>
      <c r="BE338" s="125"/>
      <c r="BF338" s="128">
        <v>0</v>
      </c>
      <c r="BH338" s="240">
        <v>37.90581999999992</v>
      </c>
      <c r="BI338" s="53"/>
      <c r="BJ338" s="52"/>
      <c r="BK338" s="53">
        <f t="shared" si="227"/>
        <v>37.90581999999992</v>
      </c>
      <c r="BM338" s="122">
        <v>46116</v>
      </c>
      <c r="BN338" s="123">
        <v>8909.31</v>
      </c>
      <c r="BO338" s="123">
        <v>1615.83</v>
      </c>
      <c r="BP338" s="123">
        <v>7052.37</v>
      </c>
      <c r="BQ338" s="125"/>
      <c r="BR338" s="125"/>
      <c r="BT338" s="240">
        <v>192.30985999999996</v>
      </c>
      <c r="BU338" s="53"/>
      <c r="BV338" s="53">
        <v>12.413960999999986</v>
      </c>
      <c r="BW338" s="53">
        <f t="shared" si="223"/>
        <v>204.72382099999993</v>
      </c>
      <c r="BY338" s="122">
        <v>46116</v>
      </c>
      <c r="BZ338" s="256">
        <v>3471.87</v>
      </c>
      <c r="CA338" s="257">
        <v>600.11</v>
      </c>
      <c r="CB338" s="126"/>
      <c r="CC338" s="126"/>
      <c r="CE338" s="240"/>
      <c r="CF338" s="53"/>
      <c r="CG338" s="52"/>
      <c r="CH338" s="53">
        <f t="shared" si="228"/>
        <v>0</v>
      </c>
      <c r="CJ338" s="122">
        <v>46116</v>
      </c>
      <c r="CK338" s="123">
        <v>10686.34</v>
      </c>
      <c r="CL338" s="123">
        <v>753.4</v>
      </c>
      <c r="CM338" s="125"/>
      <c r="CN338" s="126">
        <v>0</v>
      </c>
      <c r="CP338" s="240">
        <v>17.360100000000017</v>
      </c>
      <c r="CQ338" s="53"/>
      <c r="CR338" s="52"/>
      <c r="CS338" s="53">
        <f t="shared" si="229"/>
        <v>17.360100000000017</v>
      </c>
      <c r="CU338" s="122">
        <v>46116</v>
      </c>
      <c r="CV338" s="123">
        <v>18967.71</v>
      </c>
      <c r="CW338" s="269">
        <v>1139.78</v>
      </c>
      <c r="CX338" s="125"/>
      <c r="CY338" s="126">
        <v>110.86</v>
      </c>
      <c r="CZ338" s="27"/>
      <c r="DA338" s="240">
        <v>147.83999999999997</v>
      </c>
      <c r="DB338" s="435">
        <v>134.84800000000001</v>
      </c>
      <c r="DC338" s="53"/>
      <c r="DD338" s="52"/>
      <c r="DE338" s="53">
        <f t="shared" si="230"/>
        <v>393.548</v>
      </c>
      <c r="DH338" s="122">
        <v>46116</v>
      </c>
      <c r="DI338" s="123">
        <v>4123.8599999999997</v>
      </c>
      <c r="DJ338" s="127">
        <v>199.9</v>
      </c>
      <c r="DK338" s="127">
        <v>2113.67</v>
      </c>
      <c r="DL338" s="127"/>
      <c r="DM338" s="126">
        <v>0</v>
      </c>
      <c r="DO338" s="240">
        <v>29.642999999999944</v>
      </c>
      <c r="DP338" s="53"/>
      <c r="DQ338" s="52"/>
      <c r="DR338" s="53">
        <f t="shared" si="231"/>
        <v>29.642999999999944</v>
      </c>
      <c r="DT338" s="122">
        <v>46116</v>
      </c>
      <c r="DU338" s="123">
        <v>3694.39</v>
      </c>
      <c r="DV338" s="125">
        <v>1043.3900000000001</v>
      </c>
      <c r="DW338" s="127"/>
      <c r="DX338" s="126">
        <v>0</v>
      </c>
      <c r="DZ338" s="240"/>
      <c r="EA338" s="53"/>
      <c r="EB338" s="52"/>
      <c r="EC338" s="53">
        <f t="shared" si="232"/>
        <v>0</v>
      </c>
      <c r="EE338" s="122">
        <v>46116</v>
      </c>
      <c r="EF338" s="123">
        <v>2325.34</v>
      </c>
      <c r="EG338" s="125">
        <v>977.36</v>
      </c>
      <c r="EH338" s="127"/>
      <c r="EI338" s="126">
        <v>2.35</v>
      </c>
      <c r="EK338" s="240">
        <v>110.82202000000004</v>
      </c>
      <c r="EL338" s="435">
        <v>134.84800000000001</v>
      </c>
      <c r="EM338" s="53">
        <v>84.665148814285743</v>
      </c>
      <c r="EN338" s="52"/>
      <c r="EO338" s="53">
        <f t="shared" si="233"/>
        <v>332.68516881428582</v>
      </c>
      <c r="EQ338" s="122">
        <v>46116</v>
      </c>
      <c r="ER338" s="123">
        <v>4933.0200000000004</v>
      </c>
      <c r="ES338" s="400">
        <v>192.33</v>
      </c>
      <c r="ET338" s="127"/>
      <c r="EU338" s="258">
        <v>362.96</v>
      </c>
      <c r="EW338" s="240">
        <v>45.770399999999825</v>
      </c>
      <c r="EX338" s="53">
        <v>138.95523290000028</v>
      </c>
      <c r="EY338" s="52"/>
      <c r="EZ338" s="53">
        <f t="shared" si="234"/>
        <v>547.68563290000009</v>
      </c>
      <c r="FB338" s="122">
        <v>46116</v>
      </c>
      <c r="FC338" s="123">
        <v>1300.94</v>
      </c>
      <c r="FD338" s="123">
        <v>151.9</v>
      </c>
      <c r="FE338" s="125"/>
      <c r="FF338" s="126"/>
      <c r="FH338" s="51"/>
      <c r="FI338" s="52"/>
      <c r="FJ338" s="52"/>
      <c r="FK338" s="53"/>
    </row>
    <row r="339" spans="2:167" x14ac:dyDescent="0.25">
      <c r="B339" s="122">
        <v>46117</v>
      </c>
      <c r="C339" s="123">
        <v>27974.22</v>
      </c>
      <c r="D339" s="125"/>
      <c r="E339" s="125"/>
      <c r="F339" s="123">
        <v>0</v>
      </c>
      <c r="G339" s="27"/>
      <c r="H339" s="240">
        <v>24.885319999999979</v>
      </c>
      <c r="I339" s="53"/>
      <c r="J339" s="52"/>
      <c r="K339" s="53">
        <f t="shared" si="224"/>
        <v>24.885319999999979</v>
      </c>
      <c r="M339" s="122">
        <v>46117</v>
      </c>
      <c r="N339" s="123">
        <v>9422.33</v>
      </c>
      <c r="O339" s="125"/>
      <c r="P339" s="126">
        <v>20.54</v>
      </c>
      <c r="R339" s="240"/>
      <c r="S339" s="53"/>
      <c r="T339" s="52"/>
      <c r="U339" s="53">
        <f t="shared" si="225"/>
        <v>20.54</v>
      </c>
      <c r="W339" s="122">
        <v>46117</v>
      </c>
      <c r="X339" s="123">
        <v>3175.52</v>
      </c>
      <c r="Y339" s="123">
        <v>677.21</v>
      </c>
      <c r="Z339" s="125"/>
      <c r="AA339" s="273">
        <v>2.6</v>
      </c>
      <c r="AC339" s="240">
        <v>-4.2184900000000027</v>
      </c>
      <c r="AD339" s="53"/>
      <c r="AE339" s="52"/>
      <c r="AF339" s="53">
        <f t="shared" si="226"/>
        <v>-1.6184900000000026</v>
      </c>
      <c r="AI339" s="122">
        <v>46117</v>
      </c>
      <c r="AJ339" s="123">
        <v>3286.69</v>
      </c>
      <c r="AK339" s="125"/>
      <c r="AL339" s="126"/>
      <c r="AN339" s="51"/>
      <c r="AO339" s="52"/>
      <c r="AP339" s="52"/>
      <c r="AQ339" s="53"/>
      <c r="AS339" s="122">
        <v>46117</v>
      </c>
      <c r="AT339" s="123">
        <v>4804.03</v>
      </c>
      <c r="AU339" s="125"/>
      <c r="AV339" s="128"/>
      <c r="AX339" s="51"/>
      <c r="AY339" s="52"/>
      <c r="AZ339" s="52"/>
      <c r="BA339" s="53"/>
      <c r="BC339" s="122">
        <v>46117</v>
      </c>
      <c r="BD339" s="123">
        <v>2277.3200000000002</v>
      </c>
      <c r="BE339" s="125"/>
      <c r="BF339" s="128">
        <v>0</v>
      </c>
      <c r="BH339" s="240">
        <v>3.397199999999998</v>
      </c>
      <c r="BI339" s="53"/>
      <c r="BJ339" s="52"/>
      <c r="BK339" s="53">
        <f t="shared" si="227"/>
        <v>3.397199999999998</v>
      </c>
      <c r="BM339" s="122">
        <v>46117</v>
      </c>
      <c r="BN339" s="123">
        <v>8491.49</v>
      </c>
      <c r="BO339" s="123">
        <v>1992.74</v>
      </c>
      <c r="BP339" s="123">
        <v>5568.66</v>
      </c>
      <c r="BQ339" s="125"/>
      <c r="BR339" s="125"/>
      <c r="BT339" s="240">
        <v>55.358539999999962</v>
      </c>
      <c r="BU339" s="53"/>
      <c r="BV339" s="53">
        <v>13.147200000000012</v>
      </c>
      <c r="BW339" s="53">
        <f t="shared" si="223"/>
        <v>68.505739999999975</v>
      </c>
      <c r="BY339" s="122">
        <v>46117</v>
      </c>
      <c r="BZ339" s="256">
        <v>2008.56</v>
      </c>
      <c r="CA339" s="257">
        <v>432.5</v>
      </c>
      <c r="CB339" s="125"/>
      <c r="CC339" s="126"/>
      <c r="CE339" s="240"/>
      <c r="CF339" s="53"/>
      <c r="CG339" s="52"/>
      <c r="CH339" s="53">
        <f t="shared" si="228"/>
        <v>0</v>
      </c>
      <c r="CJ339" s="122">
        <v>46117</v>
      </c>
      <c r="CK339" s="123">
        <v>9432.11</v>
      </c>
      <c r="CL339" s="123">
        <v>1094.48</v>
      </c>
      <c r="CM339" s="125"/>
      <c r="CN339" s="126">
        <v>25.43</v>
      </c>
      <c r="CP339" s="240">
        <v>11.779209999999996</v>
      </c>
      <c r="CQ339" s="53"/>
      <c r="CR339" s="52"/>
      <c r="CS339" s="53">
        <f t="shared" si="229"/>
        <v>37.209209999999999</v>
      </c>
      <c r="CU339" s="122">
        <v>46117</v>
      </c>
      <c r="CV339" s="123">
        <v>5818.35</v>
      </c>
      <c r="CW339" s="269">
        <v>2128.77</v>
      </c>
      <c r="CX339" s="125"/>
      <c r="CY339" s="126">
        <v>67.400000000000006</v>
      </c>
      <c r="CZ339" s="27"/>
      <c r="DA339" s="240"/>
      <c r="DB339" s="435">
        <v>134.84800000000001</v>
      </c>
      <c r="DC339" s="53"/>
      <c r="DD339" s="52"/>
      <c r="DE339" s="53">
        <f t="shared" si="230"/>
        <v>202.24800000000002</v>
      </c>
      <c r="DH339" s="122">
        <v>46117</v>
      </c>
      <c r="DI339" s="123">
        <v>4040</v>
      </c>
      <c r="DJ339" s="127">
        <v>262.27999999999997</v>
      </c>
      <c r="DK339" s="127">
        <v>2289.44</v>
      </c>
      <c r="DL339" s="127"/>
      <c r="DM339" s="126">
        <v>0</v>
      </c>
      <c r="DO339" s="240"/>
      <c r="DP339" s="53"/>
      <c r="DQ339" s="52"/>
      <c r="DR339" s="53">
        <f t="shared" si="231"/>
        <v>0</v>
      </c>
      <c r="DT339" s="122">
        <v>46117</v>
      </c>
      <c r="DU339" s="123">
        <v>6063.78</v>
      </c>
      <c r="DV339" s="125">
        <v>934.23</v>
      </c>
      <c r="DW339" s="127"/>
      <c r="DX339" s="126">
        <v>18</v>
      </c>
      <c r="DZ339" s="240"/>
      <c r="EA339" s="53"/>
      <c r="EB339" s="52"/>
      <c r="EC339" s="53">
        <f t="shared" si="232"/>
        <v>18</v>
      </c>
      <c r="EE339" s="122">
        <v>46117</v>
      </c>
      <c r="EF339" s="123">
        <v>1748.98</v>
      </c>
      <c r="EG339" s="125">
        <v>650.62</v>
      </c>
      <c r="EH339" s="127"/>
      <c r="EI339" s="126">
        <v>1.64</v>
      </c>
      <c r="EK339" s="240">
        <v>24.434630000000027</v>
      </c>
      <c r="EL339" s="435">
        <v>134.84800000000001</v>
      </c>
      <c r="EM339" s="53"/>
      <c r="EN339" s="52"/>
      <c r="EO339" s="53">
        <f t="shared" si="233"/>
        <v>160.92263000000003</v>
      </c>
      <c r="EQ339" s="122">
        <v>46117</v>
      </c>
      <c r="ER339" s="123">
        <v>3355.51</v>
      </c>
      <c r="ES339" s="400">
        <v>206.24</v>
      </c>
      <c r="ET339" s="127"/>
      <c r="EU339" s="258">
        <v>0</v>
      </c>
      <c r="EW339" s="240"/>
      <c r="EX339" s="53"/>
      <c r="EY339" s="52"/>
      <c r="EZ339" s="53">
        <f t="shared" si="234"/>
        <v>0</v>
      </c>
      <c r="FB339" s="122">
        <v>46117</v>
      </c>
      <c r="FC339" s="123">
        <v>2036.07</v>
      </c>
      <c r="FD339" s="123">
        <v>211.14</v>
      </c>
      <c r="FE339" s="125"/>
      <c r="FF339" s="126"/>
      <c r="FH339" s="51"/>
      <c r="FI339" s="52"/>
      <c r="FJ339" s="52"/>
      <c r="FK339" s="53"/>
    </row>
    <row r="340" spans="2:167" x14ac:dyDescent="0.25">
      <c r="B340" s="122">
        <v>46118</v>
      </c>
      <c r="C340" s="123">
        <v>23783.19</v>
      </c>
      <c r="D340" s="125"/>
      <c r="E340" s="125"/>
      <c r="F340" s="123">
        <v>0</v>
      </c>
      <c r="G340" s="27"/>
      <c r="H340" s="240">
        <v>47.537039999999934</v>
      </c>
      <c r="I340" s="53"/>
      <c r="J340" s="52"/>
      <c r="K340" s="53">
        <f t="shared" si="224"/>
        <v>47.537039999999934</v>
      </c>
      <c r="M340" s="122">
        <v>46118</v>
      </c>
      <c r="N340" s="123">
        <v>9630.15</v>
      </c>
      <c r="O340" s="125"/>
      <c r="P340" s="126">
        <v>80.510000000000005</v>
      </c>
      <c r="R340" s="240"/>
      <c r="S340" s="53"/>
      <c r="T340" s="52"/>
      <c r="U340" s="53">
        <f t="shared" si="225"/>
        <v>80.510000000000005</v>
      </c>
      <c r="W340" s="122">
        <v>46118</v>
      </c>
      <c r="X340" s="123">
        <v>3221.04</v>
      </c>
      <c r="Y340" s="123">
        <v>70</v>
      </c>
      <c r="Z340" s="125"/>
      <c r="AA340" s="273">
        <v>27.33</v>
      </c>
      <c r="AC340" s="240"/>
      <c r="AD340" s="53"/>
      <c r="AE340" s="52"/>
      <c r="AF340" s="53">
        <f t="shared" si="226"/>
        <v>27.33</v>
      </c>
      <c r="AI340" s="122">
        <v>46118</v>
      </c>
      <c r="AJ340" s="123">
        <v>1694.62</v>
      </c>
      <c r="AK340" s="125"/>
      <c r="AL340" s="126"/>
      <c r="AN340" s="51"/>
      <c r="AO340" s="52"/>
      <c r="AP340" s="52"/>
      <c r="AQ340" s="53"/>
      <c r="AS340" s="122">
        <v>46118</v>
      </c>
      <c r="AT340" s="123">
        <v>4039.74</v>
      </c>
      <c r="AU340" s="125"/>
      <c r="AV340" s="128"/>
      <c r="AX340" s="51"/>
      <c r="AY340" s="52"/>
      <c r="AZ340" s="52"/>
      <c r="BA340" s="53"/>
      <c r="BC340" s="122">
        <v>46118</v>
      </c>
      <c r="BD340" s="123">
        <v>2530.21</v>
      </c>
      <c r="BE340" s="125"/>
      <c r="BF340" s="128">
        <v>0</v>
      </c>
      <c r="BH340" s="240">
        <v>40.624439999999865</v>
      </c>
      <c r="BI340" s="53"/>
      <c r="BJ340" s="52"/>
      <c r="BK340" s="53">
        <f t="shared" si="227"/>
        <v>40.624439999999865</v>
      </c>
      <c r="BM340" s="122">
        <v>46118</v>
      </c>
      <c r="BN340" s="123">
        <v>14149.12</v>
      </c>
      <c r="BO340" s="123">
        <v>3073.53</v>
      </c>
      <c r="BP340" s="123">
        <v>10044.25</v>
      </c>
      <c r="BQ340" s="125"/>
      <c r="BR340" s="125"/>
      <c r="BT340" s="240">
        <v>193.94646</v>
      </c>
      <c r="BU340" s="53">
        <v>181.42705227571443</v>
      </c>
      <c r="BV340" s="53"/>
      <c r="BW340" s="53">
        <f t="shared" si="223"/>
        <v>375.37351227571446</v>
      </c>
      <c r="BY340" s="122">
        <v>46118</v>
      </c>
      <c r="BZ340" s="256">
        <v>4479.9399999999996</v>
      </c>
      <c r="CA340" s="257">
        <v>716.89</v>
      </c>
      <c r="CB340" s="125"/>
      <c r="CC340" s="126"/>
      <c r="CE340" s="240"/>
      <c r="CF340" s="53"/>
      <c r="CG340" s="52"/>
      <c r="CH340" s="53">
        <f t="shared" si="228"/>
        <v>0</v>
      </c>
      <c r="CJ340" s="122">
        <v>46118</v>
      </c>
      <c r="CK340" s="123">
        <v>15163.95</v>
      </c>
      <c r="CL340" s="123">
        <v>991.88</v>
      </c>
      <c r="CM340" s="125"/>
      <c r="CN340" s="126">
        <v>34.590000000000003</v>
      </c>
      <c r="CP340" s="240">
        <v>-1.5377199999999789</v>
      </c>
      <c r="CQ340" s="53">
        <v>-0.66164237142857019</v>
      </c>
      <c r="CR340" s="52"/>
      <c r="CS340" s="53">
        <f t="shared" si="229"/>
        <v>32.390637628571454</v>
      </c>
      <c r="CU340" s="122">
        <v>46118</v>
      </c>
      <c r="CV340" s="123">
        <v>20645.36</v>
      </c>
      <c r="CW340" s="269">
        <v>2034.6</v>
      </c>
      <c r="CX340" s="125"/>
      <c r="CY340" s="126">
        <v>235.86</v>
      </c>
      <c r="CZ340" s="27"/>
      <c r="DA340" s="240"/>
      <c r="DB340" s="435">
        <v>134.84800000000001</v>
      </c>
      <c r="DC340" s="53"/>
      <c r="DD340" s="52"/>
      <c r="DE340" s="53">
        <f t="shared" si="230"/>
        <v>370.70800000000003</v>
      </c>
      <c r="DH340" s="122">
        <v>46118</v>
      </c>
      <c r="DI340" s="123">
        <v>4005.12</v>
      </c>
      <c r="DJ340" s="259">
        <v>305.91000000000003</v>
      </c>
      <c r="DK340" s="259">
        <v>2136.37</v>
      </c>
      <c r="DL340" s="127"/>
      <c r="DM340" s="126">
        <v>0</v>
      </c>
      <c r="DO340" s="240">
        <v>15.937039999999968</v>
      </c>
      <c r="DP340" s="53"/>
      <c r="DQ340" s="52"/>
      <c r="DR340" s="53">
        <f t="shared" si="231"/>
        <v>15.937039999999968</v>
      </c>
      <c r="DT340" s="122">
        <v>46118</v>
      </c>
      <c r="DU340" s="123">
        <v>2918.7</v>
      </c>
      <c r="DV340" s="400">
        <v>918.49</v>
      </c>
      <c r="DW340" s="127"/>
      <c r="DX340" s="126">
        <v>23.31</v>
      </c>
      <c r="DZ340" s="240"/>
      <c r="EA340" s="53"/>
      <c r="EB340" s="52"/>
      <c r="EC340" s="53">
        <f t="shared" si="232"/>
        <v>23.31</v>
      </c>
      <c r="EE340" s="122">
        <v>46118</v>
      </c>
      <c r="EF340" s="123">
        <v>2769.67</v>
      </c>
      <c r="EG340" s="125">
        <v>805.98</v>
      </c>
      <c r="EH340" s="127"/>
      <c r="EI340" s="126">
        <v>4.3</v>
      </c>
      <c r="EK340" s="240">
        <v>218.45955999999998</v>
      </c>
      <c r="EL340" s="435">
        <v>134.84800000000001</v>
      </c>
      <c r="EM340" s="53">
        <v>122.69629324999991</v>
      </c>
      <c r="EN340" s="52"/>
      <c r="EO340" s="53">
        <f t="shared" si="233"/>
        <v>480.30385324999997</v>
      </c>
      <c r="EQ340" s="122">
        <v>46118</v>
      </c>
      <c r="ER340" s="123">
        <v>3759.94</v>
      </c>
      <c r="ES340" s="400">
        <v>155.61000000000001</v>
      </c>
      <c r="ET340" s="127"/>
      <c r="EU340" s="258">
        <v>314.06</v>
      </c>
      <c r="EW340" s="240"/>
      <c r="EX340" s="53"/>
      <c r="EY340" s="52"/>
      <c r="EZ340" s="53">
        <f t="shared" si="234"/>
        <v>314.06</v>
      </c>
      <c r="FB340" s="122">
        <v>46118</v>
      </c>
      <c r="FC340" s="123">
        <v>1441.82</v>
      </c>
      <c r="FD340" s="123">
        <v>375.31</v>
      </c>
      <c r="FE340" s="125"/>
      <c r="FF340" s="126"/>
      <c r="FH340" s="51"/>
      <c r="FI340" s="52"/>
      <c r="FJ340" s="52"/>
      <c r="FK340" s="53"/>
    </row>
    <row r="341" spans="2:167" x14ac:dyDescent="0.25">
      <c r="B341" s="122">
        <v>46119</v>
      </c>
      <c r="C341" s="123">
        <v>13777.86</v>
      </c>
      <c r="D341" s="125"/>
      <c r="E341" s="125"/>
      <c r="F341" s="123">
        <v>0</v>
      </c>
      <c r="G341" s="27"/>
      <c r="H341" s="240"/>
      <c r="I341" s="53"/>
      <c r="J341" s="52"/>
      <c r="K341" s="53">
        <f t="shared" si="224"/>
        <v>0</v>
      </c>
      <c r="M341" s="122">
        <v>46119</v>
      </c>
      <c r="N341" s="123">
        <v>7480.6</v>
      </c>
      <c r="O341" s="125"/>
      <c r="P341" s="126">
        <v>43.39</v>
      </c>
      <c r="R341" s="240">
        <v>10.630499999999984</v>
      </c>
      <c r="S341" s="53"/>
      <c r="T341" s="52"/>
      <c r="U341" s="53">
        <f t="shared" si="225"/>
        <v>54.020499999999984</v>
      </c>
      <c r="W341" s="122">
        <v>46119</v>
      </c>
      <c r="X341" s="123">
        <v>3156.77</v>
      </c>
      <c r="Y341" s="123">
        <v>648.86</v>
      </c>
      <c r="Z341" s="125"/>
      <c r="AA341" s="273">
        <v>6.73</v>
      </c>
      <c r="AC341" s="240">
        <v>1.7164099999999962</v>
      </c>
      <c r="AD341" s="53"/>
      <c r="AE341" s="52"/>
      <c r="AF341" s="53">
        <f t="shared" si="226"/>
        <v>8.4464099999999966</v>
      </c>
      <c r="AI341" s="122">
        <v>46119</v>
      </c>
      <c r="AJ341" s="123">
        <v>3465.22</v>
      </c>
      <c r="AK341" s="125"/>
      <c r="AL341" s="126"/>
      <c r="AN341" s="51"/>
      <c r="AO341" s="52"/>
      <c r="AP341" s="52"/>
      <c r="AQ341" s="53"/>
      <c r="AS341" s="122">
        <v>46119</v>
      </c>
      <c r="AT341" s="123">
        <v>5781.69</v>
      </c>
      <c r="AU341" s="125"/>
      <c r="AV341" s="128"/>
      <c r="AX341" s="51"/>
      <c r="AY341" s="52"/>
      <c r="AZ341" s="52"/>
      <c r="BA341" s="53"/>
      <c r="BC341" s="122">
        <v>46119</v>
      </c>
      <c r="BD341" s="123">
        <v>5497.69</v>
      </c>
      <c r="BE341" s="125"/>
      <c r="BF341" s="128">
        <v>0</v>
      </c>
      <c r="BH341" s="240">
        <v>49.061049999999909</v>
      </c>
      <c r="BI341" s="53"/>
      <c r="BJ341" s="52"/>
      <c r="BK341" s="53">
        <f t="shared" si="227"/>
        <v>49.061049999999909</v>
      </c>
      <c r="BM341" s="122">
        <v>46119</v>
      </c>
      <c r="BN341" s="123">
        <v>15289.82</v>
      </c>
      <c r="BO341" s="123">
        <v>2920.34</v>
      </c>
      <c r="BP341" s="123">
        <v>9893.98</v>
      </c>
      <c r="BQ341" s="125"/>
      <c r="BR341" s="125"/>
      <c r="BT341" s="240">
        <v>96.352419999999995</v>
      </c>
      <c r="BU341" s="53"/>
      <c r="BV341" s="53"/>
      <c r="BW341" s="53">
        <f t="shared" si="223"/>
        <v>96.352419999999995</v>
      </c>
      <c r="BY341" s="122">
        <v>46119</v>
      </c>
      <c r="BZ341" s="256">
        <v>687.65</v>
      </c>
      <c r="CA341" s="257">
        <v>698.19</v>
      </c>
      <c r="CB341" s="125"/>
      <c r="CC341" s="126"/>
      <c r="CE341" s="240"/>
      <c r="CF341" s="53"/>
      <c r="CG341" s="52"/>
      <c r="CH341" s="53">
        <f t="shared" si="228"/>
        <v>0</v>
      </c>
      <c r="CJ341" s="122">
        <v>46119</v>
      </c>
      <c r="CK341" s="123">
        <v>13117.57</v>
      </c>
      <c r="CL341" s="123">
        <v>617.75</v>
      </c>
      <c r="CM341" s="125"/>
      <c r="CN341" s="126">
        <v>28.17</v>
      </c>
      <c r="CP341" s="240">
        <v>12.946559999999991</v>
      </c>
      <c r="CQ341" s="53">
        <v>3.4996584838094975</v>
      </c>
      <c r="CR341" s="52"/>
      <c r="CS341" s="53">
        <f t="shared" si="229"/>
        <v>44.61621848380949</v>
      </c>
      <c r="CU341" s="122">
        <v>46119</v>
      </c>
      <c r="CV341" s="123">
        <v>22588.89</v>
      </c>
      <c r="CW341" s="126">
        <v>3223.82</v>
      </c>
      <c r="CX341" s="125"/>
      <c r="CY341" s="126">
        <v>222.37</v>
      </c>
      <c r="CZ341" s="27"/>
      <c r="DA341" s="240"/>
      <c r="DB341" s="435">
        <v>134.84800000000001</v>
      </c>
      <c r="DC341" s="53"/>
      <c r="DD341" s="52"/>
      <c r="DE341" s="53">
        <f t="shared" si="230"/>
        <v>357.21800000000002</v>
      </c>
      <c r="DH341" s="122">
        <v>46119</v>
      </c>
      <c r="DI341" s="123">
        <v>4317.3100000000004</v>
      </c>
      <c r="DJ341" s="127">
        <v>335.75</v>
      </c>
      <c r="DK341" s="127">
        <v>3119.42</v>
      </c>
      <c r="DL341" s="127"/>
      <c r="DM341" s="126">
        <v>6.4</v>
      </c>
      <c r="DO341" s="240"/>
      <c r="DP341" s="53"/>
      <c r="DQ341" s="52"/>
      <c r="DR341" s="53">
        <f t="shared" si="231"/>
        <v>6.4</v>
      </c>
      <c r="DT341" s="122">
        <v>46119</v>
      </c>
      <c r="DU341" s="123">
        <v>2594.4699999999998</v>
      </c>
      <c r="DV341" s="125">
        <v>1113.08</v>
      </c>
      <c r="DW341" s="127"/>
      <c r="DX341" s="126">
        <v>11.57</v>
      </c>
      <c r="DZ341" s="240"/>
      <c r="EA341" s="53"/>
      <c r="EB341" s="52"/>
      <c r="EC341" s="53">
        <f t="shared" si="232"/>
        <v>11.57</v>
      </c>
      <c r="EE341" s="122">
        <v>46119</v>
      </c>
      <c r="EF341" s="123">
        <v>2764.54</v>
      </c>
      <c r="EG341" s="125">
        <v>856.81</v>
      </c>
      <c r="EH341" s="127"/>
      <c r="EI341" s="126">
        <v>4.66</v>
      </c>
      <c r="EK341" s="240">
        <v>402.39738999999992</v>
      </c>
      <c r="EL341" s="435">
        <v>134.84800000000001</v>
      </c>
      <c r="EM341" s="53">
        <v>25.926250226190405</v>
      </c>
      <c r="EN341" s="52"/>
      <c r="EO341" s="53">
        <f t="shared" si="233"/>
        <v>567.8316402261903</v>
      </c>
      <c r="EQ341" s="122">
        <v>46119</v>
      </c>
      <c r="ER341" s="123">
        <v>4802.29</v>
      </c>
      <c r="ES341" s="400">
        <v>602.11</v>
      </c>
      <c r="ET341" s="127"/>
      <c r="EU341" s="258">
        <v>102.16</v>
      </c>
      <c r="EW341" s="240">
        <v>76.082059999999927</v>
      </c>
      <c r="EX341" s="53">
        <v>580.01378306485731</v>
      </c>
      <c r="EY341" s="52"/>
      <c r="EZ341" s="53">
        <f t="shared" si="234"/>
        <v>758.25584306485723</v>
      </c>
      <c r="FB341" s="122">
        <v>46119</v>
      </c>
      <c r="FC341" s="123">
        <v>939.63</v>
      </c>
      <c r="FD341" s="123">
        <v>192.3</v>
      </c>
      <c r="FE341" s="125"/>
      <c r="FF341" s="126"/>
      <c r="FH341" s="51"/>
      <c r="FI341" s="52"/>
      <c r="FJ341" s="52"/>
      <c r="FK341" s="53"/>
    </row>
    <row r="342" spans="2:167" x14ac:dyDescent="0.25">
      <c r="B342" s="122">
        <v>46120</v>
      </c>
      <c r="C342" s="123">
        <v>15839.73</v>
      </c>
      <c r="D342" s="125"/>
      <c r="E342" s="125"/>
      <c r="F342" s="123">
        <v>0</v>
      </c>
      <c r="G342" s="27"/>
      <c r="H342" s="240">
        <v>31.573519999999945</v>
      </c>
      <c r="I342" s="53"/>
      <c r="J342" s="52"/>
      <c r="K342" s="53">
        <f>SUM(F342:J342)</f>
        <v>31.573519999999945</v>
      </c>
      <c r="M342" s="122">
        <v>46120</v>
      </c>
      <c r="N342" s="123">
        <v>5893.06</v>
      </c>
      <c r="O342" s="125"/>
      <c r="P342" s="126">
        <v>20.71</v>
      </c>
      <c r="R342" s="240"/>
      <c r="S342" s="53"/>
      <c r="T342" s="52"/>
      <c r="U342" s="53">
        <f t="shared" si="225"/>
        <v>20.71</v>
      </c>
      <c r="W342" s="122">
        <v>46120</v>
      </c>
      <c r="X342" s="123">
        <v>3391.95</v>
      </c>
      <c r="Y342" s="123">
        <v>254.53</v>
      </c>
      <c r="Z342" s="125"/>
      <c r="AA342" s="273">
        <v>10.210000000000001</v>
      </c>
      <c r="AC342" s="240"/>
      <c r="AD342" s="53"/>
      <c r="AE342" s="52"/>
      <c r="AF342" s="53">
        <f t="shared" si="226"/>
        <v>10.210000000000001</v>
      </c>
      <c r="AI342" s="122">
        <v>46120</v>
      </c>
      <c r="AJ342" s="123">
        <v>2274.04</v>
      </c>
      <c r="AK342" s="125"/>
      <c r="AL342" s="126"/>
      <c r="AN342" s="51"/>
      <c r="AO342" s="52"/>
      <c r="AP342" s="52"/>
      <c r="AQ342" s="53"/>
      <c r="AS342" s="122">
        <v>46120</v>
      </c>
      <c r="AT342" s="123">
        <v>4314.28</v>
      </c>
      <c r="AU342" s="125"/>
      <c r="AV342" s="128"/>
      <c r="AX342" s="51"/>
      <c r="AY342" s="52"/>
      <c r="AZ342" s="52"/>
      <c r="BA342" s="53"/>
      <c r="BC342" s="122">
        <v>46120</v>
      </c>
      <c r="BD342" s="123">
        <v>5014.87</v>
      </c>
      <c r="BE342" s="125"/>
      <c r="BF342" s="128">
        <v>0</v>
      </c>
      <c r="BH342" s="240">
        <v>-2.4799000000001428</v>
      </c>
      <c r="BI342" s="53"/>
      <c r="BJ342" s="52"/>
      <c r="BK342" s="53">
        <f t="shared" si="227"/>
        <v>-2.4799000000001428</v>
      </c>
      <c r="BM342" s="122">
        <v>46120</v>
      </c>
      <c r="BN342" s="123">
        <v>15829.61</v>
      </c>
      <c r="BO342" s="123">
        <v>4441.1499999999996</v>
      </c>
      <c r="BP342" s="123">
        <v>11035.04</v>
      </c>
      <c r="BQ342" s="125"/>
      <c r="BR342" s="125"/>
      <c r="BT342" s="240">
        <v>160.77841000000001</v>
      </c>
      <c r="BU342" s="53">
        <v>620.23322114238113</v>
      </c>
      <c r="BV342" s="53">
        <v>21.904499999999999</v>
      </c>
      <c r="BW342" s="53">
        <f t="shared" si="223"/>
        <v>802.91613114238112</v>
      </c>
      <c r="BY342" s="122">
        <v>46120</v>
      </c>
      <c r="BZ342" s="256">
        <v>899.01</v>
      </c>
      <c r="CA342" s="257">
        <v>400.42</v>
      </c>
      <c r="CB342" s="125"/>
      <c r="CC342" s="126"/>
      <c r="CE342" s="240">
        <v>-6.4551200000000222</v>
      </c>
      <c r="CF342" s="53"/>
      <c r="CG342" s="52"/>
      <c r="CH342" s="53">
        <f t="shared" si="228"/>
        <v>-6.4551200000000222</v>
      </c>
      <c r="CJ342" s="122">
        <v>46120</v>
      </c>
      <c r="CK342" s="123">
        <v>15741.07</v>
      </c>
      <c r="CL342" s="123">
        <v>251</v>
      </c>
      <c r="CM342" s="125"/>
      <c r="CN342" s="126">
        <v>33.340000000000003</v>
      </c>
      <c r="CP342" s="240">
        <v>-56.699980000000281</v>
      </c>
      <c r="CQ342" s="53"/>
      <c r="CR342" s="52"/>
      <c r="CS342" s="53">
        <f t="shared" si="229"/>
        <v>-23.359980000000277</v>
      </c>
      <c r="CU342" s="122">
        <v>46120</v>
      </c>
      <c r="CV342" s="123">
        <v>14714.03</v>
      </c>
      <c r="CW342" s="269">
        <v>2748.95</v>
      </c>
      <c r="CX342" s="125"/>
      <c r="CY342" s="126">
        <v>113.28</v>
      </c>
      <c r="CZ342" s="27"/>
      <c r="DA342" s="240">
        <v>43.23975999999881</v>
      </c>
      <c r="DB342" s="435">
        <v>134.84800000000001</v>
      </c>
      <c r="DC342" s="53"/>
      <c r="DD342" s="52"/>
      <c r="DE342" s="53">
        <f t="shared" si="230"/>
        <v>291.36775999999884</v>
      </c>
      <c r="DH342" s="122">
        <v>46120</v>
      </c>
      <c r="DI342" s="123">
        <v>2972.01</v>
      </c>
      <c r="DJ342" s="127">
        <v>675.69</v>
      </c>
      <c r="DK342" s="127">
        <v>2347.33</v>
      </c>
      <c r="DL342" s="127"/>
      <c r="DM342" s="126">
        <v>0</v>
      </c>
      <c r="DO342" s="240"/>
      <c r="DP342" s="53"/>
      <c r="DQ342" s="52"/>
      <c r="DR342" s="53">
        <f t="shared" si="231"/>
        <v>0</v>
      </c>
      <c r="DT342" s="122">
        <v>46120</v>
      </c>
      <c r="DU342" s="123">
        <v>2766.11</v>
      </c>
      <c r="DV342" s="125">
        <v>1050.1600000000001</v>
      </c>
      <c r="DW342" s="127"/>
      <c r="DX342" s="126">
        <v>9.23</v>
      </c>
      <c r="DZ342" s="240"/>
      <c r="EA342" s="53"/>
      <c r="EB342" s="52"/>
      <c r="EC342" s="53">
        <f t="shared" si="232"/>
        <v>9.23</v>
      </c>
      <c r="EE342" s="122">
        <v>46120</v>
      </c>
      <c r="EF342" s="123">
        <v>2051.88</v>
      </c>
      <c r="EG342" s="125">
        <v>779.91</v>
      </c>
      <c r="EH342" s="127"/>
      <c r="EI342" s="126">
        <v>3.63</v>
      </c>
      <c r="EK342" s="240">
        <v>210.49385999999993</v>
      </c>
      <c r="EL342" s="435">
        <v>134.84800000000001</v>
      </c>
      <c r="EM342" s="53">
        <v>92.705061147190179</v>
      </c>
      <c r="EN342" s="52"/>
      <c r="EO342" s="53">
        <f t="shared" si="233"/>
        <v>441.67692114719011</v>
      </c>
      <c r="EQ342" s="122">
        <v>46120</v>
      </c>
      <c r="ER342" s="123">
        <v>5720.29</v>
      </c>
      <c r="ES342" s="400">
        <v>190</v>
      </c>
      <c r="ET342" s="127"/>
      <c r="EU342" s="258">
        <v>382.23</v>
      </c>
      <c r="EW342" s="240">
        <v>-2.7402400000000355</v>
      </c>
      <c r="EX342" s="53"/>
      <c r="EY342" s="52"/>
      <c r="EZ342" s="53">
        <f t="shared" si="234"/>
        <v>379.48975999999999</v>
      </c>
      <c r="FB342" s="122">
        <v>46120</v>
      </c>
      <c r="FC342" s="123">
        <v>1324.66</v>
      </c>
      <c r="FD342" s="123">
        <v>115.1</v>
      </c>
      <c r="FE342" s="125"/>
      <c r="FF342" s="126"/>
      <c r="FH342" s="51"/>
      <c r="FI342" s="52"/>
      <c r="FJ342" s="52"/>
      <c r="FK342" s="53"/>
    </row>
    <row r="343" spans="2:167" x14ac:dyDescent="0.25">
      <c r="B343" s="122">
        <v>46121</v>
      </c>
      <c r="C343" s="123">
        <v>24490.71</v>
      </c>
      <c r="D343" s="125"/>
      <c r="E343" s="125"/>
      <c r="F343" s="123">
        <v>0</v>
      </c>
      <c r="G343" s="27"/>
      <c r="H343" s="240"/>
      <c r="I343" s="53">
        <v>18.925781169047639</v>
      </c>
      <c r="J343" s="52"/>
      <c r="K343" s="53">
        <f t="shared" ref="K343:K364" si="235">SUM(F343:J343)</f>
        <v>18.925781169047639</v>
      </c>
      <c r="M343" s="122">
        <v>46121</v>
      </c>
      <c r="N343" s="126">
        <v>8267.27</v>
      </c>
      <c r="O343" s="125"/>
      <c r="P343" s="126">
        <v>69.510000000000005</v>
      </c>
      <c r="R343" s="240"/>
      <c r="S343" s="53"/>
      <c r="T343" s="52"/>
      <c r="U343" s="53">
        <f t="shared" si="225"/>
        <v>69.510000000000005</v>
      </c>
      <c r="W343" s="122">
        <v>46121</v>
      </c>
      <c r="X343" s="123">
        <v>3988.61</v>
      </c>
      <c r="Y343" s="123">
        <v>230.3</v>
      </c>
      <c r="Z343" s="125"/>
      <c r="AA343" s="273">
        <v>22.11</v>
      </c>
      <c r="AC343" s="240"/>
      <c r="AD343" s="53"/>
      <c r="AE343" s="52"/>
      <c r="AF343" s="53">
        <f t="shared" si="226"/>
        <v>22.11</v>
      </c>
      <c r="AI343" s="122">
        <v>46121</v>
      </c>
      <c r="AJ343" s="123">
        <v>2212</v>
      </c>
      <c r="AK343" s="125"/>
      <c r="AL343" s="126"/>
      <c r="AN343" s="51"/>
      <c r="AO343" s="52"/>
      <c r="AP343" s="52"/>
      <c r="AQ343" s="53"/>
      <c r="AS343" s="122">
        <v>46121</v>
      </c>
      <c r="AT343" s="123">
        <v>2903.52</v>
      </c>
      <c r="AU343" s="125"/>
      <c r="AV343" s="128"/>
      <c r="AX343" s="51"/>
      <c r="AY343" s="52"/>
      <c r="AZ343" s="52"/>
      <c r="BA343" s="53"/>
      <c r="BC343" s="122">
        <v>46121</v>
      </c>
      <c r="BD343" s="123">
        <v>4280.3100000000004</v>
      </c>
      <c r="BE343" s="125"/>
      <c r="BF343" s="128">
        <v>0</v>
      </c>
      <c r="BH343" s="240">
        <v>61.420570000000083</v>
      </c>
      <c r="BI343" s="53"/>
      <c r="BJ343" s="52"/>
      <c r="BK343" s="53">
        <f t="shared" si="227"/>
        <v>61.420570000000083</v>
      </c>
      <c r="BM343" s="122">
        <v>46121</v>
      </c>
      <c r="BN343" s="123">
        <v>15752.99</v>
      </c>
      <c r="BO343" s="123">
        <v>3980.44</v>
      </c>
      <c r="BP343" s="123">
        <v>10509.23</v>
      </c>
      <c r="BQ343" s="125"/>
      <c r="BR343" s="125"/>
      <c r="BT343" s="240">
        <v>28.741680000000002</v>
      </c>
      <c r="BU343" s="53">
        <v>98.937747802380983</v>
      </c>
      <c r="BV343" s="53">
        <v>84.96583789999994</v>
      </c>
      <c r="BW343" s="53">
        <f t="shared" si="223"/>
        <v>212.64526570238093</v>
      </c>
      <c r="BY343" s="122">
        <v>46121</v>
      </c>
      <c r="BZ343" s="256">
        <v>1360.01</v>
      </c>
      <c r="CA343" s="257">
        <v>530.19000000000005</v>
      </c>
      <c r="CB343" s="125"/>
      <c r="CC343" s="126"/>
      <c r="CE343" s="240"/>
      <c r="CF343" s="53"/>
      <c r="CG343" s="52"/>
      <c r="CH343" s="53">
        <f t="shared" si="228"/>
        <v>0</v>
      </c>
      <c r="CJ343" s="122">
        <v>46121</v>
      </c>
      <c r="CK343" s="123">
        <v>15996.59</v>
      </c>
      <c r="CL343" s="123">
        <v>696.47</v>
      </c>
      <c r="CM343" s="125"/>
      <c r="CN343" s="126">
        <v>53.43</v>
      </c>
      <c r="CP343" s="240">
        <v>13.252939999999853</v>
      </c>
      <c r="CQ343" s="53"/>
      <c r="CR343" s="52"/>
      <c r="CS343" s="53">
        <f t="shared" si="229"/>
        <v>66.68293999999986</v>
      </c>
      <c r="CU343" s="122">
        <v>46121</v>
      </c>
      <c r="CV343" s="123">
        <v>13824.32</v>
      </c>
      <c r="CW343" s="126">
        <v>1884.22</v>
      </c>
      <c r="CX343" s="125"/>
      <c r="CY343" s="128">
        <v>159.49</v>
      </c>
      <c r="CZ343" s="27"/>
      <c r="DA343" s="240">
        <v>124.31999999999829</v>
      </c>
      <c r="DB343" s="435">
        <v>134.84800000000001</v>
      </c>
      <c r="DC343" s="53"/>
      <c r="DD343" s="52"/>
      <c r="DE343" s="53">
        <f t="shared" si="230"/>
        <v>418.65799999999831</v>
      </c>
      <c r="DH343" s="122">
        <v>46121</v>
      </c>
      <c r="DI343" s="123">
        <v>4313.74</v>
      </c>
      <c r="DJ343" s="127">
        <v>378.51</v>
      </c>
      <c r="DK343" s="127">
        <v>2470.1799999999998</v>
      </c>
      <c r="DL343" s="127"/>
      <c r="DM343" s="126">
        <v>0</v>
      </c>
      <c r="DO343" s="240"/>
      <c r="DP343" s="53"/>
      <c r="DQ343" s="52"/>
      <c r="DR343" s="53">
        <f t="shared" si="231"/>
        <v>0</v>
      </c>
      <c r="DT343" s="122">
        <v>46121</v>
      </c>
      <c r="DU343" s="123">
        <v>3155.81</v>
      </c>
      <c r="DV343" s="125">
        <v>959.13</v>
      </c>
      <c r="DW343" s="127"/>
      <c r="DX343" s="126">
        <v>23.27</v>
      </c>
      <c r="DZ343" s="240"/>
      <c r="EA343" s="53">
        <v>4.3486925885713958</v>
      </c>
      <c r="EB343" s="52"/>
      <c r="EC343" s="53">
        <f t="shared" si="232"/>
        <v>27.618692588571395</v>
      </c>
      <c r="EE343" s="122">
        <v>46121</v>
      </c>
      <c r="EF343" s="123">
        <v>1694.07</v>
      </c>
      <c r="EG343" s="125">
        <v>890.44</v>
      </c>
      <c r="EH343" s="127"/>
      <c r="EI343" s="126">
        <v>5.53</v>
      </c>
      <c r="EK343" s="240">
        <v>391.21435000000019</v>
      </c>
      <c r="EL343" s="435">
        <v>134.84800000000001</v>
      </c>
      <c r="EM343" s="53">
        <v>47.967145363809465</v>
      </c>
      <c r="EN343" s="52"/>
      <c r="EO343" s="53">
        <f t="shared" si="233"/>
        <v>579.55949536380956</v>
      </c>
      <c r="EQ343" s="122">
        <v>46121</v>
      </c>
      <c r="ER343" s="123">
        <v>5844.08</v>
      </c>
      <c r="ES343" s="400">
        <v>393.81</v>
      </c>
      <c r="ET343" s="127"/>
      <c r="EU343" s="258">
        <v>199.96</v>
      </c>
      <c r="EW343" s="240">
        <v>25.920559999999995</v>
      </c>
      <c r="EX343" s="53">
        <v>769.76158005714296</v>
      </c>
      <c r="EY343" s="52"/>
      <c r="EZ343" s="53">
        <f t="shared" si="234"/>
        <v>995.64214005714302</v>
      </c>
      <c r="FB343" s="122">
        <v>46121</v>
      </c>
      <c r="FC343" s="123">
        <v>1157.1300000000001</v>
      </c>
      <c r="FD343" s="123">
        <v>99.1</v>
      </c>
      <c r="FE343" s="125"/>
      <c r="FF343" s="126"/>
      <c r="FH343" s="51"/>
      <c r="FI343" s="52"/>
      <c r="FJ343" s="52"/>
      <c r="FK343" s="53"/>
    </row>
    <row r="344" spans="2:167" x14ac:dyDescent="0.25">
      <c r="B344" s="122">
        <v>46122</v>
      </c>
      <c r="C344" s="123">
        <v>18960.23</v>
      </c>
      <c r="D344" s="125"/>
      <c r="E344" s="125"/>
      <c r="F344" s="123">
        <v>0</v>
      </c>
      <c r="G344" s="27"/>
      <c r="H344" s="240">
        <v>51.928319999999985</v>
      </c>
      <c r="I344" s="53"/>
      <c r="J344" s="52"/>
      <c r="K344" s="53">
        <f t="shared" si="235"/>
        <v>51.928319999999985</v>
      </c>
      <c r="M344" s="122">
        <v>46122</v>
      </c>
      <c r="N344" s="123">
        <v>8215.6200000000008</v>
      </c>
      <c r="O344" s="125"/>
      <c r="P344" s="126">
        <v>31.61</v>
      </c>
      <c r="R344" s="240">
        <v>-14.056739999999991</v>
      </c>
      <c r="S344" s="53"/>
      <c r="T344" s="52"/>
      <c r="U344" s="53">
        <f t="shared" si="225"/>
        <v>17.553260000000009</v>
      </c>
      <c r="W344" s="122">
        <v>46122</v>
      </c>
      <c r="X344" s="123">
        <v>3906.65</v>
      </c>
      <c r="Y344" s="123">
        <v>338.73</v>
      </c>
      <c r="Z344" s="125"/>
      <c r="AA344" s="273">
        <v>18.7</v>
      </c>
      <c r="AC344" s="240">
        <v>30.867019999999883</v>
      </c>
      <c r="AD344" s="53"/>
      <c r="AE344" s="52"/>
      <c r="AF344" s="53">
        <f t="shared" si="226"/>
        <v>49.567019999999886</v>
      </c>
      <c r="AI344" s="122">
        <v>46122</v>
      </c>
      <c r="AJ344" s="123">
        <v>2766.9</v>
      </c>
      <c r="AK344" s="125"/>
      <c r="AL344" s="126"/>
      <c r="AN344" s="51"/>
      <c r="AO344" s="52"/>
      <c r="AP344" s="52"/>
      <c r="AQ344" s="53"/>
      <c r="AS344" s="122">
        <v>46122</v>
      </c>
      <c r="AT344" s="123">
        <v>4890.9799999999996</v>
      </c>
      <c r="AU344" s="125"/>
      <c r="AV344" s="128"/>
      <c r="AX344" s="51"/>
      <c r="AY344" s="52"/>
      <c r="AZ344" s="52"/>
      <c r="BA344" s="53"/>
      <c r="BC344" s="122">
        <v>46122</v>
      </c>
      <c r="BD344" s="123">
        <v>5001.84</v>
      </c>
      <c r="BE344" s="125"/>
      <c r="BF344" s="128">
        <v>0</v>
      </c>
      <c r="BH344" s="240">
        <v>31.995620000000002</v>
      </c>
      <c r="BI344" s="53"/>
      <c r="BJ344" s="52"/>
      <c r="BK344" s="53">
        <f t="shared" si="227"/>
        <v>31.995620000000002</v>
      </c>
      <c r="BM344" s="122">
        <v>46122</v>
      </c>
      <c r="BN344" s="123">
        <v>15759.11</v>
      </c>
      <c r="BO344" s="123">
        <v>3706.57</v>
      </c>
      <c r="BP344" s="123">
        <v>10763.25</v>
      </c>
      <c r="BQ344" s="125"/>
      <c r="BR344" s="125"/>
      <c r="BT344" s="240">
        <v>141.82060000000001</v>
      </c>
      <c r="BU344" s="53"/>
      <c r="BV344" s="53">
        <v>14.942700000000002</v>
      </c>
      <c r="BW344" s="53">
        <f t="shared" si="223"/>
        <v>156.76330000000002</v>
      </c>
      <c r="BY344" s="122">
        <v>46122</v>
      </c>
      <c r="BZ344" s="256">
        <v>3325</v>
      </c>
      <c r="CA344" s="257">
        <v>560.82000000000005</v>
      </c>
      <c r="CB344" s="125"/>
      <c r="CC344" s="126"/>
      <c r="CE344" s="240"/>
      <c r="CF344" s="53"/>
      <c r="CG344" s="52"/>
      <c r="CH344" s="53">
        <f t="shared" si="228"/>
        <v>0</v>
      </c>
      <c r="CJ344" s="122">
        <v>46122</v>
      </c>
      <c r="CK344" s="123">
        <v>17676.54</v>
      </c>
      <c r="CL344" s="123">
        <v>755.78</v>
      </c>
      <c r="CM344" s="125"/>
      <c r="CN344" s="126">
        <v>78.06</v>
      </c>
      <c r="CP344" s="240">
        <v>28.216019999999425</v>
      </c>
      <c r="CQ344" s="53">
        <v>4.089611734285711</v>
      </c>
      <c r="CR344" s="52"/>
      <c r="CS344" s="53">
        <f t="shared" si="229"/>
        <v>110.36563173428513</v>
      </c>
      <c r="CU344" s="122">
        <v>46122</v>
      </c>
      <c r="CV344" s="123">
        <v>23253.99</v>
      </c>
      <c r="CW344" s="269">
        <v>2638.97</v>
      </c>
      <c r="CX344" s="125"/>
      <c r="CY344" s="128">
        <v>169.32</v>
      </c>
      <c r="CZ344" s="27"/>
      <c r="DA344" s="240">
        <v>73.320000000000007</v>
      </c>
      <c r="DB344" s="435">
        <v>134.84800000000001</v>
      </c>
      <c r="DC344" s="53"/>
      <c r="DD344" s="52"/>
      <c r="DE344" s="53">
        <f t="shared" si="230"/>
        <v>377.488</v>
      </c>
      <c r="DH344" s="122">
        <v>46122</v>
      </c>
      <c r="DI344" s="123">
        <v>3364.67</v>
      </c>
      <c r="DJ344" s="127">
        <v>346</v>
      </c>
      <c r="DK344" s="127">
        <v>2909.87</v>
      </c>
      <c r="DL344" s="127"/>
      <c r="DM344" s="126">
        <v>0</v>
      </c>
      <c r="DO344" s="240">
        <v>4.3146399999999687</v>
      </c>
      <c r="DP344" s="53"/>
      <c r="DQ344" s="52"/>
      <c r="DR344" s="53">
        <f t="shared" si="231"/>
        <v>4.3146399999999687</v>
      </c>
      <c r="DT344" s="122">
        <v>46122</v>
      </c>
      <c r="DU344" s="123">
        <v>4074.92</v>
      </c>
      <c r="DV344" s="125">
        <v>925.05</v>
      </c>
      <c r="DW344" s="127"/>
      <c r="DX344" s="126">
        <v>39.380000000000003</v>
      </c>
      <c r="DZ344" s="240"/>
      <c r="EA344" s="53"/>
      <c r="EB344" s="52"/>
      <c r="EC344" s="53">
        <f t="shared" si="232"/>
        <v>39.380000000000003</v>
      </c>
      <c r="EE344" s="122">
        <v>46122</v>
      </c>
      <c r="EF344" s="123">
        <v>1793.96</v>
      </c>
      <c r="EG344" s="125">
        <v>708.68</v>
      </c>
      <c r="EH344" s="127"/>
      <c r="EI344" s="126">
        <v>1.66</v>
      </c>
      <c r="EK344" s="240">
        <v>163.63800000000006</v>
      </c>
      <c r="EL344" s="435">
        <v>134.84800000000001</v>
      </c>
      <c r="EM344" s="53">
        <v>38.171696078571472</v>
      </c>
      <c r="EN344" s="52"/>
      <c r="EO344" s="53">
        <f t="shared" si="233"/>
        <v>338.31769607857154</v>
      </c>
      <c r="EQ344" s="122">
        <v>46122</v>
      </c>
      <c r="ER344" s="123">
        <v>5515.88</v>
      </c>
      <c r="ES344" s="400">
        <v>198.87</v>
      </c>
      <c r="ET344" s="127"/>
      <c r="EU344" s="258">
        <v>404.96</v>
      </c>
      <c r="EW344" s="240"/>
      <c r="EX344" s="53"/>
      <c r="EY344" s="52"/>
      <c r="EZ344" s="53">
        <f t="shared" si="234"/>
        <v>404.96</v>
      </c>
      <c r="FB344" s="122">
        <v>46122</v>
      </c>
      <c r="FC344" s="123">
        <v>1510.09</v>
      </c>
      <c r="FD344" s="123">
        <v>157</v>
      </c>
      <c r="FE344" s="125"/>
      <c r="FF344" s="126"/>
      <c r="FH344" s="51"/>
      <c r="FI344" s="52"/>
      <c r="FJ344" s="52"/>
      <c r="FK344" s="53"/>
    </row>
    <row r="345" spans="2:167" x14ac:dyDescent="0.25">
      <c r="B345" s="122">
        <v>46123</v>
      </c>
      <c r="C345" s="123">
        <v>24913.91</v>
      </c>
      <c r="D345" s="126"/>
      <c r="E345" s="125"/>
      <c r="F345" s="126">
        <v>0</v>
      </c>
      <c r="G345" s="27"/>
      <c r="H345" s="240">
        <v>70.327799999999939</v>
      </c>
      <c r="I345" s="53"/>
      <c r="J345" s="52"/>
      <c r="K345" s="53">
        <f t="shared" si="235"/>
        <v>70.327799999999939</v>
      </c>
      <c r="M345" s="122">
        <v>46123</v>
      </c>
      <c r="N345" s="123">
        <v>9481.7099999999991</v>
      </c>
      <c r="O345" s="125"/>
      <c r="P345" s="126">
        <v>64.680000000000007</v>
      </c>
      <c r="R345" s="240"/>
      <c r="S345" s="53"/>
      <c r="T345" s="52"/>
      <c r="U345" s="53">
        <f t="shared" si="225"/>
        <v>64.680000000000007</v>
      </c>
      <c r="W345" s="122">
        <v>46123</v>
      </c>
      <c r="X345" s="123">
        <v>4288.1899999999996</v>
      </c>
      <c r="Y345" s="123">
        <v>459.98</v>
      </c>
      <c r="Z345" s="125"/>
      <c r="AA345" s="273">
        <v>11.55</v>
      </c>
      <c r="AC345" s="240"/>
      <c r="AD345" s="53"/>
      <c r="AE345" s="52"/>
      <c r="AF345" s="53">
        <f t="shared" si="226"/>
        <v>11.55</v>
      </c>
      <c r="AI345" s="122">
        <v>46123</v>
      </c>
      <c r="AJ345" s="123">
        <v>3046.96</v>
      </c>
      <c r="AK345" s="125"/>
      <c r="AL345" s="126"/>
      <c r="AN345" s="51"/>
      <c r="AO345" s="52"/>
      <c r="AP345" s="52"/>
      <c r="AQ345" s="53"/>
      <c r="AS345" s="122">
        <v>46123</v>
      </c>
      <c r="AT345" s="123">
        <v>5696.42</v>
      </c>
      <c r="AU345" s="125"/>
      <c r="AV345" s="128"/>
      <c r="AX345" s="51"/>
      <c r="AY345" s="52"/>
      <c r="AZ345" s="52"/>
      <c r="BA345" s="53"/>
      <c r="BC345" s="122">
        <v>46123</v>
      </c>
      <c r="BD345" s="123">
        <v>3744.05</v>
      </c>
      <c r="BE345" s="125"/>
      <c r="BF345" s="128">
        <v>0</v>
      </c>
      <c r="BH345" s="240"/>
      <c r="BI345" s="53"/>
      <c r="BJ345" s="52"/>
      <c r="BK345" s="53">
        <f t="shared" si="227"/>
        <v>0</v>
      </c>
      <c r="BM345" s="122">
        <v>46123</v>
      </c>
      <c r="BN345" s="123">
        <v>18095.79</v>
      </c>
      <c r="BO345" s="123">
        <v>2937.72</v>
      </c>
      <c r="BP345" s="123">
        <v>9608.92</v>
      </c>
      <c r="BQ345" s="125"/>
      <c r="BR345" s="125"/>
      <c r="BT345" s="240">
        <v>135.21187000000003</v>
      </c>
      <c r="BU345" s="53">
        <v>76.900158717142858</v>
      </c>
      <c r="BV345" s="53"/>
      <c r="BW345" s="53">
        <f t="shared" si="223"/>
        <v>212.11202871714289</v>
      </c>
      <c r="BY345" s="122">
        <v>46123</v>
      </c>
      <c r="BZ345" s="256">
        <v>1446</v>
      </c>
      <c r="CA345" s="257">
        <v>540.74</v>
      </c>
      <c r="CB345" s="125"/>
      <c r="CC345" s="126"/>
      <c r="CE345" s="240"/>
      <c r="CF345" s="53"/>
      <c r="CG345" s="52"/>
      <c r="CH345" s="53">
        <f t="shared" si="228"/>
        <v>0</v>
      </c>
      <c r="CJ345" s="122">
        <v>46123</v>
      </c>
      <c r="CK345" s="123">
        <v>11968.99</v>
      </c>
      <c r="CL345" s="123">
        <v>1084.67</v>
      </c>
      <c r="CM345" s="125"/>
      <c r="CN345" s="126">
        <v>43.5</v>
      </c>
      <c r="CP345" s="240">
        <v>1.2848799999997169</v>
      </c>
      <c r="CQ345" s="53">
        <v>4.3281679714285701</v>
      </c>
      <c r="CR345" s="52"/>
      <c r="CS345" s="53">
        <f t="shared" si="229"/>
        <v>49.113047971428287</v>
      </c>
      <c r="CU345" s="122">
        <v>46123</v>
      </c>
      <c r="CV345" s="123">
        <v>11080.03</v>
      </c>
      <c r="CW345" s="269">
        <v>2701.58</v>
      </c>
      <c r="CX345" s="125"/>
      <c r="CY345" s="128">
        <v>43.86</v>
      </c>
      <c r="CZ345" s="27"/>
      <c r="DA345" s="240"/>
      <c r="DB345" s="435">
        <v>134.84800000000001</v>
      </c>
      <c r="DC345" s="53"/>
      <c r="DD345" s="52"/>
      <c r="DE345" s="53">
        <f t="shared" si="230"/>
        <v>178.70800000000003</v>
      </c>
      <c r="DH345" s="122">
        <v>46123</v>
      </c>
      <c r="DI345" s="123">
        <v>3641.25</v>
      </c>
      <c r="DJ345" s="127">
        <v>627.04999999999995</v>
      </c>
      <c r="DK345" s="127">
        <v>2820.71</v>
      </c>
      <c r="DL345" s="127"/>
      <c r="DM345" s="126">
        <v>0</v>
      </c>
      <c r="DO345" s="240">
        <v>6.0669599999999946</v>
      </c>
      <c r="DP345" s="53"/>
      <c r="DQ345" s="52"/>
      <c r="DR345" s="53">
        <f t="shared" si="231"/>
        <v>6.0669599999999946</v>
      </c>
      <c r="DT345" s="122">
        <v>46123</v>
      </c>
      <c r="DU345" s="123">
        <v>3562.78</v>
      </c>
      <c r="DV345" s="125">
        <v>1493.45</v>
      </c>
      <c r="DW345" s="127"/>
      <c r="DX345" s="126">
        <v>16.77</v>
      </c>
      <c r="DZ345" s="240"/>
      <c r="EA345" s="53"/>
      <c r="EB345" s="52"/>
      <c r="EC345" s="53">
        <f t="shared" si="232"/>
        <v>16.77</v>
      </c>
      <c r="EE345" s="122">
        <v>46123</v>
      </c>
      <c r="EF345" s="123">
        <v>1743.39</v>
      </c>
      <c r="EG345" s="125">
        <v>666.12</v>
      </c>
      <c r="EH345" s="127"/>
      <c r="EI345" s="126">
        <v>4.2300000000000004</v>
      </c>
      <c r="EK345" s="240">
        <v>98.820949999999954</v>
      </c>
      <c r="EL345" s="435">
        <v>134.84800000000001</v>
      </c>
      <c r="EM345" s="53"/>
      <c r="EN345" s="52"/>
      <c r="EO345" s="53">
        <f t="shared" si="233"/>
        <v>237.89894999999996</v>
      </c>
      <c r="EQ345" s="122">
        <v>46123</v>
      </c>
      <c r="ER345" s="123">
        <v>5651.22</v>
      </c>
      <c r="ES345" s="400">
        <v>221.98</v>
      </c>
      <c r="ET345" s="127"/>
      <c r="EU345" s="258">
        <v>136.91</v>
      </c>
      <c r="EW345" s="240"/>
      <c r="EX345" s="53">
        <v>31.60059402857155</v>
      </c>
      <c r="EY345" s="52"/>
      <c r="EZ345" s="53">
        <f t="shared" si="234"/>
        <v>168.51059402857155</v>
      </c>
      <c r="FB345" s="122">
        <v>46123</v>
      </c>
      <c r="FC345" s="123">
        <v>1908.19</v>
      </c>
      <c r="FD345" s="123">
        <v>201</v>
      </c>
      <c r="FE345" s="125"/>
      <c r="FF345" s="126"/>
      <c r="FH345" s="51"/>
      <c r="FI345" s="52"/>
      <c r="FJ345" s="52"/>
      <c r="FK345" s="53"/>
    </row>
    <row r="346" spans="2:167" x14ac:dyDescent="0.25">
      <c r="B346" s="122">
        <v>46124</v>
      </c>
      <c r="C346" s="123">
        <v>11859.28</v>
      </c>
      <c r="D346" s="125"/>
      <c r="E346" s="125"/>
      <c r="F346" s="123">
        <v>0</v>
      </c>
      <c r="G346" s="27"/>
      <c r="H346" s="240">
        <v>16.55843999999999</v>
      </c>
      <c r="I346" s="53"/>
      <c r="J346" s="52"/>
      <c r="K346" s="53">
        <f t="shared" si="235"/>
        <v>16.55843999999999</v>
      </c>
      <c r="M346" s="122">
        <v>46124</v>
      </c>
      <c r="N346" s="123">
        <v>8798.27</v>
      </c>
      <c r="O346" s="125"/>
      <c r="P346" s="126">
        <v>16.98</v>
      </c>
      <c r="R346" s="240"/>
      <c r="S346" s="53"/>
      <c r="T346" s="52"/>
      <c r="U346" s="53">
        <f t="shared" si="225"/>
        <v>16.98</v>
      </c>
      <c r="W346" s="122">
        <v>46124</v>
      </c>
      <c r="X346" s="123">
        <v>2557.02</v>
      </c>
      <c r="Y346" s="123">
        <v>479.08</v>
      </c>
      <c r="Z346" s="125"/>
      <c r="AA346" s="273">
        <v>0</v>
      </c>
      <c r="AC346" s="240">
        <v>-0.85919999999998709</v>
      </c>
      <c r="AD346" s="53"/>
      <c r="AE346" s="52"/>
      <c r="AF346" s="53">
        <f t="shared" si="226"/>
        <v>-0.85919999999998709</v>
      </c>
      <c r="AI346" s="122">
        <v>46124</v>
      </c>
      <c r="AJ346" s="123">
        <v>3585.74</v>
      </c>
      <c r="AK346" s="125"/>
      <c r="AL346" s="126"/>
      <c r="AN346" s="51"/>
      <c r="AO346" s="52"/>
      <c r="AP346" s="52"/>
      <c r="AQ346" s="53"/>
      <c r="AS346" s="122">
        <v>46124</v>
      </c>
      <c r="AT346" s="123">
        <v>6053.4</v>
      </c>
      <c r="AU346" s="125"/>
      <c r="AV346" s="128"/>
      <c r="AX346" s="51"/>
      <c r="AY346" s="52"/>
      <c r="AZ346" s="52"/>
      <c r="BA346" s="53"/>
      <c r="BC346" s="122">
        <v>46124</v>
      </c>
      <c r="BD346" s="123">
        <v>3711.5</v>
      </c>
      <c r="BE346" s="125"/>
      <c r="BF346" s="128">
        <v>0</v>
      </c>
      <c r="BH346" s="240"/>
      <c r="BI346" s="53"/>
      <c r="BJ346" s="52"/>
      <c r="BK346" s="53">
        <f t="shared" si="227"/>
        <v>0</v>
      </c>
      <c r="BM346" s="122">
        <v>46124</v>
      </c>
      <c r="BN346" s="123">
        <v>12020.16</v>
      </c>
      <c r="BO346" s="123">
        <v>2363.5300000000002</v>
      </c>
      <c r="BP346" s="123">
        <v>6805.81</v>
      </c>
      <c r="BQ346" s="125"/>
      <c r="BR346" s="125"/>
      <c r="BT346" s="240">
        <v>163.85817000000003</v>
      </c>
      <c r="BU346" s="53"/>
      <c r="BV346" s="53"/>
      <c r="BW346" s="53">
        <f t="shared" si="223"/>
        <v>163.85817000000003</v>
      </c>
      <c r="BY346" s="122">
        <v>46124</v>
      </c>
      <c r="BZ346" s="256">
        <v>1594</v>
      </c>
      <c r="CA346" s="257">
        <v>545.51</v>
      </c>
      <c r="CB346" s="125"/>
      <c r="CC346" s="126"/>
      <c r="CE346" s="240"/>
      <c r="CF346" s="53"/>
      <c r="CG346" s="52"/>
      <c r="CH346" s="53">
        <f t="shared" si="228"/>
        <v>0</v>
      </c>
      <c r="CJ346" s="122">
        <v>46124</v>
      </c>
      <c r="CK346" s="123">
        <v>11167.96</v>
      </c>
      <c r="CL346" s="123">
        <v>1061.0999999999999</v>
      </c>
      <c r="CM346" s="125"/>
      <c r="CN346" s="126">
        <v>43.75</v>
      </c>
      <c r="CP346" s="240">
        <v>-6.6803400000001147</v>
      </c>
      <c r="CQ346" s="53"/>
      <c r="CR346" s="52"/>
      <c r="CS346" s="53">
        <f t="shared" si="229"/>
        <v>37.069659999999885</v>
      </c>
      <c r="CU346" s="122">
        <v>46124</v>
      </c>
      <c r="CV346" s="123">
        <v>7612.95</v>
      </c>
      <c r="CW346" s="269">
        <v>1681.75</v>
      </c>
      <c r="CX346" s="125"/>
      <c r="CY346" s="128">
        <v>99.66</v>
      </c>
      <c r="CZ346" s="27"/>
      <c r="DA346" s="240">
        <v>1234.2399999999989</v>
      </c>
      <c r="DB346" s="435">
        <v>134.84800000000001</v>
      </c>
      <c r="DC346" s="53"/>
      <c r="DD346" s="52"/>
      <c r="DE346" s="53">
        <f t="shared" si="230"/>
        <v>1468.7479999999989</v>
      </c>
      <c r="DH346" s="122">
        <v>46124</v>
      </c>
      <c r="DI346" s="123">
        <v>4356.6400000000003</v>
      </c>
      <c r="DJ346" s="127">
        <v>466.09</v>
      </c>
      <c r="DK346" s="127">
        <v>2425.61</v>
      </c>
      <c r="DL346" s="127"/>
      <c r="DM346" s="126">
        <v>0</v>
      </c>
      <c r="DO346" s="240"/>
      <c r="DP346" s="53"/>
      <c r="DQ346" s="52"/>
      <c r="DR346" s="53">
        <f t="shared" si="231"/>
        <v>0</v>
      </c>
      <c r="DT346" s="122">
        <v>46124</v>
      </c>
      <c r="DU346" s="123">
        <v>3296.08</v>
      </c>
      <c r="DV346" s="125">
        <v>939.65</v>
      </c>
      <c r="DW346" s="127"/>
      <c r="DX346" s="126">
        <v>15.19</v>
      </c>
      <c r="DZ346" s="240"/>
      <c r="EA346" s="53"/>
      <c r="EB346" s="52"/>
      <c r="EC346" s="53">
        <f t="shared" si="232"/>
        <v>15.19</v>
      </c>
      <c r="EE346" s="122">
        <v>46124</v>
      </c>
      <c r="EF346" s="123">
        <v>1717.39</v>
      </c>
      <c r="EG346" s="125">
        <v>441.14</v>
      </c>
      <c r="EH346" s="127"/>
      <c r="EI346" s="126">
        <v>1.68</v>
      </c>
      <c r="EK346" s="240">
        <v>102.24885000000008</v>
      </c>
      <c r="EL346" s="435">
        <v>134.84800000000001</v>
      </c>
      <c r="EM346" s="53"/>
      <c r="EN346" s="52"/>
      <c r="EO346" s="53">
        <f t="shared" si="233"/>
        <v>238.77685000000008</v>
      </c>
      <c r="EQ346" s="122">
        <v>46124</v>
      </c>
      <c r="ER346" s="123">
        <v>2226.5700000000002</v>
      </c>
      <c r="ES346" s="400">
        <v>189.58</v>
      </c>
      <c r="ET346" s="127"/>
      <c r="EU346" s="258">
        <v>7.5</v>
      </c>
      <c r="EW346" s="240"/>
      <c r="EX346" s="53"/>
      <c r="EY346" s="52"/>
      <c r="EZ346" s="53">
        <f t="shared" si="234"/>
        <v>7.5</v>
      </c>
      <c r="FB346" s="122">
        <v>46124</v>
      </c>
      <c r="FC346" s="123">
        <v>923.59</v>
      </c>
      <c r="FD346" s="123">
        <v>258.89999999999998</v>
      </c>
      <c r="FE346" s="125"/>
      <c r="FF346" s="126"/>
      <c r="FH346" s="51"/>
      <c r="FI346" s="52"/>
      <c r="FJ346" s="52"/>
      <c r="FK346" s="53"/>
    </row>
    <row r="347" spans="2:167" x14ac:dyDescent="0.25">
      <c r="B347" s="122">
        <v>46125</v>
      </c>
      <c r="C347" s="123">
        <v>24045.48</v>
      </c>
      <c r="D347" s="125"/>
      <c r="E347" s="125"/>
      <c r="F347" s="123">
        <v>20.6</v>
      </c>
      <c r="G347" s="27"/>
      <c r="H347" s="240">
        <v>43.204980000000035</v>
      </c>
      <c r="I347" s="53"/>
      <c r="J347" s="52"/>
      <c r="K347" s="53">
        <f t="shared" si="235"/>
        <v>63.804980000000036</v>
      </c>
      <c r="M347" s="122">
        <v>46125</v>
      </c>
      <c r="N347" s="123">
        <v>9566.7999999999993</v>
      </c>
      <c r="O347" s="125"/>
      <c r="P347" s="126">
        <v>4.49</v>
      </c>
      <c r="R347" s="240"/>
      <c r="S347" s="53"/>
      <c r="T347" s="52"/>
      <c r="U347" s="53">
        <f t="shared" si="225"/>
        <v>4.49</v>
      </c>
      <c r="W347" s="122">
        <v>46125</v>
      </c>
      <c r="X347" s="123">
        <v>4373.12</v>
      </c>
      <c r="Y347" s="123">
        <v>170.63</v>
      </c>
      <c r="Z347" s="125"/>
      <c r="AA347" s="273">
        <v>14.61</v>
      </c>
      <c r="AC347" s="240">
        <v>14.430359999999979</v>
      </c>
      <c r="AD347" s="53"/>
      <c r="AE347" s="52"/>
      <c r="AF347" s="53">
        <f t="shared" si="226"/>
        <v>29.040359999999978</v>
      </c>
      <c r="AI347" s="122">
        <v>46125</v>
      </c>
      <c r="AJ347" s="123">
        <v>3296.35</v>
      </c>
      <c r="AK347" s="125"/>
      <c r="AL347" s="126"/>
      <c r="AN347" s="51"/>
      <c r="AO347" s="52"/>
      <c r="AP347" s="52"/>
      <c r="AQ347" s="53"/>
      <c r="AS347" s="122">
        <v>46125</v>
      </c>
      <c r="AT347" s="123">
        <v>5875.67</v>
      </c>
      <c r="AU347" s="125"/>
      <c r="AV347" s="128"/>
      <c r="AX347" s="51"/>
      <c r="AY347" s="52"/>
      <c r="AZ347" s="52"/>
      <c r="BA347" s="53"/>
      <c r="BC347" s="122">
        <v>46125</v>
      </c>
      <c r="BD347" s="123">
        <v>3893.97</v>
      </c>
      <c r="BE347" s="125"/>
      <c r="BF347" s="128">
        <v>0</v>
      </c>
      <c r="BH347" s="240">
        <v>1.2228800000000035</v>
      </c>
      <c r="BI347" s="53"/>
      <c r="BJ347" s="52"/>
      <c r="BK347" s="53">
        <f t="shared" si="227"/>
        <v>1.2228800000000035</v>
      </c>
      <c r="BM347" s="122">
        <v>46125</v>
      </c>
      <c r="BN347" s="123">
        <v>20271.36</v>
      </c>
      <c r="BO347" s="123">
        <v>3854.9</v>
      </c>
      <c r="BP347" s="123">
        <v>9693.31</v>
      </c>
      <c r="BQ347" s="125"/>
      <c r="BR347" s="125"/>
      <c r="BT347" s="240">
        <v>200.48257000000007</v>
      </c>
      <c r="BU347" s="53">
        <v>659.13705000000004</v>
      </c>
      <c r="BV347" s="53"/>
      <c r="BW347" s="53">
        <f t="shared" si="223"/>
        <v>859.61962000000017</v>
      </c>
      <c r="BY347" s="122">
        <v>46125</v>
      </c>
      <c r="BZ347" s="256">
        <v>2437.7199999999998</v>
      </c>
      <c r="CA347" s="257">
        <v>784.06</v>
      </c>
      <c r="CB347" s="125"/>
      <c r="CC347" s="126"/>
      <c r="CE347" s="240"/>
      <c r="CF347" s="53">
        <v>8.2127783154286078</v>
      </c>
      <c r="CG347" s="52"/>
      <c r="CH347" s="53">
        <f t="shared" si="228"/>
        <v>8.2127783154286078</v>
      </c>
      <c r="CJ347" s="122">
        <v>46125</v>
      </c>
      <c r="CK347" s="123">
        <v>13426.81</v>
      </c>
      <c r="CL347" s="123">
        <v>420.51</v>
      </c>
      <c r="CM347" s="125"/>
      <c r="CN347" s="126">
        <v>40.840000000000003</v>
      </c>
      <c r="CP347" s="240">
        <v>-0.70530000000016102</v>
      </c>
      <c r="CQ347" s="53"/>
      <c r="CR347" s="52"/>
      <c r="CS347" s="53">
        <f t="shared" si="229"/>
        <v>40.134699999999839</v>
      </c>
      <c r="CU347" s="122">
        <v>46125</v>
      </c>
      <c r="CV347" s="123">
        <v>14478.63</v>
      </c>
      <c r="CW347" s="269">
        <v>1282.9000000000001</v>
      </c>
      <c r="CX347" s="125"/>
      <c r="CY347" s="128">
        <v>109.48</v>
      </c>
      <c r="CZ347" s="27"/>
      <c r="DA347" s="240">
        <v>3931.279999999987</v>
      </c>
      <c r="DB347" s="435">
        <v>134.84800000000001</v>
      </c>
      <c r="DC347" s="53"/>
      <c r="DD347" s="52"/>
      <c r="DE347" s="53">
        <f t="shared" si="230"/>
        <v>4175.6079999999874</v>
      </c>
      <c r="DH347" s="122">
        <v>46125</v>
      </c>
      <c r="DI347" s="123">
        <v>6462.59</v>
      </c>
      <c r="DJ347" s="127">
        <v>700.43</v>
      </c>
      <c r="DK347" s="127">
        <v>2102.2800000000002</v>
      </c>
      <c r="DL347" s="127"/>
      <c r="DM347" s="126">
        <v>16</v>
      </c>
      <c r="DO347" s="240">
        <v>6.075460000000021</v>
      </c>
      <c r="DP347" s="53"/>
      <c r="DQ347" s="52"/>
      <c r="DR347" s="53">
        <f t="shared" si="231"/>
        <v>22.075460000000021</v>
      </c>
      <c r="DT347" s="122">
        <v>46125</v>
      </c>
      <c r="DU347" s="123">
        <v>3164.09</v>
      </c>
      <c r="DV347" s="125">
        <v>970.73</v>
      </c>
      <c r="DW347" s="127"/>
      <c r="DX347" s="126">
        <v>47.27</v>
      </c>
      <c r="DZ347" s="240"/>
      <c r="EA347" s="53"/>
      <c r="EB347" s="52"/>
      <c r="EC347" s="53">
        <f t="shared" si="232"/>
        <v>47.27</v>
      </c>
      <c r="EE347" s="122">
        <v>46125</v>
      </c>
      <c r="EF347" s="123">
        <v>2469.9299999999998</v>
      </c>
      <c r="EG347" s="125">
        <v>545.34</v>
      </c>
      <c r="EH347" s="127"/>
      <c r="EI347" s="126">
        <v>1.89</v>
      </c>
      <c r="EK347" s="240">
        <v>180.10067999999987</v>
      </c>
      <c r="EL347" s="435">
        <v>134.84800000000001</v>
      </c>
      <c r="EM347" s="53">
        <v>49.509434322000118</v>
      </c>
      <c r="EN347" s="52"/>
      <c r="EO347" s="53">
        <f t="shared" si="233"/>
        <v>366.34811432199996</v>
      </c>
      <c r="EQ347" s="122">
        <v>46125</v>
      </c>
      <c r="ER347" s="123">
        <v>3304.71</v>
      </c>
      <c r="ES347" s="400">
        <v>322.87</v>
      </c>
      <c r="ET347" s="127"/>
      <c r="EU347" s="258">
        <v>670.72</v>
      </c>
      <c r="EW347" s="240"/>
      <c r="EX347" s="53">
        <v>157.4344384842866</v>
      </c>
      <c r="EY347" s="52"/>
      <c r="EZ347" s="53">
        <f t="shared" si="234"/>
        <v>828.15443848428663</v>
      </c>
      <c r="FB347" s="122">
        <v>46125</v>
      </c>
      <c r="FC347" s="123">
        <v>1422.12</v>
      </c>
      <c r="FD347" s="123">
        <v>140</v>
      </c>
      <c r="FE347" s="125"/>
      <c r="FF347" s="126"/>
      <c r="FH347" s="51"/>
      <c r="FI347" s="52"/>
      <c r="FJ347" s="52"/>
      <c r="FK347" s="53"/>
    </row>
    <row r="348" spans="2:167" x14ac:dyDescent="0.25">
      <c r="B348" s="122">
        <v>46126</v>
      </c>
      <c r="C348" s="123">
        <v>11257.73</v>
      </c>
      <c r="D348" s="125"/>
      <c r="E348" s="125"/>
      <c r="F348" s="123">
        <v>0</v>
      </c>
      <c r="G348" s="27"/>
      <c r="H348" s="240">
        <v>51.86305999999999</v>
      </c>
      <c r="I348" s="53">
        <v>27.206723351904841</v>
      </c>
      <c r="J348" s="52"/>
      <c r="K348" s="53">
        <f t="shared" si="235"/>
        <v>79.069783351904832</v>
      </c>
      <c r="M348" s="122">
        <v>46126</v>
      </c>
      <c r="N348" s="123">
        <v>8275.34</v>
      </c>
      <c r="O348" s="125"/>
      <c r="P348" s="126">
        <v>68.89</v>
      </c>
      <c r="R348" s="240"/>
      <c r="S348" s="53"/>
      <c r="T348" s="52"/>
      <c r="U348" s="53">
        <f t="shared" si="225"/>
        <v>68.89</v>
      </c>
      <c r="W348" s="122">
        <v>46126</v>
      </c>
      <c r="X348" s="123">
        <v>3723.67</v>
      </c>
      <c r="Y348" s="123">
        <v>257.74</v>
      </c>
      <c r="Z348" s="125"/>
      <c r="AA348" s="273">
        <v>4.9800000000000004</v>
      </c>
      <c r="AC348" s="240"/>
      <c r="AD348" s="53"/>
      <c r="AE348" s="52"/>
      <c r="AF348" s="53">
        <f t="shared" si="226"/>
        <v>4.9800000000000004</v>
      </c>
      <c r="AI348" s="122">
        <v>46126</v>
      </c>
      <c r="AJ348" s="123">
        <v>2741.9</v>
      </c>
      <c r="AK348" s="125"/>
      <c r="AL348" s="126"/>
      <c r="AN348" s="51"/>
      <c r="AO348" s="52"/>
      <c r="AP348" s="52"/>
      <c r="AQ348" s="53"/>
      <c r="AS348" s="122">
        <v>46126</v>
      </c>
      <c r="AT348" s="123">
        <v>4002.88</v>
      </c>
      <c r="AU348" s="125"/>
      <c r="AV348" s="128"/>
      <c r="AX348" s="51"/>
      <c r="AY348" s="52"/>
      <c r="AZ348" s="52"/>
      <c r="BA348" s="53"/>
      <c r="BC348" s="122">
        <v>46126</v>
      </c>
      <c r="BD348" s="123">
        <v>4294.38</v>
      </c>
      <c r="BE348" s="125"/>
      <c r="BF348" s="128">
        <v>5.59</v>
      </c>
      <c r="BH348" s="240"/>
      <c r="BI348" s="53"/>
      <c r="BJ348" s="52"/>
      <c r="BK348" s="53">
        <f t="shared" si="227"/>
        <v>5.59</v>
      </c>
      <c r="BM348" s="122">
        <v>46126</v>
      </c>
      <c r="BN348" s="123">
        <v>18071.96</v>
      </c>
      <c r="BO348" s="123">
        <v>3027.32</v>
      </c>
      <c r="BP348" s="123">
        <v>9495.84</v>
      </c>
      <c r="BQ348" s="125"/>
      <c r="BR348" s="125"/>
      <c r="BT348" s="240">
        <v>128.45114999999998</v>
      </c>
      <c r="BU348" s="53"/>
      <c r="BV348" s="53">
        <v>90.396000000000015</v>
      </c>
      <c r="BW348" s="53">
        <f t="shared" si="223"/>
        <v>218.84715</v>
      </c>
      <c r="BY348" s="122">
        <v>46126</v>
      </c>
      <c r="BZ348" s="256">
        <v>1426.91</v>
      </c>
      <c r="CA348" s="257">
        <v>433.57</v>
      </c>
      <c r="CB348" s="125"/>
      <c r="CC348" s="126"/>
      <c r="CE348" s="240"/>
      <c r="CF348" s="53"/>
      <c r="CG348" s="52"/>
      <c r="CH348" s="53">
        <f t="shared" si="228"/>
        <v>0</v>
      </c>
      <c r="CJ348" s="122">
        <v>46126</v>
      </c>
      <c r="CK348" s="123">
        <v>9308.2800000000007</v>
      </c>
      <c r="CL348" s="123">
        <v>653.79</v>
      </c>
      <c r="CM348" s="125"/>
      <c r="CN348" s="126">
        <v>43.66</v>
      </c>
      <c r="CP348" s="240">
        <v>-2.0517600000001153</v>
      </c>
      <c r="CQ348" s="53"/>
      <c r="CR348" s="52"/>
      <c r="CS348" s="53">
        <f t="shared" si="229"/>
        <v>41.608239999999881</v>
      </c>
      <c r="CU348" s="122">
        <v>46126</v>
      </c>
      <c r="CV348" s="123">
        <v>15185.8</v>
      </c>
      <c r="CW348" s="126">
        <v>5492.74</v>
      </c>
      <c r="CX348" s="125"/>
      <c r="CY348" s="128">
        <v>123.34</v>
      </c>
      <c r="CZ348" s="27"/>
      <c r="DA348" s="240">
        <v>507.67000000000053</v>
      </c>
      <c r="DB348" s="435">
        <v>134.84800000000001</v>
      </c>
      <c r="DC348" s="53"/>
      <c r="DD348" s="52"/>
      <c r="DE348" s="53">
        <f t="shared" si="230"/>
        <v>765.85800000000063</v>
      </c>
      <c r="DH348" s="122">
        <v>46126</v>
      </c>
      <c r="DI348" s="123">
        <v>4264.8599999999997</v>
      </c>
      <c r="DJ348" s="127">
        <v>665.85</v>
      </c>
      <c r="DK348" s="127">
        <v>2795.81</v>
      </c>
      <c r="DL348" s="127"/>
      <c r="DM348" s="126">
        <v>0</v>
      </c>
      <c r="DO348" s="240"/>
      <c r="DP348" s="53"/>
      <c r="DQ348" s="52"/>
      <c r="DR348" s="53">
        <f t="shared" si="231"/>
        <v>0</v>
      </c>
      <c r="DT348" s="122">
        <v>46126</v>
      </c>
      <c r="DU348" s="123">
        <v>2546.0700000000002</v>
      </c>
      <c r="DV348" s="125">
        <v>841.1</v>
      </c>
      <c r="DW348" s="127"/>
      <c r="DX348" s="126">
        <v>14.98</v>
      </c>
      <c r="DZ348" s="240"/>
      <c r="EA348" s="53">
        <v>1.0468393319047777</v>
      </c>
      <c r="EB348" s="52"/>
      <c r="EC348" s="53">
        <f t="shared" si="232"/>
        <v>16.026839331904778</v>
      </c>
      <c r="EE348" s="122">
        <v>46126</v>
      </c>
      <c r="EF348" s="123">
        <v>2684.46</v>
      </c>
      <c r="EG348" s="125">
        <v>595.6</v>
      </c>
      <c r="EH348" s="127"/>
      <c r="EI348" s="126">
        <v>2.2599999999999998</v>
      </c>
      <c r="EK348" s="240">
        <v>215.52396999999985</v>
      </c>
      <c r="EL348" s="435">
        <v>134.84800000000001</v>
      </c>
      <c r="EM348" s="53"/>
      <c r="EN348" s="52">
        <v>27.029490099999919</v>
      </c>
      <c r="EO348" s="53">
        <f t="shared" si="233"/>
        <v>379.66146009999977</v>
      </c>
      <c r="EQ348" s="122">
        <v>46126</v>
      </c>
      <c r="ER348" s="123">
        <v>6084.18</v>
      </c>
      <c r="ES348" s="400">
        <v>428.95</v>
      </c>
      <c r="ET348" s="127"/>
      <c r="EU348" s="258">
        <v>30.18</v>
      </c>
      <c r="EW348" s="240"/>
      <c r="EX348" s="53"/>
      <c r="EY348" s="52"/>
      <c r="EZ348" s="53">
        <f t="shared" si="234"/>
        <v>30.18</v>
      </c>
      <c r="FB348" s="122">
        <v>46126</v>
      </c>
      <c r="FC348" s="123">
        <v>1683.26</v>
      </c>
      <c r="FD348" s="123">
        <v>195</v>
      </c>
      <c r="FE348" s="125"/>
      <c r="FF348" s="126"/>
      <c r="FH348" s="51"/>
      <c r="FI348" s="52"/>
      <c r="FJ348" s="52"/>
      <c r="FK348" s="53"/>
    </row>
    <row r="349" spans="2:167" x14ac:dyDescent="0.25">
      <c r="B349" s="122">
        <v>46127</v>
      </c>
      <c r="C349" s="123">
        <v>23231.8</v>
      </c>
      <c r="D349" s="126"/>
      <c r="E349" s="125"/>
      <c r="F349" s="126">
        <v>0</v>
      </c>
      <c r="G349" s="27"/>
      <c r="H349" s="240">
        <v>23.709009999999978</v>
      </c>
      <c r="I349" s="53"/>
      <c r="J349" s="52"/>
      <c r="K349" s="53">
        <f t="shared" si="235"/>
        <v>23.709009999999978</v>
      </c>
      <c r="M349" s="122">
        <v>46127</v>
      </c>
      <c r="N349" s="123">
        <v>8065.99</v>
      </c>
      <c r="O349" s="125"/>
      <c r="P349" s="126">
        <v>145.02000000000001</v>
      </c>
      <c r="R349" s="240"/>
      <c r="S349" s="53"/>
      <c r="T349" s="52"/>
      <c r="U349" s="53">
        <f t="shared" si="225"/>
        <v>145.02000000000001</v>
      </c>
      <c r="W349" s="122">
        <v>46127</v>
      </c>
      <c r="X349" s="123">
        <v>3659.36</v>
      </c>
      <c r="Y349" s="123">
        <v>421.55</v>
      </c>
      <c r="Z349" s="125"/>
      <c r="AA349" s="273">
        <v>0.87</v>
      </c>
      <c r="AC349" s="240"/>
      <c r="AD349" s="53"/>
      <c r="AE349" s="52"/>
      <c r="AF349" s="53">
        <f t="shared" si="226"/>
        <v>0.87</v>
      </c>
      <c r="AI349" s="122">
        <v>46127</v>
      </c>
      <c r="AJ349" s="123">
        <v>1608.66</v>
      </c>
      <c r="AK349" s="125"/>
      <c r="AL349" s="126"/>
      <c r="AN349" s="51"/>
      <c r="AO349" s="52"/>
      <c r="AP349" s="52"/>
      <c r="AQ349" s="53"/>
      <c r="AS349" s="122">
        <v>46127</v>
      </c>
      <c r="AT349" s="123">
        <v>5070.63</v>
      </c>
      <c r="AU349" s="125"/>
      <c r="AV349" s="128"/>
      <c r="AX349" s="51"/>
      <c r="AY349" s="52"/>
      <c r="AZ349" s="52"/>
      <c r="BA349" s="53"/>
      <c r="BC349" s="122">
        <v>46127</v>
      </c>
      <c r="BD349" s="123">
        <v>3237.41</v>
      </c>
      <c r="BE349" s="125"/>
      <c r="BF349" s="128">
        <v>0</v>
      </c>
      <c r="BH349" s="240">
        <v>7.8499999999999801</v>
      </c>
      <c r="BI349" s="53"/>
      <c r="BJ349" s="52"/>
      <c r="BK349" s="53">
        <f t="shared" si="227"/>
        <v>7.8499999999999801</v>
      </c>
      <c r="BM349" s="122">
        <v>46127</v>
      </c>
      <c r="BN349" s="123">
        <v>21921.62</v>
      </c>
      <c r="BO349" s="123">
        <v>4011.08</v>
      </c>
      <c r="BP349" s="123">
        <v>9906.2900000000009</v>
      </c>
      <c r="BQ349" s="125"/>
      <c r="BR349" s="125"/>
      <c r="BT349" s="240">
        <v>247.98417999999987</v>
      </c>
      <c r="BU349" s="53">
        <v>459.66012514142892</v>
      </c>
      <c r="BV349" s="53">
        <v>10.597874400000002</v>
      </c>
      <c r="BW349" s="53">
        <f t="shared" si="223"/>
        <v>718.24217954142875</v>
      </c>
      <c r="BY349" s="122">
        <v>46127</v>
      </c>
      <c r="BZ349" s="256">
        <v>1981.71</v>
      </c>
      <c r="CA349" s="257">
        <v>701.42</v>
      </c>
      <c r="CB349" s="125"/>
      <c r="CC349" s="126"/>
      <c r="CE349" s="240"/>
      <c r="CF349" s="53"/>
      <c r="CG349" s="52"/>
      <c r="CH349" s="53">
        <f t="shared" si="228"/>
        <v>0</v>
      </c>
      <c r="CJ349" s="122">
        <v>46127</v>
      </c>
      <c r="CK349" s="123">
        <v>8691.75</v>
      </c>
      <c r="CL349" s="123">
        <v>1029.31</v>
      </c>
      <c r="CM349" s="125"/>
      <c r="CN349" s="126">
        <v>24.46</v>
      </c>
      <c r="CP349" s="240">
        <v>-7.6248800000001502</v>
      </c>
      <c r="CQ349" s="53"/>
      <c r="CR349" s="52"/>
      <c r="CS349" s="53">
        <f t="shared" si="229"/>
        <v>16.835119999999851</v>
      </c>
      <c r="CU349" s="122">
        <v>46127</v>
      </c>
      <c r="CV349" s="123">
        <v>14563.27</v>
      </c>
      <c r="CW349" s="269">
        <v>2989.29</v>
      </c>
      <c r="CX349" s="125"/>
      <c r="CY349" s="128">
        <v>184.31</v>
      </c>
      <c r="CZ349" s="27"/>
      <c r="DA349" s="240">
        <v>6.9500000000000171</v>
      </c>
      <c r="DB349" s="435">
        <v>134.84800000000001</v>
      </c>
      <c r="DC349" s="53"/>
      <c r="DD349" s="52"/>
      <c r="DE349" s="53">
        <f t="shared" si="230"/>
        <v>326.10800000000006</v>
      </c>
      <c r="DH349" s="122">
        <v>46127</v>
      </c>
      <c r="DI349" s="123">
        <v>4239.97</v>
      </c>
      <c r="DJ349" s="127">
        <v>571.51</v>
      </c>
      <c r="DK349" s="127">
        <v>2848.21</v>
      </c>
      <c r="DL349" s="127"/>
      <c r="DM349" s="126">
        <v>4</v>
      </c>
      <c r="DO349" s="240"/>
      <c r="DP349" s="53"/>
      <c r="DQ349" s="52"/>
      <c r="DR349" s="53">
        <f t="shared" si="231"/>
        <v>4</v>
      </c>
      <c r="DT349" s="122">
        <v>46127</v>
      </c>
      <c r="DU349" s="123">
        <v>3223.04</v>
      </c>
      <c r="DV349" s="125">
        <v>1259.8599999999999</v>
      </c>
      <c r="DW349" s="127"/>
      <c r="DX349" s="126">
        <v>31.68</v>
      </c>
      <c r="DZ349" s="240"/>
      <c r="EA349" s="53"/>
      <c r="EB349" s="52"/>
      <c r="EC349" s="53">
        <f t="shared" si="232"/>
        <v>31.68</v>
      </c>
      <c r="EE349" s="122">
        <v>46127</v>
      </c>
      <c r="EF349" s="123">
        <v>2064.66</v>
      </c>
      <c r="EG349" s="125">
        <v>556.49</v>
      </c>
      <c r="EH349" s="127"/>
      <c r="EI349" s="126">
        <v>4.13</v>
      </c>
      <c r="EK349" s="240">
        <v>293.51196999999956</v>
      </c>
      <c r="EL349" s="435">
        <v>134.84800000000001</v>
      </c>
      <c r="EM349" s="53"/>
      <c r="EN349" s="52"/>
      <c r="EO349" s="53">
        <f t="shared" si="233"/>
        <v>432.48996999999957</v>
      </c>
      <c r="EQ349" s="122">
        <v>46127</v>
      </c>
      <c r="ER349" s="123">
        <v>6935.41</v>
      </c>
      <c r="ES349" s="400">
        <v>328.88</v>
      </c>
      <c r="ET349" s="127"/>
      <c r="EU349" s="258">
        <v>342.66</v>
      </c>
      <c r="EW349" s="240">
        <v>37.293920000000071</v>
      </c>
      <c r="EX349" s="53">
        <v>19.042544959904745</v>
      </c>
      <c r="EY349" s="52"/>
      <c r="EZ349" s="53">
        <f t="shared" si="234"/>
        <v>398.99646495990487</v>
      </c>
      <c r="FB349" s="122">
        <v>46127</v>
      </c>
      <c r="FC349" s="123">
        <v>1533.37</v>
      </c>
      <c r="FD349" s="123">
        <v>142</v>
      </c>
      <c r="FE349" s="125"/>
      <c r="FF349" s="126"/>
      <c r="FH349" s="51"/>
      <c r="FI349" s="52"/>
      <c r="FJ349" s="52"/>
      <c r="FK349" s="53"/>
    </row>
    <row r="350" spans="2:167" x14ac:dyDescent="0.25">
      <c r="B350" s="122">
        <v>46128</v>
      </c>
      <c r="C350" s="123">
        <v>18452.8</v>
      </c>
      <c r="D350" s="125"/>
      <c r="E350" s="125"/>
      <c r="F350" s="123">
        <v>0</v>
      </c>
      <c r="G350" s="27"/>
      <c r="H350" s="240">
        <v>25.446329999999932</v>
      </c>
      <c r="I350" s="53">
        <v>21.283844541428664</v>
      </c>
      <c r="J350" s="52"/>
      <c r="K350" s="53">
        <f t="shared" si="235"/>
        <v>46.730174541428596</v>
      </c>
      <c r="M350" s="122">
        <v>46128</v>
      </c>
      <c r="N350" s="123">
        <v>7058.05</v>
      </c>
      <c r="O350" s="125"/>
      <c r="P350" s="126">
        <v>11.93</v>
      </c>
      <c r="R350" s="240"/>
      <c r="S350" s="53"/>
      <c r="T350" s="52"/>
      <c r="U350" s="53">
        <f t="shared" si="225"/>
        <v>11.93</v>
      </c>
      <c r="W350" s="122">
        <v>46128</v>
      </c>
      <c r="X350" s="123">
        <v>3992.83</v>
      </c>
      <c r="Y350" s="123">
        <v>257.73</v>
      </c>
      <c r="Z350" s="125"/>
      <c r="AA350" s="273">
        <v>12.01</v>
      </c>
      <c r="AC350" s="240"/>
      <c r="AD350" s="53"/>
      <c r="AE350" s="52"/>
      <c r="AF350" s="53">
        <f t="shared" si="226"/>
        <v>12.01</v>
      </c>
      <c r="AI350" s="122">
        <v>46128</v>
      </c>
      <c r="AJ350" s="123">
        <v>2756.02</v>
      </c>
      <c r="AK350" s="125"/>
      <c r="AL350" s="126"/>
      <c r="AN350" s="51"/>
      <c r="AO350" s="52"/>
      <c r="AP350" s="52"/>
      <c r="AQ350" s="53"/>
      <c r="AS350" s="122">
        <v>46128</v>
      </c>
      <c r="AT350" s="123">
        <v>5204.5200000000004</v>
      </c>
      <c r="AU350" s="125"/>
      <c r="AV350" s="128"/>
      <c r="AX350" s="51"/>
      <c r="AY350" s="52"/>
      <c r="AZ350" s="52"/>
      <c r="BA350" s="53"/>
      <c r="BC350" s="122">
        <v>46128</v>
      </c>
      <c r="BD350" s="123">
        <v>3445.2</v>
      </c>
      <c r="BE350" s="125"/>
      <c r="BF350" s="128">
        <v>0</v>
      </c>
      <c r="BH350" s="240">
        <v>20.923389999999984</v>
      </c>
      <c r="BI350" s="53"/>
      <c r="BJ350" s="52"/>
      <c r="BK350" s="53">
        <f t="shared" si="227"/>
        <v>20.923389999999984</v>
      </c>
      <c r="BM350" s="122">
        <v>46128</v>
      </c>
      <c r="BN350" s="123">
        <v>17235.93</v>
      </c>
      <c r="BO350" s="123">
        <v>3264.32</v>
      </c>
      <c r="BP350" s="123">
        <v>11078.5</v>
      </c>
      <c r="BQ350" s="125"/>
      <c r="BR350" s="125"/>
      <c r="BT350" s="240">
        <v>387.24825999999985</v>
      </c>
      <c r="BU350" s="53">
        <v>251.38129523809539</v>
      </c>
      <c r="BV350" s="53"/>
      <c r="BW350" s="53">
        <f t="shared" si="223"/>
        <v>638.62955523809524</v>
      </c>
      <c r="BY350" s="122">
        <v>46128</v>
      </c>
      <c r="BZ350" s="256">
        <v>1855.76</v>
      </c>
      <c r="CA350" s="257">
        <v>643.66</v>
      </c>
      <c r="CB350" s="125"/>
      <c r="CC350" s="126"/>
      <c r="CE350" s="240"/>
      <c r="CF350" s="53">
        <v>2.257869329047594</v>
      </c>
      <c r="CG350" s="52"/>
      <c r="CH350" s="53">
        <f t="shared" si="228"/>
        <v>2.257869329047594</v>
      </c>
      <c r="CJ350" s="122">
        <v>46128</v>
      </c>
      <c r="CK350" s="123">
        <v>10653.23</v>
      </c>
      <c r="CL350" s="123">
        <v>999.98</v>
      </c>
      <c r="CM350" s="125"/>
      <c r="CN350" s="126">
        <v>38.08</v>
      </c>
      <c r="CP350" s="240">
        <v>-11.317500000000049</v>
      </c>
      <c r="CQ350" s="53"/>
      <c r="CR350" s="52"/>
      <c r="CS350" s="53">
        <f t="shared" si="229"/>
        <v>26.76249999999995</v>
      </c>
      <c r="CU350" s="122">
        <v>46128</v>
      </c>
      <c r="CV350" s="123">
        <v>17434.169999999998</v>
      </c>
      <c r="CW350" s="269">
        <v>5976.49</v>
      </c>
      <c r="CX350" s="125"/>
      <c r="CY350" s="128">
        <v>193.36</v>
      </c>
      <c r="CZ350" s="27"/>
      <c r="DA350" s="240"/>
      <c r="DB350" s="435">
        <v>134.84800000000001</v>
      </c>
      <c r="DC350" s="53"/>
      <c r="DD350" s="52"/>
      <c r="DE350" s="53">
        <f t="shared" si="230"/>
        <v>328.20800000000003</v>
      </c>
      <c r="DH350" s="122">
        <v>46128</v>
      </c>
      <c r="DI350" s="123">
        <v>6116.8</v>
      </c>
      <c r="DJ350" s="259">
        <v>1170.32</v>
      </c>
      <c r="DK350" s="259">
        <v>2258.3000000000002</v>
      </c>
      <c r="DL350" s="127"/>
      <c r="DM350" s="126">
        <v>8</v>
      </c>
      <c r="DO350" s="240"/>
      <c r="DP350" s="53"/>
      <c r="DQ350" s="52"/>
      <c r="DR350" s="53">
        <f t="shared" si="231"/>
        <v>8</v>
      </c>
      <c r="DT350" s="122">
        <v>46128</v>
      </c>
      <c r="DU350" s="123">
        <v>2915.11</v>
      </c>
      <c r="DV350" s="400">
        <v>1161.6300000000001</v>
      </c>
      <c r="DW350" s="127"/>
      <c r="DX350" s="126">
        <v>30.87</v>
      </c>
      <c r="DZ350" s="240"/>
      <c r="EA350" s="53">
        <v>1.3674749700000461</v>
      </c>
      <c r="EB350" s="52"/>
      <c r="EC350" s="53">
        <f t="shared" si="232"/>
        <v>32.237474970000051</v>
      </c>
      <c r="EE350" s="122">
        <v>46128</v>
      </c>
      <c r="EF350" s="123">
        <v>3473.04</v>
      </c>
      <c r="EG350" s="125">
        <v>826.69</v>
      </c>
      <c r="EH350" s="127"/>
      <c r="EI350" s="126">
        <v>2.3199999999999998</v>
      </c>
      <c r="EK350" s="240">
        <v>195.84017999999989</v>
      </c>
      <c r="EL350" s="435">
        <v>134.84800000000001</v>
      </c>
      <c r="EM350" s="53">
        <v>44.567681175238135</v>
      </c>
      <c r="EN350" s="52"/>
      <c r="EO350" s="53">
        <f t="shared" si="233"/>
        <v>377.57586117523806</v>
      </c>
      <c r="EQ350" s="122">
        <v>46128</v>
      </c>
      <c r="ER350" s="123">
        <v>7061.31</v>
      </c>
      <c r="ES350" s="400">
        <v>320.55</v>
      </c>
      <c r="ET350" s="127"/>
      <c r="EU350" s="258">
        <v>252.03</v>
      </c>
      <c r="EW350" s="240"/>
      <c r="EX350" s="53"/>
      <c r="EY350" s="52"/>
      <c r="EZ350" s="53">
        <f t="shared" si="234"/>
        <v>252.03</v>
      </c>
      <c r="FB350" s="122">
        <v>46128</v>
      </c>
      <c r="FC350" s="123">
        <v>1549.71</v>
      </c>
      <c r="FD350" s="123">
        <v>236.42</v>
      </c>
      <c r="FE350" s="125"/>
      <c r="FF350" s="126"/>
      <c r="FH350" s="51"/>
      <c r="FI350" s="52"/>
      <c r="FJ350" s="52"/>
      <c r="FK350" s="53"/>
    </row>
    <row r="351" spans="2:167" x14ac:dyDescent="0.25">
      <c r="B351" s="122">
        <v>46129</v>
      </c>
      <c r="C351" s="123">
        <v>23714.17</v>
      </c>
      <c r="D351" s="125"/>
      <c r="E351" s="125"/>
      <c r="F351" s="123">
        <v>0</v>
      </c>
      <c r="G351" s="27"/>
      <c r="H351" s="240">
        <v>29.125459999999919</v>
      </c>
      <c r="I351" s="53">
        <v>12.329782977619089</v>
      </c>
      <c r="J351" s="52"/>
      <c r="K351" s="53">
        <f t="shared" si="235"/>
        <v>41.455242977619008</v>
      </c>
      <c r="M351" s="122">
        <v>46129</v>
      </c>
      <c r="N351" s="123">
        <v>6809.07</v>
      </c>
      <c r="O351" s="125"/>
      <c r="P351" s="126">
        <v>34.869999999999997</v>
      </c>
      <c r="R351" s="240"/>
      <c r="S351" s="53"/>
      <c r="T351" s="52"/>
      <c r="U351" s="53">
        <f t="shared" si="225"/>
        <v>34.869999999999997</v>
      </c>
      <c r="W351" s="122">
        <v>46129</v>
      </c>
      <c r="X351" s="123">
        <v>3228.19</v>
      </c>
      <c r="Y351" s="123">
        <v>276.76</v>
      </c>
      <c r="Z351" s="125"/>
      <c r="AA351" s="273">
        <v>9.94</v>
      </c>
      <c r="AC351" s="240">
        <v>12.237359999999995</v>
      </c>
      <c r="AD351" s="53">
        <v>7.7103460575238216</v>
      </c>
      <c r="AE351" s="52"/>
      <c r="AF351" s="53">
        <f t="shared" si="226"/>
        <v>29.887706057523815</v>
      </c>
      <c r="AI351" s="122">
        <v>46129</v>
      </c>
      <c r="AJ351" s="123">
        <v>3035.38</v>
      </c>
      <c r="AK351" s="125"/>
      <c r="AL351" s="126"/>
      <c r="AN351" s="51"/>
      <c r="AO351" s="52"/>
      <c r="AP351" s="52"/>
      <c r="AQ351" s="53"/>
      <c r="AS351" s="122">
        <v>46129</v>
      </c>
      <c r="AT351" s="123">
        <v>4939.8</v>
      </c>
      <c r="AU351" s="125"/>
      <c r="AV351" s="128"/>
      <c r="AX351" s="51"/>
      <c r="AY351" s="52"/>
      <c r="AZ351" s="52"/>
      <c r="BA351" s="53"/>
      <c r="BC351" s="122">
        <v>46129</v>
      </c>
      <c r="BD351" s="123">
        <v>4542.49</v>
      </c>
      <c r="BE351" s="125"/>
      <c r="BF351" s="128">
        <v>1.92</v>
      </c>
      <c r="BH351" s="240">
        <v>4.4210099999998818</v>
      </c>
      <c r="BI351" s="53"/>
      <c r="BJ351" s="52"/>
      <c r="BK351" s="53">
        <f t="shared" si="227"/>
        <v>6.3410099999998817</v>
      </c>
      <c r="BM351" s="122">
        <v>46129</v>
      </c>
      <c r="BN351" s="123">
        <v>22131.08</v>
      </c>
      <c r="BO351" s="123">
        <v>2666.62</v>
      </c>
      <c r="BP351" s="123">
        <v>11597.57</v>
      </c>
      <c r="BQ351" s="125"/>
      <c r="BR351" s="125"/>
      <c r="BT351" s="240">
        <v>59.644629999999992</v>
      </c>
      <c r="BU351" s="53">
        <v>94.267985714285828</v>
      </c>
      <c r="BV351" s="53"/>
      <c r="BW351" s="53">
        <f t="shared" si="223"/>
        <v>153.91261571428583</v>
      </c>
      <c r="BY351" s="122">
        <v>46129</v>
      </c>
      <c r="BZ351" s="256">
        <v>1457.96</v>
      </c>
      <c r="CA351" s="257">
        <v>657.08</v>
      </c>
      <c r="CB351" s="125"/>
      <c r="CC351" s="126"/>
      <c r="CE351" s="240">
        <v>-4.3154400000000237</v>
      </c>
      <c r="CF351" s="53"/>
      <c r="CG351" s="52"/>
      <c r="CH351" s="53">
        <f t="shared" si="228"/>
        <v>-4.3154400000000237</v>
      </c>
      <c r="CJ351" s="122">
        <v>46129</v>
      </c>
      <c r="CK351" s="123">
        <v>9438.1299999999992</v>
      </c>
      <c r="CL351" s="123">
        <v>900.37</v>
      </c>
      <c r="CM351" s="125"/>
      <c r="CN351" s="126">
        <v>34.29</v>
      </c>
      <c r="CP351" s="240">
        <v>-93.601200000000006</v>
      </c>
      <c r="CQ351" s="53"/>
      <c r="CR351" s="52"/>
      <c r="CS351" s="53">
        <f t="shared" si="229"/>
        <v>-59.311200000000007</v>
      </c>
      <c r="CU351" s="122">
        <v>46129</v>
      </c>
      <c r="CV351" s="123">
        <v>18207.32</v>
      </c>
      <c r="CW351" s="269">
        <v>3508.78</v>
      </c>
      <c r="CX351" s="125"/>
      <c r="CY351" s="128">
        <v>229.51</v>
      </c>
      <c r="CZ351" s="27"/>
      <c r="DA351" s="240"/>
      <c r="DB351" s="435">
        <v>134.84800000000001</v>
      </c>
      <c r="DC351" s="53"/>
      <c r="DD351" s="52"/>
      <c r="DE351" s="53">
        <f t="shared" si="230"/>
        <v>364.358</v>
      </c>
      <c r="DH351" s="122">
        <v>46129</v>
      </c>
      <c r="DI351" s="123">
        <v>5559.01</v>
      </c>
      <c r="DJ351" s="127">
        <v>747.67</v>
      </c>
      <c r="DK351" s="127">
        <v>2622.4</v>
      </c>
      <c r="DL351" s="127"/>
      <c r="DM351" s="126">
        <v>4</v>
      </c>
      <c r="DO351" s="240">
        <v>17.355019999999968</v>
      </c>
      <c r="DP351" s="53"/>
      <c r="DQ351" s="52"/>
      <c r="DR351" s="53">
        <f t="shared" si="231"/>
        <v>21.355019999999968</v>
      </c>
      <c r="DT351" s="122">
        <v>46129</v>
      </c>
      <c r="DU351" s="123">
        <v>2704.54</v>
      </c>
      <c r="DV351" s="125">
        <v>1471.26</v>
      </c>
      <c r="DW351" s="127"/>
      <c r="DX351" s="126">
        <v>29.48</v>
      </c>
      <c r="DZ351" s="240"/>
      <c r="EA351" s="53"/>
      <c r="EB351" s="52"/>
      <c r="EC351" s="53">
        <f t="shared" si="232"/>
        <v>29.48</v>
      </c>
      <c r="EE351" s="122">
        <v>46129</v>
      </c>
      <c r="EF351" s="123">
        <v>2327.37</v>
      </c>
      <c r="EG351" s="125">
        <v>1074.73</v>
      </c>
      <c r="EH351" s="127"/>
      <c r="EI351" s="126">
        <v>4.21</v>
      </c>
      <c r="EK351" s="240">
        <v>177.17232999999987</v>
      </c>
      <c r="EL351" s="435">
        <v>134.84800000000001</v>
      </c>
      <c r="EM351" s="53">
        <v>20.69080425333334</v>
      </c>
      <c r="EN351" s="52"/>
      <c r="EO351" s="53">
        <f t="shared" si="233"/>
        <v>336.92113425333321</v>
      </c>
      <c r="EQ351" s="122">
        <v>46129</v>
      </c>
      <c r="ER351" s="123">
        <v>6019.82</v>
      </c>
      <c r="ES351" s="400">
        <v>316.37</v>
      </c>
      <c r="ET351" s="127"/>
      <c r="EU351" s="258">
        <v>225.58</v>
      </c>
      <c r="EW351" s="240">
        <v>59.930530000000005</v>
      </c>
      <c r="EX351" s="53">
        <v>170.2954813014303</v>
      </c>
      <c r="EY351" s="52"/>
      <c r="EZ351" s="53">
        <f t="shared" si="234"/>
        <v>455.80601130143032</v>
      </c>
      <c r="FB351" s="122">
        <v>46129</v>
      </c>
      <c r="FC351" s="123">
        <v>2137.13</v>
      </c>
      <c r="FD351" s="123">
        <v>86.5</v>
      </c>
      <c r="FE351" s="125"/>
      <c r="FF351" s="126"/>
      <c r="FH351" s="51"/>
      <c r="FI351" s="52"/>
      <c r="FJ351" s="52"/>
      <c r="FK351" s="53"/>
    </row>
    <row r="352" spans="2:167" x14ac:dyDescent="0.25">
      <c r="B352" s="122">
        <v>46130</v>
      </c>
      <c r="C352" s="123">
        <v>16161.02</v>
      </c>
      <c r="D352" s="125"/>
      <c r="E352" s="125"/>
      <c r="F352" s="123">
        <v>0</v>
      </c>
      <c r="G352" s="27"/>
      <c r="H352" s="240"/>
      <c r="I352" s="53"/>
      <c r="J352" s="52"/>
      <c r="K352" s="53">
        <f t="shared" si="235"/>
        <v>0</v>
      </c>
      <c r="M352" s="122">
        <v>46130</v>
      </c>
      <c r="N352" s="123">
        <v>7170.44</v>
      </c>
      <c r="O352" s="125"/>
      <c r="P352" s="126">
        <v>5.79</v>
      </c>
      <c r="R352" s="240"/>
      <c r="S352" s="53"/>
      <c r="T352" s="52"/>
      <c r="U352" s="53">
        <f t="shared" si="225"/>
        <v>5.79</v>
      </c>
      <c r="W352" s="122">
        <v>46130</v>
      </c>
      <c r="X352" s="123">
        <v>2133.1799999999998</v>
      </c>
      <c r="Y352" s="123">
        <v>545.01</v>
      </c>
      <c r="Z352" s="125"/>
      <c r="AA352" s="273">
        <v>20.95</v>
      </c>
      <c r="AC352" s="240">
        <v>-4.4762400000000184</v>
      </c>
      <c r="AD352" s="53">
        <v>1.4717716185714949</v>
      </c>
      <c r="AE352" s="52"/>
      <c r="AF352" s="53">
        <f t="shared" si="226"/>
        <v>17.945531618571476</v>
      </c>
      <c r="AI352" s="122">
        <v>46130</v>
      </c>
      <c r="AJ352" s="123">
        <v>3481.1</v>
      </c>
      <c r="AK352" s="125"/>
      <c r="AL352" s="126"/>
      <c r="AN352" s="51"/>
      <c r="AO352" s="52"/>
      <c r="AP352" s="52"/>
      <c r="AQ352" s="53"/>
      <c r="AS352" s="122">
        <v>46130</v>
      </c>
      <c r="AT352" s="123">
        <v>5036.74</v>
      </c>
      <c r="AU352" s="125"/>
      <c r="AV352" s="128"/>
      <c r="AX352" s="51"/>
      <c r="AY352" s="52"/>
      <c r="AZ352" s="52"/>
      <c r="BA352" s="53"/>
      <c r="BC352" s="122">
        <v>46130</v>
      </c>
      <c r="BD352" s="123">
        <v>6561.01</v>
      </c>
      <c r="BE352" s="125"/>
      <c r="BF352" s="128">
        <v>0</v>
      </c>
      <c r="BH352" s="240">
        <v>-2.8419600000000287</v>
      </c>
      <c r="BI352" s="53"/>
      <c r="BJ352" s="52"/>
      <c r="BK352" s="53">
        <f t="shared" si="227"/>
        <v>-2.8419600000000287</v>
      </c>
      <c r="BM352" s="122">
        <v>46130</v>
      </c>
      <c r="BN352" s="123">
        <v>20892.78</v>
      </c>
      <c r="BO352" s="123">
        <v>3458.54</v>
      </c>
      <c r="BP352" s="123">
        <v>10466.93</v>
      </c>
      <c r="BQ352" s="125"/>
      <c r="BR352" s="125"/>
      <c r="BT352" s="240">
        <v>133.63046999999995</v>
      </c>
      <c r="BU352" s="53"/>
      <c r="BV352" s="53"/>
      <c r="BW352" s="53">
        <f t="shared" si="223"/>
        <v>133.63046999999995</v>
      </c>
      <c r="BY352" s="122">
        <v>46130</v>
      </c>
      <c r="BZ352" s="256">
        <v>1310.06</v>
      </c>
      <c r="CA352" s="257">
        <v>439.04</v>
      </c>
      <c r="CB352" s="125"/>
      <c r="CC352" s="126"/>
      <c r="CE352" s="240"/>
      <c r="CF352" s="53">
        <v>2.5467116019048035</v>
      </c>
      <c r="CG352" s="52"/>
      <c r="CH352" s="53">
        <f t="shared" si="228"/>
        <v>2.5467116019048035</v>
      </c>
      <c r="CJ352" s="122">
        <v>46130</v>
      </c>
      <c r="CK352" s="123">
        <v>10350.24</v>
      </c>
      <c r="CL352" s="123">
        <v>1313.37</v>
      </c>
      <c r="CM352" s="125"/>
      <c r="CN352" s="126">
        <v>42.52</v>
      </c>
      <c r="CP352" s="240">
        <v>-15.913060000000065</v>
      </c>
      <c r="CQ352" s="53"/>
      <c r="CR352" s="52"/>
      <c r="CS352" s="53">
        <f t="shared" si="229"/>
        <v>26.606939999999938</v>
      </c>
      <c r="CU352" s="122">
        <v>46130</v>
      </c>
      <c r="CV352" s="123">
        <v>9728.9</v>
      </c>
      <c r="CW352" s="269">
        <v>2684.4</v>
      </c>
      <c r="CX352" s="125"/>
      <c r="CY352" s="128">
        <v>98.55</v>
      </c>
      <c r="CZ352" s="27"/>
      <c r="DA352" s="240">
        <v>23.500000000000028</v>
      </c>
      <c r="DB352" s="435">
        <v>134.84800000000001</v>
      </c>
      <c r="DC352" s="53"/>
      <c r="DD352" s="52"/>
      <c r="DE352" s="53">
        <f t="shared" si="230"/>
        <v>256.89800000000002</v>
      </c>
      <c r="DH352" s="122">
        <v>46130</v>
      </c>
      <c r="DI352" s="123">
        <v>7167.75</v>
      </c>
      <c r="DJ352" s="127">
        <v>960.83</v>
      </c>
      <c r="DK352" s="127">
        <v>2061.71</v>
      </c>
      <c r="DL352" s="127"/>
      <c r="DM352" s="126">
        <v>4</v>
      </c>
      <c r="DO352" s="240">
        <v>22.066890000000001</v>
      </c>
      <c r="DP352" s="53"/>
      <c r="DQ352" s="52"/>
      <c r="DR352" s="53">
        <f t="shared" si="231"/>
        <v>26.066890000000001</v>
      </c>
      <c r="DT352" s="122">
        <v>46130</v>
      </c>
      <c r="DU352" s="123">
        <v>3588.7</v>
      </c>
      <c r="DV352" s="125">
        <v>1174.07</v>
      </c>
      <c r="DW352" s="127"/>
      <c r="DX352" s="126">
        <v>49.82</v>
      </c>
      <c r="DZ352" s="240"/>
      <c r="EA352" s="53"/>
      <c r="EB352" s="52"/>
      <c r="EC352" s="53">
        <f t="shared" si="232"/>
        <v>49.82</v>
      </c>
      <c r="EE352" s="122">
        <v>46130</v>
      </c>
      <c r="EF352" s="123">
        <v>1222.48</v>
      </c>
      <c r="EG352" s="125">
        <v>579.96</v>
      </c>
      <c r="EH352" s="127"/>
      <c r="EI352" s="126">
        <v>3.3</v>
      </c>
      <c r="EK352" s="240">
        <v>199.89717999999993</v>
      </c>
      <c r="EL352" s="435">
        <v>134.84800000000001</v>
      </c>
      <c r="EM352" s="53">
        <v>112.83225603809535</v>
      </c>
      <c r="EN352" s="52"/>
      <c r="EO352" s="53">
        <f t="shared" si="233"/>
        <v>450.87743603809531</v>
      </c>
      <c r="EQ352" s="122">
        <v>46130</v>
      </c>
      <c r="ER352" s="123">
        <v>6739.65</v>
      </c>
      <c r="ES352" s="400">
        <v>267.07</v>
      </c>
      <c r="ET352" s="127"/>
      <c r="EU352" s="258">
        <v>328.99</v>
      </c>
      <c r="EW352" s="240">
        <v>22.18907999999999</v>
      </c>
      <c r="EX352" s="53">
        <v>201.740817557144</v>
      </c>
      <c r="EY352" s="52"/>
      <c r="EZ352" s="53">
        <f t="shared" si="234"/>
        <v>552.91989755714394</v>
      </c>
      <c r="FB352" s="122">
        <v>46130</v>
      </c>
      <c r="FC352" s="123">
        <v>1271.21</v>
      </c>
      <c r="FD352" s="123">
        <v>155.6</v>
      </c>
      <c r="FE352" s="125"/>
      <c r="FF352" s="126"/>
      <c r="FH352" s="51"/>
      <c r="FI352" s="52"/>
      <c r="FJ352" s="52"/>
      <c r="FK352" s="53"/>
    </row>
    <row r="353" spans="2:167" x14ac:dyDescent="0.25">
      <c r="B353" s="122">
        <v>46131</v>
      </c>
      <c r="C353" s="123">
        <v>14733.69</v>
      </c>
      <c r="D353" s="125"/>
      <c r="E353" s="125"/>
      <c r="F353" s="123">
        <v>0</v>
      </c>
      <c r="G353" s="27"/>
      <c r="H353" s="240"/>
      <c r="I353" s="53">
        <v>18.22698619523814</v>
      </c>
      <c r="J353" s="52"/>
      <c r="K353" s="53">
        <f t="shared" si="235"/>
        <v>18.22698619523814</v>
      </c>
      <c r="M353" s="122">
        <v>46131</v>
      </c>
      <c r="N353" s="123">
        <v>6489.49</v>
      </c>
      <c r="O353" s="125"/>
      <c r="P353" s="126">
        <v>15.68</v>
      </c>
      <c r="R353" s="240"/>
      <c r="S353" s="53"/>
      <c r="T353" s="52"/>
      <c r="U353" s="53">
        <f t="shared" si="225"/>
        <v>15.68</v>
      </c>
      <c r="W353" s="122">
        <v>46131</v>
      </c>
      <c r="X353" s="123">
        <v>2982.31</v>
      </c>
      <c r="Y353" s="123">
        <v>49.02</v>
      </c>
      <c r="Z353" s="125"/>
      <c r="AA353" s="273">
        <v>1.83</v>
      </c>
      <c r="AC353" s="240"/>
      <c r="AD353" s="53"/>
      <c r="AE353" s="52"/>
      <c r="AF353" s="53">
        <f t="shared" si="226"/>
        <v>1.83</v>
      </c>
      <c r="AI353" s="122">
        <v>46131</v>
      </c>
      <c r="AJ353" s="123">
        <v>3941.7</v>
      </c>
      <c r="AK353" s="125"/>
      <c r="AL353" s="126"/>
      <c r="AN353" s="51"/>
      <c r="AO353" s="52"/>
      <c r="AP353" s="52"/>
      <c r="AQ353" s="53"/>
      <c r="AS353" s="122">
        <v>46131</v>
      </c>
      <c r="AT353" s="123">
        <v>4501.32</v>
      </c>
      <c r="AU353" s="125"/>
      <c r="AV353" s="128"/>
      <c r="AX353" s="51"/>
      <c r="AY353" s="52"/>
      <c r="AZ353" s="52"/>
      <c r="BA353" s="53"/>
      <c r="BC353" s="122">
        <v>46131</v>
      </c>
      <c r="BD353" s="123">
        <v>4817.08</v>
      </c>
      <c r="BE353" s="125"/>
      <c r="BF353" s="128">
        <v>4.54</v>
      </c>
      <c r="BH353" s="240">
        <v>0.62294999999994616</v>
      </c>
      <c r="BI353" s="53"/>
      <c r="BJ353" s="52"/>
      <c r="BK353" s="53">
        <f t="shared" si="227"/>
        <v>5.1629499999999462</v>
      </c>
      <c r="BM353" s="122">
        <v>46131</v>
      </c>
      <c r="BN353" s="123">
        <v>14782.9</v>
      </c>
      <c r="BO353" s="123">
        <v>3465.58</v>
      </c>
      <c r="BP353" s="123">
        <v>6330.97</v>
      </c>
      <c r="BQ353" s="125"/>
      <c r="BR353" s="125"/>
      <c r="BT353" s="240">
        <v>129.81425999999999</v>
      </c>
      <c r="BU353" s="53">
        <v>44.425115925714294</v>
      </c>
      <c r="BV353" s="53"/>
      <c r="BW353" s="53">
        <f t="shared" si="223"/>
        <v>174.23937592571428</v>
      </c>
      <c r="BY353" s="122">
        <v>46131</v>
      </c>
      <c r="BZ353" s="256">
        <v>1796.95</v>
      </c>
      <c r="CA353" s="260">
        <v>677.59</v>
      </c>
      <c r="CB353" s="125"/>
      <c r="CC353" s="126"/>
      <c r="CE353" s="240"/>
      <c r="CF353" s="53">
        <v>2.9991567019048944</v>
      </c>
      <c r="CG353" s="52"/>
      <c r="CH353" s="53">
        <f t="shared" si="228"/>
        <v>2.9991567019048944</v>
      </c>
      <c r="CJ353" s="122">
        <v>46131</v>
      </c>
      <c r="CK353" s="123">
        <v>4883</v>
      </c>
      <c r="CL353" s="123">
        <v>513.57000000000005</v>
      </c>
      <c r="CM353" s="125"/>
      <c r="CN353" s="126">
        <v>15.02</v>
      </c>
      <c r="CP353" s="240">
        <v>-34.989400000000025</v>
      </c>
      <c r="CQ353" s="53"/>
      <c r="CR353" s="52"/>
      <c r="CS353" s="53">
        <f t="shared" si="229"/>
        <v>-19.969400000000025</v>
      </c>
      <c r="CU353" s="122">
        <v>46131</v>
      </c>
      <c r="CV353" s="123">
        <v>12353.45</v>
      </c>
      <c r="CW353" s="269">
        <v>1717.56</v>
      </c>
      <c r="CX353" s="125"/>
      <c r="CY353" s="128">
        <v>205.16</v>
      </c>
      <c r="CZ353" s="27"/>
      <c r="DA353" s="240">
        <v>104.25000000000023</v>
      </c>
      <c r="DB353" s="435">
        <v>134.84800000000001</v>
      </c>
      <c r="DC353" s="53"/>
      <c r="DD353" s="52"/>
      <c r="DE353" s="53">
        <f t="shared" si="230"/>
        <v>444.25800000000021</v>
      </c>
      <c r="DH353" s="122">
        <v>46131</v>
      </c>
      <c r="DI353" s="123">
        <v>5639.32</v>
      </c>
      <c r="DJ353" s="127">
        <v>478.13</v>
      </c>
      <c r="DK353" s="127">
        <v>2113.6999999999998</v>
      </c>
      <c r="DL353" s="127"/>
      <c r="DM353" s="126">
        <v>0</v>
      </c>
      <c r="DO353" s="240"/>
      <c r="DP353" s="53"/>
      <c r="DQ353" s="52"/>
      <c r="DR353" s="53">
        <f t="shared" si="231"/>
        <v>0</v>
      </c>
      <c r="DT353" s="122">
        <v>46131</v>
      </c>
      <c r="DU353" s="123">
        <v>1551.42</v>
      </c>
      <c r="DV353" s="125">
        <v>811.25</v>
      </c>
      <c r="DW353" s="127"/>
      <c r="DX353" s="126">
        <v>2.95</v>
      </c>
      <c r="DZ353" s="240"/>
      <c r="EA353" s="53"/>
      <c r="EB353" s="52"/>
      <c r="EC353" s="53">
        <f t="shared" si="232"/>
        <v>2.95</v>
      </c>
      <c r="EE353" s="122">
        <v>46131</v>
      </c>
      <c r="EF353" s="123">
        <v>568.54</v>
      </c>
      <c r="EG353" s="125">
        <v>483.71</v>
      </c>
      <c r="EH353" s="127"/>
      <c r="EI353" s="126">
        <v>2.91</v>
      </c>
      <c r="EK353" s="240">
        <v>65.668449999999979</v>
      </c>
      <c r="EL353" s="435">
        <v>134.84800000000001</v>
      </c>
      <c r="EM353" s="53"/>
      <c r="EN353" s="52"/>
      <c r="EO353" s="53">
        <f t="shared" si="233"/>
        <v>203.42644999999999</v>
      </c>
      <c r="EQ353" s="122">
        <v>46131</v>
      </c>
      <c r="ER353" s="123">
        <v>7704.22</v>
      </c>
      <c r="ES353" s="400">
        <v>124.06</v>
      </c>
      <c r="ET353" s="127"/>
      <c r="EU353" s="258">
        <v>162.38999999999999</v>
      </c>
      <c r="EW353" s="240"/>
      <c r="EX353" s="53">
        <v>135.89615953333396</v>
      </c>
      <c r="EY353" s="52"/>
      <c r="EZ353" s="53">
        <f t="shared" si="234"/>
        <v>298.28615953333394</v>
      </c>
      <c r="FB353" s="122">
        <v>46131</v>
      </c>
      <c r="FC353" s="123">
        <v>889.46</v>
      </c>
      <c r="FD353" s="123">
        <v>272.33999999999997</v>
      </c>
      <c r="FE353" s="125"/>
      <c r="FF353" s="126"/>
      <c r="FH353" s="51"/>
      <c r="FI353" s="52"/>
      <c r="FJ353" s="52"/>
      <c r="FK353" s="53"/>
    </row>
    <row r="354" spans="2:167" x14ac:dyDescent="0.25">
      <c r="B354" s="122">
        <v>46132</v>
      </c>
      <c r="C354" s="123">
        <v>16004.61</v>
      </c>
      <c r="D354" s="126"/>
      <c r="E354" s="125"/>
      <c r="F354" s="126">
        <v>0</v>
      </c>
      <c r="G354" s="27"/>
      <c r="H354" s="240"/>
      <c r="I354" s="53">
        <v>22.758680000000027</v>
      </c>
      <c r="J354" s="52"/>
      <c r="K354" s="53">
        <f t="shared" si="235"/>
        <v>22.758680000000027</v>
      </c>
      <c r="M354" s="122">
        <v>46132</v>
      </c>
      <c r="N354" s="123">
        <v>5221.74</v>
      </c>
      <c r="O354" s="125"/>
      <c r="P354" s="126">
        <v>191.38</v>
      </c>
      <c r="R354" s="240"/>
      <c r="S354" s="53"/>
      <c r="T354" s="52"/>
      <c r="U354" s="53">
        <f t="shared" si="225"/>
        <v>191.38</v>
      </c>
      <c r="W354" s="122">
        <v>46132</v>
      </c>
      <c r="X354" s="123">
        <v>3438.45</v>
      </c>
      <c r="Y354" s="123">
        <v>211.9</v>
      </c>
      <c r="Z354" s="125"/>
      <c r="AA354" s="273">
        <v>18.100000000000001</v>
      </c>
      <c r="AC354" s="240">
        <v>57.281899999999865</v>
      </c>
      <c r="AD354" s="53">
        <v>2.4282335342857095</v>
      </c>
      <c r="AE354" s="52"/>
      <c r="AF354" s="53">
        <f t="shared" si="226"/>
        <v>77.810133534285569</v>
      </c>
      <c r="AI354" s="122">
        <v>46132</v>
      </c>
      <c r="AJ354" s="123">
        <v>3110.08</v>
      </c>
      <c r="AK354" s="125"/>
      <c r="AL354" s="126"/>
      <c r="AN354" s="51"/>
      <c r="AO354" s="52"/>
      <c r="AP354" s="52"/>
      <c r="AQ354" s="53"/>
      <c r="AS354" s="122">
        <v>46132</v>
      </c>
      <c r="AT354" s="123">
        <v>4990.5</v>
      </c>
      <c r="AU354" s="125"/>
      <c r="AV354" s="128"/>
      <c r="AX354" s="51"/>
      <c r="AY354" s="52"/>
      <c r="AZ354" s="52"/>
      <c r="BA354" s="53"/>
      <c r="BC354" s="122">
        <v>46132</v>
      </c>
      <c r="BD354" s="123">
        <v>5533.69</v>
      </c>
      <c r="BE354" s="125"/>
      <c r="BF354" s="128">
        <v>6.28</v>
      </c>
      <c r="BH354" s="240"/>
      <c r="BI354" s="53"/>
      <c r="BJ354" s="52"/>
      <c r="BK354" s="53">
        <f t="shared" si="227"/>
        <v>6.28</v>
      </c>
      <c r="BM354" s="122">
        <v>46132</v>
      </c>
      <c r="BN354" s="123">
        <v>20507.97</v>
      </c>
      <c r="BO354" s="123">
        <v>3747.01</v>
      </c>
      <c r="BP354" s="123">
        <v>3714.1</v>
      </c>
      <c r="BQ354" s="125"/>
      <c r="BR354" s="125"/>
      <c r="BT354" s="240">
        <v>227.3188899999999</v>
      </c>
      <c r="BU354" s="53">
        <v>94.214885714285742</v>
      </c>
      <c r="BV354" s="53">
        <v>84.42073330000008</v>
      </c>
      <c r="BW354" s="53">
        <f t="shared" si="223"/>
        <v>405.95450901428569</v>
      </c>
      <c r="BY354" s="122">
        <v>46132</v>
      </c>
      <c r="BZ354" s="256">
        <v>730</v>
      </c>
      <c r="CA354" s="260">
        <v>376.32</v>
      </c>
      <c r="CB354" s="125"/>
      <c r="CC354" s="126"/>
      <c r="CE354" s="240"/>
      <c r="CF354" s="53"/>
      <c r="CG354" s="52"/>
      <c r="CH354" s="53">
        <f t="shared" si="228"/>
        <v>0</v>
      </c>
      <c r="CJ354" s="122">
        <v>46132</v>
      </c>
      <c r="CK354" s="123">
        <v>12941.25</v>
      </c>
      <c r="CL354" s="123">
        <v>770</v>
      </c>
      <c r="CM354" s="125"/>
      <c r="CN354" s="126">
        <v>67.12</v>
      </c>
      <c r="CP354" s="240">
        <v>-138.31168000000036</v>
      </c>
      <c r="CQ354" s="53"/>
      <c r="CR354" s="52"/>
      <c r="CS354" s="53">
        <f t="shared" si="229"/>
        <v>-71.19168000000036</v>
      </c>
      <c r="CU354" s="122">
        <v>46132</v>
      </c>
      <c r="CV354" s="123">
        <v>20446.93</v>
      </c>
      <c r="CW354" s="269">
        <v>2680.18</v>
      </c>
      <c r="CX354" s="125"/>
      <c r="CY354" s="128">
        <v>148.33000000000001</v>
      </c>
      <c r="CZ354" s="27"/>
      <c r="DA354" s="240"/>
      <c r="DB354" s="435">
        <v>134.84800000000001</v>
      </c>
      <c r="DC354" s="53"/>
      <c r="DD354" s="52"/>
      <c r="DE354" s="53">
        <f t="shared" si="230"/>
        <v>283.178</v>
      </c>
      <c r="DH354" s="122">
        <v>46132</v>
      </c>
      <c r="DI354" s="123">
        <v>4919.51</v>
      </c>
      <c r="DJ354" s="127">
        <v>961.52</v>
      </c>
      <c r="DK354" s="127">
        <v>2420.83</v>
      </c>
      <c r="DL354" s="127"/>
      <c r="DM354" s="126">
        <v>4</v>
      </c>
      <c r="DO354" s="240"/>
      <c r="DP354" s="53"/>
      <c r="DQ354" s="52"/>
      <c r="DR354" s="53">
        <f t="shared" si="231"/>
        <v>4</v>
      </c>
      <c r="DT354" s="122">
        <v>46132</v>
      </c>
      <c r="DU354" s="123">
        <v>2280.92</v>
      </c>
      <c r="DV354" s="125">
        <v>1284.6099999999999</v>
      </c>
      <c r="DW354" s="127"/>
      <c r="DX354" s="126">
        <v>44.64</v>
      </c>
      <c r="DZ354" s="240"/>
      <c r="EA354" s="53"/>
      <c r="EB354" s="52"/>
      <c r="EC354" s="53">
        <f t="shared" si="232"/>
        <v>44.64</v>
      </c>
      <c r="EE354" s="122">
        <v>46132</v>
      </c>
      <c r="EF354" s="123">
        <v>1001.18</v>
      </c>
      <c r="EG354" s="125">
        <v>420.85</v>
      </c>
      <c r="EH354" s="127"/>
      <c r="EI354" s="126">
        <v>6.61</v>
      </c>
      <c r="EK354" s="240">
        <v>255.06559999999968</v>
      </c>
      <c r="EL354" s="435">
        <v>134.84800000000001</v>
      </c>
      <c r="EM354" s="53"/>
      <c r="EN354" s="52"/>
      <c r="EO354" s="53">
        <f t="shared" si="233"/>
        <v>396.5235999999997</v>
      </c>
      <c r="EQ354" s="122">
        <v>46132</v>
      </c>
      <c r="ER354" s="123">
        <v>11403.13</v>
      </c>
      <c r="ES354" s="400">
        <v>173.25</v>
      </c>
      <c r="ET354" s="127"/>
      <c r="EU354" s="258">
        <v>409.5</v>
      </c>
      <c r="EW354" s="240">
        <v>20.693759999999997</v>
      </c>
      <c r="EX354" s="53">
        <v>105.0026988523814</v>
      </c>
      <c r="EY354" s="52"/>
      <c r="EZ354" s="53">
        <f t="shared" si="234"/>
        <v>535.1964588523814</v>
      </c>
      <c r="FB354" s="122">
        <v>46132</v>
      </c>
      <c r="FC354" s="123">
        <v>1042.56</v>
      </c>
      <c r="FD354" s="123">
        <v>88.88</v>
      </c>
      <c r="FE354" s="125"/>
      <c r="FF354" s="126"/>
      <c r="FH354" s="51"/>
      <c r="FI354" s="52"/>
      <c r="FJ354" s="52"/>
      <c r="FK354" s="53"/>
    </row>
    <row r="355" spans="2:167" x14ac:dyDescent="0.25">
      <c r="B355" s="122">
        <v>46133</v>
      </c>
      <c r="C355" s="123">
        <v>14473.4</v>
      </c>
      <c r="D355" s="126"/>
      <c r="E355" s="125"/>
      <c r="F355" s="126">
        <v>0</v>
      </c>
      <c r="G355" s="27"/>
      <c r="H355" s="240"/>
      <c r="I355" s="53"/>
      <c r="J355" s="52"/>
      <c r="K355" s="53">
        <f t="shared" si="235"/>
        <v>0</v>
      </c>
      <c r="M355" s="122">
        <v>46133</v>
      </c>
      <c r="N355" s="123">
        <v>4837.79</v>
      </c>
      <c r="O355" s="125"/>
      <c r="P355" s="126">
        <v>40.9</v>
      </c>
      <c r="R355" s="240">
        <v>5.2404000000000082</v>
      </c>
      <c r="S355" s="53"/>
      <c r="T355" s="52"/>
      <c r="U355" s="53">
        <f t="shared" si="225"/>
        <v>46.140400000000007</v>
      </c>
      <c r="W355" s="122">
        <v>46133</v>
      </c>
      <c r="X355" s="123">
        <v>1391.43</v>
      </c>
      <c r="Y355" s="123">
        <v>189.04</v>
      </c>
      <c r="Z355" s="125"/>
      <c r="AA355" s="273">
        <v>2.37</v>
      </c>
      <c r="AC355" s="240">
        <v>32.871519999999705</v>
      </c>
      <c r="AD355" s="53"/>
      <c r="AE355" s="52"/>
      <c r="AF355" s="53">
        <f t="shared" si="226"/>
        <v>35.241519999999703</v>
      </c>
      <c r="AI355" s="122">
        <v>46133</v>
      </c>
      <c r="AJ355" s="123">
        <v>2244.77</v>
      </c>
      <c r="AK355" s="125"/>
      <c r="AL355" s="126"/>
      <c r="AN355" s="51"/>
      <c r="AO355" s="52"/>
      <c r="AP355" s="52"/>
      <c r="AQ355" s="53"/>
      <c r="AS355" s="122">
        <v>46133</v>
      </c>
      <c r="AT355" s="123">
        <v>4745.9399999999996</v>
      </c>
      <c r="AU355" s="125"/>
      <c r="AV355" s="128"/>
      <c r="AX355" s="51"/>
      <c r="AY355" s="52"/>
      <c r="AZ355" s="52"/>
      <c r="BA355" s="53"/>
      <c r="BC355" s="122">
        <v>46133</v>
      </c>
      <c r="BD355" s="123">
        <v>3470.14</v>
      </c>
      <c r="BE355" s="125"/>
      <c r="BF355" s="128">
        <v>5.56</v>
      </c>
      <c r="BH355" s="240"/>
      <c r="BI355" s="53"/>
      <c r="BJ355" s="52"/>
      <c r="BK355" s="53">
        <f t="shared" si="227"/>
        <v>5.56</v>
      </c>
      <c r="BM355" s="122">
        <v>46133</v>
      </c>
      <c r="BN355" s="123">
        <v>21358.26</v>
      </c>
      <c r="BO355" s="123">
        <v>4911.03</v>
      </c>
      <c r="BP355" s="123">
        <v>0</v>
      </c>
      <c r="BQ355" s="125"/>
      <c r="BR355" s="125"/>
      <c r="BT355" s="240">
        <v>227.24994999999993</v>
      </c>
      <c r="BU355" s="53">
        <v>756.12855999999965</v>
      </c>
      <c r="BV355" s="53"/>
      <c r="BW355" s="53">
        <f t="shared" si="223"/>
        <v>983.37850999999955</v>
      </c>
      <c r="BY355" s="122">
        <v>46133</v>
      </c>
      <c r="BZ355" s="256">
        <v>1479.95</v>
      </c>
      <c r="CA355" s="257">
        <v>653.80999999999995</v>
      </c>
      <c r="CB355" s="125"/>
      <c r="CC355" s="126"/>
      <c r="CE355" s="240">
        <v>-8.2156800000000771</v>
      </c>
      <c r="CF355" s="53"/>
      <c r="CG355" s="52"/>
      <c r="CH355" s="53">
        <f t="shared" si="228"/>
        <v>-8.2156800000000771</v>
      </c>
      <c r="CJ355" s="122">
        <v>46133</v>
      </c>
      <c r="CK355" s="123">
        <v>9109.11</v>
      </c>
      <c r="CL355" s="123">
        <v>474.74</v>
      </c>
      <c r="CM355" s="125"/>
      <c r="CN355" s="126">
        <v>20.37</v>
      </c>
      <c r="CP355" s="240">
        <v>-23.774810000000109</v>
      </c>
      <c r="CQ355" s="53"/>
      <c r="CR355" s="52"/>
      <c r="CS355" s="53">
        <f t="shared" si="229"/>
        <v>-3.4048100000001078</v>
      </c>
      <c r="CU355" s="122">
        <v>46133</v>
      </c>
      <c r="CV355" s="123">
        <v>19032.72</v>
      </c>
      <c r="CW355" s="269">
        <v>2753.56</v>
      </c>
      <c r="CX355" s="125"/>
      <c r="CY355" s="128">
        <v>91.05</v>
      </c>
      <c r="CZ355" s="27"/>
      <c r="DA355" s="240">
        <v>49.499999999999886</v>
      </c>
      <c r="DB355" s="435">
        <v>134.84800000000001</v>
      </c>
      <c r="DC355" s="53"/>
      <c r="DD355" s="52"/>
      <c r="DE355" s="53">
        <f t="shared" si="230"/>
        <v>275.39799999999991</v>
      </c>
      <c r="DH355" s="122">
        <v>46133</v>
      </c>
      <c r="DI355" s="123">
        <v>1453.59</v>
      </c>
      <c r="DJ355" s="127">
        <v>590.91</v>
      </c>
      <c r="DK355" s="127">
        <v>2632.68</v>
      </c>
      <c r="DL355" s="127"/>
      <c r="DM355" s="126">
        <v>0</v>
      </c>
      <c r="DO355" s="240">
        <v>16.750669999999957</v>
      </c>
      <c r="DP355" s="53"/>
      <c r="DQ355" s="52"/>
      <c r="DR355" s="53">
        <f t="shared" si="231"/>
        <v>16.750669999999957</v>
      </c>
      <c r="DT355" s="122">
        <v>46133</v>
      </c>
      <c r="DU355" s="123">
        <v>4615.18</v>
      </c>
      <c r="DV355" s="125">
        <v>963.93</v>
      </c>
      <c r="DW355" s="127"/>
      <c r="DX355" s="126">
        <v>34.619999999999997</v>
      </c>
      <c r="DZ355" s="240"/>
      <c r="EA355" s="53"/>
      <c r="EB355" s="52"/>
      <c r="EC355" s="53">
        <f t="shared" si="232"/>
        <v>34.619999999999997</v>
      </c>
      <c r="EE355" s="122">
        <v>46133</v>
      </c>
      <c r="EF355" s="123">
        <v>112</v>
      </c>
      <c r="EG355" s="125">
        <v>713.14</v>
      </c>
      <c r="EH355" s="127"/>
      <c r="EI355" s="126">
        <v>1.26</v>
      </c>
      <c r="EK355" s="240">
        <v>230.32569999999973</v>
      </c>
      <c r="EL355" s="435">
        <v>134.84800000000001</v>
      </c>
      <c r="EM355" s="53">
        <v>138.17606791999992</v>
      </c>
      <c r="EN355" s="52"/>
      <c r="EO355" s="53">
        <f t="shared" si="233"/>
        <v>504.60976791999963</v>
      </c>
      <c r="EQ355" s="122">
        <v>46133</v>
      </c>
      <c r="ER355" s="123">
        <v>6632.5</v>
      </c>
      <c r="ES355" s="400">
        <v>165.29</v>
      </c>
      <c r="ET355" s="127"/>
      <c r="EU355" s="258">
        <v>599.46</v>
      </c>
      <c r="EW355" s="240"/>
      <c r="EX355" s="53">
        <v>327.92672540000052</v>
      </c>
      <c r="EY355" s="52"/>
      <c r="EZ355" s="53">
        <f t="shared" si="234"/>
        <v>927.38672540000061</v>
      </c>
      <c r="FB355" s="122">
        <v>46133</v>
      </c>
      <c r="FC355" s="123">
        <v>1125.1199999999999</v>
      </c>
      <c r="FD355" s="126">
        <v>72</v>
      </c>
      <c r="FE355" s="125"/>
      <c r="FF355" s="126"/>
      <c r="FH355" s="51"/>
      <c r="FI355" s="52"/>
      <c r="FJ355" s="52"/>
      <c r="FK355" s="53"/>
    </row>
    <row r="356" spans="2:167" x14ac:dyDescent="0.25">
      <c r="B356" s="122">
        <v>46134</v>
      </c>
      <c r="C356" s="123">
        <v>14942.9</v>
      </c>
      <c r="D356" s="125"/>
      <c r="E356" s="125"/>
      <c r="F356" s="123">
        <v>0</v>
      </c>
      <c r="G356" s="27"/>
      <c r="H356" s="240">
        <v>57.794840000000008</v>
      </c>
      <c r="I356" s="53">
        <v>27.121895600000016</v>
      </c>
      <c r="J356" s="52"/>
      <c r="K356" s="53">
        <f t="shared" si="235"/>
        <v>84.916735600000024</v>
      </c>
      <c r="M356" s="122">
        <v>46134</v>
      </c>
      <c r="N356" s="123">
        <v>5240.17</v>
      </c>
      <c r="O356" s="125"/>
      <c r="P356" s="126">
        <v>65.040000000000006</v>
      </c>
      <c r="R356" s="240">
        <v>30.580000000000041</v>
      </c>
      <c r="S356" s="53"/>
      <c r="T356" s="52"/>
      <c r="U356" s="53">
        <f t="shared" si="225"/>
        <v>95.620000000000047</v>
      </c>
      <c r="W356" s="122">
        <v>46134</v>
      </c>
      <c r="X356" s="123">
        <v>2184.35</v>
      </c>
      <c r="Y356" s="123">
        <v>402.73</v>
      </c>
      <c r="Z356" s="125"/>
      <c r="AA356" s="273">
        <v>13.45</v>
      </c>
      <c r="AC356" s="240">
        <v>95.729549999999904</v>
      </c>
      <c r="AD356" s="53">
        <v>45.64708343999996</v>
      </c>
      <c r="AE356" s="52"/>
      <c r="AF356" s="53">
        <f t="shared" si="226"/>
        <v>154.82663343999985</v>
      </c>
      <c r="AI356" s="122">
        <v>46134</v>
      </c>
      <c r="AJ356" s="123">
        <v>2567.08</v>
      </c>
      <c r="AK356" s="125"/>
      <c r="AL356" s="126"/>
      <c r="AN356" s="51"/>
      <c r="AO356" s="52"/>
      <c r="AP356" s="52"/>
      <c r="AQ356" s="53"/>
      <c r="AS356" s="122">
        <v>46134</v>
      </c>
      <c r="AT356" s="123">
        <v>3892</v>
      </c>
      <c r="AU356" s="125"/>
      <c r="AV356" s="128"/>
      <c r="AX356" s="51"/>
      <c r="AY356" s="52"/>
      <c r="AZ356" s="52"/>
      <c r="BA356" s="53"/>
      <c r="BC356" s="122">
        <v>46134</v>
      </c>
      <c r="BD356" s="123">
        <v>4942.54</v>
      </c>
      <c r="BE356" s="125"/>
      <c r="BF356" s="128">
        <v>0</v>
      </c>
      <c r="BH356" s="240">
        <v>28.322119999999984</v>
      </c>
      <c r="BI356" s="53"/>
      <c r="BJ356" s="52"/>
      <c r="BK356" s="53">
        <f t="shared" si="227"/>
        <v>28.322119999999984</v>
      </c>
      <c r="BM356" s="122">
        <v>46134</v>
      </c>
      <c r="BN356" s="123">
        <v>22552.04</v>
      </c>
      <c r="BO356" s="123">
        <v>5131.21</v>
      </c>
      <c r="BP356" s="123">
        <v>3738.39</v>
      </c>
      <c r="BQ356" s="125"/>
      <c r="BR356" s="125"/>
      <c r="BT356" s="240">
        <v>138.18797000000001</v>
      </c>
      <c r="BU356" s="53"/>
      <c r="BV356" s="53"/>
      <c r="BW356" s="53">
        <f t="shared" si="223"/>
        <v>138.18797000000001</v>
      </c>
      <c r="BY356" s="122">
        <v>46134</v>
      </c>
      <c r="BZ356" s="256">
        <v>805.73</v>
      </c>
      <c r="CA356" s="257">
        <v>473.87</v>
      </c>
      <c r="CB356" s="125"/>
      <c r="CC356" s="126"/>
      <c r="CE356" s="240">
        <v>19.967949999999973</v>
      </c>
      <c r="CF356" s="53"/>
      <c r="CG356" s="52"/>
      <c r="CH356" s="53">
        <f t="shared" si="228"/>
        <v>19.967949999999973</v>
      </c>
      <c r="CJ356" s="122">
        <v>46134</v>
      </c>
      <c r="CK356" s="123">
        <v>10437.950000000001</v>
      </c>
      <c r="CL356" s="123">
        <v>837.44</v>
      </c>
      <c r="CM356" s="125"/>
      <c r="CN356" s="126">
        <v>28.09</v>
      </c>
      <c r="CP356" s="240">
        <v>60.844359999999881</v>
      </c>
      <c r="CQ356" s="53"/>
      <c r="CR356" s="52"/>
      <c r="CS356" s="53">
        <f t="shared" si="229"/>
        <v>88.934359999999884</v>
      </c>
      <c r="CU356" s="122">
        <v>46134</v>
      </c>
      <c r="CV356" s="123">
        <v>16179.68</v>
      </c>
      <c r="CW356" s="269">
        <v>2432.4499999999998</v>
      </c>
      <c r="CX356" s="125"/>
      <c r="CY356" s="126">
        <v>141.28</v>
      </c>
      <c r="CZ356" s="27"/>
      <c r="DA356" s="240">
        <v>316.2399999999999</v>
      </c>
      <c r="DB356" s="435">
        <v>134.84800000000001</v>
      </c>
      <c r="DC356" s="53"/>
      <c r="DD356" s="52"/>
      <c r="DE356" s="53">
        <f t="shared" si="230"/>
        <v>592.36799999999994</v>
      </c>
      <c r="DH356" s="122">
        <v>46134</v>
      </c>
      <c r="DI356" s="123">
        <v>3050.59</v>
      </c>
      <c r="DJ356" s="127">
        <v>452.8</v>
      </c>
      <c r="DK356" s="127">
        <v>2698.11</v>
      </c>
      <c r="DL356" s="127"/>
      <c r="DM356" s="126">
        <v>0</v>
      </c>
      <c r="DO356" s="240"/>
      <c r="DP356" s="53"/>
      <c r="DQ356" s="52"/>
      <c r="DR356" s="53">
        <f t="shared" si="231"/>
        <v>0</v>
      </c>
      <c r="DT356" s="122">
        <v>46134</v>
      </c>
      <c r="DU356" s="123">
        <v>2716.72</v>
      </c>
      <c r="DV356" s="125">
        <v>1063.3499999999999</v>
      </c>
      <c r="DW356" s="127"/>
      <c r="DX356" s="126">
        <v>16.5</v>
      </c>
      <c r="DZ356" s="240"/>
      <c r="EA356" s="53"/>
      <c r="EB356" s="52"/>
      <c r="EC356" s="53">
        <f t="shared" si="232"/>
        <v>16.5</v>
      </c>
      <c r="EE356" s="122">
        <v>46134</v>
      </c>
      <c r="EF356" s="123">
        <v>40</v>
      </c>
      <c r="EG356" s="125">
        <v>649.79</v>
      </c>
      <c r="EH356" s="127"/>
      <c r="EI356" s="126">
        <v>5.15</v>
      </c>
      <c r="EK356" s="240">
        <v>293.42367999999976</v>
      </c>
      <c r="EL356" s="435">
        <v>134.84800000000001</v>
      </c>
      <c r="EM356" s="53"/>
      <c r="EN356" s="52"/>
      <c r="EO356" s="53">
        <f t="shared" si="233"/>
        <v>433.42167999999975</v>
      </c>
      <c r="EQ356" s="122">
        <v>46134</v>
      </c>
      <c r="ER356" s="123">
        <v>6068.46</v>
      </c>
      <c r="ES356" s="400">
        <v>178.85</v>
      </c>
      <c r="ET356" s="127"/>
      <c r="EU356" s="258">
        <v>789.2</v>
      </c>
      <c r="EW356" s="240">
        <v>247.75928000000022</v>
      </c>
      <c r="EX356" s="53">
        <v>23.806010159999971</v>
      </c>
      <c r="EY356" s="52"/>
      <c r="EZ356" s="53">
        <f t="shared" si="234"/>
        <v>1060.7652901600002</v>
      </c>
      <c r="FB356" s="122">
        <v>46134</v>
      </c>
      <c r="FC356" s="123">
        <v>2175.7199999999998</v>
      </c>
      <c r="FD356" s="123">
        <v>187.14</v>
      </c>
      <c r="FE356" s="125"/>
      <c r="FF356" s="126"/>
      <c r="FH356" s="51"/>
      <c r="FI356" s="52"/>
      <c r="FJ356" s="52"/>
      <c r="FK356" s="53"/>
    </row>
    <row r="357" spans="2:167" x14ac:dyDescent="0.25">
      <c r="B357" s="122">
        <v>46135</v>
      </c>
      <c r="C357" s="123">
        <v>13873.26</v>
      </c>
      <c r="D357" s="125"/>
      <c r="E357" s="125"/>
      <c r="F357" s="123">
        <v>24.1</v>
      </c>
      <c r="G357" s="27"/>
      <c r="H357" s="240">
        <v>27.172909999999973</v>
      </c>
      <c r="I357" s="53">
        <v>14.756200000000007</v>
      </c>
      <c r="J357" s="52"/>
      <c r="K357" s="53">
        <f t="shared" si="235"/>
        <v>66.029109999999974</v>
      </c>
      <c r="M357" s="122">
        <v>46135</v>
      </c>
      <c r="N357" s="123">
        <v>4459.0200000000004</v>
      </c>
      <c r="O357" s="125"/>
      <c r="P357" s="126">
        <v>226.09</v>
      </c>
      <c r="R357" s="240"/>
      <c r="S357" s="53"/>
      <c r="T357" s="52"/>
      <c r="U357" s="53">
        <f t="shared" si="225"/>
        <v>226.09</v>
      </c>
      <c r="W357" s="122">
        <v>46135</v>
      </c>
      <c r="X357" s="123">
        <v>2944.95</v>
      </c>
      <c r="Y357" s="123">
        <v>171.41</v>
      </c>
      <c r="Z357" s="125"/>
      <c r="AA357" s="273">
        <v>1.36</v>
      </c>
      <c r="AC357" s="240">
        <v>128.07116999999982</v>
      </c>
      <c r="AD357" s="53">
        <v>13.624891840000004</v>
      </c>
      <c r="AE357" s="52"/>
      <c r="AF357" s="53">
        <f t="shared" si="226"/>
        <v>143.05606183999984</v>
      </c>
      <c r="AI357" s="122">
        <v>46135</v>
      </c>
      <c r="AJ357" s="123">
        <v>1871.9</v>
      </c>
      <c r="AK357" s="125"/>
      <c r="AL357" s="126"/>
      <c r="AN357" s="51"/>
      <c r="AO357" s="52"/>
      <c r="AP357" s="52"/>
      <c r="AQ357" s="53"/>
      <c r="AS357" s="122">
        <v>46135</v>
      </c>
      <c r="AT357" s="123">
        <v>3734.95</v>
      </c>
      <c r="AU357" s="125"/>
      <c r="AV357" s="128"/>
      <c r="AX357" s="51"/>
      <c r="AY357" s="52"/>
      <c r="AZ357" s="52"/>
      <c r="BA357" s="53"/>
      <c r="BC357" s="122">
        <v>46135</v>
      </c>
      <c r="BD357" s="123">
        <v>4921.05</v>
      </c>
      <c r="BE357" s="125"/>
      <c r="BF357" s="128">
        <v>0</v>
      </c>
      <c r="BH357" s="240">
        <v>20.339210000000001</v>
      </c>
      <c r="BI357" s="53"/>
      <c r="BJ357" s="52"/>
      <c r="BK357" s="53">
        <f t="shared" si="227"/>
        <v>20.339210000000001</v>
      </c>
      <c r="BM357" s="122">
        <v>46135</v>
      </c>
      <c r="BN357" s="123">
        <v>20927.53</v>
      </c>
      <c r="BO357" s="123">
        <v>4722.32</v>
      </c>
      <c r="BP357" s="123">
        <v>10437.57</v>
      </c>
      <c r="BQ357" s="125"/>
      <c r="BR357" s="125"/>
      <c r="BT357" s="240">
        <v>251.15183999999994</v>
      </c>
      <c r="BU357" s="53">
        <v>9.5493349440000088</v>
      </c>
      <c r="BV357" s="53">
        <v>19.566260499999999</v>
      </c>
      <c r="BW357" s="53">
        <f t="shared" si="223"/>
        <v>280.26743544399994</v>
      </c>
      <c r="BY357" s="122">
        <v>46135</v>
      </c>
      <c r="BZ357" s="256">
        <v>399.48</v>
      </c>
      <c r="CA357" s="260">
        <v>364</v>
      </c>
      <c r="CB357" s="125"/>
      <c r="CC357" s="126"/>
      <c r="CE357" s="240">
        <v>28.033829999999966</v>
      </c>
      <c r="CF357" s="53">
        <v>48.671280000000024</v>
      </c>
      <c r="CG357" s="53">
        <v>23.562068799999992</v>
      </c>
      <c r="CH357" s="53">
        <f t="shared" si="228"/>
        <v>100.26717879999998</v>
      </c>
      <c r="CJ357" s="122">
        <v>46135</v>
      </c>
      <c r="CK357" s="123">
        <v>11642.75</v>
      </c>
      <c r="CL357" s="123">
        <v>659.31</v>
      </c>
      <c r="CM357" s="125"/>
      <c r="CN357" s="126">
        <v>18.899999999999999</v>
      </c>
      <c r="CP357" s="240">
        <v>48.101519999999994</v>
      </c>
      <c r="CQ357" s="53"/>
      <c r="CR357" s="52"/>
      <c r="CS357" s="53">
        <f t="shared" si="229"/>
        <v>67.001519999999999</v>
      </c>
      <c r="CU357" s="122">
        <v>46135</v>
      </c>
      <c r="CV357" s="123">
        <v>12182.96</v>
      </c>
      <c r="CW357" s="269">
        <v>2792.56</v>
      </c>
      <c r="CX357" s="125"/>
      <c r="CY357" s="126">
        <v>230.46</v>
      </c>
      <c r="CZ357" s="27"/>
      <c r="DA357" s="240">
        <v>590.9000000000002</v>
      </c>
      <c r="DB357" s="435">
        <v>134.84800000000001</v>
      </c>
      <c r="DC357" s="53"/>
      <c r="DD357" s="52"/>
      <c r="DE357" s="53">
        <f t="shared" si="230"/>
        <v>956.20800000000031</v>
      </c>
      <c r="DH357" s="122">
        <v>46135</v>
      </c>
      <c r="DI357" s="123">
        <v>6104.95</v>
      </c>
      <c r="DJ357" s="127">
        <v>1023.31</v>
      </c>
      <c r="DK357" s="127">
        <v>1980.77</v>
      </c>
      <c r="DL357" s="127"/>
      <c r="DM357" s="126">
        <v>0</v>
      </c>
      <c r="DO357" s="240"/>
      <c r="DP357" s="53"/>
      <c r="DQ357" s="52"/>
      <c r="DR357" s="53">
        <f t="shared" si="231"/>
        <v>0</v>
      </c>
      <c r="DT357" s="122">
        <v>46135</v>
      </c>
      <c r="DU357" s="123">
        <v>2466.4499999999998</v>
      </c>
      <c r="DV357" s="125">
        <v>870.69</v>
      </c>
      <c r="DW357" s="127"/>
      <c r="DX357" s="126">
        <v>21.87</v>
      </c>
      <c r="DZ357" s="240"/>
      <c r="EA357" s="53"/>
      <c r="EB357" s="52"/>
      <c r="EC357" s="53">
        <f t="shared" si="232"/>
        <v>21.87</v>
      </c>
      <c r="EE357" s="122">
        <v>46135</v>
      </c>
      <c r="EF357" s="123">
        <v>1101.24</v>
      </c>
      <c r="EG357" s="125">
        <v>629.11</v>
      </c>
      <c r="EH357" s="127"/>
      <c r="EI357" s="126">
        <v>3.77</v>
      </c>
      <c r="EK357" s="240">
        <v>417.78886999999963</v>
      </c>
      <c r="EL357" s="435">
        <v>134.84800000000001</v>
      </c>
      <c r="EM357" s="53">
        <v>46.82885423999997</v>
      </c>
      <c r="EN357" s="52"/>
      <c r="EO357" s="53">
        <f t="shared" si="233"/>
        <v>603.23572423999951</v>
      </c>
      <c r="EQ357" s="122">
        <v>46135</v>
      </c>
      <c r="ER357" s="123">
        <v>5629.24</v>
      </c>
      <c r="ES357" s="400">
        <v>313.47000000000003</v>
      </c>
      <c r="ET357" s="127"/>
      <c r="EU357" s="258">
        <v>319.92</v>
      </c>
      <c r="EW357" s="240">
        <v>27.216419999999971</v>
      </c>
      <c r="EX357" s="53"/>
      <c r="EY357" s="52"/>
      <c r="EZ357" s="53">
        <f t="shared" si="234"/>
        <v>347.13641999999999</v>
      </c>
      <c r="FB357" s="122">
        <v>46135</v>
      </c>
      <c r="FC357" s="123">
        <v>871.67</v>
      </c>
      <c r="FD357" s="123">
        <v>232.75</v>
      </c>
      <c r="FE357" s="125"/>
      <c r="FF357" s="126"/>
      <c r="FH357" s="51"/>
      <c r="FI357" s="52"/>
      <c r="FJ357" s="52"/>
      <c r="FK357" s="53"/>
    </row>
    <row r="358" spans="2:167" x14ac:dyDescent="0.25">
      <c r="B358" s="122">
        <v>46136</v>
      </c>
      <c r="C358" s="123">
        <v>15566.3</v>
      </c>
      <c r="D358" s="125"/>
      <c r="E358" s="125"/>
      <c r="F358" s="123">
        <v>0</v>
      </c>
      <c r="G358" s="27"/>
      <c r="H358" s="240">
        <v>45.629920000000027</v>
      </c>
      <c r="I358" s="53">
        <v>92.680740960000037</v>
      </c>
      <c r="J358" s="52"/>
      <c r="K358" s="53">
        <f t="shared" si="235"/>
        <v>138.31066096000006</v>
      </c>
      <c r="M358" s="122">
        <v>46136</v>
      </c>
      <c r="N358" s="123">
        <v>6601.63</v>
      </c>
      <c r="O358" s="125"/>
      <c r="P358" s="126">
        <v>156.30000000000001</v>
      </c>
      <c r="R358" s="240">
        <v>32.059080000000051</v>
      </c>
      <c r="S358" s="53"/>
      <c r="T358" s="52"/>
      <c r="U358" s="53">
        <f t="shared" si="225"/>
        <v>188.35908000000006</v>
      </c>
      <c r="W358" s="122">
        <v>46136</v>
      </c>
      <c r="X358" s="123">
        <v>3708.71</v>
      </c>
      <c r="Y358" s="123">
        <v>369.88</v>
      </c>
      <c r="Z358" s="125"/>
      <c r="AA358" s="273">
        <v>18.36</v>
      </c>
      <c r="AC358" s="240">
        <v>91.068389999999852</v>
      </c>
      <c r="AD358" s="53"/>
      <c r="AE358" s="52"/>
      <c r="AF358" s="53">
        <f t="shared" si="226"/>
        <v>109.42838999999985</v>
      </c>
      <c r="AI358" s="122">
        <v>46136</v>
      </c>
      <c r="AJ358" s="123">
        <v>3139.88</v>
      </c>
      <c r="AK358" s="125"/>
      <c r="AL358" s="126"/>
      <c r="AN358" s="51"/>
      <c r="AO358" s="52"/>
      <c r="AP358" s="52"/>
      <c r="AQ358" s="53"/>
      <c r="AS358" s="122">
        <v>46136</v>
      </c>
      <c r="AT358" s="123">
        <v>4134.49</v>
      </c>
      <c r="AU358" s="125"/>
      <c r="AV358" s="128"/>
      <c r="AX358" s="51"/>
      <c r="AY358" s="52"/>
      <c r="AZ358" s="52"/>
      <c r="BA358" s="53"/>
      <c r="BC358" s="122">
        <v>46136</v>
      </c>
      <c r="BD358" s="123">
        <v>2496.96</v>
      </c>
      <c r="BE358" s="125"/>
      <c r="BF358" s="128">
        <v>0</v>
      </c>
      <c r="BH358" s="240"/>
      <c r="BI358" s="53"/>
      <c r="BJ358" s="52"/>
      <c r="BK358" s="53">
        <f t="shared" si="227"/>
        <v>0</v>
      </c>
      <c r="BM358" s="122">
        <v>46136</v>
      </c>
      <c r="BN358" s="123">
        <v>18613.96</v>
      </c>
      <c r="BO358" s="123">
        <v>6312.91</v>
      </c>
      <c r="BP358" s="123">
        <v>10738.96</v>
      </c>
      <c r="BQ358" s="125"/>
      <c r="BR358" s="125"/>
      <c r="BT358" s="240">
        <v>144.62155000000001</v>
      </c>
      <c r="BU358" s="53">
        <v>258.1902399999999</v>
      </c>
      <c r="BV358" s="53"/>
      <c r="BW358" s="53">
        <f t="shared" si="223"/>
        <v>402.81178999999992</v>
      </c>
      <c r="BY358" s="122">
        <v>46136</v>
      </c>
      <c r="BZ358" s="256">
        <v>571.16</v>
      </c>
      <c r="CA358" s="257">
        <v>707.19</v>
      </c>
      <c r="CB358" s="125"/>
      <c r="CC358" s="126"/>
      <c r="CE358" s="240"/>
      <c r="CF358" s="53"/>
      <c r="CG358" s="53"/>
      <c r="CH358" s="53">
        <f t="shared" si="228"/>
        <v>0</v>
      </c>
      <c r="CJ358" s="122">
        <v>46136</v>
      </c>
      <c r="CK358" s="123">
        <v>13232.13</v>
      </c>
      <c r="CL358" s="123">
        <v>910.53</v>
      </c>
      <c r="CM358" s="125"/>
      <c r="CN358" s="126">
        <v>8.75</v>
      </c>
      <c r="CP358" s="240">
        <v>51.408459999999891</v>
      </c>
      <c r="CQ358" s="53"/>
      <c r="CR358" s="52"/>
      <c r="CS358" s="53">
        <f t="shared" si="229"/>
        <v>60.158459999999891</v>
      </c>
      <c r="CU358" s="122">
        <v>46136</v>
      </c>
      <c r="CV358" s="123">
        <v>16610.75</v>
      </c>
      <c r="CW358" s="269">
        <v>823.75</v>
      </c>
      <c r="CX358" s="125"/>
      <c r="CY358" s="126">
        <v>208.54</v>
      </c>
      <c r="CZ358" s="27"/>
      <c r="DA358" s="240">
        <v>52.199999999999989</v>
      </c>
      <c r="DB358" s="435">
        <v>134.84800000000001</v>
      </c>
      <c r="DC358" s="53"/>
      <c r="DD358" s="52"/>
      <c r="DE358" s="53">
        <f t="shared" si="230"/>
        <v>395.58800000000002</v>
      </c>
      <c r="DH358" s="122">
        <v>46136</v>
      </c>
      <c r="DI358" s="123">
        <v>3667.37</v>
      </c>
      <c r="DJ358" s="127">
        <v>1524.38</v>
      </c>
      <c r="DK358" s="127">
        <v>2722.95</v>
      </c>
      <c r="DL358" s="127"/>
      <c r="DM358" s="126">
        <v>0</v>
      </c>
      <c r="DO358" s="240">
        <v>22.560929999999928</v>
      </c>
      <c r="DP358" s="53"/>
      <c r="DQ358" s="52"/>
      <c r="DR358" s="53">
        <f t="shared" si="231"/>
        <v>22.560929999999928</v>
      </c>
      <c r="DT358" s="122">
        <v>46136</v>
      </c>
      <c r="DU358" s="123">
        <v>5310.79</v>
      </c>
      <c r="DV358" s="125">
        <v>903.48</v>
      </c>
      <c r="DW358" s="127"/>
      <c r="DX358" s="126">
        <v>83.56</v>
      </c>
      <c r="DZ358" s="240"/>
      <c r="EA358" s="53"/>
      <c r="EB358" s="52"/>
      <c r="EC358" s="53">
        <f t="shared" si="232"/>
        <v>83.56</v>
      </c>
      <c r="EE358" s="122">
        <v>46136</v>
      </c>
      <c r="EF358" s="123">
        <v>2175.4499999999998</v>
      </c>
      <c r="EG358" s="125">
        <v>437.56</v>
      </c>
      <c r="EH358" s="127"/>
      <c r="EI358" s="126">
        <v>2.58</v>
      </c>
      <c r="EK358" s="240">
        <v>302.31179999999978</v>
      </c>
      <c r="EL358" s="435">
        <v>134.84800000000001</v>
      </c>
      <c r="EM358" s="53"/>
      <c r="EN358" s="52"/>
      <c r="EO358" s="53">
        <f t="shared" si="233"/>
        <v>439.73979999999978</v>
      </c>
      <c r="EQ358" s="122">
        <v>46136</v>
      </c>
      <c r="ER358" s="123">
        <v>4714.29</v>
      </c>
      <c r="ES358" s="400">
        <v>197.36</v>
      </c>
      <c r="ET358" s="127"/>
      <c r="EU358" s="258">
        <v>315.56</v>
      </c>
      <c r="EW358" s="240">
        <v>180.48360000000022</v>
      </c>
      <c r="EX358" s="53">
        <v>356.38954376000038</v>
      </c>
      <c r="EY358" s="52"/>
      <c r="EZ358" s="53">
        <f t="shared" si="234"/>
        <v>852.43314376000058</v>
      </c>
      <c r="FB358" s="122">
        <v>46136</v>
      </c>
      <c r="FC358" s="123">
        <v>1954.62</v>
      </c>
      <c r="FD358" s="123">
        <v>227.64</v>
      </c>
      <c r="FE358" s="125"/>
      <c r="FF358" s="126"/>
      <c r="FH358" s="51"/>
      <c r="FI358" s="52"/>
      <c r="FJ358" s="52"/>
      <c r="FK358" s="53"/>
    </row>
    <row r="359" spans="2:167" x14ac:dyDescent="0.25">
      <c r="B359" s="122">
        <v>46137</v>
      </c>
      <c r="C359" s="123">
        <v>17575.400000000001</v>
      </c>
      <c r="D359" s="125"/>
      <c r="E359" s="125"/>
      <c r="F359" s="123">
        <v>0</v>
      </c>
      <c r="G359" s="27"/>
      <c r="H359" s="240">
        <v>32.914999999999964</v>
      </c>
      <c r="I359" s="53"/>
      <c r="J359" s="52"/>
      <c r="K359" s="53">
        <f t="shared" si="235"/>
        <v>32.914999999999964</v>
      </c>
      <c r="M359" s="122">
        <v>46137</v>
      </c>
      <c r="N359" s="123">
        <v>8038.81</v>
      </c>
      <c r="O359" s="125"/>
      <c r="P359" s="126">
        <v>55.68</v>
      </c>
      <c r="R359" s="240"/>
      <c r="S359" s="53">
        <v>18.78562242000001</v>
      </c>
      <c r="T359" s="52"/>
      <c r="U359" s="53">
        <f t="shared" si="225"/>
        <v>74.465622420000017</v>
      </c>
      <c r="W359" s="122">
        <v>46137</v>
      </c>
      <c r="X359" s="123">
        <v>2582.1</v>
      </c>
      <c r="Y359" s="123">
        <v>451</v>
      </c>
      <c r="Z359" s="125"/>
      <c r="AA359" s="273">
        <v>2.0499999999999998</v>
      </c>
      <c r="AC359" s="240"/>
      <c r="AD359" s="53"/>
      <c r="AE359" s="52"/>
      <c r="AF359" s="53">
        <f t="shared" si="226"/>
        <v>2.0499999999999998</v>
      </c>
      <c r="AI359" s="122">
        <v>46137</v>
      </c>
      <c r="AJ359" s="123">
        <v>1754.84</v>
      </c>
      <c r="AK359" s="125"/>
      <c r="AL359" s="126"/>
      <c r="AN359" s="51"/>
      <c r="AO359" s="52"/>
      <c r="AP359" s="52"/>
      <c r="AQ359" s="53"/>
      <c r="AS359" s="122">
        <v>46137</v>
      </c>
      <c r="AT359" s="123">
        <v>6034.45</v>
      </c>
      <c r="AU359" s="125"/>
      <c r="AV359" s="128"/>
      <c r="AX359" s="51"/>
      <c r="AY359" s="52"/>
      <c r="AZ359" s="52"/>
      <c r="BA359" s="53"/>
      <c r="BC359" s="122">
        <v>46137</v>
      </c>
      <c r="BD359" s="123">
        <v>3631.66</v>
      </c>
      <c r="BE359" s="125"/>
      <c r="BF359" s="128">
        <v>0</v>
      </c>
      <c r="BH359" s="240"/>
      <c r="BI359" s="53"/>
      <c r="BJ359" s="52"/>
      <c r="BK359" s="53">
        <f t="shared" si="227"/>
        <v>0</v>
      </c>
      <c r="BM359" s="122">
        <v>46137</v>
      </c>
      <c r="BN359" s="123">
        <v>16236.38</v>
      </c>
      <c r="BO359" s="123">
        <v>4966.63</v>
      </c>
      <c r="BP359" s="123">
        <v>11131.91</v>
      </c>
      <c r="BQ359" s="125"/>
      <c r="BR359" s="125"/>
      <c r="BT359" s="240">
        <v>103.56604999999996</v>
      </c>
      <c r="BU359" s="53">
        <v>742.92331817447689</v>
      </c>
      <c r="BV359" s="53"/>
      <c r="BW359" s="53">
        <f t="shared" si="223"/>
        <v>846.48936817447679</v>
      </c>
      <c r="BY359" s="122">
        <v>46137</v>
      </c>
      <c r="BZ359" s="256">
        <v>1240.17</v>
      </c>
      <c r="CA359" s="257">
        <v>596.1</v>
      </c>
      <c r="CB359" s="125"/>
      <c r="CC359" s="126"/>
      <c r="CE359" s="240"/>
      <c r="CF359" s="53">
        <v>55.81170850571425</v>
      </c>
      <c r="CG359" s="53"/>
      <c r="CH359" s="53">
        <f t="shared" si="228"/>
        <v>55.81170850571425</v>
      </c>
      <c r="CJ359" s="122">
        <v>46137</v>
      </c>
      <c r="CK359" s="123">
        <v>8031.94</v>
      </c>
      <c r="CL359" s="123">
        <v>1088.83</v>
      </c>
      <c r="CM359" s="125"/>
      <c r="CN359" s="126">
        <v>0</v>
      </c>
      <c r="CP359" s="240">
        <v>21.066929999999957</v>
      </c>
      <c r="CQ359" s="53"/>
      <c r="CR359" s="52"/>
      <c r="CS359" s="53">
        <f t="shared" si="229"/>
        <v>21.066929999999957</v>
      </c>
      <c r="CU359" s="122">
        <v>46137</v>
      </c>
      <c r="CV359" s="123">
        <v>11819.94</v>
      </c>
      <c r="CW359" s="269">
        <v>747.45</v>
      </c>
      <c r="CX359" s="125"/>
      <c r="CY359" s="126">
        <v>74.7</v>
      </c>
      <c r="CZ359" s="27"/>
      <c r="DA359" s="240"/>
      <c r="DB359" s="435">
        <v>134.84800000000001</v>
      </c>
      <c r="DC359" s="53"/>
      <c r="DD359" s="52"/>
      <c r="DE359" s="53">
        <f t="shared" si="230"/>
        <v>209.548</v>
      </c>
      <c r="DH359" s="122">
        <v>46137</v>
      </c>
      <c r="DI359" s="123">
        <v>2521.84</v>
      </c>
      <c r="DJ359" s="127">
        <v>1039.0999999999999</v>
      </c>
      <c r="DK359" s="127">
        <v>2377.73</v>
      </c>
      <c r="DL359" s="127"/>
      <c r="DM359" s="126">
        <v>0</v>
      </c>
      <c r="DO359" s="240">
        <v>15.730000000000018</v>
      </c>
      <c r="DP359" s="53"/>
      <c r="DQ359" s="52"/>
      <c r="DR359" s="53">
        <f t="shared" si="231"/>
        <v>15.730000000000018</v>
      </c>
      <c r="DT359" s="122">
        <v>46137</v>
      </c>
      <c r="DU359" s="123">
        <v>2106.63</v>
      </c>
      <c r="DV359" s="125">
        <v>1033.76</v>
      </c>
      <c r="DW359" s="127"/>
      <c r="DX359" s="126">
        <v>16.2</v>
      </c>
      <c r="DZ359" s="240"/>
      <c r="EA359" s="53"/>
      <c r="EB359" s="52"/>
      <c r="EC359" s="53">
        <f t="shared" si="232"/>
        <v>16.2</v>
      </c>
      <c r="EE359" s="122">
        <v>46137</v>
      </c>
      <c r="EF359" s="123">
        <v>2091.1999999999998</v>
      </c>
      <c r="EG359" s="125">
        <v>538.38</v>
      </c>
      <c r="EH359" s="127"/>
      <c r="EI359" s="126">
        <v>5.47</v>
      </c>
      <c r="EK359" s="240">
        <v>283.31424999999979</v>
      </c>
      <c r="EL359" s="435">
        <v>134.84800000000001</v>
      </c>
      <c r="EM359" s="53">
        <v>159.64843998000026</v>
      </c>
      <c r="EN359" s="52"/>
      <c r="EO359" s="53">
        <f t="shared" si="233"/>
        <v>583.28068998000003</v>
      </c>
      <c r="EQ359" s="122">
        <v>46137</v>
      </c>
      <c r="ER359" s="123">
        <v>7469.21</v>
      </c>
      <c r="ES359" s="400">
        <v>498.39</v>
      </c>
      <c r="ET359" s="127"/>
      <c r="EU359" s="258">
        <v>281.26</v>
      </c>
      <c r="EW359" s="240">
        <v>243.60314000000017</v>
      </c>
      <c r="EX359" s="53">
        <v>326.47519629809597</v>
      </c>
      <c r="EY359" s="52"/>
      <c r="EZ359" s="53">
        <f t="shared" si="234"/>
        <v>851.33833629809612</v>
      </c>
      <c r="FB359" s="122">
        <v>46137</v>
      </c>
      <c r="FC359" s="123">
        <v>1624.07</v>
      </c>
      <c r="FD359" s="123">
        <v>236</v>
      </c>
      <c r="FE359" s="125"/>
      <c r="FF359" s="126"/>
      <c r="FH359" s="51"/>
      <c r="FI359" s="52"/>
      <c r="FJ359" s="52"/>
      <c r="FK359" s="53"/>
    </row>
    <row r="360" spans="2:167" x14ac:dyDescent="0.25">
      <c r="B360" s="122">
        <v>46138</v>
      </c>
      <c r="C360" s="123">
        <v>17944.490000000002</v>
      </c>
      <c r="D360" s="126"/>
      <c r="E360" s="125"/>
      <c r="F360" s="126">
        <v>0</v>
      </c>
      <c r="G360" s="27"/>
      <c r="H360" s="240"/>
      <c r="I360" s="53"/>
      <c r="J360" s="52"/>
      <c r="K360" s="53">
        <f t="shared" si="235"/>
        <v>0</v>
      </c>
      <c r="M360" s="122">
        <v>46138</v>
      </c>
      <c r="N360" s="123">
        <v>5862.07</v>
      </c>
      <c r="O360" s="125"/>
      <c r="P360" s="126">
        <v>0</v>
      </c>
      <c r="R360" s="240"/>
      <c r="S360" s="53"/>
      <c r="T360" s="52"/>
      <c r="U360" s="53">
        <f t="shared" si="225"/>
        <v>0</v>
      </c>
      <c r="W360" s="122">
        <v>46138</v>
      </c>
      <c r="X360" s="123">
        <v>1644.56</v>
      </c>
      <c r="Y360" s="123">
        <v>286.02999999999997</v>
      </c>
      <c r="Z360" s="125"/>
      <c r="AA360" s="273">
        <v>3.57</v>
      </c>
      <c r="AC360" s="240">
        <v>23.050169999999923</v>
      </c>
      <c r="AD360" s="53"/>
      <c r="AE360" s="52"/>
      <c r="AF360" s="53">
        <f t="shared" si="226"/>
        <v>26.620169999999924</v>
      </c>
      <c r="AI360" s="122">
        <v>46138</v>
      </c>
      <c r="AJ360" s="123">
        <v>1538.66</v>
      </c>
      <c r="AK360" s="125"/>
      <c r="AL360" s="126"/>
      <c r="AN360" s="51"/>
      <c r="AO360" s="52"/>
      <c r="AP360" s="52"/>
      <c r="AQ360" s="53"/>
      <c r="AS360" s="122">
        <v>46138</v>
      </c>
      <c r="AT360" s="123">
        <v>4696.82</v>
      </c>
      <c r="AU360" s="125"/>
      <c r="AV360" s="128"/>
      <c r="AX360" s="51"/>
      <c r="AY360" s="52"/>
      <c r="AZ360" s="52"/>
      <c r="BA360" s="53"/>
      <c r="BC360" s="122">
        <v>46138</v>
      </c>
      <c r="BD360" s="123">
        <v>2289.3000000000002</v>
      </c>
      <c r="BE360" s="125"/>
      <c r="BF360" s="128">
        <v>6.13</v>
      </c>
      <c r="BH360" s="240">
        <v>48.728329999999985</v>
      </c>
      <c r="BI360" s="53"/>
      <c r="BJ360" s="52"/>
      <c r="BK360" s="53">
        <f t="shared" si="227"/>
        <v>54.858329999999988</v>
      </c>
      <c r="BM360" s="122">
        <v>46138</v>
      </c>
      <c r="BN360" s="123">
        <v>13534.1</v>
      </c>
      <c r="BO360" s="123">
        <v>2962.31</v>
      </c>
      <c r="BP360" s="123">
        <v>6942.4</v>
      </c>
      <c r="BQ360" s="125"/>
      <c r="BR360" s="125"/>
      <c r="BT360" s="240">
        <v>86.171469999999999</v>
      </c>
      <c r="BU360" s="53"/>
      <c r="BV360" s="53">
        <v>8.3199661999999961</v>
      </c>
      <c r="BW360" s="53">
        <f t="shared" si="223"/>
        <v>94.491436199999995</v>
      </c>
      <c r="BY360" s="122">
        <v>46138</v>
      </c>
      <c r="BZ360" s="256">
        <v>181.21</v>
      </c>
      <c r="CA360" s="257">
        <v>571.51</v>
      </c>
      <c r="CB360" s="125"/>
      <c r="CC360" s="126"/>
      <c r="CE360" s="240"/>
      <c r="CF360" s="53">
        <v>54.289535151428595</v>
      </c>
      <c r="CG360" s="53"/>
      <c r="CH360" s="53">
        <f t="shared" si="228"/>
        <v>54.289535151428595</v>
      </c>
      <c r="CJ360" s="122">
        <v>46138</v>
      </c>
      <c r="CK360" s="123">
        <v>4901.91</v>
      </c>
      <c r="CL360" s="123">
        <v>636.52</v>
      </c>
      <c r="CM360" s="125"/>
      <c r="CN360" s="126">
        <v>5.38</v>
      </c>
      <c r="CP360" s="240">
        <v>162.47377</v>
      </c>
      <c r="CQ360" s="53"/>
      <c r="CR360" s="52"/>
      <c r="CS360" s="53">
        <f t="shared" si="229"/>
        <v>167.85377</v>
      </c>
      <c r="CU360" s="122">
        <v>46138</v>
      </c>
      <c r="CV360" s="123">
        <v>4784.72</v>
      </c>
      <c r="CW360" s="269">
        <v>726.14</v>
      </c>
      <c r="CX360" s="125"/>
      <c r="CY360" s="126">
        <v>33.9</v>
      </c>
      <c r="CZ360" s="27"/>
      <c r="DA360" s="240"/>
      <c r="DB360" s="435">
        <v>134.84800000000001</v>
      </c>
      <c r="DC360" s="53"/>
      <c r="DD360" s="52"/>
      <c r="DE360" s="53">
        <f t="shared" si="230"/>
        <v>168.74800000000002</v>
      </c>
      <c r="DH360" s="122">
        <v>46138</v>
      </c>
      <c r="DI360" s="123">
        <v>2773.88</v>
      </c>
      <c r="DJ360" s="259">
        <v>589.51</v>
      </c>
      <c r="DK360" s="259">
        <v>1802.67</v>
      </c>
      <c r="DL360" s="127"/>
      <c r="DM360" s="126">
        <v>0</v>
      </c>
      <c r="DO360" s="240"/>
      <c r="DP360" s="53"/>
      <c r="DQ360" s="52"/>
      <c r="DR360" s="53">
        <f t="shared" si="231"/>
        <v>0</v>
      </c>
      <c r="DT360" s="122">
        <v>46138</v>
      </c>
      <c r="DU360" s="123">
        <v>2276.9</v>
      </c>
      <c r="DV360" s="400">
        <v>803.6</v>
      </c>
      <c r="DW360" s="127"/>
      <c r="DX360" s="126">
        <v>11.36</v>
      </c>
      <c r="DZ360" s="240"/>
      <c r="EA360" s="53"/>
      <c r="EB360" s="52"/>
      <c r="EC360" s="53">
        <f t="shared" si="232"/>
        <v>11.36</v>
      </c>
      <c r="EE360" s="122">
        <v>46138</v>
      </c>
      <c r="EF360" s="123">
        <v>1272.96</v>
      </c>
      <c r="EG360" s="125">
        <v>561.54</v>
      </c>
      <c r="EH360" s="127"/>
      <c r="EI360" s="126">
        <v>1.63</v>
      </c>
      <c r="EK360" s="240"/>
      <c r="EL360" s="435">
        <v>134.84800000000001</v>
      </c>
      <c r="EM360" s="53"/>
      <c r="EN360" s="52"/>
      <c r="EO360" s="53">
        <f t="shared" si="233"/>
        <v>136.47800000000001</v>
      </c>
      <c r="EQ360" s="122">
        <v>46138</v>
      </c>
      <c r="ER360" s="123">
        <v>6654.9</v>
      </c>
      <c r="ES360" s="400">
        <v>294.18</v>
      </c>
      <c r="ET360" s="127"/>
      <c r="EU360" s="258">
        <v>386.38</v>
      </c>
      <c r="EW360" s="240"/>
      <c r="EX360" s="53"/>
      <c r="EY360" s="52"/>
      <c r="EZ360" s="53">
        <f t="shared" si="234"/>
        <v>386.38</v>
      </c>
      <c r="FB360" s="122">
        <v>46138</v>
      </c>
      <c r="FC360" s="123">
        <v>737.26</v>
      </c>
      <c r="FD360" s="123">
        <v>331.07</v>
      </c>
      <c r="FE360" s="125"/>
      <c r="FF360" s="126"/>
      <c r="FH360" s="51"/>
      <c r="FI360" s="52"/>
      <c r="FJ360" s="52"/>
      <c r="FK360" s="53"/>
    </row>
    <row r="361" spans="2:167" x14ac:dyDescent="0.25">
      <c r="B361" s="122">
        <v>46139</v>
      </c>
      <c r="C361" s="123">
        <v>14254.31</v>
      </c>
      <c r="D361" s="125"/>
      <c r="E361" s="125"/>
      <c r="F361" s="123">
        <v>0</v>
      </c>
      <c r="G361" s="27"/>
      <c r="H361" s="240">
        <v>40.24109999999996</v>
      </c>
      <c r="I361" s="53"/>
      <c r="J361" s="52"/>
      <c r="K361" s="53">
        <f t="shared" si="235"/>
        <v>40.24109999999996</v>
      </c>
      <c r="M361" s="122">
        <v>46139</v>
      </c>
      <c r="N361" s="123">
        <v>4650.43</v>
      </c>
      <c r="O361" s="125"/>
      <c r="P361" s="126">
        <v>97.93</v>
      </c>
      <c r="R361" s="240"/>
      <c r="S361" s="53"/>
      <c r="T361" s="52"/>
      <c r="U361" s="53">
        <f t="shared" si="225"/>
        <v>97.93</v>
      </c>
      <c r="W361" s="122">
        <v>46139</v>
      </c>
      <c r="X361" s="123">
        <v>3781.07</v>
      </c>
      <c r="Y361" s="123">
        <v>322.66000000000003</v>
      </c>
      <c r="Z361" s="125"/>
      <c r="AA361" s="273">
        <v>11.49</v>
      </c>
      <c r="AC361" s="240"/>
      <c r="AD361" s="53"/>
      <c r="AE361" s="52"/>
      <c r="AF361" s="53">
        <f t="shared" si="226"/>
        <v>11.49</v>
      </c>
      <c r="AI361" s="122">
        <v>46139</v>
      </c>
      <c r="AJ361" s="123">
        <v>2542.14</v>
      </c>
      <c r="AK361" s="125"/>
      <c r="AL361" s="126"/>
      <c r="AN361" s="51"/>
      <c r="AO361" s="52"/>
      <c r="AP361" s="52"/>
      <c r="AQ361" s="53"/>
      <c r="AS361" s="122">
        <v>46139</v>
      </c>
      <c r="AT361" s="123">
        <v>4506.8500000000004</v>
      </c>
      <c r="AU361" s="125"/>
      <c r="AV361" s="128"/>
      <c r="AX361" s="51"/>
      <c r="AY361" s="52"/>
      <c r="AZ361" s="52"/>
      <c r="BA361" s="53"/>
      <c r="BC361" s="122">
        <v>46139</v>
      </c>
      <c r="BD361" s="123">
        <v>2699.79</v>
      </c>
      <c r="BE361" s="125"/>
      <c r="BF361" s="128">
        <v>0</v>
      </c>
      <c r="BH361" s="240">
        <v>12.955519999999979</v>
      </c>
      <c r="BI361" s="53"/>
      <c r="BJ361" s="52"/>
      <c r="BK361" s="53">
        <f t="shared" si="227"/>
        <v>12.955519999999979</v>
      </c>
      <c r="BM361" s="122">
        <v>46139</v>
      </c>
      <c r="BN361" s="123">
        <v>16962.04</v>
      </c>
      <c r="BO361" s="123">
        <v>2852.17</v>
      </c>
      <c r="BP361" s="123">
        <v>10385.64</v>
      </c>
      <c r="BQ361" s="125"/>
      <c r="BR361" s="125"/>
      <c r="BT361" s="240">
        <v>200.75946000000002</v>
      </c>
      <c r="BU361" s="53">
        <v>7.3790756771428612</v>
      </c>
      <c r="BV361" s="53"/>
      <c r="BW361" s="53">
        <f t="shared" si="223"/>
        <v>208.13853567714287</v>
      </c>
      <c r="BY361" s="122">
        <v>46139</v>
      </c>
      <c r="BZ361" s="256">
        <v>1870.87</v>
      </c>
      <c r="CA361" s="260">
        <v>150</v>
      </c>
      <c r="CB361" s="125"/>
      <c r="CC361" s="126"/>
      <c r="CE361" s="240">
        <v>7.4278799999999876</v>
      </c>
      <c r="CF361" s="53">
        <v>37.470702622857061</v>
      </c>
      <c r="CG361" s="53"/>
      <c r="CH361" s="53">
        <f t="shared" si="228"/>
        <v>44.898582622857049</v>
      </c>
      <c r="CJ361" s="122">
        <v>46139</v>
      </c>
      <c r="CK361" s="123">
        <v>7781.36</v>
      </c>
      <c r="CL361" s="123">
        <v>681.38</v>
      </c>
      <c r="CM361" s="125"/>
      <c r="CN361" s="126">
        <v>0</v>
      </c>
      <c r="CP361" s="240">
        <v>214.46613999999988</v>
      </c>
      <c r="CQ361" s="53"/>
      <c r="CR361" s="52"/>
      <c r="CS361" s="53">
        <f t="shared" si="229"/>
        <v>214.46613999999988</v>
      </c>
      <c r="CU361" s="122">
        <v>46139</v>
      </c>
      <c r="CV361" s="123">
        <v>16295.26</v>
      </c>
      <c r="CW361" s="269">
        <v>1704.58</v>
      </c>
      <c r="CX361" s="125"/>
      <c r="CY361" s="126">
        <v>156.63</v>
      </c>
      <c r="CZ361" s="27"/>
      <c r="DA361" s="240">
        <v>289.11167999999998</v>
      </c>
      <c r="DB361" s="435">
        <v>134.84800000000001</v>
      </c>
      <c r="DC361" s="53"/>
      <c r="DD361" s="52"/>
      <c r="DE361" s="53">
        <f t="shared" si="230"/>
        <v>580.58968000000004</v>
      </c>
      <c r="DH361" s="122">
        <v>46139</v>
      </c>
      <c r="DI361" s="123">
        <v>3615.24</v>
      </c>
      <c r="DJ361" s="127">
        <v>940.06</v>
      </c>
      <c r="DK361" s="127">
        <v>2101.9699999999998</v>
      </c>
      <c r="DL361" s="127"/>
      <c r="DM361" s="126">
        <v>0</v>
      </c>
      <c r="DO361" s="240">
        <v>39.347909999999956</v>
      </c>
      <c r="DP361" s="53">
        <v>41.645486450476312</v>
      </c>
      <c r="DQ361" s="52"/>
      <c r="DR361" s="53">
        <f t="shared" si="231"/>
        <v>80.993396450476268</v>
      </c>
      <c r="DT361" s="122">
        <v>46139</v>
      </c>
      <c r="DU361" s="123">
        <v>2302.2800000000002</v>
      </c>
      <c r="DV361" s="125">
        <v>1308.1400000000001</v>
      </c>
      <c r="DW361" s="127"/>
      <c r="DX361" s="126">
        <v>64.48</v>
      </c>
      <c r="DZ361" s="240"/>
      <c r="EA361" s="53"/>
      <c r="EB361" s="52"/>
      <c r="EC361" s="53">
        <f t="shared" si="232"/>
        <v>64.48</v>
      </c>
      <c r="EE361" s="122">
        <v>46139</v>
      </c>
      <c r="EF361" s="123">
        <v>1412.02</v>
      </c>
      <c r="EG361" s="125">
        <v>235.2</v>
      </c>
      <c r="EH361" s="127"/>
      <c r="EI361" s="126">
        <v>1.68</v>
      </c>
      <c r="EK361" s="240">
        <v>423.05016999999987</v>
      </c>
      <c r="EL361" s="435">
        <v>134.84800000000001</v>
      </c>
      <c r="EM361" s="53">
        <v>163.50646960857159</v>
      </c>
      <c r="EN361" s="52"/>
      <c r="EO361" s="53">
        <f t="shared" si="233"/>
        <v>723.08463960857148</v>
      </c>
      <c r="EQ361" s="122">
        <v>46139</v>
      </c>
      <c r="ER361" s="123">
        <v>7589.7</v>
      </c>
      <c r="ES361" s="400">
        <v>265.70999999999998</v>
      </c>
      <c r="ET361" s="127"/>
      <c r="EU361" s="258">
        <v>291.37</v>
      </c>
      <c r="EW361" s="240">
        <v>67.304959999999923</v>
      </c>
      <c r="EX361" s="53"/>
      <c r="EY361" s="52"/>
      <c r="EZ361" s="53">
        <f t="shared" si="234"/>
        <v>358.67495999999994</v>
      </c>
      <c r="FB361" s="122">
        <v>46139</v>
      </c>
      <c r="FC361" s="123">
        <v>1196.25</v>
      </c>
      <c r="FD361" s="123">
        <v>131</v>
      </c>
      <c r="FE361" s="125"/>
      <c r="FF361" s="126"/>
      <c r="FH361" s="51"/>
      <c r="FI361" s="52"/>
      <c r="FJ361" s="52"/>
      <c r="FK361" s="53"/>
    </row>
    <row r="362" spans="2:167" x14ac:dyDescent="0.25">
      <c r="B362" s="122">
        <v>46140</v>
      </c>
      <c r="C362" s="123">
        <v>13801.28</v>
      </c>
      <c r="D362" s="126"/>
      <c r="E362" s="125"/>
      <c r="F362" s="126">
        <v>0</v>
      </c>
      <c r="G362" s="27"/>
      <c r="H362" s="240"/>
      <c r="I362" s="53">
        <v>18.299267857142866</v>
      </c>
      <c r="J362" s="52"/>
      <c r="K362" s="53">
        <f t="shared" si="235"/>
        <v>18.299267857142866</v>
      </c>
      <c r="M362" s="122">
        <v>46140</v>
      </c>
      <c r="N362" s="123">
        <v>4038.3</v>
      </c>
      <c r="O362" s="125"/>
      <c r="P362" s="126">
        <v>256.64999999999998</v>
      </c>
      <c r="R362" s="240"/>
      <c r="S362" s="52"/>
      <c r="T362" s="52"/>
      <c r="U362" s="53">
        <f t="shared" si="225"/>
        <v>256.64999999999998</v>
      </c>
      <c r="W362" s="122">
        <v>46140</v>
      </c>
      <c r="X362" s="123">
        <v>3429.56</v>
      </c>
      <c r="Y362" s="123">
        <v>402.83</v>
      </c>
      <c r="Z362" s="125"/>
      <c r="AA362" s="273">
        <v>7.08</v>
      </c>
      <c r="AC362" s="240">
        <v>14.039999999999964</v>
      </c>
      <c r="AD362" s="53">
        <v>11.934721228571391</v>
      </c>
      <c r="AE362" s="52"/>
      <c r="AF362" s="53">
        <f t="shared" si="226"/>
        <v>33.054721228571353</v>
      </c>
      <c r="AI362" s="122">
        <v>46140</v>
      </c>
      <c r="AJ362" s="123">
        <v>1833.68</v>
      </c>
      <c r="AK362" s="125"/>
      <c r="AL362" s="126"/>
      <c r="AN362" s="51"/>
      <c r="AO362" s="52"/>
      <c r="AP362" s="52"/>
      <c r="AQ362" s="53"/>
      <c r="AS362" s="122">
        <v>46140</v>
      </c>
      <c r="AT362" s="123">
        <v>4115.72</v>
      </c>
      <c r="AU362" s="125"/>
      <c r="AV362" s="128"/>
      <c r="AX362" s="51"/>
      <c r="AY362" s="52"/>
      <c r="AZ362" s="52"/>
      <c r="BA362" s="53"/>
      <c r="BC362" s="122">
        <v>46140</v>
      </c>
      <c r="BD362" s="123">
        <v>4179.0600000000004</v>
      </c>
      <c r="BE362" s="125"/>
      <c r="BF362" s="128">
        <v>0</v>
      </c>
      <c r="BH362" s="240">
        <v>44.088399999999943</v>
      </c>
      <c r="BI362" s="53"/>
      <c r="BJ362" s="52"/>
      <c r="BK362" s="53">
        <f t="shared" si="227"/>
        <v>44.088399999999943</v>
      </c>
      <c r="BM362" s="122">
        <v>46140</v>
      </c>
      <c r="BN362" s="123">
        <v>16357.19</v>
      </c>
      <c r="BO362" s="123">
        <v>5352.25</v>
      </c>
      <c r="BP362" s="123">
        <v>10093.5</v>
      </c>
      <c r="BQ362" s="125"/>
      <c r="BR362" s="125"/>
      <c r="BT362" s="240">
        <v>272.66802000000007</v>
      </c>
      <c r="BU362" s="53"/>
      <c r="BV362" s="53">
        <v>11.331901000000009</v>
      </c>
      <c r="BW362" s="53">
        <f t="shared" si="223"/>
        <v>283.99992100000009</v>
      </c>
      <c r="BY362" s="122">
        <v>46140</v>
      </c>
      <c r="BZ362" s="256">
        <v>829.5</v>
      </c>
      <c r="CA362" s="257">
        <v>540.38</v>
      </c>
      <c r="CB362" s="125"/>
      <c r="CC362" s="126"/>
      <c r="CE362" s="240"/>
      <c r="CF362" s="53"/>
      <c r="CG362" s="53"/>
      <c r="CH362" s="53">
        <f t="shared" si="228"/>
        <v>0</v>
      </c>
      <c r="CJ362" s="122">
        <v>46140</v>
      </c>
      <c r="CK362" s="123">
        <v>7259.95</v>
      </c>
      <c r="CL362" s="123">
        <v>624.74</v>
      </c>
      <c r="CM362" s="125"/>
      <c r="CN362" s="126">
        <v>0</v>
      </c>
      <c r="CP362" s="240">
        <v>57.929490000000008</v>
      </c>
      <c r="CQ362" s="53">
        <v>24.105467116000028</v>
      </c>
      <c r="CR362" s="52"/>
      <c r="CS362" s="53">
        <f t="shared" si="229"/>
        <v>82.034957116000044</v>
      </c>
      <c r="CU362" s="122">
        <v>46140</v>
      </c>
      <c r="CV362" s="123">
        <v>11322.33</v>
      </c>
      <c r="CW362" s="269">
        <v>1757.99</v>
      </c>
      <c r="CX362" s="125"/>
      <c r="CY362" s="126">
        <v>165.1</v>
      </c>
      <c r="CZ362" s="27"/>
      <c r="DA362" s="240"/>
      <c r="DB362" s="435">
        <v>134.84800000000001</v>
      </c>
      <c r="DC362" s="53"/>
      <c r="DD362" s="52"/>
      <c r="DE362" s="53">
        <f t="shared" si="230"/>
        <v>299.94799999999998</v>
      </c>
      <c r="DH362" s="122">
        <v>46140</v>
      </c>
      <c r="DI362" s="123">
        <v>3829.03</v>
      </c>
      <c r="DJ362" s="127">
        <v>1129.95</v>
      </c>
      <c r="DK362" s="127">
        <v>2563.54</v>
      </c>
      <c r="DL362" s="127"/>
      <c r="DM362" s="126">
        <v>4</v>
      </c>
      <c r="DO362" s="240">
        <v>26.921159999999929</v>
      </c>
      <c r="DP362" s="53"/>
      <c r="DQ362" s="52"/>
      <c r="DR362" s="53">
        <f t="shared" si="231"/>
        <v>30.921159999999929</v>
      </c>
      <c r="DT362" s="122">
        <v>46140</v>
      </c>
      <c r="DU362" s="123">
        <v>2127.54</v>
      </c>
      <c r="DV362" s="125">
        <v>1211.05</v>
      </c>
      <c r="DW362" s="127"/>
      <c r="DX362" s="126">
        <v>28.24</v>
      </c>
      <c r="DZ362" s="240"/>
      <c r="EA362" s="53">
        <v>35.641663371428592</v>
      </c>
      <c r="EB362" s="52"/>
      <c r="EC362" s="53">
        <f t="shared" si="232"/>
        <v>63.881663371428587</v>
      </c>
      <c r="EE362" s="122">
        <v>46140</v>
      </c>
      <c r="EF362" s="123">
        <v>1999.18</v>
      </c>
      <c r="EG362" s="125">
        <v>655.29999999999995</v>
      </c>
      <c r="EH362" s="127"/>
      <c r="EI362" s="126">
        <v>1.98</v>
      </c>
      <c r="EK362" s="240">
        <v>441.0329899999997</v>
      </c>
      <c r="EL362" s="435">
        <v>134.84800000000001</v>
      </c>
      <c r="EM362" s="53">
        <v>47.720350872000012</v>
      </c>
      <c r="EN362" s="52"/>
      <c r="EO362" s="53">
        <f t="shared" si="233"/>
        <v>625.58134087199971</v>
      </c>
      <c r="EQ362" s="122">
        <v>46140</v>
      </c>
      <c r="ER362" s="123">
        <v>10384.11</v>
      </c>
      <c r="ES362" s="400">
        <v>336.64</v>
      </c>
      <c r="ET362" s="127"/>
      <c r="EU362" s="258">
        <v>299.05</v>
      </c>
      <c r="EW362" s="240"/>
      <c r="EX362" s="53"/>
      <c r="EY362" s="52"/>
      <c r="EZ362" s="53">
        <f t="shared" si="234"/>
        <v>299.05</v>
      </c>
      <c r="FB362" s="122">
        <v>46140</v>
      </c>
      <c r="FC362" s="123">
        <v>637.39</v>
      </c>
      <c r="FD362" s="123">
        <v>287.18</v>
      </c>
      <c r="FE362" s="125"/>
      <c r="FF362" s="126"/>
      <c r="FH362" s="51"/>
      <c r="FI362" s="52"/>
      <c r="FJ362" s="52"/>
      <c r="FK362" s="53"/>
    </row>
    <row r="363" spans="2:167" x14ac:dyDescent="0.25">
      <c r="B363" s="122">
        <v>46141</v>
      </c>
      <c r="C363" s="123">
        <v>15105.12</v>
      </c>
      <c r="D363" s="125"/>
      <c r="E363" s="125"/>
      <c r="F363" s="123">
        <v>0</v>
      </c>
      <c r="G363" s="27"/>
      <c r="H363" s="240">
        <v>7.2399999999999949</v>
      </c>
      <c r="I363" s="53"/>
      <c r="J363" s="52"/>
      <c r="K363" s="53">
        <f t="shared" si="235"/>
        <v>7.2399999999999949</v>
      </c>
      <c r="M363" s="122">
        <v>46141</v>
      </c>
      <c r="N363" s="123">
        <v>5428.7</v>
      </c>
      <c r="O363" s="127"/>
      <c r="P363" s="261">
        <v>182.45</v>
      </c>
      <c r="R363" s="240">
        <v>116.89999999999998</v>
      </c>
      <c r="S363" s="52"/>
      <c r="T363" s="52"/>
      <c r="U363" s="53">
        <f t="shared" si="225"/>
        <v>299.34999999999997</v>
      </c>
      <c r="W363" s="122">
        <v>46141</v>
      </c>
      <c r="X363" s="123">
        <v>4587.1000000000004</v>
      </c>
      <c r="Y363" s="123">
        <v>186.99</v>
      </c>
      <c r="Z363" s="125"/>
      <c r="AA363" s="273">
        <v>3.64</v>
      </c>
      <c r="AC363" s="240">
        <v>50.750649999999951</v>
      </c>
      <c r="AD363" s="53"/>
      <c r="AE363" s="52"/>
      <c r="AF363" s="53">
        <f t="shared" si="226"/>
        <v>54.390649999999951</v>
      </c>
      <c r="AI363" s="122">
        <v>46141</v>
      </c>
      <c r="AJ363" s="123">
        <v>3166.13</v>
      </c>
      <c r="AK363" s="127"/>
      <c r="AL363" s="262"/>
      <c r="AN363" s="51"/>
      <c r="AO363" s="52"/>
      <c r="AP363" s="52"/>
      <c r="AQ363" s="53"/>
      <c r="AS363" s="122">
        <v>46141</v>
      </c>
      <c r="AT363" s="123">
        <v>4228.82</v>
      </c>
      <c r="AU363" s="127"/>
      <c r="AV363" s="261"/>
      <c r="AX363" s="51"/>
      <c r="AY363" s="52"/>
      <c r="AZ363" s="52"/>
      <c r="BA363" s="53"/>
      <c r="BC363" s="122">
        <v>46141</v>
      </c>
      <c r="BD363" s="123">
        <v>4111.6099999999997</v>
      </c>
      <c r="BE363" s="125"/>
      <c r="BF363" s="128">
        <v>0</v>
      </c>
      <c r="BH363" s="240">
        <v>44.71124999999995</v>
      </c>
      <c r="BI363" s="53"/>
      <c r="BJ363" s="52"/>
      <c r="BK363" s="53">
        <f t="shared" si="227"/>
        <v>44.71124999999995</v>
      </c>
      <c r="BM363" s="122">
        <v>46141</v>
      </c>
      <c r="BN363" s="123">
        <v>18150.490000000002</v>
      </c>
      <c r="BO363" s="123">
        <v>4543.8100000000004</v>
      </c>
      <c r="BP363" s="123">
        <v>11118.08</v>
      </c>
      <c r="BQ363" s="125"/>
      <c r="BR363" s="125"/>
      <c r="BT363" s="240">
        <v>120.25866000000008</v>
      </c>
      <c r="BU363" s="53">
        <v>121.06981999999994</v>
      </c>
      <c r="BV363" s="53">
        <v>96.854800000000012</v>
      </c>
      <c r="BW363" s="53">
        <f t="shared" si="223"/>
        <v>338.18328000000002</v>
      </c>
      <c r="BY363" s="122">
        <v>46141</v>
      </c>
      <c r="BZ363" s="256">
        <v>1065</v>
      </c>
      <c r="CA363" s="257">
        <v>1015.75</v>
      </c>
      <c r="CB363" s="125"/>
      <c r="CC363" s="126"/>
      <c r="CE363" s="240">
        <v>31.239689999999939</v>
      </c>
      <c r="CF363" s="53">
        <v>79.660514185714192</v>
      </c>
      <c r="CG363" s="53">
        <v>22.33063999999996</v>
      </c>
      <c r="CH363" s="53">
        <f t="shared" si="228"/>
        <v>133.23084418571409</v>
      </c>
      <c r="CJ363" s="122">
        <v>46141</v>
      </c>
      <c r="CK363" s="123">
        <v>7812.34</v>
      </c>
      <c r="CL363" s="123">
        <v>859.6</v>
      </c>
      <c r="CM363" s="125"/>
      <c r="CN363" s="126">
        <v>8.75</v>
      </c>
      <c r="CP363" s="240">
        <v>155.14486999999983</v>
      </c>
      <c r="CQ363" s="53"/>
      <c r="CR363" s="52"/>
      <c r="CS363" s="53">
        <f t="shared" si="229"/>
        <v>163.89486999999983</v>
      </c>
      <c r="CU363" s="122">
        <v>46141</v>
      </c>
      <c r="CV363" s="123">
        <v>10747.24</v>
      </c>
      <c r="CW363" s="269">
        <v>2160.85</v>
      </c>
      <c r="CX363" s="125"/>
      <c r="CY363" s="126">
        <v>229.95</v>
      </c>
      <c r="CZ363" s="27"/>
      <c r="DA363" s="240"/>
      <c r="DB363" s="435">
        <v>134.84800000000001</v>
      </c>
      <c r="DC363" s="53"/>
      <c r="DD363" s="52"/>
      <c r="DE363" s="53">
        <f t="shared" si="230"/>
        <v>364.798</v>
      </c>
      <c r="DH363" s="122">
        <v>46141</v>
      </c>
      <c r="DI363" s="123">
        <v>5134.82</v>
      </c>
      <c r="DJ363" s="127">
        <v>1236.4100000000001</v>
      </c>
      <c r="DK363" s="127">
        <v>2377.34</v>
      </c>
      <c r="DL363" s="127"/>
      <c r="DM363" s="126">
        <v>0</v>
      </c>
      <c r="DO363" s="240">
        <v>146.38092999999992</v>
      </c>
      <c r="DP363" s="53"/>
      <c r="DQ363" s="52"/>
      <c r="DR363" s="53">
        <f t="shared" si="231"/>
        <v>146.38092999999992</v>
      </c>
      <c r="DT363" s="122">
        <v>46141</v>
      </c>
      <c r="DU363" s="123">
        <v>2851.13</v>
      </c>
      <c r="DV363" s="125">
        <v>1102.51</v>
      </c>
      <c r="DW363" s="127"/>
      <c r="DX363" s="126">
        <v>34.840000000000003</v>
      </c>
      <c r="DZ363" s="240"/>
      <c r="EA363" s="53"/>
      <c r="EB363" s="52"/>
      <c r="EC363" s="53">
        <f t="shared" si="232"/>
        <v>34.840000000000003</v>
      </c>
      <c r="EE363" s="122">
        <v>46141</v>
      </c>
      <c r="EF363" s="123">
        <v>4790.43</v>
      </c>
      <c r="EG363" s="125">
        <v>229.2</v>
      </c>
      <c r="EH363" s="127"/>
      <c r="EI363" s="126">
        <v>1.42</v>
      </c>
      <c r="EK363" s="240">
        <v>421.76227999999981</v>
      </c>
      <c r="EL363" s="435">
        <v>134.84800000000001</v>
      </c>
      <c r="EM363" s="53">
        <v>91.541116278857174</v>
      </c>
      <c r="EN363" s="52"/>
      <c r="EO363" s="53">
        <f>SUM(EI363:EN363)</f>
        <v>649.57139627885704</v>
      </c>
      <c r="EQ363" s="122">
        <v>46141</v>
      </c>
      <c r="ER363" s="123">
        <v>5848.94</v>
      </c>
      <c r="ES363" s="400">
        <v>621.26</v>
      </c>
      <c r="ET363" s="127"/>
      <c r="EU363" s="258">
        <v>206.52</v>
      </c>
      <c r="EW363" s="240">
        <v>18.477100000000036</v>
      </c>
      <c r="EX363" s="53"/>
      <c r="EY363" s="52"/>
      <c r="EZ363" s="53">
        <f t="shared" si="234"/>
        <v>224.99710000000005</v>
      </c>
      <c r="FB363" s="122">
        <v>46141</v>
      </c>
      <c r="FC363" s="123">
        <v>1072.06</v>
      </c>
      <c r="FD363" s="123">
        <v>128</v>
      </c>
      <c r="FE363" s="125"/>
      <c r="FF363" s="126"/>
      <c r="FH363" s="51"/>
      <c r="FI363" s="52"/>
      <c r="FJ363" s="52"/>
      <c r="FK363" s="53"/>
    </row>
    <row r="364" spans="2:167" ht="15.75" thickBot="1" x14ac:dyDescent="0.3">
      <c r="B364" s="122">
        <v>46142</v>
      </c>
      <c r="C364" s="123">
        <v>15936.85</v>
      </c>
      <c r="D364" s="125"/>
      <c r="E364" s="125"/>
      <c r="F364" s="123">
        <v>0</v>
      </c>
      <c r="G364" s="27"/>
      <c r="H364" s="240">
        <v>67.416260000000023</v>
      </c>
      <c r="I364" s="52"/>
      <c r="J364" s="52"/>
      <c r="K364" s="53">
        <f t="shared" si="235"/>
        <v>67.416260000000023</v>
      </c>
      <c r="M364" s="122">
        <v>46142</v>
      </c>
      <c r="N364" s="123">
        <v>7493.24</v>
      </c>
      <c r="O364" s="127"/>
      <c r="P364" s="261">
        <v>178.64</v>
      </c>
      <c r="R364" s="51"/>
      <c r="S364" s="52"/>
      <c r="T364" s="52"/>
      <c r="U364" s="53">
        <f t="shared" si="225"/>
        <v>178.64</v>
      </c>
      <c r="W364" s="122">
        <v>46142</v>
      </c>
      <c r="X364" s="123">
        <v>2868.93</v>
      </c>
      <c r="Y364" s="123">
        <v>263.52</v>
      </c>
      <c r="Z364" s="125"/>
      <c r="AA364" s="273">
        <v>10.23</v>
      </c>
      <c r="AC364" s="240">
        <v>74.09716999999992</v>
      </c>
      <c r="AD364" s="52"/>
      <c r="AE364" s="52"/>
      <c r="AF364" s="53">
        <f t="shared" si="226"/>
        <v>84.327169999999924</v>
      </c>
      <c r="AI364" s="122">
        <v>46142</v>
      </c>
      <c r="AJ364" s="123">
        <v>2152.0500000000002</v>
      </c>
      <c r="AK364" s="127"/>
      <c r="AL364" s="262"/>
      <c r="AN364" s="51"/>
      <c r="AO364" s="52"/>
      <c r="AP364" s="52"/>
      <c r="AQ364" s="53"/>
      <c r="AS364" s="122">
        <v>46142</v>
      </c>
      <c r="AT364" s="123">
        <v>5506.3</v>
      </c>
      <c r="AU364" s="127"/>
      <c r="AV364" s="261"/>
      <c r="AX364" s="51"/>
      <c r="AY364" s="52"/>
      <c r="AZ364" s="52"/>
      <c r="BA364" s="53"/>
      <c r="BC364" s="122">
        <v>46142</v>
      </c>
      <c r="BD364" s="123">
        <v>5598.33</v>
      </c>
      <c r="BE364" s="125"/>
      <c r="BF364" s="128">
        <v>0</v>
      </c>
      <c r="BH364" s="240">
        <v>40.788949999999943</v>
      </c>
      <c r="BI364" s="52"/>
      <c r="BJ364" s="52"/>
      <c r="BK364" s="53">
        <f t="shared" si="227"/>
        <v>40.788949999999943</v>
      </c>
      <c r="BM364" s="122">
        <v>46142</v>
      </c>
      <c r="BN364" s="123">
        <v>23171.59</v>
      </c>
      <c r="BO364" s="123">
        <v>6884.46</v>
      </c>
      <c r="BP364" s="123">
        <v>12008.79</v>
      </c>
      <c r="BQ364" s="125"/>
      <c r="BR364" s="125"/>
      <c r="BT364" s="240">
        <v>206.19153000000009</v>
      </c>
      <c r="BU364" s="52">
        <v>69.245018764571398</v>
      </c>
      <c r="BV364" s="53">
        <v>19.224548000000013</v>
      </c>
      <c r="BW364" s="53">
        <f t="shared" si="223"/>
        <v>294.66109676457154</v>
      </c>
      <c r="BY364" s="122">
        <v>46142</v>
      </c>
      <c r="BZ364" s="256">
        <v>1417.53</v>
      </c>
      <c r="CA364" s="257">
        <v>465.69</v>
      </c>
      <c r="CB364" s="125"/>
      <c r="CC364" s="126"/>
      <c r="CE364" s="240"/>
      <c r="CF364" s="53">
        <v>126.9654908142856</v>
      </c>
      <c r="CG364" s="52"/>
      <c r="CH364" s="53">
        <f t="shared" si="228"/>
        <v>126.9654908142856</v>
      </c>
      <c r="CJ364" s="122">
        <v>46142</v>
      </c>
      <c r="CK364" s="123">
        <v>5592.07</v>
      </c>
      <c r="CL364" s="123">
        <v>528.08000000000004</v>
      </c>
      <c r="CM364" s="125"/>
      <c r="CN364" s="126">
        <v>0</v>
      </c>
      <c r="CP364" s="240">
        <v>140.41207999999986</v>
      </c>
      <c r="CQ364" s="52"/>
      <c r="CR364" s="52"/>
      <c r="CS364" s="53">
        <f t="shared" si="229"/>
        <v>140.41207999999986</v>
      </c>
      <c r="CU364" s="122">
        <v>46142</v>
      </c>
      <c r="CV364" s="123">
        <v>8706.19</v>
      </c>
      <c r="CW364" s="269">
        <v>2887.33</v>
      </c>
      <c r="CX364" s="125"/>
      <c r="CY364" s="126">
        <v>23.11</v>
      </c>
      <c r="CZ364" s="27"/>
      <c r="DA364" s="240">
        <v>57.896599999999978</v>
      </c>
      <c r="DB364" s="435">
        <v>134.84800000000001</v>
      </c>
      <c r="DC364" s="52"/>
      <c r="DD364" s="52"/>
      <c r="DE364" s="53">
        <f t="shared" si="230"/>
        <v>215.8546</v>
      </c>
      <c r="DH364" s="122">
        <v>46142</v>
      </c>
      <c r="DI364" s="123">
        <v>4123.51</v>
      </c>
      <c r="DJ364" s="127">
        <v>1203.58</v>
      </c>
      <c r="DK364" s="127">
        <v>2551.7600000000002</v>
      </c>
      <c r="DL364" s="127"/>
      <c r="DM364" s="126">
        <v>4</v>
      </c>
      <c r="DO364" s="240">
        <v>330.94681999999955</v>
      </c>
      <c r="DP364" s="52"/>
      <c r="DQ364" s="52"/>
      <c r="DR364" s="53">
        <f t="shared" si="231"/>
        <v>334.94681999999955</v>
      </c>
      <c r="DT364" s="122">
        <v>46142</v>
      </c>
      <c r="DU364" s="123">
        <v>3187.52</v>
      </c>
      <c r="DV364" s="125">
        <v>1411.43</v>
      </c>
      <c r="DW364" s="127"/>
      <c r="DX364" s="126">
        <v>28.21</v>
      </c>
      <c r="DZ364" s="240"/>
      <c r="EA364" s="52"/>
      <c r="EB364" s="52"/>
      <c r="EC364" s="53">
        <f t="shared" si="232"/>
        <v>28.21</v>
      </c>
      <c r="EE364" s="122">
        <v>46142</v>
      </c>
      <c r="EF364" s="123">
        <v>1724.4</v>
      </c>
      <c r="EG364" s="125">
        <v>841.14</v>
      </c>
      <c r="EH364" s="127"/>
      <c r="EI364" s="126">
        <v>1.34</v>
      </c>
      <c r="EK364" s="240">
        <v>733.15568999999959</v>
      </c>
      <c r="EL364" s="435">
        <v>134.84800000000001</v>
      </c>
      <c r="EM364" s="52">
        <v>128.71912322285715</v>
      </c>
      <c r="EN364" s="52"/>
      <c r="EO364" s="53">
        <f t="shared" si="233"/>
        <v>998.0628132228569</v>
      </c>
      <c r="EQ364" s="122">
        <v>46142</v>
      </c>
      <c r="ER364" s="123">
        <v>7889.01</v>
      </c>
      <c r="ES364" s="400">
        <v>464.96</v>
      </c>
      <c r="ET364" s="127"/>
      <c r="EU364" s="258">
        <v>193.68</v>
      </c>
      <c r="EW364" s="240"/>
      <c r="EX364" s="53">
        <v>19.475910505714296</v>
      </c>
      <c r="EY364" s="52"/>
      <c r="EZ364" s="53">
        <f t="shared" si="234"/>
        <v>213.1559105057143</v>
      </c>
      <c r="FB364" s="122">
        <v>46142</v>
      </c>
      <c r="FC364" s="123">
        <v>1306.47</v>
      </c>
      <c r="FD364" s="123">
        <v>231.89</v>
      </c>
      <c r="FE364" s="125"/>
      <c r="FF364" s="126"/>
      <c r="FH364" s="51"/>
      <c r="FI364" s="52"/>
      <c r="FJ364" s="52"/>
      <c r="FK364" s="53"/>
    </row>
    <row r="365" spans="2:167" ht="16.5" thickBot="1" x14ac:dyDescent="0.3">
      <c r="B365" s="32"/>
      <c r="C365" s="129">
        <f>SUM(C335:C364)</f>
        <v>581243.31000000006</v>
      </c>
      <c r="D365" s="129">
        <f>SUM(D335:D364)</f>
        <v>0</v>
      </c>
      <c r="E365" s="32"/>
      <c r="F365" s="129">
        <f>SUM(F335:F364)</f>
        <v>44.7</v>
      </c>
      <c r="G365" s="241"/>
      <c r="H365" s="242">
        <f>SUM(H335:H364)</f>
        <v>767.89658999999938</v>
      </c>
      <c r="I365" s="243">
        <f>SUM(I335:I364)</f>
        <v>309.27230425895277</v>
      </c>
      <c r="J365" s="243">
        <f>SUM(J335:J364)</f>
        <v>0</v>
      </c>
      <c r="K365" s="243">
        <f>SUM(K335:K364)</f>
        <v>1121.8688942589524</v>
      </c>
      <c r="L365" s="274"/>
      <c r="M365" s="32"/>
      <c r="N365" s="129">
        <f>SUM(N335:N364)</f>
        <v>219092.53</v>
      </c>
      <c r="O365" s="129"/>
      <c r="P365" s="129">
        <f>SUM(P335:P364)</f>
        <v>2202.13</v>
      </c>
      <c r="Q365" s="274"/>
      <c r="R365" s="84">
        <f>SUM(R335:R364)</f>
        <v>351.17150000000009</v>
      </c>
      <c r="S365" s="84">
        <f>SUM(S335:S364)</f>
        <v>23.651408355714324</v>
      </c>
      <c r="T365" s="84">
        <f>SUM(T335:T364)</f>
        <v>0</v>
      </c>
      <c r="U365" s="84">
        <f>SUM(U335:U364)</f>
        <v>2576.952908355714</v>
      </c>
      <c r="V365" s="274"/>
      <c r="W365" s="32"/>
      <c r="X365" s="242">
        <f>SUM(X335:X364)</f>
        <v>100969.56000000001</v>
      </c>
      <c r="Y365" s="242">
        <f>SUM(Y335:Y364)</f>
        <v>10476.1</v>
      </c>
      <c r="Z365" s="242">
        <f>SUM(Z335:Z364)</f>
        <v>0</v>
      </c>
      <c r="AA365" s="242">
        <f>SUM(AA335:AA364)</f>
        <v>280.97999999999996</v>
      </c>
      <c r="AB365" s="274"/>
      <c r="AC365" s="84">
        <f>SUM(AC335:AC364)</f>
        <v>632.15386999999862</v>
      </c>
      <c r="AD365" s="84">
        <f>SUM(AD335:AD364)</f>
        <v>112.79483689009513</v>
      </c>
      <c r="AE365" s="84">
        <f>SUM(AE335:AE364)</f>
        <v>0</v>
      </c>
      <c r="AF365" s="84">
        <f>SUM(AF335:AF364)</f>
        <v>1025.9287068900937</v>
      </c>
      <c r="AG365" s="274"/>
      <c r="AH365" s="274"/>
      <c r="AI365" s="32"/>
      <c r="AJ365" s="129">
        <f>SUM(AJ335:AJ364)</f>
        <v>79908.740000000005</v>
      </c>
      <c r="AK365" s="32"/>
      <c r="AL365" s="32"/>
      <c r="AM365" s="274"/>
      <c r="AN365" s="84">
        <f>SUM(AN335:AN364)</f>
        <v>0</v>
      </c>
      <c r="AO365" s="84">
        <f>SUM(AO335:AO364)</f>
        <v>0</v>
      </c>
      <c r="AP365" s="84">
        <f>SUM(AP335:AP364)</f>
        <v>0</v>
      </c>
      <c r="AQ365" s="84">
        <f>SUM(AQ335:AQ364)</f>
        <v>0</v>
      </c>
      <c r="AR365" s="274"/>
      <c r="AS365" s="32"/>
      <c r="AT365" s="129">
        <f>SUM(AT335:AT364)</f>
        <v>143366.47</v>
      </c>
      <c r="AU365" s="32"/>
      <c r="AV365" s="129">
        <f>SUM(AV335:AV364)</f>
        <v>0</v>
      </c>
      <c r="AW365" s="274"/>
      <c r="AX365" s="84">
        <f>SUM(AX335:AX364)</f>
        <v>0</v>
      </c>
      <c r="AY365" s="84">
        <f>SUM(AY335:AY364)</f>
        <v>0</v>
      </c>
      <c r="AZ365" s="84">
        <f>SUM(AZ335:AZ364)</f>
        <v>0</v>
      </c>
      <c r="BA365" s="84">
        <f>SUM(BA335:BA364)</f>
        <v>0</v>
      </c>
      <c r="BB365" s="274"/>
      <c r="BC365" s="32"/>
      <c r="BD365" s="129">
        <f>SUM(BD335:BD364)</f>
        <v>124569.44</v>
      </c>
      <c r="BE365" s="32"/>
      <c r="BF365" s="129">
        <f>SUM(BF335:BF364)</f>
        <v>30.02</v>
      </c>
      <c r="BG365" s="274"/>
      <c r="BH365" s="84">
        <f>SUM(BH335:BH364)</f>
        <v>621.863689999999</v>
      </c>
      <c r="BI365" s="84">
        <f>SUM(BI335:BI364)</f>
        <v>0</v>
      </c>
      <c r="BJ365" s="84">
        <f>SUM(BJ335:BJ364)</f>
        <v>0</v>
      </c>
      <c r="BK365" s="84">
        <f>SUM(BK335:BK364)</f>
        <v>651.88368999999898</v>
      </c>
      <c r="BL365" s="274"/>
      <c r="BM365" s="32"/>
      <c r="BN365" s="129">
        <f>SUM(BN335:BN364)</f>
        <v>501416.56999999995</v>
      </c>
      <c r="BO365" s="129">
        <f>SUM(BO335:BO364)</f>
        <v>110490.69000000003</v>
      </c>
      <c r="BP365" s="129">
        <f>SUM(BP335:BP364)</f>
        <v>262158.62</v>
      </c>
      <c r="BQ365" s="129">
        <f>SUM(BQ335:BQ364)</f>
        <v>0</v>
      </c>
      <c r="BR365" s="129">
        <f>SUM(BR335:BR364)</f>
        <v>0</v>
      </c>
      <c r="BS365" s="274"/>
      <c r="BT365" s="84">
        <f>SUM(BT335:BT364)</f>
        <v>5075.3262600000007</v>
      </c>
      <c r="BU365" s="84">
        <f>SUM(BU335:BU364)</f>
        <v>5030.766891073049</v>
      </c>
      <c r="BV365" s="84">
        <f>SUM(BV335:BV364)</f>
        <v>531.80948710000018</v>
      </c>
      <c r="BW365" s="84">
        <f>SUM(BW335:BW364)</f>
        <v>10637.902638173047</v>
      </c>
      <c r="BX365" s="274"/>
      <c r="BY365" s="32"/>
      <c r="BZ365" s="129">
        <f>SUM(BZ335:BZ364)</f>
        <v>54128.12</v>
      </c>
      <c r="CA365" s="129">
        <f>SUM(CA335:CA364)</f>
        <v>17409.23</v>
      </c>
      <c r="CB365" s="32"/>
      <c r="CC365" s="129"/>
      <c r="CD365" s="274"/>
      <c r="CE365" s="84">
        <f>SUM(CE335:CE364)</f>
        <v>67.683109999999743</v>
      </c>
      <c r="CF365" s="84">
        <f>SUM(CF335:CF364)</f>
        <v>418.88574722828565</v>
      </c>
      <c r="CG365" s="84">
        <f>SUM(CG335:CG364)</f>
        <v>45.892708799999951</v>
      </c>
      <c r="CH365" s="84">
        <f>SUM(CH335:CH364)</f>
        <v>532.46156602828523</v>
      </c>
      <c r="CI365" s="274"/>
      <c r="CJ365" s="32"/>
      <c r="CK365" s="129">
        <f>SUM(CK335:CK364)</f>
        <v>328182.18</v>
      </c>
      <c r="CL365" s="129">
        <f>SUM(CL335:CL364)</f>
        <v>23558.360000000004</v>
      </c>
      <c r="CM365" s="32"/>
      <c r="CN365" s="129">
        <f>SUM(CN335:CN364)</f>
        <v>810.35</v>
      </c>
      <c r="CO365" s="274"/>
      <c r="CP365" s="84">
        <f>SUM(CP335:CP364)</f>
        <v>461.77596999999685</v>
      </c>
      <c r="CQ365" s="84">
        <f>SUM(CQ335:CQ364)</f>
        <v>51.231863455523779</v>
      </c>
      <c r="CR365" s="84">
        <f>SUM(CR335:CR364)</f>
        <v>0</v>
      </c>
      <c r="CS365" s="84">
        <f>SUM(CS335:CS364)</f>
        <v>1323.3578334555207</v>
      </c>
      <c r="CT365" s="274"/>
      <c r="CU365" s="32"/>
      <c r="CV365" s="129">
        <f>SUM(CV335:CV364)</f>
        <v>441596.63000000006</v>
      </c>
      <c r="CW365" s="129">
        <f>SUM(CW335:CW364)</f>
        <v>69744.12</v>
      </c>
      <c r="CX365" s="32"/>
      <c r="CY365" s="129">
        <f>SUM(CY335:CY364)</f>
        <v>4140.21</v>
      </c>
      <c r="CZ365" s="241"/>
      <c r="DA365" s="242">
        <f>SUM(DA335:DA364)</f>
        <v>11307.978039999976</v>
      </c>
      <c r="DB365" s="242">
        <f t="shared" ref="DB365:DC365" si="236">SUM(DB335:DB364)</f>
        <v>4045.4399999999991</v>
      </c>
      <c r="DC365" s="242">
        <f t="shared" si="236"/>
        <v>0</v>
      </c>
      <c r="DD365" s="243">
        <f>SUM(DD335:DD364)</f>
        <v>0</v>
      </c>
      <c r="DE365" s="243">
        <f>SUM(DE335:DE364)</f>
        <v>19493.62803999997</v>
      </c>
      <c r="DF365" s="274"/>
      <c r="DG365" s="274"/>
      <c r="DH365" s="32"/>
      <c r="DI365" s="129">
        <f>SUM(DI335:DI364)</f>
        <v>141456.76</v>
      </c>
      <c r="DJ365" s="129">
        <f>SUM(DJ335:DJ364)</f>
        <v>25353.660000000003</v>
      </c>
      <c r="DK365" s="129">
        <f>SUM(DK335:DK364)</f>
        <v>69530.599999999991</v>
      </c>
      <c r="DL365" s="32"/>
      <c r="DM365" s="129">
        <f>SUM(DM335:DM364)</f>
        <v>54.4</v>
      </c>
      <c r="DN365" s="274"/>
      <c r="DO365" s="84">
        <f>SUM(DO335:DO364)</f>
        <v>728.23402999999905</v>
      </c>
      <c r="DP365" s="84">
        <f>SUM(DP335:DP364)</f>
        <v>41.645486450476312</v>
      </c>
      <c r="DQ365" s="84">
        <f>SUM(DQ335:DQ364)</f>
        <v>0</v>
      </c>
      <c r="DR365" s="84">
        <f>SUM(DR335:DR364)</f>
        <v>824.2795164504754</v>
      </c>
      <c r="DS365" s="274"/>
      <c r="DT365" s="32"/>
      <c r="DU365" s="264">
        <f>SUM(DU335:DU364)</f>
        <v>91742.12999999999</v>
      </c>
      <c r="DV365" s="129">
        <f>SUM(DV335:DV364)</f>
        <v>31535.119999999988</v>
      </c>
      <c r="DW365" s="32"/>
      <c r="DX365" s="264">
        <f>SUM(DX335:DX364)</f>
        <v>808.07000000000016</v>
      </c>
      <c r="DY365" s="274"/>
      <c r="DZ365" s="84">
        <f>SUM(DZ335:DZ364)</f>
        <v>0</v>
      </c>
      <c r="EA365" s="84">
        <f>SUM(EA335:EA364)</f>
        <v>41.112105769047673</v>
      </c>
      <c r="EB365" s="84">
        <f>SUM(EB335:EB364)</f>
        <v>0</v>
      </c>
      <c r="EC365" s="84">
        <f>SUM(EC335:EC364)</f>
        <v>849.18210576904778</v>
      </c>
      <c r="ED365" s="274"/>
      <c r="EE365" s="32"/>
      <c r="EF365" s="129">
        <f>SUM(EF335:EF364)</f>
        <v>58234.619999999995</v>
      </c>
      <c r="EG365" s="129">
        <f>SUM(EG335:EG364)</f>
        <v>20139.570000000003</v>
      </c>
      <c r="EH365" s="32"/>
      <c r="EI365" s="129">
        <f>SUM(EI335:EI364)</f>
        <v>91.210000000000022</v>
      </c>
      <c r="EJ365" s="274"/>
      <c r="EK365" s="84">
        <f>SUM(EK335:EK364)</f>
        <v>7447.2986299999948</v>
      </c>
      <c r="EL365" s="84">
        <f>SUM(EL335:EL364)</f>
        <v>4045.4399999999991</v>
      </c>
      <c r="EM365" s="84">
        <f>SUM(EM335:EM364)</f>
        <v>1551.3657062695711</v>
      </c>
      <c r="EN365" s="84">
        <f>SUM(EN335:EN364)</f>
        <v>27.029490099999919</v>
      </c>
      <c r="EO365" s="84">
        <f>SUM(EO335:EO364)</f>
        <v>13162.343826369568</v>
      </c>
      <c r="EP365" s="274"/>
      <c r="EQ365" s="265"/>
      <c r="ER365" s="129">
        <f>SUM(ER335:ER364)</f>
        <v>189912.55000000005</v>
      </c>
      <c r="ES365" s="129">
        <f>SUM(ES335:ES364)</f>
        <v>9005.8700000000008</v>
      </c>
      <c r="ET365" s="32"/>
      <c r="EU365" s="129">
        <f>SUM(EU335:EU364)</f>
        <v>9431.5400000000009</v>
      </c>
      <c r="EV365" s="274"/>
      <c r="EW365" s="84">
        <f>SUM(EW335:EW364)</f>
        <v>1128.1570700000002</v>
      </c>
      <c r="EX365" s="84">
        <f>SUM(EX335:EX364)</f>
        <v>3363.9189544842925</v>
      </c>
      <c r="EY365" s="84">
        <f>SUM(EY335:EY364)</f>
        <v>0</v>
      </c>
      <c r="EZ365" s="84">
        <f>SUM(EZ335:EZ364)</f>
        <v>13923.616024484294</v>
      </c>
      <c r="FA365" s="274"/>
      <c r="FB365" s="32"/>
      <c r="FC365" s="129">
        <f>SUM(FC335:FC364)</f>
        <v>40964.919999999991</v>
      </c>
      <c r="FD365" s="129">
        <f>SUM(FD335:FD364)</f>
        <v>5534.1500000000005</v>
      </c>
      <c r="FE365" s="32"/>
      <c r="FF365" s="129">
        <f>SUM(FF335:FF364)</f>
        <v>0</v>
      </c>
      <c r="FG365" s="274"/>
      <c r="FH365" s="84">
        <f>SUM(FH335:FH364)</f>
        <v>0</v>
      </c>
      <c r="FI365" s="84">
        <f>SUM(FI335:FI364)</f>
        <v>0</v>
      </c>
      <c r="FJ365" s="84">
        <f>SUM(FJ335:FJ364)</f>
        <v>0</v>
      </c>
      <c r="FK365" s="84">
        <f>SUM(FK335:FK364)</f>
        <v>0</v>
      </c>
    </row>
  </sheetData>
  <mergeCells count="24">
    <mergeCell ref="M260:P260"/>
    <mergeCell ref="AI260:AQ260"/>
    <mergeCell ref="AS260:BA260"/>
    <mergeCell ref="BC260:BK260"/>
    <mergeCell ref="M222:P222"/>
    <mergeCell ref="AI222:AQ222"/>
    <mergeCell ref="AS222:BA222"/>
    <mergeCell ref="BC222:BK222"/>
    <mergeCell ref="M2:P2"/>
    <mergeCell ref="AI2:AQ2"/>
    <mergeCell ref="AS2:BA2"/>
    <mergeCell ref="BC2:BK2"/>
    <mergeCell ref="M42:P42"/>
    <mergeCell ref="AI42:AQ42"/>
    <mergeCell ref="AS42:BA42"/>
    <mergeCell ref="BC42:BK42"/>
    <mergeCell ref="M295:P295"/>
    <mergeCell ref="AI295:AQ295"/>
    <mergeCell ref="AS295:BA295"/>
    <mergeCell ref="BC295:BK295"/>
    <mergeCell ref="M332:P332"/>
    <mergeCell ref="AI332:AQ332"/>
    <mergeCell ref="AS332:BA332"/>
    <mergeCell ref="BC332:BK332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CY228"/>
  <sheetViews>
    <sheetView zoomScaleNormal="100" workbookViewId="0">
      <pane xSplit="1" topLeftCell="AE1" activePane="topRight" state="frozen"/>
      <selection pane="topRight" activeCell="AI233" sqref="AI233"/>
    </sheetView>
  </sheetViews>
  <sheetFormatPr baseColWidth="10" defaultRowHeight="15" x14ac:dyDescent="0.25"/>
  <cols>
    <col min="2" max="2" width="15.28515625" bestFit="1" customWidth="1"/>
    <col min="3" max="3" width="13.85546875" bestFit="1" customWidth="1"/>
    <col min="4" max="5" width="15.140625" bestFit="1" customWidth="1"/>
    <col min="6" max="6" width="2.28515625" customWidth="1"/>
    <col min="7" max="7" width="11.5703125" customWidth="1"/>
    <col min="8" max="8" width="11.140625" customWidth="1"/>
    <col min="9" max="9" width="12.28515625" customWidth="1"/>
    <col min="10" max="10" width="15.140625" customWidth="1"/>
    <col min="12" max="12" width="15.28515625" bestFit="1" customWidth="1"/>
    <col min="13" max="13" width="13.85546875" bestFit="1" customWidth="1"/>
    <col min="14" max="14" width="12.5703125" customWidth="1"/>
    <col min="15" max="15" width="14.28515625" customWidth="1"/>
    <col min="16" max="16" width="2.28515625" customWidth="1"/>
    <col min="17" max="18" width="11.5703125" customWidth="1"/>
    <col min="19" max="19" width="11.140625" customWidth="1"/>
    <col min="20" max="20" width="12.28515625" customWidth="1"/>
    <col min="21" max="21" width="15.140625" customWidth="1"/>
    <col min="23" max="23" width="15.28515625" bestFit="1" customWidth="1"/>
    <col min="24" max="24" width="13.85546875" bestFit="1" customWidth="1"/>
    <col min="25" max="25" width="12.42578125" customWidth="1"/>
    <col min="26" max="26" width="15.140625" bestFit="1" customWidth="1"/>
    <col min="27" max="27" width="2.28515625" customWidth="1"/>
    <col min="28" max="28" width="11.5703125" customWidth="1"/>
    <col min="29" max="29" width="11.140625" customWidth="1"/>
    <col min="30" max="30" width="12.28515625" customWidth="1"/>
    <col min="31" max="31" width="15.140625" customWidth="1"/>
    <col min="33" max="33" width="15.28515625" bestFit="1" customWidth="1"/>
    <col min="34" max="34" width="13.85546875" customWidth="1"/>
    <col min="35" max="35" width="11.85546875" customWidth="1"/>
    <col min="36" max="36" width="13.85546875" customWidth="1"/>
    <col min="37" max="37" width="2.28515625" customWidth="1"/>
    <col min="38" max="38" width="11.5703125" customWidth="1"/>
    <col min="39" max="39" width="11.140625" customWidth="1"/>
    <col min="40" max="40" width="12.28515625" customWidth="1"/>
    <col min="41" max="41" width="15.140625" customWidth="1"/>
    <col min="43" max="43" width="15.28515625" bestFit="1" customWidth="1"/>
    <col min="44" max="44" width="13.85546875" bestFit="1" customWidth="1"/>
    <col min="45" max="46" width="15.140625" bestFit="1" customWidth="1"/>
    <col min="47" max="47" width="2.28515625" customWidth="1"/>
    <col min="48" max="48" width="11.5703125" customWidth="1"/>
    <col min="49" max="49" width="11.140625" customWidth="1"/>
    <col min="50" max="50" width="12.28515625" customWidth="1"/>
    <col min="51" max="51" width="15.140625" customWidth="1"/>
    <col min="53" max="53" width="15.28515625" bestFit="1" customWidth="1"/>
    <col min="54" max="54" width="13.85546875" bestFit="1" customWidth="1"/>
    <col min="55" max="55" width="12.28515625" customWidth="1"/>
    <col min="56" max="56" width="13.140625" customWidth="1"/>
    <col min="57" max="57" width="2.28515625" customWidth="1"/>
    <col min="58" max="58" width="11.5703125" customWidth="1"/>
    <col min="59" max="59" width="11.140625" customWidth="1"/>
    <col min="60" max="60" width="12.28515625" customWidth="1"/>
    <col min="61" max="61" width="15.140625" customWidth="1"/>
    <col min="63" max="63" width="15.28515625" bestFit="1" customWidth="1"/>
    <col min="64" max="64" width="13.85546875" customWidth="1"/>
    <col min="65" max="65" width="12.85546875" customWidth="1"/>
    <col min="66" max="66" width="15.140625" bestFit="1" customWidth="1"/>
    <col min="67" max="67" width="7.5703125" customWidth="1"/>
    <col min="68" max="69" width="11.5703125" customWidth="1"/>
    <col min="70" max="70" width="11.140625" customWidth="1"/>
    <col min="71" max="71" width="12.28515625" customWidth="1"/>
    <col min="72" max="72" width="15.140625" customWidth="1"/>
    <col min="74" max="74" width="15.28515625" bestFit="1" customWidth="1"/>
    <col min="75" max="75" width="13.85546875" bestFit="1" customWidth="1"/>
    <col min="76" max="76" width="11.7109375" customWidth="1"/>
    <col min="77" max="77" width="13.85546875" customWidth="1"/>
    <col min="78" max="78" width="2.28515625" customWidth="1"/>
    <col min="79" max="79" width="11.5703125" customWidth="1"/>
    <col min="80" max="80" width="11.140625" customWidth="1"/>
    <col min="81" max="81" width="12.28515625" customWidth="1"/>
    <col min="82" max="82" width="15.140625" customWidth="1"/>
    <col min="84" max="84" width="15.28515625" bestFit="1" customWidth="1"/>
    <col min="85" max="85" width="12.5703125" customWidth="1"/>
    <col min="86" max="86" width="11.85546875" customWidth="1"/>
    <col min="87" max="87" width="13.28515625" customWidth="1"/>
    <col min="88" max="88" width="2.28515625" customWidth="1"/>
    <col min="89" max="89" width="11.5703125" customWidth="1"/>
    <col min="90" max="90" width="11.140625" customWidth="1"/>
    <col min="91" max="91" width="12.28515625" customWidth="1"/>
    <col min="92" max="92" width="15.140625" customWidth="1"/>
    <col min="94" max="94" width="15.28515625" bestFit="1" customWidth="1"/>
    <col min="95" max="95" width="13.85546875" bestFit="1" customWidth="1"/>
    <col min="96" max="96" width="13.85546875" customWidth="1"/>
    <col min="97" max="97" width="14" customWidth="1"/>
    <col min="98" max="98" width="15.140625" bestFit="1" customWidth="1"/>
    <col min="99" max="99" width="2.28515625" customWidth="1"/>
    <col min="100" max="100" width="11.5703125" customWidth="1"/>
    <col min="101" max="101" width="11.140625" customWidth="1"/>
    <col min="102" max="102" width="12.28515625" customWidth="1"/>
    <col min="103" max="103" width="15.140625" style="32" customWidth="1"/>
  </cols>
  <sheetData>
    <row r="2" spans="1:103" ht="21" hidden="1" x14ac:dyDescent="0.35">
      <c r="B2" s="1" t="s">
        <v>44</v>
      </c>
      <c r="L2" s="1" t="s">
        <v>45</v>
      </c>
      <c r="W2" s="1" t="s">
        <v>46</v>
      </c>
      <c r="AG2" s="1" t="s">
        <v>47</v>
      </c>
      <c r="AQ2" s="1" t="s">
        <v>48</v>
      </c>
      <c r="BA2" s="1" t="s">
        <v>49</v>
      </c>
      <c r="BK2" s="1" t="s">
        <v>50</v>
      </c>
      <c r="BV2" s="1" t="s">
        <v>51</v>
      </c>
      <c r="CF2" s="1" t="s">
        <v>52</v>
      </c>
      <c r="CP2" s="1" t="s">
        <v>53</v>
      </c>
    </row>
    <row r="3" spans="1:103" hidden="1" x14ac:dyDescent="0.25"/>
    <row r="4" spans="1:103" s="217" customFormat="1" ht="12.75" hidden="1" x14ac:dyDescent="0.2">
      <c r="A4" s="213" t="s">
        <v>14</v>
      </c>
      <c r="B4" s="132" t="s">
        <v>15</v>
      </c>
      <c r="C4" s="210" t="s">
        <v>15</v>
      </c>
      <c r="D4" s="214" t="s">
        <v>16</v>
      </c>
      <c r="E4" s="215" t="s">
        <v>16</v>
      </c>
      <c r="F4" s="6"/>
      <c r="G4" s="7" t="s">
        <v>16</v>
      </c>
      <c r="H4" s="8" t="s">
        <v>16</v>
      </c>
      <c r="I4" s="9" t="s">
        <v>16</v>
      </c>
      <c r="J4" s="216" t="s">
        <v>54</v>
      </c>
      <c r="L4" s="132" t="s">
        <v>15</v>
      </c>
      <c r="M4" s="210" t="s">
        <v>15</v>
      </c>
      <c r="N4" s="214" t="s">
        <v>16</v>
      </c>
      <c r="O4" s="215" t="s">
        <v>16</v>
      </c>
      <c r="P4" s="6"/>
      <c r="Q4" s="7" t="s">
        <v>16</v>
      </c>
      <c r="R4" s="7"/>
      <c r="S4" s="8" t="s">
        <v>16</v>
      </c>
      <c r="T4" s="9" t="s">
        <v>16</v>
      </c>
      <c r="U4" s="216" t="s">
        <v>54</v>
      </c>
      <c r="W4" s="132" t="s">
        <v>15</v>
      </c>
      <c r="X4" s="210" t="s">
        <v>15</v>
      </c>
      <c r="Y4" s="214" t="s">
        <v>16</v>
      </c>
      <c r="Z4" s="215" t="s">
        <v>16</v>
      </c>
      <c r="AA4" s="6"/>
      <c r="AB4" s="7" t="s">
        <v>16</v>
      </c>
      <c r="AC4" s="8" t="s">
        <v>16</v>
      </c>
      <c r="AD4" s="9" t="s">
        <v>16</v>
      </c>
      <c r="AE4" s="216" t="s">
        <v>54</v>
      </c>
      <c r="AG4" s="132" t="s">
        <v>15</v>
      </c>
      <c r="AH4" s="210" t="s">
        <v>15</v>
      </c>
      <c r="AI4" s="214" t="s">
        <v>16</v>
      </c>
      <c r="AJ4" s="215" t="s">
        <v>16</v>
      </c>
      <c r="AK4" s="6"/>
      <c r="AL4" s="7" t="s">
        <v>16</v>
      </c>
      <c r="AM4" s="8" t="s">
        <v>16</v>
      </c>
      <c r="AN4" s="9" t="s">
        <v>16</v>
      </c>
      <c r="AO4" s="216" t="s">
        <v>54</v>
      </c>
      <c r="AQ4" s="132" t="s">
        <v>15</v>
      </c>
      <c r="AR4" s="210" t="s">
        <v>15</v>
      </c>
      <c r="AS4" s="214" t="s">
        <v>16</v>
      </c>
      <c r="AT4" s="215" t="s">
        <v>16</v>
      </c>
      <c r="AU4" s="6"/>
      <c r="AV4" s="7" t="s">
        <v>16</v>
      </c>
      <c r="AW4" s="8" t="s">
        <v>16</v>
      </c>
      <c r="AX4" s="9" t="s">
        <v>16</v>
      </c>
      <c r="AY4" s="216" t="s">
        <v>54</v>
      </c>
      <c r="BA4" s="132" t="s">
        <v>15</v>
      </c>
      <c r="BB4" s="210" t="s">
        <v>15</v>
      </c>
      <c r="BC4" s="214" t="s">
        <v>16</v>
      </c>
      <c r="BD4" s="215" t="s">
        <v>16</v>
      </c>
      <c r="BE4" s="6"/>
      <c r="BF4" s="7" t="s">
        <v>16</v>
      </c>
      <c r="BG4" s="8" t="s">
        <v>16</v>
      </c>
      <c r="BH4" s="9" t="s">
        <v>16</v>
      </c>
      <c r="BI4" s="216" t="s">
        <v>54</v>
      </c>
      <c r="BK4" s="132" t="s">
        <v>15</v>
      </c>
      <c r="BL4" s="210" t="s">
        <v>15</v>
      </c>
      <c r="BM4" s="5" t="s">
        <v>16</v>
      </c>
      <c r="BN4" s="215" t="s">
        <v>16</v>
      </c>
      <c r="BO4" s="6"/>
      <c r="BP4" s="7" t="s">
        <v>16</v>
      </c>
      <c r="BQ4" s="7"/>
      <c r="BR4" s="8" t="s">
        <v>16</v>
      </c>
      <c r="BS4" s="9" t="s">
        <v>16</v>
      </c>
      <c r="BT4" s="216" t="s">
        <v>54</v>
      </c>
      <c r="BV4" s="132" t="s">
        <v>15</v>
      </c>
      <c r="BW4" s="210" t="s">
        <v>15</v>
      </c>
      <c r="BX4" s="214" t="s">
        <v>16</v>
      </c>
      <c r="BY4" s="215" t="s">
        <v>16</v>
      </c>
      <c r="BZ4" s="6"/>
      <c r="CA4" s="7" t="s">
        <v>16</v>
      </c>
      <c r="CB4" s="8" t="s">
        <v>16</v>
      </c>
      <c r="CC4" s="9" t="s">
        <v>16</v>
      </c>
      <c r="CD4" s="216" t="s">
        <v>54</v>
      </c>
      <c r="CF4" s="132" t="s">
        <v>15</v>
      </c>
      <c r="CG4" s="210" t="s">
        <v>15</v>
      </c>
      <c r="CH4" s="214" t="s">
        <v>16</v>
      </c>
      <c r="CI4" s="215" t="s">
        <v>16</v>
      </c>
      <c r="CJ4" s="6"/>
      <c r="CK4" s="7" t="s">
        <v>16</v>
      </c>
      <c r="CL4" s="8" t="s">
        <v>16</v>
      </c>
      <c r="CM4" s="9" t="s">
        <v>16</v>
      </c>
      <c r="CN4" s="216" t="s">
        <v>54</v>
      </c>
      <c r="CP4" s="132" t="s">
        <v>15</v>
      </c>
      <c r="CQ4" s="210" t="s">
        <v>15</v>
      </c>
      <c r="CR4" s="210" t="s">
        <v>15</v>
      </c>
      <c r="CS4" s="214" t="s">
        <v>16</v>
      </c>
      <c r="CT4" s="215" t="s">
        <v>16</v>
      </c>
      <c r="CU4" s="6"/>
      <c r="CV4" s="7" t="s">
        <v>16</v>
      </c>
      <c r="CW4" s="8" t="s">
        <v>16</v>
      </c>
      <c r="CX4" s="9" t="s">
        <v>16</v>
      </c>
      <c r="CY4" s="218" t="s">
        <v>54</v>
      </c>
    </row>
    <row r="5" spans="1:103" s="217" customFormat="1" ht="13.5" hidden="1" thickBot="1" x14ac:dyDescent="0.25">
      <c r="A5" s="219"/>
      <c r="B5" s="220" t="s">
        <v>18</v>
      </c>
      <c r="C5" s="221" t="s">
        <v>19</v>
      </c>
      <c r="D5" s="222" t="s">
        <v>25</v>
      </c>
      <c r="E5" s="223" t="s">
        <v>19</v>
      </c>
      <c r="F5" s="6"/>
      <c r="G5" s="16" t="s">
        <v>21</v>
      </c>
      <c r="H5" s="17" t="s">
        <v>22</v>
      </c>
      <c r="I5" s="18" t="s">
        <v>23</v>
      </c>
      <c r="J5" s="19" t="s">
        <v>55</v>
      </c>
      <c r="L5" s="220" t="s">
        <v>18</v>
      </c>
      <c r="M5" s="221" t="s">
        <v>19</v>
      </c>
      <c r="N5" s="222" t="s">
        <v>25</v>
      </c>
      <c r="O5" s="223" t="s">
        <v>19</v>
      </c>
      <c r="P5" s="6"/>
      <c r="Q5" s="16" t="s">
        <v>21</v>
      </c>
      <c r="R5" s="16"/>
      <c r="S5" s="17" t="s">
        <v>22</v>
      </c>
      <c r="T5" s="18" t="s">
        <v>23</v>
      </c>
      <c r="U5" s="19" t="s">
        <v>55</v>
      </c>
      <c r="W5" s="220" t="s">
        <v>18</v>
      </c>
      <c r="X5" s="221" t="s">
        <v>19</v>
      </c>
      <c r="Y5" s="222" t="s">
        <v>19</v>
      </c>
      <c r="Z5" s="223" t="s">
        <v>25</v>
      </c>
      <c r="AA5" s="6"/>
      <c r="AB5" s="16" t="s">
        <v>21</v>
      </c>
      <c r="AC5" s="17" t="s">
        <v>22</v>
      </c>
      <c r="AD5" s="18" t="s">
        <v>23</v>
      </c>
      <c r="AE5" s="19" t="s">
        <v>55</v>
      </c>
      <c r="AG5" s="220" t="s">
        <v>18</v>
      </c>
      <c r="AH5" s="221" t="s">
        <v>19</v>
      </c>
      <c r="AI5" s="222" t="s">
        <v>25</v>
      </c>
      <c r="AJ5" s="223" t="s">
        <v>19</v>
      </c>
      <c r="AK5" s="6"/>
      <c r="AL5" s="16" t="s">
        <v>21</v>
      </c>
      <c r="AM5" s="17" t="s">
        <v>22</v>
      </c>
      <c r="AN5" s="18" t="s">
        <v>23</v>
      </c>
      <c r="AO5" s="19" t="s">
        <v>55</v>
      </c>
      <c r="AQ5" s="220" t="s">
        <v>18</v>
      </c>
      <c r="AR5" s="221" t="s">
        <v>19</v>
      </c>
      <c r="AS5" s="222" t="s">
        <v>25</v>
      </c>
      <c r="AT5" s="223" t="s">
        <v>19</v>
      </c>
      <c r="AU5" s="6"/>
      <c r="AV5" s="16" t="s">
        <v>21</v>
      </c>
      <c r="AW5" s="17" t="s">
        <v>22</v>
      </c>
      <c r="AX5" s="18" t="s">
        <v>23</v>
      </c>
      <c r="AY5" s="19" t="s">
        <v>55</v>
      </c>
      <c r="BA5" s="220" t="s">
        <v>18</v>
      </c>
      <c r="BB5" s="221" t="s">
        <v>19</v>
      </c>
      <c r="BC5" s="222" t="s">
        <v>25</v>
      </c>
      <c r="BD5" s="223" t="s">
        <v>19</v>
      </c>
      <c r="BE5" s="6"/>
      <c r="BF5" s="16" t="s">
        <v>21</v>
      </c>
      <c r="BG5" s="17" t="s">
        <v>22</v>
      </c>
      <c r="BH5" s="18" t="s">
        <v>23</v>
      </c>
      <c r="BI5" s="19" t="s">
        <v>55</v>
      </c>
      <c r="BK5" s="220" t="s">
        <v>18</v>
      </c>
      <c r="BL5" s="221" t="s">
        <v>19</v>
      </c>
      <c r="BM5" s="222" t="s">
        <v>25</v>
      </c>
      <c r="BN5" s="223" t="s">
        <v>19</v>
      </c>
      <c r="BO5" s="6"/>
      <c r="BP5" s="16" t="s">
        <v>21</v>
      </c>
      <c r="BQ5" s="16"/>
      <c r="BR5" s="17" t="s">
        <v>22</v>
      </c>
      <c r="BS5" s="18" t="s">
        <v>23</v>
      </c>
      <c r="BT5" s="19" t="s">
        <v>55</v>
      </c>
      <c r="BV5" s="220" t="s">
        <v>18</v>
      </c>
      <c r="BW5" s="221" t="s">
        <v>19</v>
      </c>
      <c r="BX5" s="222" t="s">
        <v>25</v>
      </c>
      <c r="BY5" s="223" t="s">
        <v>19</v>
      </c>
      <c r="BZ5" s="6"/>
      <c r="CA5" s="16" t="s">
        <v>21</v>
      </c>
      <c r="CB5" s="17" t="s">
        <v>22</v>
      </c>
      <c r="CC5" s="18" t="s">
        <v>23</v>
      </c>
      <c r="CD5" s="19" t="s">
        <v>55</v>
      </c>
      <c r="CF5" s="220" t="s">
        <v>18</v>
      </c>
      <c r="CG5" s="221" t="s">
        <v>19</v>
      </c>
      <c r="CH5" s="222" t="s">
        <v>25</v>
      </c>
      <c r="CI5" s="223" t="s">
        <v>19</v>
      </c>
      <c r="CJ5" s="6"/>
      <c r="CK5" s="16" t="s">
        <v>21</v>
      </c>
      <c r="CL5" s="17" t="s">
        <v>22</v>
      </c>
      <c r="CM5" s="18" t="s">
        <v>23</v>
      </c>
      <c r="CN5" s="19" t="s">
        <v>55</v>
      </c>
      <c r="CP5" s="220" t="s">
        <v>18</v>
      </c>
      <c r="CQ5" s="221" t="s">
        <v>19</v>
      </c>
      <c r="CR5" s="221" t="s">
        <v>20</v>
      </c>
      <c r="CS5" s="222" t="s">
        <v>25</v>
      </c>
      <c r="CT5" s="223" t="s">
        <v>19</v>
      </c>
      <c r="CU5" s="6"/>
      <c r="CV5" s="16" t="s">
        <v>21</v>
      </c>
      <c r="CW5" s="17" t="s">
        <v>22</v>
      </c>
      <c r="CX5" s="18" t="s">
        <v>23</v>
      </c>
      <c r="CY5" s="224" t="s">
        <v>55</v>
      </c>
    </row>
    <row r="6" spans="1:103" s="217" customFormat="1" hidden="1" x14ac:dyDescent="0.25">
      <c r="A6" s="22">
        <v>45962</v>
      </c>
      <c r="B6" s="225">
        <v>799.18</v>
      </c>
      <c r="C6" s="226">
        <v>2075.2399999999998</v>
      </c>
      <c r="D6" s="225">
        <v>49.29</v>
      </c>
      <c r="E6" s="227"/>
      <c r="F6" s="27"/>
      <c r="G6" s="32"/>
      <c r="H6" s="29"/>
      <c r="I6" s="44"/>
      <c r="J6" s="30">
        <f>SUM(G6:I6,+D6)</f>
        <v>49.29</v>
      </c>
      <c r="L6" s="36">
        <v>4414.88</v>
      </c>
      <c r="M6" s="43">
        <v>2785.8</v>
      </c>
      <c r="N6" s="36">
        <v>24.04</v>
      </c>
      <c r="O6" s="38"/>
      <c r="P6" s="27"/>
      <c r="Q6" s="32">
        <v>424.63848000000007</v>
      </c>
      <c r="R6" s="32"/>
      <c r="S6" s="42"/>
      <c r="T6" s="44"/>
      <c r="U6" s="30">
        <f t="shared" ref="U6:U35" si="0">SUM(Q6:T6,+N6)</f>
        <v>448.67848000000009</v>
      </c>
      <c r="V6" s="228"/>
      <c r="W6" s="36">
        <v>2346.5</v>
      </c>
      <c r="X6" s="43"/>
      <c r="Y6" s="36"/>
      <c r="Z6" s="38"/>
      <c r="AA6" s="27"/>
      <c r="AB6" s="32"/>
      <c r="AC6" s="29"/>
      <c r="AD6" s="29"/>
      <c r="AE6" s="30">
        <f>SUM(AB6:AD6,+Y6)</f>
        <v>0</v>
      </c>
      <c r="AG6" s="36">
        <v>5594.9</v>
      </c>
      <c r="AH6" s="43">
        <v>379.33</v>
      </c>
      <c r="AI6" s="36"/>
      <c r="AJ6" s="38"/>
      <c r="AK6" s="27"/>
      <c r="AL6" s="28"/>
      <c r="AM6" s="29"/>
      <c r="AN6" s="29"/>
      <c r="AO6" s="30">
        <f>SUM(AL6:AN6,+AI6)</f>
        <v>0</v>
      </c>
      <c r="AQ6" s="36">
        <v>3116.57</v>
      </c>
      <c r="AR6" s="36">
        <v>998.93</v>
      </c>
      <c r="AS6" s="36">
        <v>5.49</v>
      </c>
      <c r="AT6" s="41"/>
      <c r="AU6" s="27"/>
      <c r="AV6" s="32">
        <v>24.524820000000034</v>
      </c>
      <c r="AW6" s="32"/>
      <c r="AX6" s="44"/>
      <c r="AY6" s="30">
        <f>SUM(AV6:AX6,+AS6)</f>
        <v>30.014820000000036</v>
      </c>
      <c r="BA6" s="36">
        <v>5390.38</v>
      </c>
      <c r="BB6" s="43"/>
      <c r="BC6" s="36"/>
      <c r="BD6" s="38"/>
      <c r="BE6" s="27"/>
      <c r="BF6" s="32">
        <v>13.380680000000012</v>
      </c>
      <c r="BG6" s="29"/>
      <c r="BH6" s="29"/>
      <c r="BI6" s="30">
        <f>SUM(BF6:BH6,+BC6)</f>
        <v>13.380680000000012</v>
      </c>
      <c r="BK6" s="36">
        <v>8913.2900000000009</v>
      </c>
      <c r="BL6" s="43">
        <v>1701.53</v>
      </c>
      <c r="BM6" s="36">
        <v>93.35</v>
      </c>
      <c r="BN6" s="38"/>
      <c r="BO6" s="27"/>
      <c r="BP6" s="32">
        <v>42.460219999999993</v>
      </c>
      <c r="BQ6" s="32"/>
      <c r="BR6" s="42">
        <v>103.61162919999967</v>
      </c>
      <c r="BS6" s="29"/>
      <c r="BT6" s="30">
        <f>SUM(BP6:BS6,+BM6)</f>
        <v>239.42184919999966</v>
      </c>
      <c r="BV6" s="36">
        <v>3034.98</v>
      </c>
      <c r="BW6" s="43">
        <v>865.72</v>
      </c>
      <c r="BX6" s="36"/>
      <c r="BY6" s="38"/>
      <c r="BZ6" s="27"/>
      <c r="CA6" s="28"/>
      <c r="CB6" s="29"/>
      <c r="CC6" s="29"/>
      <c r="CD6" s="30">
        <f>SUM(CA6:CC6,+BX6)</f>
        <v>0</v>
      </c>
      <c r="CF6" s="36">
        <v>1974.39</v>
      </c>
      <c r="CG6" s="43"/>
      <c r="CH6" s="36">
        <v>243.28</v>
      </c>
      <c r="CI6" s="38"/>
      <c r="CJ6" s="27"/>
      <c r="CK6" s="32">
        <v>16.722749999999991</v>
      </c>
      <c r="CL6" s="42"/>
      <c r="CM6" s="29"/>
      <c r="CN6" s="30">
        <f>SUM(CK6:CM6,+CH6)</f>
        <v>260.00274999999999</v>
      </c>
      <c r="CP6" s="36">
        <v>1330.19</v>
      </c>
      <c r="CQ6" s="36">
        <v>904.65</v>
      </c>
      <c r="CR6" s="43">
        <v>2746.13</v>
      </c>
      <c r="CS6" s="36">
        <v>29.29</v>
      </c>
      <c r="CT6" s="38"/>
      <c r="CU6" s="27"/>
      <c r="CV6" s="28"/>
      <c r="CW6" s="42">
        <v>127.74047890000006</v>
      </c>
      <c r="CX6" s="29"/>
      <c r="CY6" s="229">
        <f>SUM(CV6:CX6,+CS6)</f>
        <v>157.03047890000005</v>
      </c>
    </row>
    <row r="7" spans="1:103" s="217" customFormat="1" hidden="1" x14ac:dyDescent="0.25">
      <c r="A7" s="47">
        <v>45963</v>
      </c>
      <c r="B7" s="230">
        <v>1119.3699999999999</v>
      </c>
      <c r="C7" s="231">
        <v>2071.5500000000002</v>
      </c>
      <c r="D7" s="230">
        <v>133.78</v>
      </c>
      <c r="E7" s="232">
        <v>3.58</v>
      </c>
      <c r="F7" s="27"/>
      <c r="G7" s="32">
        <v>3.8524399999999979</v>
      </c>
      <c r="H7" s="52"/>
      <c r="I7" s="44">
        <v>58.519593600000121</v>
      </c>
      <c r="J7" s="30">
        <f t="shared" ref="J7:J35" si="1">SUM(G7:I7,+D7)</f>
        <v>196.15203360000012</v>
      </c>
      <c r="L7" s="58">
        <v>3998.23</v>
      </c>
      <c r="M7" s="63">
        <v>3187.57</v>
      </c>
      <c r="N7" s="58"/>
      <c r="O7" s="60"/>
      <c r="P7" s="27"/>
      <c r="Q7" s="32">
        <v>10.985399999999998</v>
      </c>
      <c r="R7" s="32"/>
      <c r="S7" s="42"/>
      <c r="T7" s="44"/>
      <c r="U7" s="30">
        <f t="shared" si="0"/>
        <v>10.985399999999998</v>
      </c>
      <c r="V7" s="228"/>
      <c r="W7" s="58">
        <v>3199.68</v>
      </c>
      <c r="X7" s="63"/>
      <c r="Y7" s="58"/>
      <c r="Z7" s="60"/>
      <c r="AA7" s="27"/>
      <c r="AB7" s="32"/>
      <c r="AC7" s="52"/>
      <c r="AD7" s="52"/>
      <c r="AE7" s="30">
        <f t="shared" ref="AE7:AE35" si="2">SUM(AB7:AD7,+Y7)</f>
        <v>0</v>
      </c>
      <c r="AG7" s="58">
        <v>4834.1099999999997</v>
      </c>
      <c r="AH7" s="63">
        <v>404.28</v>
      </c>
      <c r="AI7" s="58"/>
      <c r="AJ7" s="60"/>
      <c r="AK7" s="27"/>
      <c r="AL7" s="51"/>
      <c r="AM7" s="52"/>
      <c r="AN7" s="52"/>
      <c r="AO7" s="30">
        <f t="shared" ref="AO7:AO35" si="3">SUM(AL7:AN7,+AI7)</f>
        <v>0</v>
      </c>
      <c r="AQ7" s="58">
        <v>4054.04</v>
      </c>
      <c r="AR7" s="58">
        <v>785.86</v>
      </c>
      <c r="AS7" s="58">
        <v>33.97</v>
      </c>
      <c r="AT7" s="62"/>
      <c r="AU7" s="27"/>
      <c r="AV7" s="32">
        <v>64.564769999999982</v>
      </c>
      <c r="AW7" s="32"/>
      <c r="AX7" s="44">
        <v>12.966331800000034</v>
      </c>
      <c r="AY7" s="30">
        <f t="shared" ref="AY7:AY35" si="4">SUM(AV7:AX7,+AS7)</f>
        <v>111.50110180000001</v>
      </c>
      <c r="BA7" s="58">
        <v>1420.44</v>
      </c>
      <c r="BB7" s="63"/>
      <c r="BC7" s="58">
        <v>365</v>
      </c>
      <c r="BD7" s="60"/>
      <c r="BE7" s="27"/>
      <c r="BF7" s="32">
        <v>15.13743999999997</v>
      </c>
      <c r="BG7" s="52"/>
      <c r="BH7" s="52"/>
      <c r="BI7" s="30">
        <f t="shared" ref="BI7:BI35" si="5">SUM(BF7:BH7,+BC7)</f>
        <v>380.13743999999997</v>
      </c>
      <c r="BK7" s="58">
        <v>4766.3999999999996</v>
      </c>
      <c r="BL7" s="63">
        <v>1169.44</v>
      </c>
      <c r="BM7" s="58">
        <v>7.41</v>
      </c>
      <c r="BN7" s="60"/>
      <c r="BO7" s="27"/>
      <c r="BP7" s="32">
        <v>20.435359999999996</v>
      </c>
      <c r="BQ7" s="32"/>
      <c r="BR7" s="42"/>
      <c r="BS7" s="52"/>
      <c r="BT7" s="30">
        <f>SUM(BP7:BS7,+BM7)</f>
        <v>27.845359999999996</v>
      </c>
      <c r="BV7" s="58">
        <v>1976.15</v>
      </c>
      <c r="BW7" s="63">
        <v>766.13</v>
      </c>
      <c r="BX7" s="58"/>
      <c r="BY7" s="60"/>
      <c r="BZ7" s="27"/>
      <c r="CA7" s="51"/>
      <c r="CB7" s="52"/>
      <c r="CC7" s="52"/>
      <c r="CD7" s="30">
        <f t="shared" ref="CD7:CD35" si="6">SUM(CA7:CC7,+BX7)</f>
        <v>0</v>
      </c>
      <c r="CF7" s="58">
        <v>2014.74</v>
      </c>
      <c r="CG7" s="63"/>
      <c r="CH7" s="58">
        <v>20.79</v>
      </c>
      <c r="CI7" s="60"/>
      <c r="CJ7" s="27"/>
      <c r="CK7" s="32"/>
      <c r="CL7" s="42"/>
      <c r="CM7" s="52"/>
      <c r="CN7" s="30">
        <f t="shared" ref="CN7:CN35" si="7">SUM(CK7:CM7,+CH7)</f>
        <v>20.79</v>
      </c>
      <c r="CP7" s="58">
        <v>1743.11</v>
      </c>
      <c r="CQ7" s="58">
        <v>744.07</v>
      </c>
      <c r="CR7" s="63">
        <v>2977.73</v>
      </c>
      <c r="CS7" s="58"/>
      <c r="CT7" s="60"/>
      <c r="CU7" s="27"/>
      <c r="CV7" s="51"/>
      <c r="CW7" s="42">
        <v>8.2414331999999888</v>
      </c>
      <c r="CX7" s="52"/>
      <c r="CY7" s="229">
        <f t="shared" ref="CY7:CY35" si="8">SUM(CV7:CX7,+CS7)</f>
        <v>8.2414331999999888</v>
      </c>
    </row>
    <row r="8" spans="1:103" s="217" customFormat="1" hidden="1" x14ac:dyDescent="0.25">
      <c r="A8" s="47">
        <v>45964</v>
      </c>
      <c r="B8" s="230">
        <v>2871.11</v>
      </c>
      <c r="C8" s="231">
        <v>3025.59</v>
      </c>
      <c r="D8" s="230">
        <v>123</v>
      </c>
      <c r="E8" s="232">
        <v>2.33</v>
      </c>
      <c r="F8" s="27"/>
      <c r="G8" s="32">
        <v>11.49184000000001</v>
      </c>
      <c r="H8" s="52"/>
      <c r="I8" s="44"/>
      <c r="J8" s="30">
        <f t="shared" si="1"/>
        <v>134.49184000000002</v>
      </c>
      <c r="L8" s="58">
        <v>4804.54</v>
      </c>
      <c r="M8" s="63">
        <v>2326.0300000000002</v>
      </c>
      <c r="N8" s="58">
        <v>43.13</v>
      </c>
      <c r="O8" s="60"/>
      <c r="P8" s="27"/>
      <c r="Q8" s="32">
        <v>143.66451999999998</v>
      </c>
      <c r="R8" s="32"/>
      <c r="S8" s="42"/>
      <c r="T8" s="44">
        <v>127.71600000000001</v>
      </c>
      <c r="U8" s="30">
        <f t="shared" si="0"/>
        <v>314.51051999999999</v>
      </c>
      <c r="V8" s="228"/>
      <c r="W8" s="58">
        <v>3457.15</v>
      </c>
      <c r="X8" s="63"/>
      <c r="Y8" s="58"/>
      <c r="Z8" s="60"/>
      <c r="AA8" s="27"/>
      <c r="AB8" s="32"/>
      <c r="AC8" s="52"/>
      <c r="AD8" s="52"/>
      <c r="AE8" s="30">
        <f t="shared" si="2"/>
        <v>0</v>
      </c>
      <c r="AG8" s="58">
        <v>5191.13</v>
      </c>
      <c r="AH8" s="63">
        <v>634.98</v>
      </c>
      <c r="AI8" s="58"/>
      <c r="AJ8" s="60"/>
      <c r="AK8" s="27"/>
      <c r="AL8" s="51"/>
      <c r="AM8" s="52"/>
      <c r="AN8" s="52"/>
      <c r="AO8" s="30">
        <f t="shared" si="3"/>
        <v>0</v>
      </c>
      <c r="AQ8" s="58">
        <v>5884.38</v>
      </c>
      <c r="AR8" s="58">
        <v>545.12</v>
      </c>
      <c r="AS8" s="58">
        <v>54.03</v>
      </c>
      <c r="AT8" s="62"/>
      <c r="AU8" s="27"/>
      <c r="AV8" s="32">
        <v>154.72845000000007</v>
      </c>
      <c r="AW8" s="32">
        <v>16.205280000000016</v>
      </c>
      <c r="AX8" s="44"/>
      <c r="AY8" s="30">
        <f t="shared" si="4"/>
        <v>224.96373000000008</v>
      </c>
      <c r="BA8" s="58">
        <v>7020.02</v>
      </c>
      <c r="BB8" s="63"/>
      <c r="BC8" s="58"/>
      <c r="BD8" s="60"/>
      <c r="BE8" s="27"/>
      <c r="BF8" s="32">
        <v>92.817580000000021</v>
      </c>
      <c r="BG8" s="52"/>
      <c r="BH8" s="52"/>
      <c r="BI8" s="30">
        <f t="shared" si="5"/>
        <v>92.817580000000021</v>
      </c>
      <c r="BK8" s="58">
        <v>12283.01</v>
      </c>
      <c r="BL8" s="63">
        <v>762.7</v>
      </c>
      <c r="BM8" s="58">
        <v>308.42</v>
      </c>
      <c r="BN8" s="60"/>
      <c r="BO8" s="27"/>
      <c r="BP8" s="32">
        <v>137.18941999999998</v>
      </c>
      <c r="BQ8" s="32"/>
      <c r="BR8" s="42">
        <v>77.023988400000064</v>
      </c>
      <c r="BS8" s="52"/>
      <c r="BT8" s="30">
        <f t="shared" ref="BT8:BT35" si="9">SUM(BP8:BS8,+BM8)</f>
        <v>522.63340840000001</v>
      </c>
      <c r="BV8" s="58">
        <v>2292.7600000000002</v>
      </c>
      <c r="BW8" s="63">
        <v>1496.99</v>
      </c>
      <c r="BX8" s="58"/>
      <c r="BY8" s="60"/>
      <c r="BZ8" s="27"/>
      <c r="CA8" s="51"/>
      <c r="CB8" s="52"/>
      <c r="CC8" s="52"/>
      <c r="CD8" s="30">
        <f t="shared" si="6"/>
        <v>0</v>
      </c>
      <c r="CF8" s="58">
        <v>1676.51</v>
      </c>
      <c r="CG8" s="63"/>
      <c r="CH8" s="58">
        <v>95.84</v>
      </c>
      <c r="CI8" s="60"/>
      <c r="CJ8" s="27"/>
      <c r="CK8" s="32">
        <v>22.233750000000015</v>
      </c>
      <c r="CL8" s="42"/>
      <c r="CM8" s="52"/>
      <c r="CN8" s="30">
        <f t="shared" si="7"/>
        <v>118.07375000000002</v>
      </c>
      <c r="CP8" s="58">
        <v>1625.55</v>
      </c>
      <c r="CQ8" s="58">
        <v>582.69000000000005</v>
      </c>
      <c r="CR8" s="63">
        <v>2173.7800000000002</v>
      </c>
      <c r="CS8" s="58"/>
      <c r="CT8" s="60"/>
      <c r="CU8" s="27"/>
      <c r="CV8" s="51"/>
      <c r="CW8" s="42">
        <v>42.910523599999976</v>
      </c>
      <c r="CX8" s="52"/>
      <c r="CY8" s="229">
        <f t="shared" si="8"/>
        <v>42.910523599999976</v>
      </c>
    </row>
    <row r="9" spans="1:103" s="217" customFormat="1" hidden="1" x14ac:dyDescent="0.25">
      <c r="A9" s="47">
        <v>45965</v>
      </c>
      <c r="B9" s="230">
        <v>3127.89</v>
      </c>
      <c r="C9" s="231">
        <v>1791.96</v>
      </c>
      <c r="D9" s="230">
        <v>196.35</v>
      </c>
      <c r="E9" s="232">
        <v>5.2</v>
      </c>
      <c r="F9" s="27"/>
      <c r="G9" s="32">
        <v>13.700000000000003</v>
      </c>
      <c r="H9" s="52"/>
      <c r="I9" s="44">
        <v>54.567281600000001</v>
      </c>
      <c r="J9" s="30">
        <f t="shared" si="1"/>
        <v>264.61728160000001</v>
      </c>
      <c r="L9" s="58">
        <v>4982.53</v>
      </c>
      <c r="M9" s="63">
        <v>2583.46</v>
      </c>
      <c r="N9" s="58">
        <v>29.38</v>
      </c>
      <c r="O9" s="60"/>
      <c r="P9" s="27"/>
      <c r="Q9" s="32">
        <v>485.13950000000011</v>
      </c>
      <c r="R9" s="32"/>
      <c r="S9" s="42"/>
      <c r="T9" s="44"/>
      <c r="U9" s="30">
        <f t="shared" si="0"/>
        <v>514.51950000000011</v>
      </c>
      <c r="V9" s="228"/>
      <c r="W9" s="58">
        <v>4601.7299999999996</v>
      </c>
      <c r="X9" s="63"/>
      <c r="Y9" s="58"/>
      <c r="Z9" s="60"/>
      <c r="AA9" s="27"/>
      <c r="AB9" s="32"/>
      <c r="AC9" s="52"/>
      <c r="AD9" s="52"/>
      <c r="AE9" s="30">
        <f t="shared" si="2"/>
        <v>0</v>
      </c>
      <c r="AG9" s="58">
        <v>8062.0599999999995</v>
      </c>
      <c r="AH9" s="63">
        <v>261.89999999999998</v>
      </c>
      <c r="AI9" s="58"/>
      <c r="AJ9" s="60"/>
      <c r="AK9" s="27"/>
      <c r="AL9" s="51"/>
      <c r="AM9" s="52"/>
      <c r="AN9" s="52"/>
      <c r="AO9" s="30">
        <f t="shared" si="3"/>
        <v>0</v>
      </c>
      <c r="AQ9" s="58">
        <v>4329.93</v>
      </c>
      <c r="AR9" s="58">
        <v>768.95</v>
      </c>
      <c r="AS9" s="58">
        <v>105.42</v>
      </c>
      <c r="AT9" s="62"/>
      <c r="AU9" s="27"/>
      <c r="AV9" s="32">
        <v>216.21795000000006</v>
      </c>
      <c r="AW9" s="32">
        <v>31.792184999999989</v>
      </c>
      <c r="AX9" s="44">
        <v>17.785796400000038</v>
      </c>
      <c r="AY9" s="30">
        <f t="shared" si="4"/>
        <v>371.2159314000001</v>
      </c>
      <c r="BA9" s="58">
        <v>4311.55</v>
      </c>
      <c r="BB9" s="63"/>
      <c r="BC9" s="58"/>
      <c r="BD9" s="60"/>
      <c r="BE9" s="27"/>
      <c r="BF9" s="32">
        <v>251.05610000000007</v>
      </c>
      <c r="BG9" s="52"/>
      <c r="BH9" s="52"/>
      <c r="BI9" s="30">
        <f t="shared" si="5"/>
        <v>251.05610000000007</v>
      </c>
      <c r="BK9" s="58">
        <v>16985.490000000002</v>
      </c>
      <c r="BL9" s="63">
        <v>742.56</v>
      </c>
      <c r="BM9" s="58">
        <v>212</v>
      </c>
      <c r="BN9" s="60"/>
      <c r="BO9" s="27"/>
      <c r="BP9" s="32">
        <v>137.54173999999992</v>
      </c>
      <c r="BQ9" s="32"/>
      <c r="BR9" s="42">
        <v>61.43280259999986</v>
      </c>
      <c r="BS9" s="52"/>
      <c r="BT9" s="30">
        <f t="shared" si="9"/>
        <v>410.97454259999978</v>
      </c>
      <c r="BV9" s="58">
        <v>2309.75</v>
      </c>
      <c r="BW9" s="63">
        <v>982.08</v>
      </c>
      <c r="BX9" s="58">
        <v>4.57</v>
      </c>
      <c r="BY9" s="60"/>
      <c r="BZ9" s="27"/>
      <c r="CA9" s="51"/>
      <c r="CB9" s="52"/>
      <c r="CC9" s="52"/>
      <c r="CD9" s="30">
        <f t="shared" si="6"/>
        <v>4.57</v>
      </c>
      <c r="CF9" s="58">
        <v>2252.37</v>
      </c>
      <c r="CG9" s="63"/>
      <c r="CH9" s="58">
        <v>86.11</v>
      </c>
      <c r="CI9" s="60"/>
      <c r="CJ9" s="27"/>
      <c r="CK9" s="32">
        <v>39.036999999999992</v>
      </c>
      <c r="CL9" s="42"/>
      <c r="CM9" s="52"/>
      <c r="CN9" s="30">
        <f t="shared" si="7"/>
        <v>125.14699999999999</v>
      </c>
      <c r="CP9" s="58">
        <v>1932.78</v>
      </c>
      <c r="CQ9" s="58">
        <v>753.47</v>
      </c>
      <c r="CR9" s="63">
        <v>2513.19</v>
      </c>
      <c r="CS9" s="58">
        <v>2.98</v>
      </c>
      <c r="CT9" s="60"/>
      <c r="CU9" s="27"/>
      <c r="CV9" s="51"/>
      <c r="CW9" s="42">
        <v>3.3285032999999942</v>
      </c>
      <c r="CX9" s="52"/>
      <c r="CY9" s="229">
        <f t="shared" si="8"/>
        <v>6.3085032999999946</v>
      </c>
    </row>
    <row r="10" spans="1:103" s="217" customFormat="1" hidden="1" x14ac:dyDescent="0.25">
      <c r="A10" s="47">
        <v>45966</v>
      </c>
      <c r="B10" s="230">
        <v>1749.5</v>
      </c>
      <c r="C10" s="231">
        <v>3144.9</v>
      </c>
      <c r="D10" s="230">
        <v>102</v>
      </c>
      <c r="E10" s="232">
        <v>2.5099999999999998</v>
      </c>
      <c r="F10" s="27"/>
      <c r="G10" s="32">
        <v>14.145039999999995</v>
      </c>
      <c r="H10" s="52"/>
      <c r="I10" s="44">
        <v>40.595455399999992</v>
      </c>
      <c r="J10" s="30">
        <f t="shared" si="1"/>
        <v>156.74049539999999</v>
      </c>
      <c r="L10" s="58">
        <v>5685.77</v>
      </c>
      <c r="M10" s="63">
        <v>3148.28</v>
      </c>
      <c r="N10" s="58">
        <v>68.040000000000006</v>
      </c>
      <c r="O10" s="60"/>
      <c r="P10" s="27"/>
      <c r="Q10" s="32">
        <v>524.14206000000001</v>
      </c>
      <c r="R10" s="32"/>
      <c r="S10" s="42"/>
      <c r="T10" s="44">
        <v>133.79840000000002</v>
      </c>
      <c r="U10" s="30">
        <f t="shared" si="0"/>
        <v>725.98045999999999</v>
      </c>
      <c r="V10" s="228"/>
      <c r="W10" s="58">
        <v>1163.01</v>
      </c>
      <c r="X10" s="63"/>
      <c r="Y10" s="58"/>
      <c r="Z10" s="60"/>
      <c r="AA10" s="27"/>
      <c r="AB10" s="32"/>
      <c r="AC10" s="52"/>
      <c r="AD10" s="52"/>
      <c r="AE10" s="30">
        <f t="shared" si="2"/>
        <v>0</v>
      </c>
      <c r="AG10" s="58">
        <v>4949.2</v>
      </c>
      <c r="AH10" s="63">
        <v>381.92</v>
      </c>
      <c r="AI10" s="58"/>
      <c r="AJ10" s="60"/>
      <c r="AK10" s="27"/>
      <c r="AL10" s="51"/>
      <c r="AM10" s="52"/>
      <c r="AN10" s="52"/>
      <c r="AO10" s="30">
        <f t="shared" si="3"/>
        <v>0</v>
      </c>
      <c r="AQ10" s="58">
        <v>4295.33</v>
      </c>
      <c r="AR10" s="58">
        <v>479.82</v>
      </c>
      <c r="AS10" s="58">
        <v>68.92</v>
      </c>
      <c r="AT10" s="62"/>
      <c r="AU10" s="27"/>
      <c r="AV10" s="32">
        <v>254.46552000000008</v>
      </c>
      <c r="AW10" s="32"/>
      <c r="AX10" s="44"/>
      <c r="AY10" s="30">
        <f t="shared" si="4"/>
        <v>323.3855200000001</v>
      </c>
      <c r="BA10" s="58">
        <v>3849.41</v>
      </c>
      <c r="BB10" s="63"/>
      <c r="BC10" s="58"/>
      <c r="BD10" s="60"/>
      <c r="BE10" s="27"/>
      <c r="BF10" s="32">
        <v>62.543940000000021</v>
      </c>
      <c r="BG10" s="52"/>
      <c r="BH10" s="52"/>
      <c r="BI10" s="30">
        <f t="shared" si="5"/>
        <v>62.543940000000021</v>
      </c>
      <c r="BK10" s="58">
        <v>15643.9</v>
      </c>
      <c r="BL10" s="63">
        <v>999.46</v>
      </c>
      <c r="BM10" s="58">
        <v>154.72</v>
      </c>
      <c r="BN10" s="60"/>
      <c r="BO10" s="27"/>
      <c r="BP10" s="32">
        <v>53.196919999999977</v>
      </c>
      <c r="BQ10" s="32"/>
      <c r="BR10" s="42">
        <v>42.276286999999968</v>
      </c>
      <c r="BS10" s="52"/>
      <c r="BT10" s="30">
        <f t="shared" si="9"/>
        <v>250.19320699999994</v>
      </c>
      <c r="BV10" s="58">
        <v>918.2</v>
      </c>
      <c r="BW10" s="63">
        <v>1230.29</v>
      </c>
      <c r="BX10" s="58">
        <v>4.62</v>
      </c>
      <c r="BY10" s="60"/>
      <c r="BZ10" s="27"/>
      <c r="CA10" s="51"/>
      <c r="CB10" s="52"/>
      <c r="CC10" s="52"/>
      <c r="CD10" s="30">
        <f t="shared" si="6"/>
        <v>4.62</v>
      </c>
      <c r="CF10" s="58">
        <v>1672.09</v>
      </c>
      <c r="CG10" s="63"/>
      <c r="CH10" s="58">
        <v>16.18</v>
      </c>
      <c r="CI10" s="60"/>
      <c r="CJ10" s="27"/>
      <c r="CK10" s="32">
        <v>23.524050000000017</v>
      </c>
      <c r="CL10" s="42"/>
      <c r="CM10" s="52"/>
      <c r="CN10" s="30">
        <f t="shared" si="7"/>
        <v>39.704050000000016</v>
      </c>
      <c r="CP10" s="58">
        <v>1756.13</v>
      </c>
      <c r="CQ10" s="58">
        <v>790.79</v>
      </c>
      <c r="CR10" s="63">
        <v>2186.66</v>
      </c>
      <c r="CS10" s="58"/>
      <c r="CT10" s="60"/>
      <c r="CU10" s="27"/>
      <c r="CV10" s="51"/>
      <c r="CW10" s="42">
        <v>61.016906100000028</v>
      </c>
      <c r="CX10" s="52"/>
      <c r="CY10" s="229">
        <f t="shared" si="8"/>
        <v>61.016906100000028</v>
      </c>
    </row>
    <row r="11" spans="1:103" s="217" customFormat="1" hidden="1" x14ac:dyDescent="0.25">
      <c r="A11" s="47">
        <v>45967</v>
      </c>
      <c r="B11" s="230">
        <v>3822.24</v>
      </c>
      <c r="C11" s="231">
        <v>3311.7</v>
      </c>
      <c r="D11" s="230">
        <v>182.37</v>
      </c>
      <c r="E11" s="232">
        <v>5.53</v>
      </c>
      <c r="F11" s="27"/>
      <c r="G11" s="32"/>
      <c r="H11" s="52"/>
      <c r="I11" s="44"/>
      <c r="J11" s="30">
        <f t="shared" si="1"/>
        <v>182.37</v>
      </c>
      <c r="L11" s="58">
        <v>6255.58</v>
      </c>
      <c r="M11" s="63">
        <v>3364.45</v>
      </c>
      <c r="N11" s="58">
        <v>17.52</v>
      </c>
      <c r="O11" s="60"/>
      <c r="P11" s="27"/>
      <c r="Q11" s="32">
        <v>94.420249999999982</v>
      </c>
      <c r="R11" s="32"/>
      <c r="S11" s="42"/>
      <c r="T11" s="44"/>
      <c r="U11" s="30">
        <f t="shared" si="0"/>
        <v>111.94024999999998</v>
      </c>
      <c r="V11" s="228"/>
      <c r="W11" s="58">
        <v>3568.8</v>
      </c>
      <c r="X11" s="63"/>
      <c r="Y11" s="58"/>
      <c r="Z11" s="60"/>
      <c r="AA11" s="27"/>
      <c r="AB11" s="32"/>
      <c r="AC11" s="52"/>
      <c r="AD11" s="52"/>
      <c r="AE11" s="30">
        <f t="shared" si="2"/>
        <v>0</v>
      </c>
      <c r="AG11" s="58">
        <v>4890.5</v>
      </c>
      <c r="AH11" s="63">
        <v>372.26</v>
      </c>
      <c r="AI11" s="58"/>
      <c r="AJ11" s="60"/>
      <c r="AK11" s="27"/>
      <c r="AL11" s="51"/>
      <c r="AM11" s="52"/>
      <c r="AN11" s="52"/>
      <c r="AO11" s="30">
        <f t="shared" si="3"/>
        <v>0</v>
      </c>
      <c r="AQ11" s="58">
        <v>5275.19</v>
      </c>
      <c r="AR11" s="58">
        <v>667.9</v>
      </c>
      <c r="AS11" s="58">
        <v>65.47</v>
      </c>
      <c r="AT11" s="62"/>
      <c r="AU11" s="27"/>
      <c r="AV11" s="32">
        <v>249.15849000000006</v>
      </c>
      <c r="AW11" s="32">
        <v>18.174138400000032</v>
      </c>
      <c r="AX11" s="44">
        <v>5.4242699999999964</v>
      </c>
      <c r="AY11" s="30">
        <f t="shared" si="4"/>
        <v>338.2268984000001</v>
      </c>
      <c r="BA11" s="58">
        <v>9312.92</v>
      </c>
      <c r="BB11" s="63"/>
      <c r="BC11" s="58"/>
      <c r="BD11" s="60"/>
      <c r="BE11" s="27"/>
      <c r="BF11" s="32">
        <v>33.864270000000005</v>
      </c>
      <c r="BG11" s="52"/>
      <c r="BH11" s="52"/>
      <c r="BI11" s="30">
        <f t="shared" si="5"/>
        <v>33.864270000000005</v>
      </c>
      <c r="BK11" s="58">
        <v>19657.87</v>
      </c>
      <c r="BL11" s="63">
        <v>993.74</v>
      </c>
      <c r="BM11" s="58">
        <v>271.36</v>
      </c>
      <c r="BN11" s="60"/>
      <c r="BO11" s="27"/>
      <c r="BP11" s="32">
        <v>96.56815999999985</v>
      </c>
      <c r="BQ11" s="32"/>
      <c r="BR11" s="42">
        <v>6.341072399999959</v>
      </c>
      <c r="BS11" s="52"/>
      <c r="BT11" s="30">
        <f t="shared" si="9"/>
        <v>374.26923239999985</v>
      </c>
      <c r="BV11" s="58">
        <v>450.24</v>
      </c>
      <c r="BW11" s="63">
        <v>663.62</v>
      </c>
      <c r="BX11" s="58">
        <v>2.34</v>
      </c>
      <c r="BY11" s="60"/>
      <c r="BZ11" s="27"/>
      <c r="CA11" s="51"/>
      <c r="CB11" s="52"/>
      <c r="CC11" s="52"/>
      <c r="CD11" s="30">
        <f t="shared" si="6"/>
        <v>2.34</v>
      </c>
      <c r="CF11" s="58">
        <v>1647.97</v>
      </c>
      <c r="CG11" s="63"/>
      <c r="CH11" s="58">
        <v>87.48</v>
      </c>
      <c r="CI11" s="60"/>
      <c r="CJ11" s="27"/>
      <c r="CK11" s="32"/>
      <c r="CL11" s="42"/>
      <c r="CM11" s="52"/>
      <c r="CN11" s="30">
        <f t="shared" si="7"/>
        <v>87.48</v>
      </c>
      <c r="CP11" s="58">
        <v>1300.04</v>
      </c>
      <c r="CQ11" s="58">
        <v>774.64</v>
      </c>
      <c r="CR11" s="63">
        <v>2982.52</v>
      </c>
      <c r="CS11" s="58"/>
      <c r="CT11" s="60"/>
      <c r="CU11" s="27"/>
      <c r="CV11" s="51"/>
      <c r="CW11" s="42">
        <v>34.399328000000011</v>
      </c>
      <c r="CX11" s="52"/>
      <c r="CY11" s="229">
        <f t="shared" si="8"/>
        <v>34.399328000000011</v>
      </c>
    </row>
    <row r="12" spans="1:103" s="217" customFormat="1" hidden="1" x14ac:dyDescent="0.25">
      <c r="A12" s="47">
        <v>45968</v>
      </c>
      <c r="B12" s="230">
        <v>2561.0700000000002</v>
      </c>
      <c r="C12" s="231">
        <v>3222.03</v>
      </c>
      <c r="D12" s="230">
        <v>104.74</v>
      </c>
      <c r="E12" s="232">
        <v>25.7</v>
      </c>
      <c r="F12" s="27"/>
      <c r="G12" s="32"/>
      <c r="H12" s="52"/>
      <c r="I12" s="44"/>
      <c r="J12" s="30">
        <f t="shared" si="1"/>
        <v>104.74</v>
      </c>
      <c r="L12" s="58">
        <v>7497.54</v>
      </c>
      <c r="M12" s="63">
        <v>3573.01</v>
      </c>
      <c r="N12" s="58">
        <v>32.200000000000003</v>
      </c>
      <c r="O12" s="60"/>
      <c r="P12" s="27"/>
      <c r="Q12" s="32">
        <v>179.79766000000023</v>
      </c>
      <c r="R12" s="32"/>
      <c r="S12" s="42"/>
      <c r="T12" s="44">
        <v>142.154</v>
      </c>
      <c r="U12" s="30">
        <f t="shared" si="0"/>
        <v>354.15166000000022</v>
      </c>
      <c r="V12" s="228"/>
      <c r="W12" s="58">
        <v>3052.5</v>
      </c>
      <c r="X12" s="63"/>
      <c r="Y12" s="58"/>
      <c r="Z12" s="60"/>
      <c r="AA12" s="27"/>
      <c r="AB12" s="32"/>
      <c r="AC12" s="52"/>
      <c r="AD12" s="52"/>
      <c r="AE12" s="30">
        <f t="shared" si="2"/>
        <v>0</v>
      </c>
      <c r="AG12" s="58">
        <v>4989.45</v>
      </c>
      <c r="AH12" s="63">
        <v>388.07</v>
      </c>
      <c r="AI12" s="58"/>
      <c r="AJ12" s="60"/>
      <c r="AK12" s="27"/>
      <c r="AL12" s="51"/>
      <c r="AM12" s="52"/>
      <c r="AN12" s="52"/>
      <c r="AO12" s="30">
        <f t="shared" si="3"/>
        <v>0</v>
      </c>
      <c r="AQ12" s="58">
        <v>3459</v>
      </c>
      <c r="AR12" s="58">
        <v>678.73</v>
      </c>
      <c r="AS12" s="58">
        <v>86.74</v>
      </c>
      <c r="AT12" s="62"/>
      <c r="AU12" s="27"/>
      <c r="AV12" s="32">
        <v>248.51826000000003</v>
      </c>
      <c r="AW12" s="32">
        <v>6.7464847999999904</v>
      </c>
      <c r="AX12" s="44"/>
      <c r="AY12" s="30">
        <f t="shared" si="4"/>
        <v>342.00474480000003</v>
      </c>
      <c r="BA12" s="58">
        <v>7388.3</v>
      </c>
      <c r="BB12" s="63"/>
      <c r="BC12" s="58"/>
      <c r="BD12" s="60"/>
      <c r="BE12" s="27"/>
      <c r="BF12" s="32">
        <v>58.80941999999996</v>
      </c>
      <c r="BG12" s="52"/>
      <c r="BH12" s="52"/>
      <c r="BI12" s="30">
        <f t="shared" si="5"/>
        <v>58.80941999999996</v>
      </c>
      <c r="BK12" s="58">
        <v>26929.95</v>
      </c>
      <c r="BL12" s="63">
        <v>875.61</v>
      </c>
      <c r="BM12" s="58">
        <v>286.45</v>
      </c>
      <c r="BN12" s="60"/>
      <c r="BO12" s="27"/>
      <c r="BP12" s="32">
        <v>167.34110999999973</v>
      </c>
      <c r="BQ12" s="32"/>
      <c r="BR12" s="42">
        <v>26.547271199999841</v>
      </c>
      <c r="BS12" s="52"/>
      <c r="BT12" s="30">
        <f t="shared" si="9"/>
        <v>480.33838119999956</v>
      </c>
      <c r="BV12" s="58">
        <v>2482.8000000000002</v>
      </c>
      <c r="BW12" s="63">
        <v>1589.43</v>
      </c>
      <c r="BX12" s="58"/>
      <c r="BY12" s="60"/>
      <c r="BZ12" s="27"/>
      <c r="CA12" s="51"/>
      <c r="CB12" s="52"/>
      <c r="CC12" s="52"/>
      <c r="CD12" s="30">
        <f t="shared" si="6"/>
        <v>0</v>
      </c>
      <c r="CF12" s="58">
        <v>2120.52</v>
      </c>
      <c r="CG12" s="63"/>
      <c r="CH12" s="58">
        <v>141.47999999999999</v>
      </c>
      <c r="CI12" s="60"/>
      <c r="CJ12" s="27"/>
      <c r="CK12" s="32">
        <v>5.5244699999999973</v>
      </c>
      <c r="CL12" s="42"/>
      <c r="CM12" s="52"/>
      <c r="CN12" s="30">
        <f t="shared" si="7"/>
        <v>147.00447</v>
      </c>
      <c r="CP12" s="58">
        <v>1798.71</v>
      </c>
      <c r="CQ12" s="58">
        <v>856.39</v>
      </c>
      <c r="CR12" s="63">
        <v>3246.78</v>
      </c>
      <c r="CS12" s="58"/>
      <c r="CT12" s="60"/>
      <c r="CU12" s="27"/>
      <c r="CV12" s="51"/>
      <c r="CW12" s="42">
        <v>14.421708000000024</v>
      </c>
      <c r="CX12" s="52"/>
      <c r="CY12" s="229">
        <f t="shared" si="8"/>
        <v>14.421708000000024</v>
      </c>
    </row>
    <row r="13" spans="1:103" s="217" customFormat="1" hidden="1" x14ac:dyDescent="0.25">
      <c r="A13" s="47">
        <v>45969</v>
      </c>
      <c r="B13" s="230">
        <v>4150.8999999999996</v>
      </c>
      <c r="C13" s="231">
        <v>2707.88</v>
      </c>
      <c r="D13" s="230">
        <v>208.73</v>
      </c>
      <c r="E13" s="232">
        <v>7.31</v>
      </c>
      <c r="F13" s="27"/>
      <c r="G13" s="32">
        <v>4.2986199999999997</v>
      </c>
      <c r="H13" s="52"/>
      <c r="I13" s="44"/>
      <c r="J13" s="30">
        <f t="shared" si="1"/>
        <v>213.02861999999999</v>
      </c>
      <c r="L13" s="58">
        <v>5318.36</v>
      </c>
      <c r="M13" s="63">
        <v>3778.47</v>
      </c>
      <c r="N13" s="58">
        <v>41.74</v>
      </c>
      <c r="O13" s="60"/>
      <c r="P13" s="27"/>
      <c r="Q13" s="32">
        <v>434.69452999999982</v>
      </c>
      <c r="R13" s="32"/>
      <c r="S13" s="42"/>
      <c r="T13" s="44"/>
      <c r="U13" s="30">
        <f t="shared" si="0"/>
        <v>476.43452999999982</v>
      </c>
      <c r="V13" s="228"/>
      <c r="W13" s="58">
        <v>707.28</v>
      </c>
      <c r="X13" s="63"/>
      <c r="Y13" s="58"/>
      <c r="Z13" s="60"/>
      <c r="AA13" s="27"/>
      <c r="AB13" s="32"/>
      <c r="AC13" s="52"/>
      <c r="AD13" s="52"/>
      <c r="AE13" s="30">
        <f t="shared" si="2"/>
        <v>0</v>
      </c>
      <c r="AG13" s="58">
        <v>4541.8899999999994</v>
      </c>
      <c r="AH13" s="63">
        <v>449.21</v>
      </c>
      <c r="AI13" s="58"/>
      <c r="AJ13" s="60"/>
      <c r="AK13" s="27"/>
      <c r="AL13" s="51"/>
      <c r="AM13" s="52"/>
      <c r="AN13" s="52"/>
      <c r="AO13" s="30">
        <f t="shared" si="3"/>
        <v>0</v>
      </c>
      <c r="AQ13" s="58">
        <v>3031.63</v>
      </c>
      <c r="AR13" s="58">
        <v>919.63</v>
      </c>
      <c r="AS13" s="58">
        <v>16.39</v>
      </c>
      <c r="AT13" s="62"/>
      <c r="AU13" s="27"/>
      <c r="AV13" s="32">
        <v>147.08910999999995</v>
      </c>
      <c r="AW13" s="32">
        <v>21.32703760000004</v>
      </c>
      <c r="AX13" s="44"/>
      <c r="AY13" s="30">
        <f t="shared" si="4"/>
        <v>184.80614759999997</v>
      </c>
      <c r="BA13" s="58">
        <v>5348.22</v>
      </c>
      <c r="BB13" s="63"/>
      <c r="BC13" s="58">
        <v>33.96</v>
      </c>
      <c r="BD13" s="60"/>
      <c r="BE13" s="27"/>
      <c r="BF13" s="32">
        <v>2.6022599999999017</v>
      </c>
      <c r="BG13" s="52"/>
      <c r="BH13" s="52"/>
      <c r="BI13" s="30">
        <f t="shared" si="5"/>
        <v>36.562259999999903</v>
      </c>
      <c r="BK13" s="58">
        <v>22488.78</v>
      </c>
      <c r="BL13" s="63">
        <v>1442.05</v>
      </c>
      <c r="BM13" s="58">
        <v>376.84</v>
      </c>
      <c r="BN13" s="60"/>
      <c r="BO13" s="27"/>
      <c r="BP13" s="32">
        <v>70.784579999999934</v>
      </c>
      <c r="BQ13" s="32"/>
      <c r="BR13" s="42">
        <v>89.362880099999941</v>
      </c>
      <c r="BS13" s="52"/>
      <c r="BT13" s="30">
        <f t="shared" si="9"/>
        <v>536.98746009999991</v>
      </c>
      <c r="BV13" s="58">
        <v>2635</v>
      </c>
      <c r="BW13" s="63">
        <v>1636.77</v>
      </c>
      <c r="BX13" s="58">
        <v>4.3</v>
      </c>
      <c r="BY13" s="60"/>
      <c r="BZ13" s="27"/>
      <c r="CA13" s="51"/>
      <c r="CB13" s="52"/>
      <c r="CC13" s="52"/>
      <c r="CD13" s="30">
        <f t="shared" si="6"/>
        <v>4.3</v>
      </c>
      <c r="CF13" s="58">
        <v>1621.55</v>
      </c>
      <c r="CG13" s="63"/>
      <c r="CH13" s="58">
        <v>9.5399999999999991</v>
      </c>
      <c r="CI13" s="60"/>
      <c r="CJ13" s="27"/>
      <c r="CK13" s="32"/>
      <c r="CL13" s="42"/>
      <c r="CM13" s="52"/>
      <c r="CN13" s="30">
        <f t="shared" si="7"/>
        <v>9.5399999999999991</v>
      </c>
      <c r="CP13" s="58">
        <v>1168.45</v>
      </c>
      <c r="CQ13" s="58">
        <v>646.66999999999996</v>
      </c>
      <c r="CR13" s="63">
        <v>2605.96</v>
      </c>
      <c r="CS13" s="58">
        <v>12.2</v>
      </c>
      <c r="CT13" s="60"/>
      <c r="CU13" s="27"/>
      <c r="CV13" s="51"/>
      <c r="CW13" s="42">
        <v>8.0135760000000005</v>
      </c>
      <c r="CX13" s="52"/>
      <c r="CY13" s="229">
        <f t="shared" si="8"/>
        <v>20.213576</v>
      </c>
    </row>
    <row r="14" spans="1:103" s="217" customFormat="1" hidden="1" x14ac:dyDescent="0.25">
      <c r="A14" s="47">
        <v>45970</v>
      </c>
      <c r="B14" s="230">
        <v>1489.1</v>
      </c>
      <c r="C14" s="231">
        <v>1462.3</v>
      </c>
      <c r="D14" s="230">
        <v>34.44</v>
      </c>
      <c r="E14" s="232"/>
      <c r="F14" s="27"/>
      <c r="G14" s="32">
        <v>10.759999999999998</v>
      </c>
      <c r="H14" s="52"/>
      <c r="I14" s="44"/>
      <c r="J14" s="30">
        <f t="shared" si="1"/>
        <v>45.199999999999996</v>
      </c>
      <c r="L14" s="58">
        <v>4019.21</v>
      </c>
      <c r="M14" s="63">
        <v>4086.62</v>
      </c>
      <c r="N14" s="58">
        <v>10.78</v>
      </c>
      <c r="O14" s="60"/>
      <c r="P14" s="27"/>
      <c r="Q14" s="32">
        <v>72.643480000000025</v>
      </c>
      <c r="R14" s="32"/>
      <c r="S14" s="42"/>
      <c r="T14" s="44"/>
      <c r="U14" s="30">
        <f t="shared" si="0"/>
        <v>83.423480000000026</v>
      </c>
      <c r="V14" s="228"/>
      <c r="W14" s="58">
        <v>963.98</v>
      </c>
      <c r="X14" s="63"/>
      <c r="Y14" s="58"/>
      <c r="Z14" s="60"/>
      <c r="AA14" s="27"/>
      <c r="AB14" s="32"/>
      <c r="AC14" s="52"/>
      <c r="AD14" s="52"/>
      <c r="AE14" s="30">
        <f t="shared" si="2"/>
        <v>0</v>
      </c>
      <c r="AG14" s="58">
        <v>3513.62</v>
      </c>
      <c r="AH14" s="63">
        <v>604.09</v>
      </c>
      <c r="AI14" s="58"/>
      <c r="AJ14" s="60"/>
      <c r="AK14" s="27"/>
      <c r="AL14" s="51"/>
      <c r="AM14" s="52"/>
      <c r="AN14" s="52"/>
      <c r="AO14" s="30">
        <f t="shared" si="3"/>
        <v>0</v>
      </c>
      <c r="AQ14" s="58">
        <v>3921.15</v>
      </c>
      <c r="AR14" s="58">
        <v>919.66</v>
      </c>
      <c r="AS14" s="58">
        <v>75.180000000000007</v>
      </c>
      <c r="AT14" s="62"/>
      <c r="AU14" s="27"/>
      <c r="AV14" s="32">
        <v>109.62709999999996</v>
      </c>
      <c r="AW14" s="32"/>
      <c r="AX14" s="44">
        <v>9.1692978000000096</v>
      </c>
      <c r="AY14" s="30">
        <f t="shared" si="4"/>
        <v>193.97639779999997</v>
      </c>
      <c r="BA14" s="58">
        <v>1948.78</v>
      </c>
      <c r="BB14" s="63"/>
      <c r="BC14" s="58"/>
      <c r="BD14" s="60"/>
      <c r="BE14" s="27"/>
      <c r="BF14" s="32"/>
      <c r="BG14" s="52"/>
      <c r="BH14" s="52"/>
      <c r="BI14" s="30">
        <f t="shared" si="5"/>
        <v>0</v>
      </c>
      <c r="BK14" s="58">
        <v>8558.1299999999992</v>
      </c>
      <c r="BL14" s="63">
        <v>569.03</v>
      </c>
      <c r="BM14" s="58">
        <v>18</v>
      </c>
      <c r="BN14" s="60"/>
      <c r="BO14" s="27"/>
      <c r="BP14" s="32"/>
      <c r="BQ14" s="32"/>
      <c r="BR14" s="42">
        <v>6.5836440000000209</v>
      </c>
      <c r="BS14" s="52"/>
      <c r="BT14" s="30">
        <f t="shared" si="9"/>
        <v>24.583644000000021</v>
      </c>
      <c r="BV14" s="58">
        <v>1554.53</v>
      </c>
      <c r="BW14" s="63">
        <v>756.24</v>
      </c>
      <c r="BX14" s="58"/>
      <c r="BY14" s="60"/>
      <c r="BZ14" s="27"/>
      <c r="CA14" s="51"/>
      <c r="CB14" s="52"/>
      <c r="CC14" s="52"/>
      <c r="CD14" s="30">
        <f t="shared" si="6"/>
        <v>0</v>
      </c>
      <c r="CF14" s="58">
        <v>1467.81</v>
      </c>
      <c r="CG14" s="63"/>
      <c r="CH14" s="58">
        <v>11.61</v>
      </c>
      <c r="CI14" s="60"/>
      <c r="CJ14" s="27"/>
      <c r="CK14" s="32"/>
      <c r="CL14" s="42"/>
      <c r="CM14" s="52"/>
      <c r="CN14" s="30">
        <f t="shared" si="7"/>
        <v>11.61</v>
      </c>
      <c r="CP14" s="58">
        <v>1401.3</v>
      </c>
      <c r="CQ14" s="58">
        <v>822.03</v>
      </c>
      <c r="CR14" s="63">
        <v>2277.4</v>
      </c>
      <c r="CS14" s="58"/>
      <c r="CT14" s="60"/>
      <c r="CU14" s="27"/>
      <c r="CV14" s="51"/>
      <c r="CW14" s="42">
        <v>108.11997600000021</v>
      </c>
      <c r="CX14" s="52"/>
      <c r="CY14" s="229">
        <f t="shared" si="8"/>
        <v>108.11997600000021</v>
      </c>
    </row>
    <row r="15" spans="1:103" s="217" customFormat="1" hidden="1" x14ac:dyDescent="0.25">
      <c r="A15" s="47">
        <v>45971</v>
      </c>
      <c r="B15" s="230">
        <v>6143.26</v>
      </c>
      <c r="C15" s="231">
        <v>4138.6899999999996</v>
      </c>
      <c r="D15" s="230">
        <v>170.17</v>
      </c>
      <c r="E15" s="232">
        <v>4.34</v>
      </c>
      <c r="F15" s="27"/>
      <c r="G15" s="32">
        <v>35.28000000000003</v>
      </c>
      <c r="H15" s="52"/>
      <c r="I15" s="44"/>
      <c r="J15" s="30">
        <f t="shared" si="1"/>
        <v>205.45000000000002</v>
      </c>
      <c r="L15" s="58">
        <v>5376.69</v>
      </c>
      <c r="M15" s="63">
        <v>4002.08</v>
      </c>
      <c r="N15" s="58">
        <v>44.41</v>
      </c>
      <c r="O15" s="60"/>
      <c r="P15" s="27"/>
      <c r="Q15" s="32">
        <v>459.37892000000011</v>
      </c>
      <c r="R15" s="32"/>
      <c r="S15" s="42"/>
      <c r="T15" s="44"/>
      <c r="U15" s="30">
        <f t="shared" si="0"/>
        <v>503.78892000000008</v>
      </c>
      <c r="V15" s="228"/>
      <c r="W15" s="58">
        <v>719.91</v>
      </c>
      <c r="X15" s="63"/>
      <c r="Y15" s="58"/>
      <c r="Z15" s="60"/>
      <c r="AA15" s="27"/>
      <c r="AB15" s="32"/>
      <c r="AC15" s="52"/>
      <c r="AD15" s="52"/>
      <c r="AE15" s="30">
        <f t="shared" si="2"/>
        <v>0</v>
      </c>
      <c r="AG15" s="58">
        <v>3790.5</v>
      </c>
      <c r="AH15" s="63">
        <v>313.27</v>
      </c>
      <c r="AI15" s="58"/>
      <c r="AJ15" s="60"/>
      <c r="AK15" s="27"/>
      <c r="AL15" s="51"/>
      <c r="AM15" s="52"/>
      <c r="AN15" s="52"/>
      <c r="AO15" s="30">
        <f t="shared" si="3"/>
        <v>0</v>
      </c>
      <c r="AQ15" s="58">
        <v>5585.15</v>
      </c>
      <c r="AR15" s="58">
        <v>841.59</v>
      </c>
      <c r="AS15" s="58">
        <v>69.930000000000007</v>
      </c>
      <c r="AT15" s="62"/>
      <c r="AU15" s="27"/>
      <c r="AV15" s="32">
        <v>225.84471000000005</v>
      </c>
      <c r="AW15" s="32">
        <v>52.683866400000056</v>
      </c>
      <c r="AX15" s="44"/>
      <c r="AY15" s="30">
        <f t="shared" si="4"/>
        <v>348.45857640000014</v>
      </c>
      <c r="BA15" s="58">
        <v>6065.05</v>
      </c>
      <c r="BB15" s="63"/>
      <c r="BC15" s="58"/>
      <c r="BD15" s="60"/>
      <c r="BE15" s="27"/>
      <c r="BF15" s="32">
        <v>2.8405499999999222</v>
      </c>
      <c r="BG15" s="52"/>
      <c r="BH15" s="52"/>
      <c r="BI15" s="30">
        <f t="shared" si="5"/>
        <v>2.8405499999999222</v>
      </c>
      <c r="BK15" s="58">
        <v>12202.89</v>
      </c>
      <c r="BL15" s="63">
        <v>1350.75</v>
      </c>
      <c r="BM15" s="58">
        <v>197.47</v>
      </c>
      <c r="BN15" s="60"/>
      <c r="BO15" s="27"/>
      <c r="BP15" s="32">
        <v>14.243999999999943</v>
      </c>
      <c r="BQ15" s="32"/>
      <c r="BR15" s="42">
        <v>55.42583759999998</v>
      </c>
      <c r="BS15" s="52"/>
      <c r="BT15" s="30">
        <f t="shared" si="9"/>
        <v>267.13983759999991</v>
      </c>
      <c r="BV15" s="58">
        <v>2262.34</v>
      </c>
      <c r="BW15" s="63">
        <v>1378.41</v>
      </c>
      <c r="BX15" s="58">
        <v>4.3499999999999996</v>
      </c>
      <c r="BY15" s="60"/>
      <c r="BZ15" s="27"/>
      <c r="CA15" s="51"/>
      <c r="CB15" s="52"/>
      <c r="CC15" s="52"/>
      <c r="CD15" s="30">
        <f t="shared" si="6"/>
        <v>4.3499999999999996</v>
      </c>
      <c r="CF15" s="58">
        <v>1848.85</v>
      </c>
      <c r="CG15" s="63"/>
      <c r="CH15" s="58">
        <v>127.64</v>
      </c>
      <c r="CI15" s="60"/>
      <c r="CJ15" s="27"/>
      <c r="CK15" s="32">
        <v>54.613720000000029</v>
      </c>
      <c r="CL15" s="42"/>
      <c r="CM15" s="52"/>
      <c r="CN15" s="30">
        <f t="shared" si="7"/>
        <v>182.25372000000004</v>
      </c>
      <c r="CP15" s="58">
        <v>388.09</v>
      </c>
      <c r="CQ15" s="58">
        <v>494.27</v>
      </c>
      <c r="CR15" s="63">
        <v>798.17</v>
      </c>
      <c r="CS15" s="58"/>
      <c r="CT15" s="60"/>
      <c r="CU15" s="27"/>
      <c r="CV15" s="51"/>
      <c r="CW15" s="42">
        <v>110.80695270000004</v>
      </c>
      <c r="CX15" s="52"/>
      <c r="CY15" s="229">
        <f t="shared" si="8"/>
        <v>110.80695270000004</v>
      </c>
    </row>
    <row r="16" spans="1:103" s="217" customFormat="1" hidden="1" x14ac:dyDescent="0.25">
      <c r="A16" s="47">
        <v>45972</v>
      </c>
      <c r="B16" s="230">
        <v>9544.33</v>
      </c>
      <c r="C16" s="231">
        <v>2773.05</v>
      </c>
      <c r="D16" s="230">
        <v>335.29</v>
      </c>
      <c r="E16" s="232">
        <v>0.83</v>
      </c>
      <c r="F16" s="27"/>
      <c r="G16" s="32">
        <v>27.727999999999994</v>
      </c>
      <c r="H16" s="52"/>
      <c r="I16" s="44">
        <v>82.781488800000147</v>
      </c>
      <c r="J16" s="30">
        <f t="shared" si="1"/>
        <v>445.79948880000018</v>
      </c>
      <c r="L16" s="58">
        <v>6488.98</v>
      </c>
      <c r="M16" s="63">
        <v>3983.34</v>
      </c>
      <c r="N16" s="58">
        <v>70.83</v>
      </c>
      <c r="O16" s="60"/>
      <c r="P16" s="27"/>
      <c r="Q16" s="32">
        <v>171.18985000000004</v>
      </c>
      <c r="R16" s="32"/>
      <c r="S16" s="42"/>
      <c r="T16" s="44">
        <v>167.846</v>
      </c>
      <c r="U16" s="30">
        <f t="shared" si="0"/>
        <v>409.86585000000002</v>
      </c>
      <c r="V16" s="228"/>
      <c r="W16" s="58">
        <v>1605.04</v>
      </c>
      <c r="X16" s="63"/>
      <c r="Y16" s="58"/>
      <c r="Z16" s="60"/>
      <c r="AA16" s="27"/>
      <c r="AB16" s="32"/>
      <c r="AC16" s="52"/>
      <c r="AD16" s="52"/>
      <c r="AE16" s="30">
        <f t="shared" si="2"/>
        <v>0</v>
      </c>
      <c r="AG16" s="58">
        <v>3329.7799999999997</v>
      </c>
      <c r="AH16" s="63">
        <v>348.02</v>
      </c>
      <c r="AI16" s="58"/>
      <c r="AJ16" s="60"/>
      <c r="AK16" s="27"/>
      <c r="AL16" s="51"/>
      <c r="AM16" s="52"/>
      <c r="AN16" s="52"/>
      <c r="AO16" s="30">
        <f t="shared" si="3"/>
        <v>0</v>
      </c>
      <c r="AQ16" s="58">
        <v>3643.57</v>
      </c>
      <c r="AR16" s="58">
        <v>473.95</v>
      </c>
      <c r="AS16" s="58">
        <v>20.170000000000002</v>
      </c>
      <c r="AT16" s="62"/>
      <c r="AU16" s="27"/>
      <c r="AV16" s="32">
        <v>192.61951999999999</v>
      </c>
      <c r="AW16" s="32">
        <v>15.384349400000019</v>
      </c>
      <c r="AX16" s="44">
        <v>9.4044080000000179</v>
      </c>
      <c r="AY16" s="30">
        <f t="shared" si="4"/>
        <v>237.57827740000005</v>
      </c>
      <c r="BA16" s="58">
        <v>5523.88</v>
      </c>
      <c r="BB16" s="63"/>
      <c r="BC16" s="58"/>
      <c r="BD16" s="60"/>
      <c r="BE16" s="27"/>
      <c r="BF16" s="32">
        <v>3.6980099999999538</v>
      </c>
      <c r="BG16" s="52"/>
      <c r="BH16" s="52"/>
      <c r="BI16" s="30">
        <f t="shared" si="5"/>
        <v>3.6980099999999538</v>
      </c>
      <c r="BK16" s="58">
        <v>22031.040000000001</v>
      </c>
      <c r="BL16" s="63">
        <v>927.98</v>
      </c>
      <c r="BM16" s="58">
        <v>140.52000000000001</v>
      </c>
      <c r="BN16" s="60"/>
      <c r="BO16" s="27"/>
      <c r="BP16" s="32">
        <v>63.822779999999852</v>
      </c>
      <c r="BQ16" s="32"/>
      <c r="BR16" s="42">
        <v>-110.59896900000018</v>
      </c>
      <c r="BS16" s="52"/>
      <c r="BT16" s="30">
        <f t="shared" si="9"/>
        <v>93.743810999999681</v>
      </c>
      <c r="BV16" s="58">
        <v>3403.91</v>
      </c>
      <c r="BW16" s="63">
        <v>1064.82</v>
      </c>
      <c r="BX16" s="58">
        <v>5.39</v>
      </c>
      <c r="BY16" s="60"/>
      <c r="BZ16" s="27"/>
      <c r="CA16" s="51"/>
      <c r="CB16" s="52"/>
      <c r="CC16" s="52"/>
      <c r="CD16" s="30">
        <f t="shared" si="6"/>
        <v>5.39</v>
      </c>
      <c r="CF16" s="58">
        <v>1419.1</v>
      </c>
      <c r="CG16" s="63"/>
      <c r="CH16" s="58">
        <v>567.42999999999995</v>
      </c>
      <c r="CI16" s="60"/>
      <c r="CJ16" s="27"/>
      <c r="CK16" s="32"/>
      <c r="CL16" s="42"/>
      <c r="CM16" s="52"/>
      <c r="CN16" s="30">
        <f t="shared" si="7"/>
        <v>567.42999999999995</v>
      </c>
      <c r="CP16" s="58">
        <v>877.03</v>
      </c>
      <c r="CQ16" s="58">
        <v>713.94</v>
      </c>
      <c r="CR16" s="63">
        <v>2089.94</v>
      </c>
      <c r="CS16" s="58"/>
      <c r="CT16" s="60"/>
      <c r="CU16" s="27"/>
      <c r="CV16" s="51"/>
      <c r="CW16" s="42">
        <v>1.7333644000000277</v>
      </c>
      <c r="CX16" s="52"/>
      <c r="CY16" s="229">
        <f t="shared" si="8"/>
        <v>1.7333644000000277</v>
      </c>
    </row>
    <row r="17" spans="1:103" s="217" customFormat="1" hidden="1" x14ac:dyDescent="0.25">
      <c r="A17" s="47">
        <v>45973</v>
      </c>
      <c r="B17" s="230">
        <v>1651.68</v>
      </c>
      <c r="C17" s="231">
        <v>2747.81</v>
      </c>
      <c r="D17" s="230">
        <v>236.04</v>
      </c>
      <c r="E17" s="232">
        <v>5.01</v>
      </c>
      <c r="F17" s="27"/>
      <c r="G17" s="32">
        <v>25.486750000000008</v>
      </c>
      <c r="H17" s="52"/>
      <c r="I17" s="44"/>
      <c r="J17" s="30">
        <f t="shared" si="1"/>
        <v>261.52674999999999</v>
      </c>
      <c r="L17" s="58">
        <v>6776.98</v>
      </c>
      <c r="M17" s="63">
        <v>3934.32</v>
      </c>
      <c r="N17" s="58">
        <v>28.29</v>
      </c>
      <c r="O17" s="60"/>
      <c r="P17" s="27"/>
      <c r="Q17" s="32">
        <v>432.96970000000005</v>
      </c>
      <c r="R17" s="32"/>
      <c r="S17" s="42"/>
      <c r="T17" s="44"/>
      <c r="U17" s="30">
        <f t="shared" si="0"/>
        <v>461.25970000000007</v>
      </c>
      <c r="V17" s="228"/>
      <c r="W17" s="58">
        <v>2638.23</v>
      </c>
      <c r="X17" s="63"/>
      <c r="Y17" s="58"/>
      <c r="Z17" s="60"/>
      <c r="AA17" s="27"/>
      <c r="AB17" s="32"/>
      <c r="AC17" s="52"/>
      <c r="AD17" s="52"/>
      <c r="AE17" s="30">
        <f t="shared" si="2"/>
        <v>0</v>
      </c>
      <c r="AG17" s="58">
        <v>5321.34</v>
      </c>
      <c r="AH17" s="63">
        <v>485.79</v>
      </c>
      <c r="AI17" s="58"/>
      <c r="AJ17" s="60"/>
      <c r="AK17" s="27"/>
      <c r="AL17" s="51"/>
      <c r="AM17" s="52"/>
      <c r="AN17" s="52"/>
      <c r="AO17" s="30">
        <f t="shared" si="3"/>
        <v>0</v>
      </c>
      <c r="AQ17" s="58">
        <v>3903.34</v>
      </c>
      <c r="AR17" s="58">
        <v>746.42</v>
      </c>
      <c r="AS17" s="58">
        <v>19.32</v>
      </c>
      <c r="AT17" s="62"/>
      <c r="AU17" s="27"/>
      <c r="AV17" s="32">
        <v>150.25381999999996</v>
      </c>
      <c r="AW17" s="32">
        <v>6.5575687999999559</v>
      </c>
      <c r="AX17" s="44">
        <v>12.358719200000028</v>
      </c>
      <c r="AY17" s="30">
        <f t="shared" si="4"/>
        <v>188.49010799999994</v>
      </c>
      <c r="BA17" s="58">
        <v>1869.55</v>
      </c>
      <c r="BB17" s="63"/>
      <c r="BC17" s="58">
        <v>52</v>
      </c>
      <c r="BD17" s="60"/>
      <c r="BE17" s="27"/>
      <c r="BF17" s="32">
        <v>5.770920000000018</v>
      </c>
      <c r="BG17" s="52"/>
      <c r="BH17" s="52"/>
      <c r="BI17" s="30">
        <f t="shared" si="5"/>
        <v>57.770920000000018</v>
      </c>
      <c r="BK17" s="58">
        <v>20684.330000000002</v>
      </c>
      <c r="BL17" s="63">
        <v>1187.1099999999999</v>
      </c>
      <c r="BM17" s="58">
        <v>309.35000000000002</v>
      </c>
      <c r="BN17" s="60"/>
      <c r="BO17" s="27"/>
      <c r="BP17" s="32">
        <v>132.93873999999983</v>
      </c>
      <c r="BQ17" s="32"/>
      <c r="BR17" s="42">
        <v>-190.06990900000014</v>
      </c>
      <c r="BS17" s="52"/>
      <c r="BT17" s="30">
        <f t="shared" si="9"/>
        <v>252.21883099999971</v>
      </c>
      <c r="BV17" s="58">
        <v>2882.93</v>
      </c>
      <c r="BW17" s="63">
        <v>1183.47</v>
      </c>
      <c r="BX17" s="58"/>
      <c r="BY17" s="60"/>
      <c r="BZ17" s="27"/>
      <c r="CA17" s="51"/>
      <c r="CB17" s="52"/>
      <c r="CC17" s="52"/>
      <c r="CD17" s="30">
        <f t="shared" si="6"/>
        <v>0</v>
      </c>
      <c r="CF17" s="58">
        <v>1777.48</v>
      </c>
      <c r="CG17" s="63"/>
      <c r="CH17" s="58">
        <v>17.97</v>
      </c>
      <c r="CI17" s="60"/>
      <c r="CJ17" s="27"/>
      <c r="CK17" s="32"/>
      <c r="CL17" s="42"/>
      <c r="CM17" s="52"/>
      <c r="CN17" s="30">
        <f t="shared" si="7"/>
        <v>17.97</v>
      </c>
      <c r="CP17" s="58">
        <v>2773.91</v>
      </c>
      <c r="CQ17" s="58">
        <v>507.09</v>
      </c>
      <c r="CR17" s="63">
        <v>1996.07</v>
      </c>
      <c r="CS17" s="58"/>
      <c r="CT17" s="60"/>
      <c r="CU17" s="27"/>
      <c r="CV17" s="51"/>
      <c r="CW17" s="42">
        <v>93.860837200000063</v>
      </c>
      <c r="CX17" s="52"/>
      <c r="CY17" s="229">
        <f t="shared" si="8"/>
        <v>93.860837200000063</v>
      </c>
    </row>
    <row r="18" spans="1:103" s="217" customFormat="1" hidden="1" x14ac:dyDescent="0.25">
      <c r="A18" s="47">
        <v>45974</v>
      </c>
      <c r="B18" s="230">
        <v>4339.49</v>
      </c>
      <c r="C18" s="231">
        <v>3170.63</v>
      </c>
      <c r="D18" s="230">
        <v>202.75</v>
      </c>
      <c r="E18" s="232">
        <v>1.65</v>
      </c>
      <c r="F18" s="27"/>
      <c r="G18" s="32"/>
      <c r="H18" s="52"/>
      <c r="I18" s="44"/>
      <c r="J18" s="30">
        <f t="shared" si="1"/>
        <v>202.75</v>
      </c>
      <c r="L18" s="58">
        <v>6336.25</v>
      </c>
      <c r="M18" s="63">
        <v>3711.97</v>
      </c>
      <c r="N18" s="58">
        <v>41.2</v>
      </c>
      <c r="O18" s="60"/>
      <c r="P18" s="27"/>
      <c r="Q18" s="32">
        <v>104.16834000000026</v>
      </c>
      <c r="R18" s="32"/>
      <c r="S18" s="42"/>
      <c r="T18" s="44">
        <v>160.05024100000006</v>
      </c>
      <c r="U18" s="30">
        <f t="shared" si="0"/>
        <v>305.4185810000003</v>
      </c>
      <c r="V18" s="228"/>
      <c r="W18" s="58">
        <v>1808.03</v>
      </c>
      <c r="X18" s="63"/>
      <c r="Y18" s="58"/>
      <c r="Z18" s="60"/>
      <c r="AA18" s="27"/>
      <c r="AB18" s="32"/>
      <c r="AC18" s="52"/>
      <c r="AD18" s="52"/>
      <c r="AE18" s="30">
        <f t="shared" si="2"/>
        <v>0</v>
      </c>
      <c r="AG18" s="58">
        <v>5083.96</v>
      </c>
      <c r="AH18" s="63">
        <v>593.76</v>
      </c>
      <c r="AI18" s="58"/>
      <c r="AJ18" s="60"/>
      <c r="AK18" s="27"/>
      <c r="AL18" s="51"/>
      <c r="AM18" s="52"/>
      <c r="AN18" s="52"/>
      <c r="AO18" s="30">
        <f t="shared" si="3"/>
        <v>0</v>
      </c>
      <c r="AQ18" s="58">
        <v>4816.62</v>
      </c>
      <c r="AR18" s="58">
        <v>741.5</v>
      </c>
      <c r="AS18" s="58">
        <v>206.64</v>
      </c>
      <c r="AT18" s="62"/>
      <c r="AU18" s="27"/>
      <c r="AV18" s="32">
        <v>103.95040000000009</v>
      </c>
      <c r="AW18" s="32">
        <v>8.0690758000000073</v>
      </c>
      <c r="AX18" s="44">
        <v>1.1715083999999933</v>
      </c>
      <c r="AY18" s="30">
        <f t="shared" si="4"/>
        <v>319.8309842000001</v>
      </c>
      <c r="BA18" s="58">
        <v>12027.88</v>
      </c>
      <c r="BB18" s="63"/>
      <c r="BC18" s="58"/>
      <c r="BD18" s="60"/>
      <c r="BE18" s="27"/>
      <c r="BF18" s="32">
        <v>11.787059999999961</v>
      </c>
      <c r="BG18" s="52"/>
      <c r="BH18" s="52"/>
      <c r="BI18" s="30">
        <f t="shared" si="5"/>
        <v>11.787059999999961</v>
      </c>
      <c r="BK18" s="58">
        <v>15161.29</v>
      </c>
      <c r="BL18" s="63">
        <v>797.65</v>
      </c>
      <c r="BM18" s="58">
        <v>296.49</v>
      </c>
      <c r="BN18" s="60"/>
      <c r="BO18" s="27"/>
      <c r="BP18" s="32">
        <v>35.213280000000083</v>
      </c>
      <c r="BQ18" s="32"/>
      <c r="BR18" s="42">
        <v>-27.870690200000183</v>
      </c>
      <c r="BS18" s="52"/>
      <c r="BT18" s="30">
        <f t="shared" si="9"/>
        <v>303.83258979999994</v>
      </c>
      <c r="BV18" s="58">
        <v>1845.96</v>
      </c>
      <c r="BW18" s="63">
        <v>866.47</v>
      </c>
      <c r="BX18" s="58">
        <v>8.51</v>
      </c>
      <c r="BY18" s="60"/>
      <c r="BZ18" s="27"/>
      <c r="CA18" s="51"/>
      <c r="CB18" s="52"/>
      <c r="CC18" s="52"/>
      <c r="CD18" s="30">
        <f t="shared" si="6"/>
        <v>8.51</v>
      </c>
      <c r="CF18" s="58">
        <v>1403.03</v>
      </c>
      <c r="CG18" s="63"/>
      <c r="CH18" s="58">
        <v>47.69</v>
      </c>
      <c r="CI18" s="60"/>
      <c r="CJ18" s="27"/>
      <c r="CK18" s="32">
        <v>5.5832699999999917</v>
      </c>
      <c r="CL18" s="42"/>
      <c r="CM18" s="52"/>
      <c r="CN18" s="30">
        <f t="shared" si="7"/>
        <v>53.273269999999989</v>
      </c>
      <c r="CP18" s="58">
        <v>1757.68</v>
      </c>
      <c r="CQ18" s="58">
        <v>820.41</v>
      </c>
      <c r="CR18" s="63">
        <v>3044.42</v>
      </c>
      <c r="CS18" s="58"/>
      <c r="CT18" s="60"/>
      <c r="CU18" s="27"/>
      <c r="CV18" s="51"/>
      <c r="CW18" s="42">
        <v>75.061606000000054</v>
      </c>
      <c r="CX18" s="52"/>
      <c r="CY18" s="229">
        <f t="shared" si="8"/>
        <v>75.061606000000054</v>
      </c>
    </row>
    <row r="19" spans="1:103" s="217" customFormat="1" hidden="1" x14ac:dyDescent="0.25">
      <c r="A19" s="47">
        <v>45975</v>
      </c>
      <c r="B19" s="230">
        <v>1220.21</v>
      </c>
      <c r="C19" s="231">
        <v>3076.01</v>
      </c>
      <c r="D19" s="230">
        <v>53.58</v>
      </c>
      <c r="E19" s="232">
        <v>26.24</v>
      </c>
      <c r="F19" s="27"/>
      <c r="G19" s="32"/>
      <c r="H19" s="52"/>
      <c r="I19" s="44"/>
      <c r="J19" s="30">
        <f t="shared" si="1"/>
        <v>53.58</v>
      </c>
      <c r="L19" s="58">
        <v>6191.43</v>
      </c>
      <c r="M19" s="63">
        <v>3755.24</v>
      </c>
      <c r="N19" s="58">
        <v>25.99</v>
      </c>
      <c r="O19" s="60"/>
      <c r="P19" s="27"/>
      <c r="Q19" s="32">
        <v>64.419260000000065</v>
      </c>
      <c r="R19" s="32"/>
      <c r="S19" s="42"/>
      <c r="T19" s="44"/>
      <c r="U19" s="30">
        <f t="shared" si="0"/>
        <v>90.40926000000006</v>
      </c>
      <c r="V19" s="228"/>
      <c r="W19" s="58">
        <v>820.01</v>
      </c>
      <c r="X19" s="63"/>
      <c r="Y19" s="58"/>
      <c r="Z19" s="60"/>
      <c r="AA19" s="27"/>
      <c r="AB19" s="32"/>
      <c r="AC19" s="52"/>
      <c r="AD19" s="52"/>
      <c r="AE19" s="30">
        <f t="shared" si="2"/>
        <v>0</v>
      </c>
      <c r="AG19" s="58">
        <v>3079.13</v>
      </c>
      <c r="AH19" s="63">
        <v>423.42</v>
      </c>
      <c r="AI19" s="58"/>
      <c r="AJ19" s="60"/>
      <c r="AK19" s="27"/>
      <c r="AL19" s="51"/>
      <c r="AM19" s="52"/>
      <c r="AN19" s="52"/>
      <c r="AO19" s="30">
        <f t="shared" si="3"/>
        <v>0</v>
      </c>
      <c r="AQ19" s="58">
        <v>9891</v>
      </c>
      <c r="AR19" s="58">
        <v>576.73</v>
      </c>
      <c r="AS19" s="58">
        <v>249.2</v>
      </c>
      <c r="AT19" s="62"/>
      <c r="AU19" s="27"/>
      <c r="AV19" s="32">
        <v>110.83597000000016</v>
      </c>
      <c r="AW19" s="32">
        <v>31.664765999999986</v>
      </c>
      <c r="AX19" s="44"/>
      <c r="AY19" s="30">
        <f t="shared" si="4"/>
        <v>391.70073600000012</v>
      </c>
      <c r="BA19" s="58">
        <v>5348.24</v>
      </c>
      <c r="BB19" s="63"/>
      <c r="BC19" s="58"/>
      <c r="BD19" s="60"/>
      <c r="BE19" s="27"/>
      <c r="BF19" s="32">
        <v>97.258959999999945</v>
      </c>
      <c r="BG19" s="52"/>
      <c r="BH19" s="52"/>
      <c r="BI19" s="30">
        <f t="shared" si="5"/>
        <v>97.258959999999945</v>
      </c>
      <c r="BK19" s="58">
        <v>25363.65</v>
      </c>
      <c r="BL19" s="63">
        <v>1380.53</v>
      </c>
      <c r="BM19" s="58">
        <v>401.22</v>
      </c>
      <c r="BN19" s="60"/>
      <c r="BO19" s="27"/>
      <c r="BP19" s="32">
        <v>78.671430000000115</v>
      </c>
      <c r="BQ19" s="32"/>
      <c r="BR19" s="42">
        <v>16.685000000000016</v>
      </c>
      <c r="BS19" s="52"/>
      <c r="BT19" s="30">
        <f t="shared" si="9"/>
        <v>496.57643000000019</v>
      </c>
      <c r="BV19" s="58">
        <v>2655.34</v>
      </c>
      <c r="BW19" s="63">
        <v>898.92</v>
      </c>
      <c r="BX19" s="58">
        <v>13.45</v>
      </c>
      <c r="BY19" s="60"/>
      <c r="BZ19" s="27"/>
      <c r="CA19" s="51"/>
      <c r="CB19" s="52"/>
      <c r="CC19" s="52"/>
      <c r="CD19" s="30">
        <f t="shared" si="6"/>
        <v>13.45</v>
      </c>
      <c r="CF19" s="58">
        <v>3324.15</v>
      </c>
      <c r="CG19" s="63"/>
      <c r="CH19" s="58">
        <v>142.97999999999999</v>
      </c>
      <c r="CI19" s="60"/>
      <c r="CJ19" s="27"/>
      <c r="CK19" s="32">
        <v>4.9133699999999969</v>
      </c>
      <c r="CL19" s="42"/>
      <c r="CM19" s="52"/>
      <c r="CN19" s="30">
        <f t="shared" si="7"/>
        <v>147.89336999999998</v>
      </c>
      <c r="CP19" s="58">
        <v>1553.89</v>
      </c>
      <c r="CQ19" s="58">
        <v>590.53</v>
      </c>
      <c r="CR19" s="63">
        <v>2286.52</v>
      </c>
      <c r="CS19" s="58"/>
      <c r="CT19" s="60"/>
      <c r="CU19" s="27"/>
      <c r="CV19" s="51"/>
      <c r="CW19" s="42">
        <v>43.027500000000032</v>
      </c>
      <c r="CX19" s="52"/>
      <c r="CY19" s="229">
        <f t="shared" si="8"/>
        <v>43.027500000000032</v>
      </c>
    </row>
    <row r="20" spans="1:103" s="217" customFormat="1" hidden="1" x14ac:dyDescent="0.25">
      <c r="A20" s="47">
        <v>45976</v>
      </c>
      <c r="B20" s="230">
        <v>2838.98</v>
      </c>
      <c r="C20" s="231">
        <v>2733.45</v>
      </c>
      <c r="D20" s="230">
        <v>148.88999999999999</v>
      </c>
      <c r="E20" s="232">
        <v>1.1000000000000001</v>
      </c>
      <c r="F20" s="27"/>
      <c r="G20" s="32"/>
      <c r="H20" s="52"/>
      <c r="I20" s="44"/>
      <c r="J20" s="30">
        <f t="shared" si="1"/>
        <v>148.88999999999999</v>
      </c>
      <c r="L20" s="58">
        <v>8170.41</v>
      </c>
      <c r="M20" s="63">
        <v>4702.87</v>
      </c>
      <c r="N20" s="58">
        <v>23.94</v>
      </c>
      <c r="O20" s="60"/>
      <c r="P20" s="27"/>
      <c r="Q20" s="32">
        <v>508.93653000000012</v>
      </c>
      <c r="R20" s="32"/>
      <c r="S20" s="42"/>
      <c r="T20" s="44"/>
      <c r="U20" s="30">
        <f t="shared" si="0"/>
        <v>532.87653000000012</v>
      </c>
      <c r="V20" s="228"/>
      <c r="W20" s="58">
        <v>3062.5</v>
      </c>
      <c r="X20" s="63"/>
      <c r="Y20" s="58"/>
      <c r="Z20" s="60"/>
      <c r="AA20" s="27"/>
      <c r="AB20" s="32"/>
      <c r="AC20" s="52"/>
      <c r="AD20" s="52"/>
      <c r="AE20" s="30">
        <f t="shared" si="2"/>
        <v>0</v>
      </c>
      <c r="AG20" s="58">
        <v>3213.1899999999996</v>
      </c>
      <c r="AH20" s="63">
        <v>1083.8</v>
      </c>
      <c r="AI20" s="58"/>
      <c r="AJ20" s="60"/>
      <c r="AK20" s="27"/>
      <c r="AL20" s="51"/>
      <c r="AM20" s="52"/>
      <c r="AN20" s="52"/>
      <c r="AO20" s="30">
        <f t="shared" si="3"/>
        <v>0</v>
      </c>
      <c r="AQ20" s="58">
        <v>6868.45</v>
      </c>
      <c r="AR20" s="58">
        <v>1143.74</v>
      </c>
      <c r="AS20" s="58">
        <v>218.41</v>
      </c>
      <c r="AT20" s="62"/>
      <c r="AU20" s="27"/>
      <c r="AV20" s="32">
        <v>94.936300000000102</v>
      </c>
      <c r="AW20" s="32"/>
      <c r="AX20" s="44"/>
      <c r="AY20" s="30">
        <f t="shared" si="4"/>
        <v>313.3463000000001</v>
      </c>
      <c r="BA20" s="58">
        <v>1929.61</v>
      </c>
      <c r="BB20" s="63"/>
      <c r="BC20" s="58"/>
      <c r="BD20" s="60"/>
      <c r="BE20" s="27"/>
      <c r="BF20" s="32">
        <v>26.75277999999993</v>
      </c>
      <c r="BG20" s="52"/>
      <c r="BH20" s="52"/>
      <c r="BI20" s="30">
        <f t="shared" si="5"/>
        <v>26.75277999999993</v>
      </c>
      <c r="BK20" s="58">
        <v>28763.39</v>
      </c>
      <c r="BL20" s="63">
        <v>1000.99</v>
      </c>
      <c r="BM20" s="58">
        <v>223.81</v>
      </c>
      <c r="BN20" s="60"/>
      <c r="BO20" s="27"/>
      <c r="BP20" s="32">
        <v>47.564669999999978</v>
      </c>
      <c r="BQ20" s="32"/>
      <c r="BR20" s="42">
        <v>67.059524200000055</v>
      </c>
      <c r="BS20" s="52"/>
      <c r="BT20" s="30">
        <f t="shared" si="9"/>
        <v>338.43419420000004</v>
      </c>
      <c r="BV20" s="58">
        <v>1818.8</v>
      </c>
      <c r="BW20" s="63">
        <v>849.02</v>
      </c>
      <c r="BX20" s="58">
        <v>2.06</v>
      </c>
      <c r="BY20" s="60"/>
      <c r="BZ20" s="27"/>
      <c r="CA20" s="51"/>
      <c r="CB20" s="52"/>
      <c r="CC20" s="52"/>
      <c r="CD20" s="30">
        <f t="shared" si="6"/>
        <v>2.06</v>
      </c>
      <c r="CF20" s="58">
        <v>2030.54</v>
      </c>
      <c r="CG20" s="63"/>
      <c r="CH20" s="58">
        <v>26.62</v>
      </c>
      <c r="CI20" s="60"/>
      <c r="CJ20" s="27"/>
      <c r="CK20" s="32">
        <v>18.911560000000009</v>
      </c>
      <c r="CL20" s="42">
        <v>16.423200000000008</v>
      </c>
      <c r="CM20" s="52"/>
      <c r="CN20" s="30">
        <f t="shared" si="7"/>
        <v>61.954760000000022</v>
      </c>
      <c r="CP20" s="58">
        <v>2033.96</v>
      </c>
      <c r="CQ20" s="58">
        <v>1119.07</v>
      </c>
      <c r="CR20" s="63">
        <v>2786.64</v>
      </c>
      <c r="CS20" s="58">
        <v>25.57</v>
      </c>
      <c r="CT20" s="60"/>
      <c r="CU20" s="27"/>
      <c r="CV20" s="51"/>
      <c r="CW20" s="42">
        <v>68.155100000000004</v>
      </c>
      <c r="CX20" s="52"/>
      <c r="CY20" s="229">
        <f t="shared" si="8"/>
        <v>93.725099999999998</v>
      </c>
    </row>
    <row r="21" spans="1:103" s="217" customFormat="1" hidden="1" x14ac:dyDescent="0.25">
      <c r="A21" s="47">
        <v>45977</v>
      </c>
      <c r="B21" s="230">
        <v>2902.84</v>
      </c>
      <c r="C21" s="231">
        <v>1935.48</v>
      </c>
      <c r="D21" s="230">
        <v>174.16</v>
      </c>
      <c r="E21" s="232">
        <v>0.27</v>
      </c>
      <c r="F21" s="27"/>
      <c r="G21" s="32"/>
      <c r="H21" s="52"/>
      <c r="I21" s="44"/>
      <c r="J21" s="30">
        <f t="shared" si="1"/>
        <v>174.16</v>
      </c>
      <c r="L21" s="58">
        <v>5673.6</v>
      </c>
      <c r="M21" s="63">
        <v>3589.12</v>
      </c>
      <c r="N21" s="58">
        <v>30.22</v>
      </c>
      <c r="O21" s="60"/>
      <c r="P21" s="27"/>
      <c r="Q21" s="32">
        <v>28.105199999999996</v>
      </c>
      <c r="R21" s="32"/>
      <c r="S21" s="42"/>
      <c r="T21" s="44">
        <v>22.636462800000018</v>
      </c>
      <c r="U21" s="30">
        <f t="shared" si="0"/>
        <v>80.961662800000013</v>
      </c>
      <c r="V21" s="228"/>
      <c r="W21" s="58">
        <v>1568.66</v>
      </c>
      <c r="X21" s="63"/>
      <c r="Y21" s="58"/>
      <c r="Z21" s="60"/>
      <c r="AA21" s="27"/>
      <c r="AB21" s="32"/>
      <c r="AC21" s="52"/>
      <c r="AD21" s="52"/>
      <c r="AE21" s="30">
        <f t="shared" si="2"/>
        <v>0</v>
      </c>
      <c r="AG21" s="58">
        <v>3943.7599999999998</v>
      </c>
      <c r="AH21" s="63">
        <v>230.12</v>
      </c>
      <c r="AI21" s="58"/>
      <c r="AJ21" s="60"/>
      <c r="AK21" s="27"/>
      <c r="AL21" s="51"/>
      <c r="AM21" s="52"/>
      <c r="AN21" s="52"/>
      <c r="AO21" s="30">
        <f t="shared" si="3"/>
        <v>0</v>
      </c>
      <c r="AQ21" s="58">
        <v>2854.27</v>
      </c>
      <c r="AR21" s="58">
        <v>787.21</v>
      </c>
      <c r="AS21" s="58">
        <v>41.11</v>
      </c>
      <c r="AT21" s="62"/>
      <c r="AU21" s="27"/>
      <c r="AV21" s="32">
        <v>63.736090000000033</v>
      </c>
      <c r="AW21" s="32"/>
      <c r="AX21" s="44"/>
      <c r="AY21" s="30">
        <f t="shared" si="4"/>
        <v>104.84609000000003</v>
      </c>
      <c r="BA21" s="58">
        <v>4242.0600000000004</v>
      </c>
      <c r="BB21" s="63"/>
      <c r="BC21" s="58"/>
      <c r="BD21" s="60"/>
      <c r="BE21" s="27"/>
      <c r="BF21" s="32">
        <v>33.212829999999997</v>
      </c>
      <c r="BG21" s="52"/>
      <c r="BH21" s="52"/>
      <c r="BI21" s="30">
        <f t="shared" si="5"/>
        <v>33.212829999999997</v>
      </c>
      <c r="BK21" s="58">
        <v>17918.939999999999</v>
      </c>
      <c r="BL21" s="63">
        <v>1391.85</v>
      </c>
      <c r="BM21" s="58">
        <v>89.01</v>
      </c>
      <c r="BN21" s="60"/>
      <c r="BO21" s="27"/>
      <c r="BP21" s="32"/>
      <c r="BQ21" s="32"/>
      <c r="BR21" s="42">
        <v>16.285417999999993</v>
      </c>
      <c r="BS21" s="52"/>
      <c r="BT21" s="30">
        <f t="shared" si="9"/>
        <v>105.295418</v>
      </c>
      <c r="BV21" s="58">
        <v>2067.85</v>
      </c>
      <c r="BW21" s="63">
        <v>930.09</v>
      </c>
      <c r="BX21" s="58"/>
      <c r="BY21" s="60"/>
      <c r="BZ21" s="27"/>
      <c r="CA21" s="51"/>
      <c r="CB21" s="52"/>
      <c r="CC21" s="52"/>
      <c r="CD21" s="30">
        <f t="shared" si="6"/>
        <v>0</v>
      </c>
      <c r="CF21" s="58">
        <v>2112.33</v>
      </c>
      <c r="CG21" s="63"/>
      <c r="CH21" s="58">
        <v>9.99</v>
      </c>
      <c r="CI21" s="60"/>
      <c r="CJ21" s="27"/>
      <c r="CK21" s="32"/>
      <c r="CL21" s="42"/>
      <c r="CM21" s="52"/>
      <c r="CN21" s="30">
        <f t="shared" si="7"/>
        <v>9.99</v>
      </c>
      <c r="CP21" s="58">
        <v>1249.8900000000001</v>
      </c>
      <c r="CQ21" s="58">
        <v>952.55</v>
      </c>
      <c r="CR21" s="63">
        <v>2661.11</v>
      </c>
      <c r="CS21" s="58"/>
      <c r="CT21" s="60"/>
      <c r="CU21" s="27"/>
      <c r="CV21" s="51"/>
      <c r="CW21" s="42">
        <v>63.668150000000082</v>
      </c>
      <c r="CX21" s="52"/>
      <c r="CY21" s="229">
        <f t="shared" si="8"/>
        <v>63.668150000000082</v>
      </c>
    </row>
    <row r="22" spans="1:103" s="217" customFormat="1" hidden="1" x14ac:dyDescent="0.25">
      <c r="A22" s="47">
        <v>45978</v>
      </c>
      <c r="B22" s="230">
        <v>5469.92</v>
      </c>
      <c r="C22" s="231">
        <v>3405.46</v>
      </c>
      <c r="D22" s="230">
        <v>278.11</v>
      </c>
      <c r="E22" s="232">
        <v>2.0699999999999998</v>
      </c>
      <c r="F22" s="27"/>
      <c r="G22" s="32">
        <v>12.382049999999992</v>
      </c>
      <c r="H22" s="52"/>
      <c r="I22" s="44"/>
      <c r="J22" s="30">
        <f t="shared" si="1"/>
        <v>290.49205000000001</v>
      </c>
      <c r="L22" s="58">
        <v>5656.33</v>
      </c>
      <c r="M22" s="63">
        <v>3953.68</v>
      </c>
      <c r="N22" s="58">
        <v>34.74</v>
      </c>
      <c r="O22" s="60"/>
      <c r="P22" s="27"/>
      <c r="Q22" s="32">
        <v>433.47655000000003</v>
      </c>
      <c r="R22" s="32"/>
      <c r="S22" s="42"/>
      <c r="T22" s="44">
        <v>208.27800000000025</v>
      </c>
      <c r="U22" s="30">
        <f t="shared" si="0"/>
        <v>676.49455000000034</v>
      </c>
      <c r="V22" s="228"/>
      <c r="W22" s="58">
        <v>1833.98</v>
      </c>
      <c r="X22" s="63"/>
      <c r="Y22" s="58"/>
      <c r="Z22" s="60"/>
      <c r="AA22" s="27"/>
      <c r="AB22" s="32"/>
      <c r="AC22" s="52"/>
      <c r="AD22" s="52"/>
      <c r="AE22" s="30">
        <f t="shared" si="2"/>
        <v>0</v>
      </c>
      <c r="AG22" s="58">
        <v>7846.26</v>
      </c>
      <c r="AH22" s="63">
        <v>492.3</v>
      </c>
      <c r="AI22" s="58"/>
      <c r="AJ22" s="60"/>
      <c r="AK22" s="27"/>
      <c r="AL22" s="51"/>
      <c r="AM22" s="52"/>
      <c r="AN22" s="52"/>
      <c r="AO22" s="30">
        <f t="shared" si="3"/>
        <v>0</v>
      </c>
      <c r="AQ22" s="58">
        <v>9561.2199999999993</v>
      </c>
      <c r="AR22" s="58">
        <v>1281.9000000000001</v>
      </c>
      <c r="AS22" s="58">
        <v>341.7</v>
      </c>
      <c r="AT22" s="62"/>
      <c r="AU22" s="27"/>
      <c r="AV22" s="32">
        <v>125.68451000000015</v>
      </c>
      <c r="AW22" s="32">
        <v>25.213760800000017</v>
      </c>
      <c r="AX22" s="44">
        <v>4.0542589999999983</v>
      </c>
      <c r="AY22" s="30">
        <f t="shared" si="4"/>
        <v>496.65252980000014</v>
      </c>
      <c r="BA22" s="58">
        <v>4305.3</v>
      </c>
      <c r="BB22" s="63"/>
      <c r="BC22" s="58"/>
      <c r="BD22" s="60"/>
      <c r="BE22" s="27"/>
      <c r="BF22" s="32">
        <v>19.46951999999996</v>
      </c>
      <c r="BG22" s="52"/>
      <c r="BH22" s="52"/>
      <c r="BI22" s="30">
        <f t="shared" si="5"/>
        <v>19.46951999999996</v>
      </c>
      <c r="BK22" s="58">
        <v>17858.259999999998</v>
      </c>
      <c r="BL22" s="63">
        <v>1330.62</v>
      </c>
      <c r="BM22" s="58">
        <v>295.83</v>
      </c>
      <c r="BN22" s="60"/>
      <c r="BO22" s="27"/>
      <c r="BP22" s="32">
        <v>110.84993999999992</v>
      </c>
      <c r="BQ22" s="32"/>
      <c r="BR22" s="42">
        <v>291.61280499999941</v>
      </c>
      <c r="BS22" s="52"/>
      <c r="BT22" s="30">
        <f t="shared" si="9"/>
        <v>698.29274499999929</v>
      </c>
      <c r="BV22" s="58">
        <v>2459.0100000000002</v>
      </c>
      <c r="BW22" s="63">
        <v>876.13</v>
      </c>
      <c r="BX22" s="58">
        <v>0.95</v>
      </c>
      <c r="BY22" s="60"/>
      <c r="BZ22" s="27"/>
      <c r="CA22" s="51"/>
      <c r="CB22" s="52"/>
      <c r="CC22" s="52"/>
      <c r="CD22" s="30">
        <f t="shared" si="6"/>
        <v>0.95</v>
      </c>
      <c r="CF22" s="58">
        <v>2682.91</v>
      </c>
      <c r="CG22" s="63"/>
      <c r="CH22" s="58">
        <v>115.13</v>
      </c>
      <c r="CI22" s="60"/>
      <c r="CJ22" s="27"/>
      <c r="CK22" s="32">
        <v>21.657840000000022</v>
      </c>
      <c r="CL22" s="42"/>
      <c r="CM22" s="52"/>
      <c r="CN22" s="30">
        <f t="shared" si="7"/>
        <v>136.78784000000002</v>
      </c>
      <c r="CP22" s="58">
        <v>1114.7</v>
      </c>
      <c r="CQ22" s="58">
        <v>750.73</v>
      </c>
      <c r="CR22" s="63">
        <v>2312.4</v>
      </c>
      <c r="CS22" s="58"/>
      <c r="CT22" s="60"/>
      <c r="CU22" s="27"/>
      <c r="CV22" s="51"/>
      <c r="CW22" s="42">
        <v>109.10300000000007</v>
      </c>
      <c r="CX22" s="52"/>
      <c r="CY22" s="229">
        <f t="shared" si="8"/>
        <v>109.10300000000007</v>
      </c>
    </row>
    <row r="23" spans="1:103" s="217" customFormat="1" hidden="1" x14ac:dyDescent="0.25">
      <c r="A23" s="47">
        <v>45979</v>
      </c>
      <c r="B23" s="230">
        <v>2961.62</v>
      </c>
      <c r="C23" s="231">
        <v>2605.2399999999998</v>
      </c>
      <c r="D23" s="230">
        <v>192.45</v>
      </c>
      <c r="E23" s="232">
        <v>1.38</v>
      </c>
      <c r="F23" s="27"/>
      <c r="G23" s="32"/>
      <c r="H23" s="52"/>
      <c r="I23" s="44"/>
      <c r="J23" s="30">
        <f t="shared" si="1"/>
        <v>192.45</v>
      </c>
      <c r="L23" s="58">
        <v>6449.65</v>
      </c>
      <c r="M23" s="63">
        <v>4295.22</v>
      </c>
      <c r="N23" s="58">
        <v>41.03</v>
      </c>
      <c r="O23" s="60"/>
      <c r="P23" s="27"/>
      <c r="Q23" s="32">
        <v>60.178199999999997</v>
      </c>
      <c r="R23" s="32"/>
      <c r="S23" s="42"/>
      <c r="T23" s="44"/>
      <c r="U23" s="30">
        <f t="shared" si="0"/>
        <v>101.20820000000001</v>
      </c>
      <c r="V23" s="228"/>
      <c r="W23" s="58">
        <v>681.1</v>
      </c>
      <c r="X23" s="63"/>
      <c r="Y23" s="58"/>
      <c r="Z23" s="60"/>
      <c r="AA23" s="27"/>
      <c r="AB23" s="32"/>
      <c r="AC23" s="52"/>
      <c r="AD23" s="52"/>
      <c r="AE23" s="30">
        <f t="shared" si="2"/>
        <v>0</v>
      </c>
      <c r="AG23" s="58">
        <v>5338.84</v>
      </c>
      <c r="AH23" s="63">
        <v>124</v>
      </c>
      <c r="AI23" s="58"/>
      <c r="AJ23" s="60"/>
      <c r="AK23" s="27"/>
      <c r="AL23" s="51"/>
      <c r="AM23" s="52"/>
      <c r="AN23" s="52"/>
      <c r="AO23" s="30">
        <f t="shared" si="3"/>
        <v>0</v>
      </c>
      <c r="AQ23" s="58">
        <v>8681.91</v>
      </c>
      <c r="AR23" s="58">
        <v>462.65</v>
      </c>
      <c r="AS23" s="58">
        <v>345.34</v>
      </c>
      <c r="AT23" s="62"/>
      <c r="AU23" s="27"/>
      <c r="AV23" s="32">
        <v>109.81916000000005</v>
      </c>
      <c r="AW23" s="32">
        <v>27.406565999999998</v>
      </c>
      <c r="AX23" s="44">
        <v>14.699095200000016</v>
      </c>
      <c r="AY23" s="30">
        <f t="shared" si="4"/>
        <v>497.26482120000003</v>
      </c>
      <c r="BA23" s="58">
        <v>5217.5200000000004</v>
      </c>
      <c r="BB23" s="63"/>
      <c r="BC23" s="58"/>
      <c r="BD23" s="60"/>
      <c r="BE23" s="27"/>
      <c r="BF23" s="32">
        <v>37.005049999999954</v>
      </c>
      <c r="BG23" s="52"/>
      <c r="BH23" s="52"/>
      <c r="BI23" s="30">
        <f t="shared" si="5"/>
        <v>37.005049999999954</v>
      </c>
      <c r="BK23" s="58">
        <v>21936.05</v>
      </c>
      <c r="BL23" s="63">
        <v>934.77</v>
      </c>
      <c r="BM23" s="58">
        <v>247.49</v>
      </c>
      <c r="BN23" s="60"/>
      <c r="BO23" s="27"/>
      <c r="BP23" s="32">
        <v>106.97165000000001</v>
      </c>
      <c r="BQ23" s="32"/>
      <c r="BR23" s="42">
        <v>218.54300409999962</v>
      </c>
      <c r="BS23" s="52"/>
      <c r="BT23" s="30">
        <f t="shared" si="9"/>
        <v>573.0046540999997</v>
      </c>
      <c r="BV23" s="58">
        <v>2278.61</v>
      </c>
      <c r="BW23" s="63">
        <v>826.79</v>
      </c>
      <c r="BX23" s="58">
        <v>0.54</v>
      </c>
      <c r="BY23" s="60"/>
      <c r="BZ23" s="27"/>
      <c r="CA23" s="51"/>
      <c r="CB23" s="52"/>
      <c r="CC23" s="52"/>
      <c r="CD23" s="30">
        <f t="shared" si="6"/>
        <v>0.54</v>
      </c>
      <c r="CF23" s="58">
        <v>2001.4</v>
      </c>
      <c r="CG23" s="63"/>
      <c r="CH23" s="58">
        <v>23.46</v>
      </c>
      <c r="CI23" s="60"/>
      <c r="CJ23" s="27"/>
      <c r="CK23" s="32">
        <v>101.46041999999994</v>
      </c>
      <c r="CL23" s="42"/>
      <c r="CM23" s="52"/>
      <c r="CN23" s="30">
        <f t="shared" si="7"/>
        <v>124.92041999999995</v>
      </c>
      <c r="CP23" s="58">
        <v>1639.01</v>
      </c>
      <c r="CQ23" s="58">
        <v>808.3</v>
      </c>
      <c r="CR23" s="63">
        <v>2133.81</v>
      </c>
      <c r="CS23" s="58"/>
      <c r="CT23" s="60"/>
      <c r="CU23" s="27"/>
      <c r="CV23" s="51"/>
      <c r="CW23" s="42">
        <v>42.34223499999996</v>
      </c>
      <c r="CX23" s="52"/>
      <c r="CY23" s="229">
        <f t="shared" si="8"/>
        <v>42.34223499999996</v>
      </c>
    </row>
    <row r="24" spans="1:103" s="217" customFormat="1" hidden="1" x14ac:dyDescent="0.25">
      <c r="A24" s="47">
        <v>45980</v>
      </c>
      <c r="B24" s="230">
        <v>2517.2399999999998</v>
      </c>
      <c r="C24" s="231">
        <v>3377.56</v>
      </c>
      <c r="D24" s="230">
        <v>50.7</v>
      </c>
      <c r="E24" s="232">
        <v>2.06</v>
      </c>
      <c r="F24" s="27"/>
      <c r="G24" s="32"/>
      <c r="H24" s="52"/>
      <c r="I24" s="44"/>
      <c r="J24" s="30">
        <f t="shared" si="1"/>
        <v>50.7</v>
      </c>
      <c r="L24" s="58">
        <v>8169.79</v>
      </c>
      <c r="M24" s="63">
        <v>4596.76</v>
      </c>
      <c r="N24" s="58">
        <v>24.77</v>
      </c>
      <c r="O24" s="60"/>
      <c r="P24" s="27"/>
      <c r="Q24" s="32">
        <v>182.66422999999992</v>
      </c>
      <c r="R24" s="32"/>
      <c r="S24" s="42"/>
      <c r="T24" s="44">
        <v>143.96662240000006</v>
      </c>
      <c r="U24" s="30">
        <f t="shared" si="0"/>
        <v>351.40085239999996</v>
      </c>
      <c r="V24" s="228"/>
      <c r="W24" s="58">
        <v>4306.91</v>
      </c>
      <c r="X24" s="63"/>
      <c r="Y24" s="58"/>
      <c r="Z24" s="60"/>
      <c r="AA24" s="27"/>
      <c r="AB24" s="32"/>
      <c r="AC24" s="52"/>
      <c r="AD24" s="52"/>
      <c r="AE24" s="30">
        <f t="shared" si="2"/>
        <v>0</v>
      </c>
      <c r="AG24" s="58">
        <v>6313.29</v>
      </c>
      <c r="AH24" s="63">
        <v>292.52</v>
      </c>
      <c r="AI24" s="58"/>
      <c r="AJ24" s="60"/>
      <c r="AK24" s="27"/>
      <c r="AL24" s="51"/>
      <c r="AM24" s="52"/>
      <c r="AN24" s="52"/>
      <c r="AO24" s="30">
        <f t="shared" si="3"/>
        <v>0</v>
      </c>
      <c r="AQ24" s="58">
        <v>9814.8799999999992</v>
      </c>
      <c r="AR24" s="58">
        <v>1050.24</v>
      </c>
      <c r="AS24" s="58">
        <v>306.38</v>
      </c>
      <c r="AT24" s="62"/>
      <c r="AU24" s="27"/>
      <c r="AV24" s="32">
        <v>143.80760000000012</v>
      </c>
      <c r="AW24" s="32"/>
      <c r="AX24" s="44"/>
      <c r="AY24" s="30">
        <f t="shared" si="4"/>
        <v>450.18760000000009</v>
      </c>
      <c r="BA24" s="58">
        <v>9053.27</v>
      </c>
      <c r="BB24" s="63"/>
      <c r="BC24" s="58">
        <v>31.05</v>
      </c>
      <c r="BD24" s="60"/>
      <c r="BE24" s="27"/>
      <c r="BF24" s="32">
        <v>38.469480000000004</v>
      </c>
      <c r="BG24" s="52"/>
      <c r="BH24" s="52"/>
      <c r="BI24" s="30">
        <f t="shared" si="5"/>
        <v>69.519480000000001</v>
      </c>
      <c r="BK24" s="58">
        <v>16956.78</v>
      </c>
      <c r="BL24" s="63">
        <v>1173.1500000000001</v>
      </c>
      <c r="BM24" s="58">
        <v>270.3</v>
      </c>
      <c r="BN24" s="60"/>
      <c r="BO24" s="27"/>
      <c r="BP24" s="32">
        <v>167.52259000000006</v>
      </c>
      <c r="BQ24" s="32"/>
      <c r="BR24" s="42">
        <v>9.7616107999999997</v>
      </c>
      <c r="BS24" s="52"/>
      <c r="BT24" s="30">
        <f t="shared" si="9"/>
        <v>447.58420080000008</v>
      </c>
      <c r="BV24" s="58">
        <v>2888.06</v>
      </c>
      <c r="BW24" s="63">
        <v>905.45</v>
      </c>
      <c r="BX24" s="58">
        <v>5.23</v>
      </c>
      <c r="BY24" s="60"/>
      <c r="BZ24" s="27"/>
      <c r="CA24" s="51"/>
      <c r="CB24" s="52"/>
      <c r="CC24" s="52"/>
      <c r="CD24" s="30">
        <f t="shared" si="6"/>
        <v>5.23</v>
      </c>
      <c r="CF24" s="58">
        <v>1456</v>
      </c>
      <c r="CG24" s="63"/>
      <c r="CH24" s="58">
        <v>342.77</v>
      </c>
      <c r="CI24" s="60"/>
      <c r="CJ24" s="27"/>
      <c r="CK24" s="32">
        <v>167.82624000000004</v>
      </c>
      <c r="CL24" s="42"/>
      <c r="CM24" s="52"/>
      <c r="CN24" s="30">
        <f t="shared" si="7"/>
        <v>510.59624000000002</v>
      </c>
      <c r="CP24" s="58">
        <v>1538.89</v>
      </c>
      <c r="CQ24" s="58">
        <v>541.1</v>
      </c>
      <c r="CR24" s="63">
        <v>2294.5500000000002</v>
      </c>
      <c r="CS24" s="58">
        <v>6.81</v>
      </c>
      <c r="CT24" s="60"/>
      <c r="CU24" s="27"/>
      <c r="CV24" s="51"/>
      <c r="CW24" s="42"/>
      <c r="CX24" s="52"/>
      <c r="CY24" s="229">
        <f t="shared" si="8"/>
        <v>6.81</v>
      </c>
    </row>
    <row r="25" spans="1:103" s="217" customFormat="1" hidden="1" x14ac:dyDescent="0.25">
      <c r="A25" s="47">
        <v>45981</v>
      </c>
      <c r="B25" s="230">
        <v>4229.3900000000003</v>
      </c>
      <c r="C25" s="231">
        <v>3602.22</v>
      </c>
      <c r="D25" s="230">
        <v>503.79</v>
      </c>
      <c r="E25" s="232">
        <v>3.51</v>
      </c>
      <c r="F25" s="27"/>
      <c r="G25" s="32">
        <v>7.7199999999999989</v>
      </c>
      <c r="H25" s="52"/>
      <c r="I25" s="44">
        <v>56.252039900000057</v>
      </c>
      <c r="J25" s="30">
        <f t="shared" si="1"/>
        <v>567.7620399000001</v>
      </c>
      <c r="L25" s="58">
        <v>7514.19</v>
      </c>
      <c r="M25" s="63">
        <v>5296.28</v>
      </c>
      <c r="N25" s="58">
        <v>18.07</v>
      </c>
      <c r="O25" s="60"/>
      <c r="P25" s="27"/>
      <c r="Q25" s="32">
        <v>431.76679000000001</v>
      </c>
      <c r="R25" s="32"/>
      <c r="S25" s="42"/>
      <c r="T25" s="44">
        <v>16.353000000000009</v>
      </c>
      <c r="U25" s="30">
        <f t="shared" si="0"/>
        <v>466.18979000000002</v>
      </c>
      <c r="V25" s="228"/>
      <c r="W25" s="58">
        <v>3661.4</v>
      </c>
      <c r="X25" s="63"/>
      <c r="Y25" s="58"/>
      <c r="Z25" s="60"/>
      <c r="AA25" s="27"/>
      <c r="AB25" s="32"/>
      <c r="AC25" s="52"/>
      <c r="AD25" s="52"/>
      <c r="AE25" s="30">
        <f t="shared" si="2"/>
        <v>0</v>
      </c>
      <c r="AG25" s="58">
        <v>7753.4</v>
      </c>
      <c r="AH25" s="63">
        <v>476.6</v>
      </c>
      <c r="AI25" s="58"/>
      <c r="AJ25" s="60"/>
      <c r="AK25" s="27"/>
      <c r="AL25" s="51"/>
      <c r="AM25" s="52"/>
      <c r="AN25" s="52"/>
      <c r="AO25" s="30">
        <f t="shared" si="3"/>
        <v>0</v>
      </c>
      <c r="AQ25" s="58">
        <v>9670.1200000000008</v>
      </c>
      <c r="AR25" s="58">
        <v>822.04</v>
      </c>
      <c r="AS25" s="58">
        <v>420.1</v>
      </c>
      <c r="AT25" s="62"/>
      <c r="AU25" s="27"/>
      <c r="AV25" s="32">
        <v>131.73846000000006</v>
      </c>
      <c r="AW25" s="32">
        <v>10.53685999999999</v>
      </c>
      <c r="AX25" s="44">
        <v>3.7869413999999963</v>
      </c>
      <c r="AY25" s="30">
        <f t="shared" si="4"/>
        <v>566.16226140000003</v>
      </c>
      <c r="BA25" s="58">
        <v>4728.6499999999996</v>
      </c>
      <c r="BB25" s="63"/>
      <c r="BC25" s="58">
        <v>32</v>
      </c>
      <c r="BD25" s="60"/>
      <c r="BE25" s="27"/>
      <c r="BF25" s="32">
        <v>272.78082000000006</v>
      </c>
      <c r="BG25" s="52"/>
      <c r="BH25" s="52"/>
      <c r="BI25" s="30">
        <f t="shared" si="5"/>
        <v>304.78082000000006</v>
      </c>
      <c r="BK25" s="58">
        <v>20911.59</v>
      </c>
      <c r="BL25" s="63">
        <v>1403.77</v>
      </c>
      <c r="BM25" s="58">
        <v>170</v>
      </c>
      <c r="BN25" s="60"/>
      <c r="BO25" s="27"/>
      <c r="BP25" s="32">
        <v>272.71593999999999</v>
      </c>
      <c r="BQ25" s="32"/>
      <c r="BR25" s="42"/>
      <c r="BS25" s="52"/>
      <c r="BT25" s="30">
        <f t="shared" si="9"/>
        <v>442.71593999999999</v>
      </c>
      <c r="BV25" s="58">
        <v>2915.2</v>
      </c>
      <c r="BW25" s="63">
        <v>1349.76</v>
      </c>
      <c r="BX25" s="58">
        <v>5.53</v>
      </c>
      <c r="BY25" s="60"/>
      <c r="BZ25" s="27"/>
      <c r="CA25" s="51"/>
      <c r="CB25" s="52"/>
      <c r="CC25" s="52"/>
      <c r="CD25" s="30">
        <f t="shared" si="6"/>
        <v>5.53</v>
      </c>
      <c r="CF25" s="58">
        <v>1546.03</v>
      </c>
      <c r="CG25" s="63"/>
      <c r="CH25" s="58">
        <v>63.39</v>
      </c>
      <c r="CI25" s="60"/>
      <c r="CJ25" s="27"/>
      <c r="CK25" s="32">
        <v>35.008320000000012</v>
      </c>
      <c r="CL25" s="42"/>
      <c r="CM25" s="52"/>
      <c r="CN25" s="30">
        <f t="shared" si="7"/>
        <v>98.398320000000012</v>
      </c>
      <c r="CP25" s="58">
        <v>1516.45</v>
      </c>
      <c r="CQ25" s="58">
        <v>1049</v>
      </c>
      <c r="CR25" s="63">
        <v>2647.26</v>
      </c>
      <c r="CS25" s="58"/>
      <c r="CT25" s="60"/>
      <c r="CU25" s="27"/>
      <c r="CV25" s="51"/>
      <c r="CW25" s="42">
        <v>34.130425000000017</v>
      </c>
      <c r="CX25" s="52"/>
      <c r="CY25" s="229">
        <f t="shared" si="8"/>
        <v>34.130425000000017</v>
      </c>
    </row>
    <row r="26" spans="1:103" s="217" customFormat="1" hidden="1" x14ac:dyDescent="0.25">
      <c r="A26" s="47">
        <v>45982</v>
      </c>
      <c r="B26" s="230">
        <v>1347.77</v>
      </c>
      <c r="C26" s="231">
        <v>2860.8</v>
      </c>
      <c r="D26" s="230">
        <v>413.43</v>
      </c>
      <c r="E26" s="232">
        <v>6.89</v>
      </c>
      <c r="F26" s="27"/>
      <c r="G26" s="32">
        <v>15.978470000000002</v>
      </c>
      <c r="H26" s="52"/>
      <c r="I26" s="44"/>
      <c r="J26" s="30">
        <f t="shared" si="1"/>
        <v>429.40847000000002</v>
      </c>
      <c r="L26" s="58">
        <v>5097.0200000000004</v>
      </c>
      <c r="M26" s="63">
        <v>4307.49</v>
      </c>
      <c r="N26" s="58">
        <v>28.13</v>
      </c>
      <c r="O26" s="60"/>
      <c r="P26" s="27"/>
      <c r="Q26" s="32">
        <v>153.94162</v>
      </c>
      <c r="R26" s="32"/>
      <c r="S26" s="42"/>
      <c r="T26" s="44">
        <v>179.17388160000007</v>
      </c>
      <c r="U26" s="30">
        <f t="shared" si="0"/>
        <v>361.24550160000007</v>
      </c>
      <c r="V26" s="228"/>
      <c r="W26" s="58">
        <v>2520.06</v>
      </c>
      <c r="X26" s="63"/>
      <c r="Y26" s="58"/>
      <c r="Z26" s="60"/>
      <c r="AA26" s="27"/>
      <c r="AB26" s="32"/>
      <c r="AC26" s="52"/>
      <c r="AD26" s="52"/>
      <c r="AE26" s="30">
        <f t="shared" si="2"/>
        <v>0</v>
      </c>
      <c r="AG26" s="58">
        <v>8348.83</v>
      </c>
      <c r="AH26" s="63">
        <v>291.64</v>
      </c>
      <c r="AI26" s="58"/>
      <c r="AJ26" s="60"/>
      <c r="AK26" s="27"/>
      <c r="AL26" s="51"/>
      <c r="AM26" s="52"/>
      <c r="AN26" s="52"/>
      <c r="AO26" s="30">
        <f t="shared" si="3"/>
        <v>0</v>
      </c>
      <c r="AQ26" s="58">
        <v>12628.41</v>
      </c>
      <c r="AR26" s="58">
        <v>1021.72</v>
      </c>
      <c r="AS26" s="58">
        <v>385.78</v>
      </c>
      <c r="AT26" s="62"/>
      <c r="AU26" s="27"/>
      <c r="AV26" s="32">
        <v>176.23916000000003</v>
      </c>
      <c r="AW26" s="32"/>
      <c r="AX26" s="44">
        <v>6.9423725000000331</v>
      </c>
      <c r="AY26" s="30">
        <f t="shared" si="4"/>
        <v>568.96153249999998</v>
      </c>
      <c r="BA26" s="58">
        <v>5536.34</v>
      </c>
      <c r="BB26" s="63"/>
      <c r="BC26" s="58"/>
      <c r="BD26" s="60"/>
      <c r="BE26" s="27"/>
      <c r="BF26" s="32">
        <v>51.027449999999959</v>
      </c>
      <c r="BG26" s="52"/>
      <c r="BH26" s="52"/>
      <c r="BI26" s="30">
        <f t="shared" si="5"/>
        <v>51.027449999999959</v>
      </c>
      <c r="BK26" s="58">
        <v>30031.15</v>
      </c>
      <c r="BL26" s="63">
        <v>935.69</v>
      </c>
      <c r="BM26" s="58">
        <v>394.78</v>
      </c>
      <c r="BN26" s="60"/>
      <c r="BO26" s="27"/>
      <c r="BP26" s="32">
        <v>52.839840000000009</v>
      </c>
      <c r="BQ26" s="32"/>
      <c r="BR26" s="42">
        <v>13.753000000000014</v>
      </c>
      <c r="BS26" s="52"/>
      <c r="BT26" s="30">
        <f t="shared" si="9"/>
        <v>461.37284</v>
      </c>
      <c r="BV26" s="58">
        <v>3035.69</v>
      </c>
      <c r="BW26" s="63">
        <v>1151.93</v>
      </c>
      <c r="BX26" s="58">
        <v>2.63</v>
      </c>
      <c r="BY26" s="60"/>
      <c r="BZ26" s="27"/>
      <c r="CA26" s="51"/>
      <c r="CB26" s="52"/>
      <c r="CC26" s="52"/>
      <c r="CD26" s="30">
        <f t="shared" si="6"/>
        <v>2.63</v>
      </c>
      <c r="CF26" s="58">
        <v>1254.3599999999999</v>
      </c>
      <c r="CG26" s="63"/>
      <c r="CH26" s="58">
        <v>56.41</v>
      </c>
      <c r="CI26" s="60"/>
      <c r="CJ26" s="27"/>
      <c r="CK26" s="32">
        <v>10.406000000000006</v>
      </c>
      <c r="CL26" s="42"/>
      <c r="CM26" s="52"/>
      <c r="CN26" s="30">
        <f t="shared" si="7"/>
        <v>66.816000000000003</v>
      </c>
      <c r="CP26" s="58">
        <v>2100.87</v>
      </c>
      <c r="CQ26" s="58">
        <v>1029.3800000000001</v>
      </c>
      <c r="CR26" s="63">
        <v>2900.85</v>
      </c>
      <c r="CS26" s="58"/>
      <c r="CT26" s="60"/>
      <c r="CU26" s="27"/>
      <c r="CV26" s="51"/>
      <c r="CW26" s="42">
        <v>48.93070000000003</v>
      </c>
      <c r="CX26" s="52"/>
      <c r="CY26" s="229">
        <f t="shared" si="8"/>
        <v>48.93070000000003</v>
      </c>
    </row>
    <row r="27" spans="1:103" s="217" customFormat="1" hidden="1" x14ac:dyDescent="0.25">
      <c r="A27" s="47">
        <v>45983</v>
      </c>
      <c r="B27" s="230">
        <v>2270.2399999999998</v>
      </c>
      <c r="C27" s="231">
        <v>2978.7</v>
      </c>
      <c r="D27" s="230">
        <v>535.27</v>
      </c>
      <c r="E27" s="232">
        <v>2.2599999999999998</v>
      </c>
      <c r="F27" s="27"/>
      <c r="G27" s="32">
        <v>38.417390000000026</v>
      </c>
      <c r="H27" s="52"/>
      <c r="I27" s="44"/>
      <c r="J27" s="30">
        <f t="shared" si="1"/>
        <v>573.68739000000005</v>
      </c>
      <c r="L27" s="58">
        <v>7438.84</v>
      </c>
      <c r="M27" s="63">
        <v>5173.3</v>
      </c>
      <c r="N27" s="58">
        <v>16.66</v>
      </c>
      <c r="O27" s="60"/>
      <c r="P27" s="27"/>
      <c r="Q27" s="32">
        <v>284.60802999999999</v>
      </c>
      <c r="R27" s="32"/>
      <c r="S27" s="42"/>
      <c r="T27" s="44"/>
      <c r="U27" s="30">
        <f t="shared" si="0"/>
        <v>301.26803000000001</v>
      </c>
      <c r="V27" s="228"/>
      <c r="W27" s="58">
        <v>1529.84</v>
      </c>
      <c r="X27" s="63"/>
      <c r="Y27" s="58"/>
      <c r="Z27" s="60"/>
      <c r="AA27" s="27"/>
      <c r="AB27" s="32"/>
      <c r="AC27" s="52"/>
      <c r="AD27" s="52"/>
      <c r="AE27" s="30">
        <f t="shared" si="2"/>
        <v>0</v>
      </c>
      <c r="AG27" s="58">
        <v>3453.41</v>
      </c>
      <c r="AH27" s="63">
        <v>879.2</v>
      </c>
      <c r="AI27" s="58"/>
      <c r="AJ27" s="60"/>
      <c r="AK27" s="27"/>
      <c r="AL27" s="51"/>
      <c r="AM27" s="52"/>
      <c r="AN27" s="52"/>
      <c r="AO27" s="30">
        <f t="shared" si="3"/>
        <v>0</v>
      </c>
      <c r="AQ27" s="58">
        <v>8806.48</v>
      </c>
      <c r="AR27" s="58">
        <v>1087.49</v>
      </c>
      <c r="AS27" s="58">
        <v>328.93</v>
      </c>
      <c r="AT27" s="62"/>
      <c r="AU27" s="27"/>
      <c r="AV27" s="32">
        <v>40.582620000000034</v>
      </c>
      <c r="AW27" s="32">
        <v>21.868813000000046</v>
      </c>
      <c r="AX27" s="44"/>
      <c r="AY27" s="30">
        <f t="shared" si="4"/>
        <v>391.38143300000007</v>
      </c>
      <c r="BA27" s="58">
        <v>3101.94</v>
      </c>
      <c r="BB27" s="63"/>
      <c r="BC27" s="58"/>
      <c r="BD27" s="60"/>
      <c r="BE27" s="27"/>
      <c r="BF27" s="32">
        <v>25.62212999999997</v>
      </c>
      <c r="BG27" s="52"/>
      <c r="BH27" s="52"/>
      <c r="BI27" s="30">
        <f t="shared" si="5"/>
        <v>25.62212999999997</v>
      </c>
      <c r="BK27" s="58">
        <v>27947.82</v>
      </c>
      <c r="BL27" s="63">
        <v>1668.97</v>
      </c>
      <c r="BM27" s="58">
        <v>259.72000000000003</v>
      </c>
      <c r="BN27" s="60"/>
      <c r="BO27" s="27"/>
      <c r="BP27" s="32">
        <v>402.10703000000001</v>
      </c>
      <c r="BQ27" s="32"/>
      <c r="BR27" s="42">
        <v>27.348253999999997</v>
      </c>
      <c r="BS27" s="52"/>
      <c r="BT27" s="30">
        <f t="shared" si="9"/>
        <v>689.17528400000003</v>
      </c>
      <c r="BV27" s="58">
        <v>2610.4899999999998</v>
      </c>
      <c r="BW27" s="63">
        <v>1244.4100000000001</v>
      </c>
      <c r="BX27" s="58">
        <v>2.95</v>
      </c>
      <c r="BY27" s="60"/>
      <c r="BZ27" s="27"/>
      <c r="CA27" s="51"/>
      <c r="CB27" s="52"/>
      <c r="CC27" s="52"/>
      <c r="CD27" s="30">
        <f t="shared" si="6"/>
        <v>2.95</v>
      </c>
      <c r="CF27" s="58">
        <v>1412.87</v>
      </c>
      <c r="CG27" s="63"/>
      <c r="CH27" s="58">
        <v>72.06</v>
      </c>
      <c r="CI27" s="60"/>
      <c r="CJ27" s="27"/>
      <c r="CK27" s="32">
        <v>76.94</v>
      </c>
      <c r="CL27" s="42"/>
      <c r="CM27" s="52"/>
      <c r="CN27" s="30">
        <f t="shared" si="7"/>
        <v>149</v>
      </c>
      <c r="CP27" s="58">
        <v>1710.92</v>
      </c>
      <c r="CQ27" s="58">
        <v>1170.5999999999999</v>
      </c>
      <c r="CR27" s="63">
        <v>3093.85</v>
      </c>
      <c r="CS27" s="58"/>
      <c r="CT27" s="60"/>
      <c r="CU27" s="27"/>
      <c r="CV27" s="51"/>
      <c r="CW27" s="42">
        <v>139.20201100000003</v>
      </c>
      <c r="CX27" s="52"/>
      <c r="CY27" s="229">
        <f t="shared" si="8"/>
        <v>139.20201100000003</v>
      </c>
    </row>
    <row r="28" spans="1:103" s="217" customFormat="1" hidden="1" x14ac:dyDescent="0.25">
      <c r="A28" s="47">
        <v>45984</v>
      </c>
      <c r="B28" s="230">
        <v>3918.09</v>
      </c>
      <c r="C28" s="231">
        <v>1689.7</v>
      </c>
      <c r="D28" s="230">
        <v>156.81</v>
      </c>
      <c r="E28" s="232">
        <v>2.19</v>
      </c>
      <c r="F28" s="27"/>
      <c r="G28" s="32"/>
      <c r="H28" s="52"/>
      <c r="I28" s="44"/>
      <c r="J28" s="30">
        <f t="shared" si="1"/>
        <v>156.81</v>
      </c>
      <c r="L28" s="58">
        <v>6043.32</v>
      </c>
      <c r="M28" s="63">
        <v>4303.3500000000004</v>
      </c>
      <c r="N28" s="58">
        <v>18.93</v>
      </c>
      <c r="O28" s="60"/>
      <c r="P28" s="27"/>
      <c r="Q28" s="32">
        <v>163.20023999999998</v>
      </c>
      <c r="R28" s="32"/>
      <c r="S28" s="42"/>
      <c r="T28" s="44"/>
      <c r="U28" s="30">
        <f t="shared" si="0"/>
        <v>182.13023999999999</v>
      </c>
      <c r="V28" s="228"/>
      <c r="W28" s="58">
        <v>2141.54</v>
      </c>
      <c r="X28" s="63"/>
      <c r="Y28" s="58"/>
      <c r="Z28" s="60"/>
      <c r="AA28" s="27"/>
      <c r="AB28" s="32"/>
      <c r="AC28" s="52"/>
      <c r="AD28" s="52"/>
      <c r="AE28" s="30">
        <f t="shared" si="2"/>
        <v>0</v>
      </c>
      <c r="AG28" s="58">
        <v>4899.76</v>
      </c>
      <c r="AH28" s="63">
        <v>594.64</v>
      </c>
      <c r="AI28" s="58"/>
      <c r="AJ28" s="60"/>
      <c r="AK28" s="27"/>
      <c r="AL28" s="51"/>
      <c r="AM28" s="52"/>
      <c r="AN28" s="52"/>
      <c r="AO28" s="30">
        <f t="shared" si="3"/>
        <v>0</v>
      </c>
      <c r="AQ28" s="58">
        <v>3128.73</v>
      </c>
      <c r="AR28" s="58">
        <v>999.44</v>
      </c>
      <c r="AS28" s="58">
        <v>138.12</v>
      </c>
      <c r="AT28" s="62"/>
      <c r="AU28" s="27"/>
      <c r="AV28" s="32">
        <v>45.292330000000049</v>
      </c>
      <c r="AW28" s="32"/>
      <c r="AX28" s="44"/>
      <c r="AY28" s="30">
        <f t="shared" si="4"/>
        <v>183.41233000000005</v>
      </c>
      <c r="BA28" s="58">
        <v>1291.1300000000001</v>
      </c>
      <c r="BB28" s="63"/>
      <c r="BC28" s="58"/>
      <c r="BD28" s="60"/>
      <c r="BE28" s="27"/>
      <c r="BF28" s="32">
        <v>28.848419999999976</v>
      </c>
      <c r="BG28" s="52"/>
      <c r="BH28" s="52"/>
      <c r="BI28" s="30">
        <f t="shared" si="5"/>
        <v>28.848419999999976</v>
      </c>
      <c r="BK28" s="58">
        <v>11482.25</v>
      </c>
      <c r="BL28" s="63">
        <v>1213.55</v>
      </c>
      <c r="BM28" s="58">
        <v>47.54</v>
      </c>
      <c r="BN28" s="60"/>
      <c r="BO28" s="27"/>
      <c r="BP28" s="32">
        <v>82.41807</v>
      </c>
      <c r="BQ28" s="32"/>
      <c r="BR28" s="42"/>
      <c r="BS28" s="52"/>
      <c r="BT28" s="30">
        <f t="shared" si="9"/>
        <v>129.95806999999999</v>
      </c>
      <c r="BV28" s="58">
        <v>2275.9499999999998</v>
      </c>
      <c r="BW28" s="63">
        <v>619.1</v>
      </c>
      <c r="BX28" s="58"/>
      <c r="BY28" s="60"/>
      <c r="BZ28" s="27"/>
      <c r="CA28" s="51"/>
      <c r="CB28" s="52"/>
      <c r="CC28" s="52"/>
      <c r="CD28" s="30">
        <f t="shared" si="6"/>
        <v>0</v>
      </c>
      <c r="CF28" s="58">
        <v>1532.3</v>
      </c>
      <c r="CG28" s="63"/>
      <c r="CH28" s="58">
        <v>26.96</v>
      </c>
      <c r="CI28" s="60"/>
      <c r="CJ28" s="27"/>
      <c r="CK28" s="32"/>
      <c r="CL28" s="42"/>
      <c r="CM28" s="52"/>
      <c r="CN28" s="30">
        <f t="shared" si="7"/>
        <v>26.96</v>
      </c>
      <c r="CP28" s="58">
        <v>1248.23</v>
      </c>
      <c r="CQ28" s="58">
        <v>682.64</v>
      </c>
      <c r="CR28" s="63">
        <v>2220.9499999999998</v>
      </c>
      <c r="CS28" s="58"/>
      <c r="CT28" s="60"/>
      <c r="CU28" s="27"/>
      <c r="CV28" s="51"/>
      <c r="CW28" s="42">
        <v>6.1719189999999884</v>
      </c>
      <c r="CX28" s="52"/>
      <c r="CY28" s="229">
        <f t="shared" si="8"/>
        <v>6.1719189999999884</v>
      </c>
    </row>
    <row r="29" spans="1:103" s="217" customFormat="1" hidden="1" x14ac:dyDescent="0.25">
      <c r="A29" s="47">
        <v>45985</v>
      </c>
      <c r="B29" s="230">
        <v>2588.23</v>
      </c>
      <c r="C29" s="231">
        <v>2818.96</v>
      </c>
      <c r="D29" s="230">
        <v>194.29</v>
      </c>
      <c r="E29" s="232">
        <v>3.25</v>
      </c>
      <c r="F29" s="27"/>
      <c r="G29" s="32"/>
      <c r="H29" s="52"/>
      <c r="I29" s="44">
        <v>105.27044570000001</v>
      </c>
      <c r="J29" s="30">
        <f t="shared" si="1"/>
        <v>299.5604457</v>
      </c>
      <c r="L29" s="58">
        <v>6796.28</v>
      </c>
      <c r="M29" s="63">
        <v>3959.27</v>
      </c>
      <c r="N29" s="58">
        <v>13.79</v>
      </c>
      <c r="O29" s="60"/>
      <c r="P29" s="27"/>
      <c r="Q29" s="32">
        <v>348.42156999999986</v>
      </c>
      <c r="R29" s="32"/>
      <c r="S29" s="42"/>
      <c r="T29" s="44">
        <v>96.600996700000053</v>
      </c>
      <c r="U29" s="30">
        <f t="shared" si="0"/>
        <v>458.81256669999993</v>
      </c>
      <c r="V29" s="228"/>
      <c r="W29" s="58">
        <v>3820.14</v>
      </c>
      <c r="X29" s="63"/>
      <c r="Y29" s="58"/>
      <c r="Z29" s="60"/>
      <c r="AA29" s="27"/>
      <c r="AB29" s="32"/>
      <c r="AC29" s="52"/>
      <c r="AD29" s="52"/>
      <c r="AE29" s="30">
        <f t="shared" si="2"/>
        <v>0</v>
      </c>
      <c r="AG29" s="58">
        <v>6083.57</v>
      </c>
      <c r="AH29" s="63">
        <v>375.82</v>
      </c>
      <c r="AI29" s="58"/>
      <c r="AJ29" s="60"/>
      <c r="AK29" s="27"/>
      <c r="AL29" s="51"/>
      <c r="AM29" s="52"/>
      <c r="AN29" s="52"/>
      <c r="AO29" s="30">
        <f t="shared" si="3"/>
        <v>0</v>
      </c>
      <c r="AQ29" s="58">
        <v>8832.3799999999992</v>
      </c>
      <c r="AR29" s="58">
        <v>657.88</v>
      </c>
      <c r="AS29" s="58">
        <v>231.2</v>
      </c>
      <c r="AT29" s="62"/>
      <c r="AU29" s="27"/>
      <c r="AV29" s="32">
        <v>118.68690000000005</v>
      </c>
      <c r="AW29" s="53">
        <v>30.343903499999982</v>
      </c>
      <c r="AX29" s="44"/>
      <c r="AY29" s="30">
        <f t="shared" si="4"/>
        <v>380.23080350000004</v>
      </c>
      <c r="BA29" s="58">
        <v>3216.1</v>
      </c>
      <c r="BB29" s="63"/>
      <c r="BC29" s="58">
        <v>530.61</v>
      </c>
      <c r="BD29" s="60"/>
      <c r="BE29" s="27"/>
      <c r="BF29" s="32">
        <v>56.062110000000033</v>
      </c>
      <c r="BG29" s="52"/>
      <c r="BH29" s="52"/>
      <c r="BI29" s="30">
        <f t="shared" si="5"/>
        <v>586.67211000000009</v>
      </c>
      <c r="BK29" s="58">
        <v>16902.71</v>
      </c>
      <c r="BL29" s="63">
        <v>1226.1500000000001</v>
      </c>
      <c r="BM29" s="58">
        <v>127.7</v>
      </c>
      <c r="BN29" s="60"/>
      <c r="BO29" s="27"/>
      <c r="BP29" s="32">
        <v>27.253030000000024</v>
      </c>
      <c r="BQ29" s="32"/>
      <c r="BR29" s="42">
        <v>6.8765000000000072</v>
      </c>
      <c r="BS29" s="52"/>
      <c r="BT29" s="30">
        <f t="shared" si="9"/>
        <v>161.82953000000003</v>
      </c>
      <c r="BV29" s="58">
        <v>1802.23</v>
      </c>
      <c r="BW29" s="63">
        <v>756.93</v>
      </c>
      <c r="BX29" s="58">
        <v>4.87</v>
      </c>
      <c r="BY29" s="60"/>
      <c r="BZ29" s="27"/>
      <c r="CA29" s="51"/>
      <c r="CB29" s="52"/>
      <c r="CC29" s="52"/>
      <c r="CD29" s="30">
        <f t="shared" si="6"/>
        <v>4.87</v>
      </c>
      <c r="CF29" s="58">
        <v>3621.04</v>
      </c>
      <c r="CG29" s="63"/>
      <c r="CH29" s="58">
        <v>74.260000000000005</v>
      </c>
      <c r="CI29" s="60"/>
      <c r="CJ29" s="27"/>
      <c r="CK29" s="32">
        <v>11.303000000000011</v>
      </c>
      <c r="CL29" s="42"/>
      <c r="CM29" s="52"/>
      <c r="CN29" s="30">
        <f t="shared" si="7"/>
        <v>85.563000000000017</v>
      </c>
      <c r="CP29" s="58">
        <v>2472.13</v>
      </c>
      <c r="CQ29" s="58">
        <v>673.69</v>
      </c>
      <c r="CR29" s="63">
        <v>3442.56</v>
      </c>
      <c r="CS29" s="58"/>
      <c r="CT29" s="60"/>
      <c r="CU29" s="27"/>
      <c r="CV29" s="51"/>
      <c r="CW29" s="42">
        <v>383.37301999999966</v>
      </c>
      <c r="CX29" s="52"/>
      <c r="CY29" s="229">
        <f t="shared" si="8"/>
        <v>383.37301999999966</v>
      </c>
    </row>
    <row r="30" spans="1:103" s="217" customFormat="1" hidden="1" x14ac:dyDescent="0.25">
      <c r="A30" s="47">
        <v>45986</v>
      </c>
      <c r="B30" s="230">
        <v>1010.3</v>
      </c>
      <c r="C30" s="231">
        <v>4568.9799999999996</v>
      </c>
      <c r="D30" s="230">
        <v>362.93</v>
      </c>
      <c r="E30" s="232">
        <v>26.59</v>
      </c>
      <c r="F30" s="27"/>
      <c r="G30" s="32"/>
      <c r="H30" s="52"/>
      <c r="I30" s="44"/>
      <c r="J30" s="30">
        <f t="shared" si="1"/>
        <v>362.93</v>
      </c>
      <c r="L30" s="58">
        <v>6951.19</v>
      </c>
      <c r="M30" s="63">
        <v>3834.18</v>
      </c>
      <c r="N30" s="58">
        <v>83.06</v>
      </c>
      <c r="O30" s="60"/>
      <c r="P30" s="27"/>
      <c r="Q30" s="32">
        <v>121.05338</v>
      </c>
      <c r="R30" s="32"/>
      <c r="S30" s="42"/>
      <c r="T30" s="44">
        <v>154.21767510000006</v>
      </c>
      <c r="U30" s="30">
        <f t="shared" si="0"/>
        <v>358.33105510000007</v>
      </c>
      <c r="V30" s="228"/>
      <c r="W30" s="58">
        <v>5225.72</v>
      </c>
      <c r="X30" s="63"/>
      <c r="Y30" s="58"/>
      <c r="Z30" s="60"/>
      <c r="AA30" s="27"/>
      <c r="AB30" s="32"/>
      <c r="AC30" s="52"/>
      <c r="AD30" s="52"/>
      <c r="AE30" s="30">
        <f t="shared" si="2"/>
        <v>0</v>
      </c>
      <c r="AG30" s="58">
        <v>5587.7199999999993</v>
      </c>
      <c r="AH30" s="63">
        <v>717.3</v>
      </c>
      <c r="AI30" s="58"/>
      <c r="AJ30" s="60"/>
      <c r="AK30" s="27"/>
      <c r="AL30" s="51"/>
      <c r="AM30" s="52"/>
      <c r="AN30" s="52"/>
      <c r="AO30" s="30">
        <f t="shared" si="3"/>
        <v>0</v>
      </c>
      <c r="AQ30" s="58">
        <v>9674.08</v>
      </c>
      <c r="AR30" s="58">
        <v>641.16</v>
      </c>
      <c r="AS30" s="58">
        <v>236.41</v>
      </c>
      <c r="AT30" s="62"/>
      <c r="AU30" s="27"/>
      <c r="AV30" s="32">
        <v>156.83361000000005</v>
      </c>
      <c r="AW30" s="53">
        <v>25.842169800000022</v>
      </c>
      <c r="AX30" s="44"/>
      <c r="AY30" s="30">
        <f t="shared" si="4"/>
        <v>419.08577980000007</v>
      </c>
      <c r="BA30" s="58">
        <v>8390.25</v>
      </c>
      <c r="BB30" s="63"/>
      <c r="BC30" s="58"/>
      <c r="BD30" s="60"/>
      <c r="BE30" s="27"/>
      <c r="BF30" s="32">
        <v>227.40915000000018</v>
      </c>
      <c r="BG30" s="52"/>
      <c r="BH30" s="52"/>
      <c r="BI30" s="30">
        <f t="shared" si="5"/>
        <v>227.40915000000018</v>
      </c>
      <c r="BK30" s="58">
        <v>20992.639999999999</v>
      </c>
      <c r="BL30" s="63">
        <v>913.2</v>
      </c>
      <c r="BM30" s="58">
        <v>278.64999999999998</v>
      </c>
      <c r="BN30" s="60"/>
      <c r="BO30" s="27"/>
      <c r="BP30" s="32">
        <v>316.69114999999999</v>
      </c>
      <c r="BQ30" s="32"/>
      <c r="BR30" s="42"/>
      <c r="BS30" s="52"/>
      <c r="BT30" s="30">
        <f t="shared" si="9"/>
        <v>595.34114999999997</v>
      </c>
      <c r="BV30" s="58">
        <v>2521.16</v>
      </c>
      <c r="BW30" s="63">
        <v>896.15</v>
      </c>
      <c r="BX30" s="58">
        <v>2.59</v>
      </c>
      <c r="BY30" s="60"/>
      <c r="BZ30" s="27"/>
      <c r="CA30" s="51"/>
      <c r="CB30" s="52"/>
      <c r="CC30" s="52"/>
      <c r="CD30" s="30">
        <f t="shared" si="6"/>
        <v>2.59</v>
      </c>
      <c r="CF30" s="58">
        <v>2111.12</v>
      </c>
      <c r="CG30" s="63"/>
      <c r="CH30" s="58">
        <v>81.8</v>
      </c>
      <c r="CI30" s="60"/>
      <c r="CJ30" s="27"/>
      <c r="CK30" s="32">
        <v>78.096110000000095</v>
      </c>
      <c r="CL30" s="42"/>
      <c r="CM30" s="52"/>
      <c r="CN30" s="30">
        <f t="shared" si="7"/>
        <v>159.89611000000008</v>
      </c>
      <c r="CP30" s="58">
        <v>1152.93</v>
      </c>
      <c r="CQ30" s="58">
        <v>592.64</v>
      </c>
      <c r="CR30" s="63">
        <v>2569.94</v>
      </c>
      <c r="CS30" s="58"/>
      <c r="CT30" s="60"/>
      <c r="CU30" s="27"/>
      <c r="CV30" s="51"/>
      <c r="CW30" s="42">
        <v>79.71598400000002</v>
      </c>
      <c r="CX30" s="52"/>
      <c r="CY30" s="229">
        <f t="shared" si="8"/>
        <v>79.71598400000002</v>
      </c>
    </row>
    <row r="31" spans="1:103" s="217" customFormat="1" hidden="1" x14ac:dyDescent="0.25">
      <c r="A31" s="47">
        <v>45987</v>
      </c>
      <c r="B31" s="230">
        <v>1197.8</v>
      </c>
      <c r="C31" s="231">
        <v>2924.14</v>
      </c>
      <c r="D31" s="230">
        <v>325.10000000000002</v>
      </c>
      <c r="E31" s="232">
        <v>4.42</v>
      </c>
      <c r="F31" s="27"/>
      <c r="G31" s="32">
        <v>62.805409999999995</v>
      </c>
      <c r="H31" s="52"/>
      <c r="I31" s="44">
        <v>50.762477799999942</v>
      </c>
      <c r="J31" s="30">
        <f t="shared" si="1"/>
        <v>438.66788779999996</v>
      </c>
      <c r="L31" s="58">
        <v>4529.7700000000004</v>
      </c>
      <c r="M31" s="63">
        <v>3139.51</v>
      </c>
      <c r="N31" s="58">
        <v>61.21</v>
      </c>
      <c r="O31" s="60"/>
      <c r="P31" s="27"/>
      <c r="Q31" s="32">
        <v>511.37107000000009</v>
      </c>
      <c r="R31" s="32"/>
      <c r="S31" s="42"/>
      <c r="T31" s="44">
        <v>15.079000000000008</v>
      </c>
      <c r="U31" s="30">
        <f t="shared" si="0"/>
        <v>587.66007000000013</v>
      </c>
      <c r="V31" s="228"/>
      <c r="W31" s="58">
        <v>788.37</v>
      </c>
      <c r="X31" s="63"/>
      <c r="Y31" s="58"/>
      <c r="Z31" s="60"/>
      <c r="AA31" s="27"/>
      <c r="AB31" s="32"/>
      <c r="AC31" s="52"/>
      <c r="AD31" s="52"/>
      <c r="AE31" s="30">
        <f t="shared" si="2"/>
        <v>0</v>
      </c>
      <c r="AG31" s="58">
        <v>5759.39</v>
      </c>
      <c r="AH31" s="63">
        <v>651.52</v>
      </c>
      <c r="AI31" s="58"/>
      <c r="AJ31" s="60"/>
      <c r="AK31" s="27"/>
      <c r="AL31" s="51"/>
      <c r="AM31" s="52"/>
      <c r="AN31" s="52"/>
      <c r="AO31" s="30">
        <f t="shared" si="3"/>
        <v>0</v>
      </c>
      <c r="AQ31" s="58">
        <v>10228.870000000001</v>
      </c>
      <c r="AR31" s="58">
        <v>787.26</v>
      </c>
      <c r="AS31" s="58">
        <v>352.29</v>
      </c>
      <c r="AT31" s="62"/>
      <c r="AU31" s="27"/>
      <c r="AV31" s="32">
        <v>257.74277000000006</v>
      </c>
      <c r="AW31" s="53"/>
      <c r="AX31" s="44"/>
      <c r="AY31" s="30">
        <f t="shared" si="4"/>
        <v>610.03277000000003</v>
      </c>
      <c r="BA31" s="58">
        <v>5714.74</v>
      </c>
      <c r="BB31" s="63"/>
      <c r="BC31" s="58"/>
      <c r="BD31" s="60"/>
      <c r="BE31" s="27"/>
      <c r="BF31" s="32">
        <v>59.029160000000076</v>
      </c>
      <c r="BG31" s="52"/>
      <c r="BH31" s="52"/>
      <c r="BI31" s="30">
        <f t="shared" si="5"/>
        <v>59.029160000000076</v>
      </c>
      <c r="BK31" s="58">
        <v>17678.21</v>
      </c>
      <c r="BL31" s="63">
        <v>1229.7</v>
      </c>
      <c r="BM31" s="58">
        <v>236.75</v>
      </c>
      <c r="BN31" s="60"/>
      <c r="BO31" s="27"/>
      <c r="BP31" s="32">
        <v>126.16811000000001</v>
      </c>
      <c r="BQ31" s="32"/>
      <c r="BR31" s="42"/>
      <c r="BS31" s="52"/>
      <c r="BT31" s="30">
        <f t="shared" si="9"/>
        <v>362.91811000000001</v>
      </c>
      <c r="BV31" s="58">
        <v>2698.79</v>
      </c>
      <c r="BW31" s="63">
        <v>956.99</v>
      </c>
      <c r="BX31" s="58">
        <v>6.28</v>
      </c>
      <c r="BY31" s="60"/>
      <c r="BZ31" s="27"/>
      <c r="CA31" s="51"/>
      <c r="CB31" s="52"/>
      <c r="CC31" s="52"/>
      <c r="CD31" s="30">
        <f t="shared" si="6"/>
        <v>6.28</v>
      </c>
      <c r="CF31" s="58">
        <v>1090.25</v>
      </c>
      <c r="CG31" s="63"/>
      <c r="CH31" s="58">
        <v>29.93</v>
      </c>
      <c r="CI31" s="60"/>
      <c r="CJ31" s="27"/>
      <c r="CK31" s="32">
        <v>13.719810000000024</v>
      </c>
      <c r="CL31" s="42"/>
      <c r="CM31" s="52"/>
      <c r="CN31" s="30">
        <f t="shared" si="7"/>
        <v>43.649810000000024</v>
      </c>
      <c r="CP31" s="58">
        <v>1191.47</v>
      </c>
      <c r="CQ31" s="58">
        <v>532.53</v>
      </c>
      <c r="CR31" s="63">
        <v>3500.76</v>
      </c>
      <c r="CS31" s="58">
        <v>10.86</v>
      </c>
      <c r="CT31" s="60"/>
      <c r="CU31" s="27"/>
      <c r="CV31" s="51"/>
      <c r="CW31" s="42">
        <v>75.48973600000005</v>
      </c>
      <c r="CX31" s="52"/>
      <c r="CY31" s="229">
        <f t="shared" si="8"/>
        <v>86.34973600000005</v>
      </c>
    </row>
    <row r="32" spans="1:103" s="217" customFormat="1" hidden="1" x14ac:dyDescent="0.25">
      <c r="A32" s="47">
        <v>45988</v>
      </c>
      <c r="B32" s="230">
        <v>2306.2199999999998</v>
      </c>
      <c r="C32" s="231">
        <v>4045.26</v>
      </c>
      <c r="D32" s="230">
        <v>443.24</v>
      </c>
      <c r="E32" s="232">
        <v>2.37</v>
      </c>
      <c r="F32" s="27"/>
      <c r="G32" s="32"/>
      <c r="H32" s="52"/>
      <c r="I32" s="44"/>
      <c r="J32" s="30">
        <f t="shared" si="1"/>
        <v>443.24</v>
      </c>
      <c r="L32" s="58">
        <v>5714.61</v>
      </c>
      <c r="M32" s="63">
        <v>4653.6099999999997</v>
      </c>
      <c r="N32" s="58">
        <v>43.88</v>
      </c>
      <c r="O32" s="60"/>
      <c r="P32" s="27"/>
      <c r="Q32" s="32">
        <v>119.74369999999992</v>
      </c>
      <c r="R32" s="32"/>
      <c r="S32" s="42">
        <v>11.177742400000007</v>
      </c>
      <c r="T32" s="44">
        <v>120.63200000000006</v>
      </c>
      <c r="U32" s="30">
        <f t="shared" si="0"/>
        <v>295.43344239999999</v>
      </c>
      <c r="V32" s="228"/>
      <c r="W32" s="58">
        <v>2144.06</v>
      </c>
      <c r="X32" s="63"/>
      <c r="Y32" s="58"/>
      <c r="Z32" s="60"/>
      <c r="AA32" s="27"/>
      <c r="AB32" s="32"/>
      <c r="AC32" s="52"/>
      <c r="AD32" s="52"/>
      <c r="AE32" s="30">
        <f t="shared" si="2"/>
        <v>0</v>
      </c>
      <c r="AG32" s="58">
        <v>7085.26</v>
      </c>
      <c r="AH32" s="63">
        <v>251.55</v>
      </c>
      <c r="AI32" s="58"/>
      <c r="AJ32" s="60"/>
      <c r="AK32" s="27"/>
      <c r="AL32" s="51"/>
      <c r="AM32" s="52"/>
      <c r="AN32" s="52"/>
      <c r="AO32" s="30">
        <f t="shared" si="3"/>
        <v>0</v>
      </c>
      <c r="AQ32" s="58">
        <v>8962.0400000000009</v>
      </c>
      <c r="AR32" s="58">
        <v>907.16</v>
      </c>
      <c r="AS32" s="58">
        <v>317.33999999999997</v>
      </c>
      <c r="AT32" s="62"/>
      <c r="AU32" s="27"/>
      <c r="AV32" s="32">
        <v>165.75362000000007</v>
      </c>
      <c r="AW32" s="53">
        <v>17.501371200000008</v>
      </c>
      <c r="AX32" s="44">
        <v>10.536326400000036</v>
      </c>
      <c r="AY32" s="30">
        <f t="shared" si="4"/>
        <v>511.1313176000001</v>
      </c>
      <c r="BA32" s="58">
        <v>8574.33</v>
      </c>
      <c r="BB32" s="63"/>
      <c r="BC32" s="58"/>
      <c r="BD32" s="60"/>
      <c r="BE32" s="27"/>
      <c r="BF32" s="32">
        <v>25.524720000000002</v>
      </c>
      <c r="BG32" s="52"/>
      <c r="BH32" s="52"/>
      <c r="BI32" s="30">
        <f t="shared" si="5"/>
        <v>25.524720000000002</v>
      </c>
      <c r="BK32" s="58">
        <v>30805.65</v>
      </c>
      <c r="BL32" s="63">
        <v>737.83</v>
      </c>
      <c r="BM32" s="58">
        <v>253.11</v>
      </c>
      <c r="BN32" s="60"/>
      <c r="BO32" s="27"/>
      <c r="BP32" s="32">
        <v>130.37079999999983</v>
      </c>
      <c r="BQ32" s="32"/>
      <c r="BR32" s="42"/>
      <c r="BS32" s="52"/>
      <c r="BT32" s="30">
        <f t="shared" si="9"/>
        <v>383.48079999999982</v>
      </c>
      <c r="BV32" s="58">
        <v>3198.74</v>
      </c>
      <c r="BW32" s="63">
        <v>780.39</v>
      </c>
      <c r="BX32" s="58">
        <v>11.11</v>
      </c>
      <c r="BY32" s="60"/>
      <c r="BZ32" s="27"/>
      <c r="CA32" s="51"/>
      <c r="CB32" s="52"/>
      <c r="CC32" s="52"/>
      <c r="CD32" s="30">
        <f t="shared" si="6"/>
        <v>11.11</v>
      </c>
      <c r="CF32" s="58">
        <v>1774.16</v>
      </c>
      <c r="CG32" s="63"/>
      <c r="CH32" s="58">
        <v>45.32</v>
      </c>
      <c r="CI32" s="60"/>
      <c r="CJ32" s="27"/>
      <c r="CK32" s="32"/>
      <c r="CL32" s="42"/>
      <c r="CM32" s="52"/>
      <c r="CN32" s="30">
        <f t="shared" si="7"/>
        <v>45.32</v>
      </c>
      <c r="CP32" s="58">
        <v>937.79</v>
      </c>
      <c r="CQ32" s="58">
        <v>989.05</v>
      </c>
      <c r="CR32" s="63">
        <v>2746.48</v>
      </c>
      <c r="CS32" s="58"/>
      <c r="CT32" s="60"/>
      <c r="CU32" s="27"/>
      <c r="CV32" s="51"/>
      <c r="CW32" s="42">
        <v>11.990216000000004</v>
      </c>
      <c r="CX32" s="52"/>
      <c r="CY32" s="229">
        <f t="shared" si="8"/>
        <v>11.990216000000004</v>
      </c>
    </row>
    <row r="33" spans="1:103" s="217" customFormat="1" hidden="1" x14ac:dyDescent="0.25">
      <c r="A33" s="47">
        <v>45989</v>
      </c>
      <c r="B33" s="230">
        <v>1682.02</v>
      </c>
      <c r="C33" s="231">
        <v>3737.27</v>
      </c>
      <c r="D33" s="230">
        <v>857.84</v>
      </c>
      <c r="E33" s="232">
        <v>1.02</v>
      </c>
      <c r="F33" s="27"/>
      <c r="G33" s="32">
        <v>2.5077500000000015</v>
      </c>
      <c r="H33" s="52"/>
      <c r="I33" s="44"/>
      <c r="J33" s="30">
        <f t="shared" si="1"/>
        <v>860.34775000000002</v>
      </c>
      <c r="L33" s="58">
        <v>8200.81</v>
      </c>
      <c r="M33" s="63">
        <v>3784.92</v>
      </c>
      <c r="N33" s="58">
        <v>36.86</v>
      </c>
      <c r="O33" s="60"/>
      <c r="P33" s="27"/>
      <c r="Q33" s="32">
        <v>58.846679999999999</v>
      </c>
      <c r="R33" s="32"/>
      <c r="S33" s="42"/>
      <c r="T33" s="44"/>
      <c r="U33" s="30">
        <f t="shared" si="0"/>
        <v>95.706680000000006</v>
      </c>
      <c r="V33" s="228"/>
      <c r="W33" s="58">
        <v>1212.25</v>
      </c>
      <c r="X33" s="63"/>
      <c r="Y33" s="58"/>
      <c r="Z33" s="60"/>
      <c r="AA33" s="27"/>
      <c r="AB33" s="32"/>
      <c r="AC33" s="52"/>
      <c r="AD33" s="52"/>
      <c r="AE33" s="30">
        <f t="shared" si="2"/>
        <v>0</v>
      </c>
      <c r="AG33" s="58">
        <v>4503.3099999999995</v>
      </c>
      <c r="AH33" s="63">
        <v>586.76</v>
      </c>
      <c r="AI33" s="58"/>
      <c r="AJ33" s="60"/>
      <c r="AK33" s="27"/>
      <c r="AL33" s="51"/>
      <c r="AM33" s="52"/>
      <c r="AN33" s="52"/>
      <c r="AO33" s="30">
        <f t="shared" si="3"/>
        <v>0</v>
      </c>
      <c r="AQ33" s="58">
        <v>13122.72</v>
      </c>
      <c r="AR33" s="58">
        <v>702.12</v>
      </c>
      <c r="AS33" s="58">
        <v>430.7</v>
      </c>
      <c r="AT33" s="62"/>
      <c r="AU33" s="27"/>
      <c r="AV33" s="32">
        <v>237.78207000000015</v>
      </c>
      <c r="AW33" s="53">
        <v>14.423802500000022</v>
      </c>
      <c r="AX33" s="44"/>
      <c r="AY33" s="30">
        <f t="shared" si="4"/>
        <v>682.90587250000021</v>
      </c>
      <c r="BA33" s="58">
        <v>4664.1499999999996</v>
      </c>
      <c r="BB33" s="63"/>
      <c r="BC33" s="58"/>
      <c r="BD33" s="60"/>
      <c r="BE33" s="27"/>
      <c r="BF33" s="32">
        <v>18.446719999999971</v>
      </c>
      <c r="BG33" s="52"/>
      <c r="BH33" s="52"/>
      <c r="BI33" s="30">
        <f t="shared" si="5"/>
        <v>18.446719999999971</v>
      </c>
      <c r="BK33" s="58">
        <v>27989.87</v>
      </c>
      <c r="BL33" s="63">
        <v>1347.31</v>
      </c>
      <c r="BM33" s="58">
        <v>313.18</v>
      </c>
      <c r="BN33" s="60"/>
      <c r="BO33" s="27"/>
      <c r="BP33" s="32">
        <v>117.53629999999984</v>
      </c>
      <c r="BQ33" s="32"/>
      <c r="BR33" s="42">
        <v>16.712865499999992</v>
      </c>
      <c r="BS33" s="52"/>
      <c r="BT33" s="30">
        <f t="shared" si="9"/>
        <v>447.42916549999984</v>
      </c>
      <c r="BV33" s="58">
        <v>2994.74</v>
      </c>
      <c r="BW33" s="63">
        <v>1100.28</v>
      </c>
      <c r="BX33" s="58">
        <v>5.18</v>
      </c>
      <c r="BY33" s="60"/>
      <c r="BZ33" s="27"/>
      <c r="CA33" s="51"/>
      <c r="CB33" s="52"/>
      <c r="CC33" s="52"/>
      <c r="CD33" s="30">
        <f t="shared" si="6"/>
        <v>5.18</v>
      </c>
      <c r="CF33" s="58">
        <v>2480.3200000000002</v>
      </c>
      <c r="CG33" s="63"/>
      <c r="CH33" s="58">
        <v>33.659999999999997</v>
      </c>
      <c r="CI33" s="60"/>
      <c r="CJ33" s="27"/>
      <c r="CK33" s="32">
        <v>11.28000000000003</v>
      </c>
      <c r="CL33" s="42"/>
      <c r="CM33" s="52"/>
      <c r="CN33" s="30">
        <f t="shared" si="7"/>
        <v>44.940000000000026</v>
      </c>
      <c r="CP33" s="58">
        <v>2274.6999999999998</v>
      </c>
      <c r="CQ33" s="58">
        <v>737</v>
      </c>
      <c r="CR33" s="63">
        <v>4254.79</v>
      </c>
      <c r="CS33" s="58"/>
      <c r="CT33" s="60"/>
      <c r="CU33" s="27"/>
      <c r="CV33" s="51"/>
      <c r="CW33" s="42">
        <v>39.666899999999941</v>
      </c>
      <c r="CX33" s="52"/>
      <c r="CY33" s="229">
        <f t="shared" si="8"/>
        <v>39.666899999999941</v>
      </c>
    </row>
    <row r="34" spans="1:103" s="217" customFormat="1" hidden="1" x14ac:dyDescent="0.25">
      <c r="A34" s="47">
        <v>45990</v>
      </c>
      <c r="B34" s="230">
        <v>356.74</v>
      </c>
      <c r="C34" s="231">
        <v>2375.69</v>
      </c>
      <c r="D34" s="230">
        <v>269.45999999999998</v>
      </c>
      <c r="E34" s="232">
        <v>3.39</v>
      </c>
      <c r="F34" s="27"/>
      <c r="G34" s="32"/>
      <c r="H34" s="52"/>
      <c r="I34" s="44"/>
      <c r="J34" s="30">
        <f t="shared" si="1"/>
        <v>269.45999999999998</v>
      </c>
      <c r="L34" s="58">
        <v>7144.27</v>
      </c>
      <c r="M34" s="63">
        <v>4462.3999999999996</v>
      </c>
      <c r="N34" s="58">
        <v>37.369999999999997</v>
      </c>
      <c r="O34" s="60"/>
      <c r="P34" s="27"/>
      <c r="Q34" s="32">
        <v>298.07245</v>
      </c>
      <c r="R34" s="32"/>
      <c r="S34" s="42"/>
      <c r="T34" s="44"/>
      <c r="U34" s="30">
        <f t="shared" si="0"/>
        <v>335.44245000000001</v>
      </c>
      <c r="V34" s="228"/>
      <c r="W34" s="58">
        <v>2445.0100000000002</v>
      </c>
      <c r="X34" s="63"/>
      <c r="Y34" s="58"/>
      <c r="Z34" s="60"/>
      <c r="AA34" s="27"/>
      <c r="AB34" s="32"/>
      <c r="AC34" s="52"/>
      <c r="AD34" s="52"/>
      <c r="AE34" s="30">
        <f t="shared" si="2"/>
        <v>0</v>
      </c>
      <c r="AG34" s="58">
        <v>5409.79</v>
      </c>
      <c r="AH34" s="63">
        <v>642.41999999999996</v>
      </c>
      <c r="AI34" s="58"/>
      <c r="AJ34" s="60"/>
      <c r="AK34" s="27"/>
      <c r="AL34" s="51"/>
      <c r="AM34" s="52"/>
      <c r="AN34" s="52"/>
      <c r="AO34" s="30">
        <f t="shared" si="3"/>
        <v>0</v>
      </c>
      <c r="AQ34" s="58">
        <v>5061.22</v>
      </c>
      <c r="AR34" s="58">
        <v>926.25</v>
      </c>
      <c r="AS34" s="58">
        <v>42.69</v>
      </c>
      <c r="AT34" s="62"/>
      <c r="AU34" s="27"/>
      <c r="AV34" s="32">
        <v>67.461090000000041</v>
      </c>
      <c r="AW34" s="52"/>
      <c r="AX34" s="44"/>
      <c r="AY34" s="30">
        <f t="shared" si="4"/>
        <v>110.15109000000004</v>
      </c>
      <c r="BA34" s="58">
        <v>3027.7</v>
      </c>
      <c r="BB34" s="63"/>
      <c r="BC34" s="58"/>
      <c r="BD34" s="60"/>
      <c r="BE34" s="27"/>
      <c r="BF34" s="32">
        <v>48.621039999999965</v>
      </c>
      <c r="BG34" s="52"/>
      <c r="BH34" s="52"/>
      <c r="BI34" s="30">
        <f t="shared" si="5"/>
        <v>48.621039999999965</v>
      </c>
      <c r="BK34" s="58">
        <v>24268.31</v>
      </c>
      <c r="BL34" s="63">
        <v>1386.09</v>
      </c>
      <c r="BM34" s="58">
        <v>190.79</v>
      </c>
      <c r="BN34" s="60"/>
      <c r="BO34" s="27"/>
      <c r="BP34" s="32">
        <v>16.629749999999959</v>
      </c>
      <c r="BQ34" s="32"/>
      <c r="BR34" s="42"/>
      <c r="BS34" s="52"/>
      <c r="BT34" s="30">
        <f t="shared" si="9"/>
        <v>207.41974999999996</v>
      </c>
      <c r="BV34" s="58">
        <v>2671.26</v>
      </c>
      <c r="BW34" s="63">
        <v>1098.8399999999999</v>
      </c>
      <c r="BX34" s="58"/>
      <c r="BY34" s="60"/>
      <c r="BZ34" s="27"/>
      <c r="CA34" s="51"/>
      <c r="CB34" s="52"/>
      <c r="CC34" s="52"/>
      <c r="CD34" s="30">
        <f t="shared" si="6"/>
        <v>0</v>
      </c>
      <c r="CF34" s="58">
        <v>3426.54</v>
      </c>
      <c r="CG34" s="63"/>
      <c r="CH34" s="58">
        <v>502.05</v>
      </c>
      <c r="CI34" s="60"/>
      <c r="CJ34" s="27"/>
      <c r="CK34" s="32"/>
      <c r="CL34" s="42"/>
      <c r="CM34" s="52"/>
      <c r="CN34" s="30">
        <f t="shared" si="7"/>
        <v>502.05</v>
      </c>
      <c r="CP34" s="58">
        <v>1983.66</v>
      </c>
      <c r="CQ34" s="58">
        <v>884.93</v>
      </c>
      <c r="CR34" s="63">
        <v>3855.02</v>
      </c>
      <c r="CS34" s="58"/>
      <c r="CT34" s="60"/>
      <c r="CU34" s="27"/>
      <c r="CV34" s="51"/>
      <c r="CW34" s="42">
        <v>34.270600000000002</v>
      </c>
      <c r="CX34" s="52"/>
      <c r="CY34" s="229">
        <f t="shared" si="8"/>
        <v>34.270600000000002</v>
      </c>
    </row>
    <row r="35" spans="1:103" s="217" customFormat="1" hidden="1" x14ac:dyDescent="0.25">
      <c r="A35" s="47">
        <v>45991</v>
      </c>
      <c r="B35" s="230">
        <v>2046.59</v>
      </c>
      <c r="C35" s="231">
        <v>2155.4699999999998</v>
      </c>
      <c r="D35" s="230">
        <v>82.57</v>
      </c>
      <c r="E35" s="232">
        <v>0.87</v>
      </c>
      <c r="F35" s="27"/>
      <c r="G35" s="32"/>
      <c r="H35" s="52"/>
      <c r="I35" s="44"/>
      <c r="J35" s="30">
        <f t="shared" si="1"/>
        <v>82.57</v>
      </c>
      <c r="L35" s="58">
        <v>6201.07</v>
      </c>
      <c r="M35" s="63">
        <v>5290.58</v>
      </c>
      <c r="N35" s="58"/>
      <c r="O35" s="60"/>
      <c r="P35" s="27"/>
      <c r="Q35" s="32">
        <v>51.523949999999971</v>
      </c>
      <c r="R35" s="32"/>
      <c r="S35" s="42"/>
      <c r="T35" s="44"/>
      <c r="U35" s="30">
        <f t="shared" si="0"/>
        <v>51.523949999999971</v>
      </c>
      <c r="V35" s="228"/>
      <c r="W35" s="58">
        <v>820.17</v>
      </c>
      <c r="X35" s="63"/>
      <c r="Y35" s="58"/>
      <c r="Z35" s="60"/>
      <c r="AA35" s="27"/>
      <c r="AB35" s="32"/>
      <c r="AC35" s="52"/>
      <c r="AD35" s="52"/>
      <c r="AE35" s="30">
        <f t="shared" si="2"/>
        <v>0</v>
      </c>
      <c r="AG35" s="58">
        <v>4338.09</v>
      </c>
      <c r="AH35" s="63">
        <v>625.83000000000004</v>
      </c>
      <c r="AI35" s="58"/>
      <c r="AJ35" s="60"/>
      <c r="AK35" s="27"/>
      <c r="AL35" s="51"/>
      <c r="AM35" s="52"/>
      <c r="AN35" s="52"/>
      <c r="AO35" s="30">
        <f t="shared" si="3"/>
        <v>0</v>
      </c>
      <c r="AQ35" s="58">
        <v>4516.37</v>
      </c>
      <c r="AR35" s="58">
        <v>536.55999999999995</v>
      </c>
      <c r="AS35" s="58">
        <v>113.46</v>
      </c>
      <c r="AT35" s="62"/>
      <c r="AU35" s="27"/>
      <c r="AV35" s="32">
        <v>46.627360000000039</v>
      </c>
      <c r="AW35" s="52"/>
      <c r="AX35" s="44"/>
      <c r="AY35" s="30">
        <f t="shared" si="4"/>
        <v>160.08736000000005</v>
      </c>
      <c r="BA35" s="58">
        <v>2832.72</v>
      </c>
      <c r="BB35" s="63"/>
      <c r="BC35" s="58"/>
      <c r="BD35" s="60"/>
      <c r="BE35" s="27"/>
      <c r="BF35" s="32">
        <v>1.0459999999999923</v>
      </c>
      <c r="BG35" s="52"/>
      <c r="BH35" s="52"/>
      <c r="BI35" s="30">
        <f t="shared" si="5"/>
        <v>1.0459999999999923</v>
      </c>
      <c r="BK35" s="58">
        <v>13473.71</v>
      </c>
      <c r="BL35" s="63">
        <v>1340.1</v>
      </c>
      <c r="BM35" s="58">
        <v>99.88</v>
      </c>
      <c r="BN35" s="60"/>
      <c r="BO35" s="27"/>
      <c r="BP35" s="32">
        <v>44.947699999999969</v>
      </c>
      <c r="BQ35" s="32"/>
      <c r="BR35" s="42"/>
      <c r="BS35" s="52"/>
      <c r="BT35" s="30">
        <f t="shared" si="9"/>
        <v>144.82769999999996</v>
      </c>
      <c r="BV35" s="58">
        <v>1721.18</v>
      </c>
      <c r="BW35" s="63">
        <v>461.71</v>
      </c>
      <c r="BX35" s="58">
        <v>1.55</v>
      </c>
      <c r="BY35" s="60"/>
      <c r="BZ35" s="27"/>
      <c r="CA35" s="51"/>
      <c r="CB35" s="52"/>
      <c r="CC35" s="52"/>
      <c r="CD35" s="30">
        <f t="shared" si="6"/>
        <v>1.55</v>
      </c>
      <c r="CF35" s="58">
        <v>3032.88</v>
      </c>
      <c r="CG35" s="63"/>
      <c r="CH35" s="58">
        <v>111.42</v>
      </c>
      <c r="CI35" s="60"/>
      <c r="CJ35" s="27"/>
      <c r="CK35" s="32">
        <v>3.4469800000000035</v>
      </c>
      <c r="CL35" s="42"/>
      <c r="CM35" s="52"/>
      <c r="CN35" s="30">
        <f t="shared" si="7"/>
        <v>114.86698000000001</v>
      </c>
      <c r="CP35" s="58">
        <v>1253.75</v>
      </c>
      <c r="CQ35" s="58">
        <v>761.19</v>
      </c>
      <c r="CR35" s="63">
        <v>3519.96</v>
      </c>
      <c r="CS35" s="58"/>
      <c r="CT35" s="60"/>
      <c r="CU35" s="27"/>
      <c r="CV35" s="51"/>
      <c r="CW35" s="42">
        <v>73.437000000000026</v>
      </c>
      <c r="CX35" s="52"/>
      <c r="CY35" s="229">
        <f t="shared" si="8"/>
        <v>73.437000000000026</v>
      </c>
    </row>
    <row r="36" spans="1:103" s="217" customFormat="1" ht="15.75" hidden="1" thickBot="1" x14ac:dyDescent="0.3">
      <c r="A36" s="75"/>
      <c r="B36" s="230"/>
      <c r="C36" s="231"/>
      <c r="D36" s="230"/>
      <c r="E36" s="232"/>
      <c r="F36" s="27"/>
      <c r="G36" s="32"/>
      <c r="H36" s="80"/>
      <c r="I36" s="82"/>
      <c r="J36" s="30"/>
      <c r="L36" s="58"/>
      <c r="M36" s="63"/>
      <c r="N36" s="58"/>
      <c r="O36" s="60"/>
      <c r="P36" s="27"/>
      <c r="Q36" s="32"/>
      <c r="R36" s="32"/>
      <c r="S36" s="42"/>
      <c r="T36" s="82"/>
      <c r="U36" s="30"/>
      <c r="V36" s="228"/>
      <c r="W36" s="58"/>
      <c r="X36" s="63"/>
      <c r="Y36" s="58"/>
      <c r="Z36" s="60"/>
      <c r="AA36" s="27"/>
      <c r="AB36" s="32"/>
      <c r="AC36" s="80"/>
      <c r="AD36" s="80"/>
      <c r="AE36" s="30"/>
      <c r="AG36" s="58"/>
      <c r="AH36" s="63"/>
      <c r="AI36" s="58"/>
      <c r="AJ36" s="60"/>
      <c r="AK36" s="27"/>
      <c r="AL36" s="79"/>
      <c r="AM36" s="80"/>
      <c r="AN36" s="80"/>
      <c r="AO36" s="30"/>
      <c r="AQ36" s="58"/>
      <c r="AR36" s="58"/>
      <c r="AS36" s="58"/>
      <c r="AT36" s="233"/>
      <c r="AU36" s="27"/>
      <c r="AV36" s="32"/>
      <c r="AW36" s="80"/>
      <c r="AX36" s="82"/>
      <c r="AY36" s="30"/>
      <c r="BA36" s="58"/>
      <c r="BB36" s="63"/>
      <c r="BC36" s="58"/>
      <c r="BD36" s="60"/>
      <c r="BE36" s="27"/>
      <c r="BF36" s="32"/>
      <c r="BG36" s="80"/>
      <c r="BH36" s="80"/>
      <c r="BI36" s="30"/>
      <c r="BK36" s="58"/>
      <c r="BL36" s="63"/>
      <c r="BM36" s="58"/>
      <c r="BN36" s="60"/>
      <c r="BO36" s="27"/>
      <c r="BP36" s="32"/>
      <c r="BQ36" s="32"/>
      <c r="BR36" s="42"/>
      <c r="BS36" s="80"/>
      <c r="BT36" s="30"/>
      <c r="BV36" s="58"/>
      <c r="BW36" s="63"/>
      <c r="BX36" s="58"/>
      <c r="BY36" s="60"/>
      <c r="BZ36" s="27"/>
      <c r="CA36" s="79"/>
      <c r="CB36" s="80"/>
      <c r="CC36" s="80"/>
      <c r="CD36" s="30"/>
      <c r="CF36" s="58"/>
      <c r="CG36" s="63"/>
      <c r="CH36" s="58"/>
      <c r="CI36" s="60"/>
      <c r="CJ36" s="27"/>
      <c r="CK36" s="32"/>
      <c r="CL36" s="42"/>
      <c r="CM36" s="80"/>
      <c r="CN36" s="30"/>
      <c r="CP36" s="58"/>
      <c r="CQ36" s="234"/>
      <c r="CR36" s="235"/>
      <c r="CS36" s="58"/>
      <c r="CT36" s="60"/>
      <c r="CU36" s="27"/>
      <c r="CV36" s="79"/>
      <c r="CW36" s="42"/>
      <c r="CX36" s="80"/>
      <c r="CY36" s="229"/>
    </row>
    <row r="37" spans="1:103" s="86" customFormat="1" ht="16.5" hidden="1" thickBot="1" x14ac:dyDescent="0.3">
      <c r="B37" s="236">
        <f>SUM(B6:B36)</f>
        <v>84233.32</v>
      </c>
      <c r="C37" s="236">
        <f>SUM(C6:C36)</f>
        <v>86533.719999999987</v>
      </c>
      <c r="D37" s="237">
        <f>SUM(D6:D36)</f>
        <v>7121.57</v>
      </c>
      <c r="E37" s="236">
        <f>SUM(E6:E36)</f>
        <v>153.86999999999998</v>
      </c>
      <c r="F37" s="83"/>
      <c r="G37" s="84">
        <f t="shared" ref="G37:J37" si="10">SUM(G6:G36)</f>
        <v>286.55376000000001</v>
      </c>
      <c r="H37" s="85">
        <f t="shared" si="10"/>
        <v>0</v>
      </c>
      <c r="I37" s="85">
        <f t="shared" si="10"/>
        <v>448.7487828000003</v>
      </c>
      <c r="J37" s="85">
        <f t="shared" si="10"/>
        <v>7856.8725427999998</v>
      </c>
      <c r="L37" s="236">
        <f>SUM(L6:L36)</f>
        <v>183898.12</v>
      </c>
      <c r="M37" s="237">
        <f>SUM(M6:M36)</f>
        <v>117563.18000000001</v>
      </c>
      <c r="N37" s="237">
        <f>SUM(N6:N36)</f>
        <v>990.20999999999992</v>
      </c>
      <c r="O37" s="238">
        <f>SUM(O6:O36)</f>
        <v>0</v>
      </c>
      <c r="P37" s="83"/>
      <c r="Q37" s="84">
        <f t="shared" ref="Q37:U37" si="11">SUM(Q6:Q36)</f>
        <v>7358.1621400000013</v>
      </c>
      <c r="R37" s="433"/>
      <c r="S37" s="85">
        <f t="shared" si="11"/>
        <v>11.177742400000007</v>
      </c>
      <c r="T37" s="85">
        <f t="shared" si="11"/>
        <v>1688.5022796000005</v>
      </c>
      <c r="U37" s="85">
        <f t="shared" si="11"/>
        <v>10048.052162000004</v>
      </c>
      <c r="W37" s="236">
        <f>SUM(W6:W36)</f>
        <v>68413.56</v>
      </c>
      <c r="X37" s="237">
        <f>SUM(X6:X36)</f>
        <v>0</v>
      </c>
      <c r="Y37" s="237">
        <f>SUM(Y6:Y36)</f>
        <v>0</v>
      </c>
      <c r="Z37" s="238">
        <f>SUM(Z6:Z36)</f>
        <v>0</v>
      </c>
      <c r="AA37" s="83"/>
      <c r="AB37" s="84">
        <f t="shared" ref="AB37:AE37" si="12">SUM(AB6:AB36)</f>
        <v>0</v>
      </c>
      <c r="AC37" s="85">
        <f t="shared" si="12"/>
        <v>0</v>
      </c>
      <c r="AD37" s="85">
        <f t="shared" si="12"/>
        <v>0</v>
      </c>
      <c r="AE37" s="85">
        <f t="shared" si="12"/>
        <v>0</v>
      </c>
      <c r="AG37" s="236">
        <f>SUM(AG6:AG36)</f>
        <v>157049.44</v>
      </c>
      <c r="AH37" s="237">
        <f>SUM(AH6:AH36)</f>
        <v>14356.32</v>
      </c>
      <c r="AI37" s="237">
        <f>SUM(AI6:AI36)</f>
        <v>0</v>
      </c>
      <c r="AJ37" s="238">
        <f>SUM(AJ6:AJ36)</f>
        <v>0</v>
      </c>
      <c r="AK37" s="83"/>
      <c r="AL37" s="84">
        <f t="shared" ref="AL37:AO37" si="13">SUM(AL6:AL36)</f>
        <v>0</v>
      </c>
      <c r="AM37" s="85">
        <f t="shared" si="13"/>
        <v>0</v>
      </c>
      <c r="AN37" s="85">
        <f t="shared" si="13"/>
        <v>0</v>
      </c>
      <c r="AO37" s="85">
        <f t="shared" si="13"/>
        <v>0</v>
      </c>
      <c r="AQ37" s="237">
        <f>SUM(AQ6:AQ36)</f>
        <v>197619.05000000002</v>
      </c>
      <c r="AR37" s="237">
        <f>SUM(AR6:AR36)</f>
        <v>23959.609999999997</v>
      </c>
      <c r="AS37" s="237">
        <f>SUM(AS6:AS36)</f>
        <v>5326.829999999999</v>
      </c>
      <c r="AT37" s="237">
        <f>SUM(AT6:AT36)</f>
        <v>0</v>
      </c>
      <c r="AU37" s="83"/>
      <c r="AV37" s="84">
        <f t="shared" ref="AV37:AY37" si="14">SUM(AV6:AV36)</f>
        <v>4235.1225400000012</v>
      </c>
      <c r="AW37" s="85">
        <f t="shared" si="14"/>
        <v>381.74199900000019</v>
      </c>
      <c r="AX37" s="85">
        <f t="shared" si="14"/>
        <v>108.2993261000002</v>
      </c>
      <c r="AY37" s="85">
        <f t="shared" si="14"/>
        <v>10051.993865099999</v>
      </c>
      <c r="BA37" s="236">
        <f>SUM(BA6:BA36)</f>
        <v>152650.43000000002</v>
      </c>
      <c r="BB37" s="237">
        <f>SUM(BB6:BB36)</f>
        <v>0</v>
      </c>
      <c r="BC37" s="237">
        <f>SUM(BC6:BC36)</f>
        <v>1044.6199999999999</v>
      </c>
      <c r="BD37" s="238">
        <f>SUM(BD6:BD36)</f>
        <v>0</v>
      </c>
      <c r="BE37" s="83"/>
      <c r="BF37" s="84">
        <f t="shared" ref="BF37:BI37" si="15">SUM(BF6:BF36)</f>
        <v>1620.8945700000002</v>
      </c>
      <c r="BG37" s="85">
        <f t="shared" si="15"/>
        <v>0</v>
      </c>
      <c r="BH37" s="85">
        <f t="shared" si="15"/>
        <v>0</v>
      </c>
      <c r="BI37" s="85">
        <f t="shared" si="15"/>
        <v>2665.5145699999994</v>
      </c>
      <c r="BK37" s="236">
        <f>SUM(BK6:BK36)</f>
        <v>577587.35000000021</v>
      </c>
      <c r="BL37" s="237">
        <f>SUM(BL6:BL36)</f>
        <v>34133.880000000005</v>
      </c>
      <c r="BM37" s="237">
        <f>SUM(BM6:BM36)</f>
        <v>6572.14</v>
      </c>
      <c r="BN37" s="238">
        <f>SUM(BN6:BN36)</f>
        <v>0</v>
      </c>
      <c r="BO37" s="83"/>
      <c r="BP37" s="84">
        <f t="shared" ref="BP37:BT37" si="16">SUM(BP6:BP36)</f>
        <v>3072.9943099999991</v>
      </c>
      <c r="BQ37" s="433"/>
      <c r="BR37" s="85">
        <f t="shared" si="16"/>
        <v>824.70382589999792</v>
      </c>
      <c r="BS37" s="85">
        <f t="shared" si="16"/>
        <v>0</v>
      </c>
      <c r="BT37" s="85">
        <f t="shared" si="16"/>
        <v>10469.838135899996</v>
      </c>
      <c r="BV37" s="236">
        <f>SUM(BV6:BV36)</f>
        <v>70662.649999999994</v>
      </c>
      <c r="BW37" s="237">
        <f>SUM(BW6:BW36)</f>
        <v>30183.329999999998</v>
      </c>
      <c r="BX37" s="237">
        <f>SUM(BX6:BX36)</f>
        <v>99.000000000000014</v>
      </c>
      <c r="BY37" s="238">
        <f>SUM(BY6:BY36)</f>
        <v>0</v>
      </c>
      <c r="BZ37" s="83"/>
      <c r="CA37" s="84">
        <f t="shared" ref="CA37:CD37" si="17">SUM(CA6:CA36)</f>
        <v>0</v>
      </c>
      <c r="CB37" s="85">
        <f t="shared" si="17"/>
        <v>0</v>
      </c>
      <c r="CC37" s="85">
        <f t="shared" si="17"/>
        <v>0</v>
      </c>
      <c r="CD37" s="85">
        <f t="shared" si="17"/>
        <v>99.000000000000014</v>
      </c>
      <c r="CF37" s="236">
        <f>SUM(CF6:CF36)</f>
        <v>59785.610000000008</v>
      </c>
      <c r="CG37" s="237">
        <f>SUM(CG6:CG36)</f>
        <v>0</v>
      </c>
      <c r="CH37" s="237">
        <f>SUM(CH6:CH36)</f>
        <v>3231.25</v>
      </c>
      <c r="CI37" s="238">
        <f>SUM(CI6:CI36)</f>
        <v>0</v>
      </c>
      <c r="CJ37" s="83"/>
      <c r="CK37" s="84">
        <f t="shared" ref="CK37:CN37" si="18">SUM(CK6:CK36)</f>
        <v>722.20866000000012</v>
      </c>
      <c r="CL37" s="85">
        <f t="shared" si="18"/>
        <v>16.423200000000008</v>
      </c>
      <c r="CM37" s="85">
        <f t="shared" si="18"/>
        <v>0</v>
      </c>
      <c r="CN37" s="85">
        <f t="shared" si="18"/>
        <v>3969.8818600000004</v>
      </c>
      <c r="CP37" s="236">
        <f>SUM(CP6:CP36)</f>
        <v>46826.21</v>
      </c>
      <c r="CQ37" s="237">
        <f>SUM(CQ6:CQ36)</f>
        <v>23276.039999999994</v>
      </c>
      <c r="CR37" s="237">
        <f>SUM(CR6:CR36)</f>
        <v>80866.2</v>
      </c>
      <c r="CS37" s="237">
        <f>SUM(CS6:CS36)</f>
        <v>87.71</v>
      </c>
      <c r="CT37" s="238">
        <f>SUM(CT6:CT36)</f>
        <v>0</v>
      </c>
      <c r="CU37" s="83"/>
      <c r="CV37" s="84">
        <f t="shared" ref="CV37:CX37" si="19">SUM(CV6:CV36)</f>
        <v>0</v>
      </c>
      <c r="CW37" s="85">
        <f t="shared" si="19"/>
        <v>1942.3296894000005</v>
      </c>
      <c r="CX37" s="85">
        <f t="shared" si="19"/>
        <v>0</v>
      </c>
      <c r="CY37" s="85">
        <f>SUM(CY6:CY36)</f>
        <v>2030.0396894000005</v>
      </c>
    </row>
    <row r="38" spans="1:103" hidden="1" x14ac:dyDescent="0.25"/>
    <row r="39" spans="1:103" hidden="1" x14ac:dyDescent="0.25"/>
    <row r="40" spans="1:103" hidden="1" x14ac:dyDescent="0.25"/>
    <row r="41" spans="1:103" ht="21" hidden="1" x14ac:dyDescent="0.35">
      <c r="B41" s="1" t="s">
        <v>44</v>
      </c>
      <c r="L41" s="1" t="s">
        <v>45</v>
      </c>
      <c r="W41" s="1" t="s">
        <v>46</v>
      </c>
      <c r="AG41" s="1" t="s">
        <v>47</v>
      </c>
      <c r="AQ41" s="1" t="s">
        <v>48</v>
      </c>
      <c r="BA41" s="1" t="s">
        <v>49</v>
      </c>
      <c r="BK41" s="1" t="s">
        <v>50</v>
      </c>
      <c r="BV41" s="1" t="s">
        <v>51</v>
      </c>
      <c r="CF41" s="1" t="s">
        <v>52</v>
      </c>
      <c r="CP41" s="1" t="s">
        <v>53</v>
      </c>
    </row>
    <row r="42" spans="1:103" hidden="1" x14ac:dyDescent="0.25"/>
    <row r="43" spans="1:103" s="217" customFormat="1" ht="12.75" hidden="1" x14ac:dyDescent="0.2">
      <c r="A43" s="213" t="s">
        <v>14</v>
      </c>
      <c r="B43" s="132" t="s">
        <v>15</v>
      </c>
      <c r="C43" s="210" t="s">
        <v>15</v>
      </c>
      <c r="D43" s="214" t="s">
        <v>16</v>
      </c>
      <c r="E43" s="215" t="s">
        <v>16</v>
      </c>
      <c r="F43" s="6"/>
      <c r="G43" s="7" t="s">
        <v>16</v>
      </c>
      <c r="H43" s="8" t="s">
        <v>16</v>
      </c>
      <c r="I43" s="9" t="s">
        <v>16</v>
      </c>
      <c r="J43" s="216" t="s">
        <v>54</v>
      </c>
      <c r="L43" s="132" t="s">
        <v>15</v>
      </c>
      <c r="M43" s="210" t="s">
        <v>15</v>
      </c>
      <c r="N43" s="214" t="s">
        <v>16</v>
      </c>
      <c r="O43" s="215" t="s">
        <v>16</v>
      </c>
      <c r="P43" s="6"/>
      <c r="Q43" s="7" t="s">
        <v>16</v>
      </c>
      <c r="R43" s="7"/>
      <c r="S43" s="8" t="s">
        <v>16</v>
      </c>
      <c r="T43" s="9" t="s">
        <v>16</v>
      </c>
      <c r="U43" s="216" t="s">
        <v>54</v>
      </c>
      <c r="W43" s="132" t="s">
        <v>15</v>
      </c>
      <c r="X43" s="210" t="s">
        <v>15</v>
      </c>
      <c r="Y43" s="214" t="s">
        <v>16</v>
      </c>
      <c r="Z43" s="215" t="s">
        <v>16</v>
      </c>
      <c r="AA43" s="6"/>
      <c r="AB43" s="7" t="s">
        <v>16</v>
      </c>
      <c r="AC43" s="8" t="s">
        <v>16</v>
      </c>
      <c r="AD43" s="9" t="s">
        <v>16</v>
      </c>
      <c r="AE43" s="216" t="s">
        <v>54</v>
      </c>
      <c r="AG43" s="132" t="s">
        <v>15</v>
      </c>
      <c r="AH43" s="210" t="s">
        <v>15</v>
      </c>
      <c r="AI43" s="214" t="s">
        <v>16</v>
      </c>
      <c r="AJ43" s="215" t="s">
        <v>16</v>
      </c>
      <c r="AK43" s="6"/>
      <c r="AL43" s="7" t="s">
        <v>16</v>
      </c>
      <c r="AM43" s="8" t="s">
        <v>16</v>
      </c>
      <c r="AN43" s="9" t="s">
        <v>16</v>
      </c>
      <c r="AO43" s="216" t="s">
        <v>54</v>
      </c>
      <c r="AQ43" s="132" t="s">
        <v>15</v>
      </c>
      <c r="AR43" s="210" t="s">
        <v>15</v>
      </c>
      <c r="AS43" s="214" t="s">
        <v>16</v>
      </c>
      <c r="AT43" s="215" t="s">
        <v>16</v>
      </c>
      <c r="AU43" s="6"/>
      <c r="AV43" s="7" t="s">
        <v>16</v>
      </c>
      <c r="AW43" s="8" t="s">
        <v>16</v>
      </c>
      <c r="AX43" s="9" t="s">
        <v>16</v>
      </c>
      <c r="AY43" s="216" t="s">
        <v>54</v>
      </c>
      <c r="BA43" s="132" t="s">
        <v>15</v>
      </c>
      <c r="BB43" s="210" t="s">
        <v>15</v>
      </c>
      <c r="BC43" s="214" t="s">
        <v>16</v>
      </c>
      <c r="BD43" s="215" t="s">
        <v>16</v>
      </c>
      <c r="BE43" s="6"/>
      <c r="BF43" s="7" t="s">
        <v>16</v>
      </c>
      <c r="BG43" s="8" t="s">
        <v>16</v>
      </c>
      <c r="BH43" s="9" t="s">
        <v>16</v>
      </c>
      <c r="BI43" s="216" t="s">
        <v>54</v>
      </c>
      <c r="BK43" s="132" t="s">
        <v>15</v>
      </c>
      <c r="BL43" s="210" t="s">
        <v>15</v>
      </c>
      <c r="BM43" s="5" t="s">
        <v>16</v>
      </c>
      <c r="BN43" s="215" t="s">
        <v>16</v>
      </c>
      <c r="BO43" s="6"/>
      <c r="BP43" s="7" t="s">
        <v>16</v>
      </c>
      <c r="BQ43" s="7"/>
      <c r="BR43" s="8" t="s">
        <v>16</v>
      </c>
      <c r="BS43" s="9" t="s">
        <v>16</v>
      </c>
      <c r="BT43" s="216" t="s">
        <v>54</v>
      </c>
      <c r="BV43" s="132" t="s">
        <v>15</v>
      </c>
      <c r="BW43" s="210" t="s">
        <v>15</v>
      </c>
      <c r="BX43" s="214" t="s">
        <v>16</v>
      </c>
      <c r="BY43" s="215" t="s">
        <v>16</v>
      </c>
      <c r="BZ43" s="6"/>
      <c r="CA43" s="7" t="s">
        <v>16</v>
      </c>
      <c r="CB43" s="8" t="s">
        <v>16</v>
      </c>
      <c r="CC43" s="9" t="s">
        <v>16</v>
      </c>
      <c r="CD43" s="216" t="s">
        <v>54</v>
      </c>
      <c r="CF43" s="132" t="s">
        <v>15</v>
      </c>
      <c r="CG43" s="210" t="s">
        <v>15</v>
      </c>
      <c r="CH43" s="214" t="s">
        <v>16</v>
      </c>
      <c r="CI43" s="215" t="s">
        <v>16</v>
      </c>
      <c r="CJ43" s="6"/>
      <c r="CK43" s="7" t="s">
        <v>16</v>
      </c>
      <c r="CL43" s="8" t="s">
        <v>16</v>
      </c>
      <c r="CM43" s="9" t="s">
        <v>16</v>
      </c>
      <c r="CN43" s="216" t="s">
        <v>54</v>
      </c>
      <c r="CP43" s="132" t="s">
        <v>15</v>
      </c>
      <c r="CQ43" s="210" t="s">
        <v>15</v>
      </c>
      <c r="CR43" s="210" t="s">
        <v>15</v>
      </c>
      <c r="CS43" s="214" t="s">
        <v>16</v>
      </c>
      <c r="CT43" s="215" t="s">
        <v>16</v>
      </c>
      <c r="CU43" s="6"/>
      <c r="CV43" s="7" t="s">
        <v>16</v>
      </c>
      <c r="CW43" s="8" t="s">
        <v>16</v>
      </c>
      <c r="CX43" s="9" t="s">
        <v>16</v>
      </c>
      <c r="CY43" s="218" t="s">
        <v>54</v>
      </c>
    </row>
    <row r="44" spans="1:103" s="217" customFormat="1" ht="13.5" hidden="1" thickBot="1" x14ac:dyDescent="0.25">
      <c r="A44" s="219"/>
      <c r="B44" s="220" t="s">
        <v>18</v>
      </c>
      <c r="C44" s="221" t="s">
        <v>19</v>
      </c>
      <c r="D44" s="222" t="s">
        <v>25</v>
      </c>
      <c r="E44" s="223" t="s">
        <v>19</v>
      </c>
      <c r="F44" s="6"/>
      <c r="G44" s="16" t="s">
        <v>21</v>
      </c>
      <c r="H44" s="17" t="s">
        <v>22</v>
      </c>
      <c r="I44" s="18" t="s">
        <v>23</v>
      </c>
      <c r="J44" s="19" t="s">
        <v>55</v>
      </c>
      <c r="L44" s="220" t="s">
        <v>18</v>
      </c>
      <c r="M44" s="221" t="s">
        <v>19</v>
      </c>
      <c r="N44" s="222" t="s">
        <v>25</v>
      </c>
      <c r="O44" s="223" t="s">
        <v>19</v>
      </c>
      <c r="P44" s="6"/>
      <c r="Q44" s="16" t="s">
        <v>21</v>
      </c>
      <c r="R44" s="16"/>
      <c r="S44" s="17" t="s">
        <v>22</v>
      </c>
      <c r="T44" s="18" t="s">
        <v>23</v>
      </c>
      <c r="U44" s="19" t="s">
        <v>55</v>
      </c>
      <c r="W44" s="220" t="s">
        <v>18</v>
      </c>
      <c r="X44" s="221" t="s">
        <v>19</v>
      </c>
      <c r="Y44" s="222" t="s">
        <v>19</v>
      </c>
      <c r="Z44" s="223" t="s">
        <v>25</v>
      </c>
      <c r="AA44" s="6"/>
      <c r="AB44" s="16" t="s">
        <v>21</v>
      </c>
      <c r="AC44" s="17" t="s">
        <v>22</v>
      </c>
      <c r="AD44" s="18" t="s">
        <v>23</v>
      </c>
      <c r="AE44" s="19" t="s">
        <v>55</v>
      </c>
      <c r="AG44" s="220" t="s">
        <v>18</v>
      </c>
      <c r="AH44" s="221" t="s">
        <v>19</v>
      </c>
      <c r="AI44" s="222" t="s">
        <v>25</v>
      </c>
      <c r="AJ44" s="223" t="s">
        <v>19</v>
      </c>
      <c r="AK44" s="6"/>
      <c r="AL44" s="16" t="s">
        <v>21</v>
      </c>
      <c r="AM44" s="17" t="s">
        <v>22</v>
      </c>
      <c r="AN44" s="18" t="s">
        <v>23</v>
      </c>
      <c r="AO44" s="19" t="s">
        <v>55</v>
      </c>
      <c r="AQ44" s="220" t="s">
        <v>18</v>
      </c>
      <c r="AR44" s="221" t="s">
        <v>19</v>
      </c>
      <c r="AS44" s="222" t="s">
        <v>25</v>
      </c>
      <c r="AT44" s="223" t="s">
        <v>19</v>
      </c>
      <c r="AU44" s="6"/>
      <c r="AV44" s="16" t="s">
        <v>21</v>
      </c>
      <c r="AW44" s="17" t="s">
        <v>22</v>
      </c>
      <c r="AX44" s="18" t="s">
        <v>23</v>
      </c>
      <c r="AY44" s="19" t="s">
        <v>55</v>
      </c>
      <c r="BA44" s="220" t="s">
        <v>18</v>
      </c>
      <c r="BB44" s="221" t="s">
        <v>19</v>
      </c>
      <c r="BC44" s="222" t="s">
        <v>25</v>
      </c>
      <c r="BD44" s="223" t="s">
        <v>19</v>
      </c>
      <c r="BE44" s="6"/>
      <c r="BF44" s="16" t="s">
        <v>21</v>
      </c>
      <c r="BG44" s="17" t="s">
        <v>22</v>
      </c>
      <c r="BH44" s="18" t="s">
        <v>23</v>
      </c>
      <c r="BI44" s="19" t="s">
        <v>55</v>
      </c>
      <c r="BK44" s="220" t="s">
        <v>18</v>
      </c>
      <c r="BL44" s="221" t="s">
        <v>19</v>
      </c>
      <c r="BM44" s="222" t="s">
        <v>25</v>
      </c>
      <c r="BN44" s="223" t="s">
        <v>19</v>
      </c>
      <c r="BO44" s="6"/>
      <c r="BP44" s="16" t="s">
        <v>21</v>
      </c>
      <c r="BQ44" s="16"/>
      <c r="BR44" s="17" t="s">
        <v>22</v>
      </c>
      <c r="BS44" s="18" t="s">
        <v>23</v>
      </c>
      <c r="BT44" s="19" t="s">
        <v>55</v>
      </c>
      <c r="BV44" s="220" t="s">
        <v>18</v>
      </c>
      <c r="BW44" s="221" t="s">
        <v>19</v>
      </c>
      <c r="BX44" s="222" t="s">
        <v>25</v>
      </c>
      <c r="BY44" s="223" t="s">
        <v>19</v>
      </c>
      <c r="BZ44" s="6"/>
      <c r="CA44" s="16" t="s">
        <v>21</v>
      </c>
      <c r="CB44" s="17" t="s">
        <v>22</v>
      </c>
      <c r="CC44" s="18" t="s">
        <v>23</v>
      </c>
      <c r="CD44" s="19" t="s">
        <v>55</v>
      </c>
      <c r="CF44" s="220" t="s">
        <v>18</v>
      </c>
      <c r="CG44" s="221" t="s">
        <v>19</v>
      </c>
      <c r="CH44" s="222" t="s">
        <v>25</v>
      </c>
      <c r="CI44" s="223" t="s">
        <v>19</v>
      </c>
      <c r="CJ44" s="6"/>
      <c r="CK44" s="16" t="s">
        <v>21</v>
      </c>
      <c r="CL44" s="17" t="s">
        <v>22</v>
      </c>
      <c r="CM44" s="18" t="s">
        <v>23</v>
      </c>
      <c r="CN44" s="19" t="s">
        <v>55</v>
      </c>
      <c r="CP44" s="220" t="s">
        <v>18</v>
      </c>
      <c r="CQ44" s="221" t="s">
        <v>19</v>
      </c>
      <c r="CR44" s="221" t="s">
        <v>20</v>
      </c>
      <c r="CS44" s="222" t="s">
        <v>25</v>
      </c>
      <c r="CT44" s="223" t="s">
        <v>19</v>
      </c>
      <c r="CU44" s="6"/>
      <c r="CV44" s="16" t="s">
        <v>21</v>
      </c>
      <c r="CW44" s="17" t="s">
        <v>22</v>
      </c>
      <c r="CX44" s="18" t="s">
        <v>23</v>
      </c>
      <c r="CY44" s="224" t="s">
        <v>55</v>
      </c>
    </row>
    <row r="45" spans="1:103" s="217" customFormat="1" hidden="1" x14ac:dyDescent="0.25">
      <c r="A45" s="22">
        <v>46357</v>
      </c>
      <c r="B45" s="225">
        <v>3839.45</v>
      </c>
      <c r="C45" s="226">
        <v>3652.05</v>
      </c>
      <c r="D45" s="225">
        <v>364.33</v>
      </c>
      <c r="E45" s="227">
        <v>25.11</v>
      </c>
      <c r="F45" s="27"/>
      <c r="G45" s="32"/>
      <c r="H45" s="29"/>
      <c r="I45" s="44">
        <v>47.469606499999941</v>
      </c>
      <c r="J45" s="30">
        <f>SUM(G45:I45,+D45)</f>
        <v>411.79960649999992</v>
      </c>
      <c r="L45" s="36">
        <v>7218.35</v>
      </c>
      <c r="M45" s="43">
        <v>4823.4399999999996</v>
      </c>
      <c r="N45" s="36">
        <v>29.91</v>
      </c>
      <c r="O45" s="38"/>
      <c r="P45" s="27"/>
      <c r="Q45" s="32">
        <v>346.34445000000005</v>
      </c>
      <c r="R45" s="32"/>
      <c r="S45" s="42"/>
      <c r="T45" s="44">
        <v>90.474000000000046</v>
      </c>
      <c r="U45" s="30">
        <f t="shared" ref="U45:U75" si="20">SUM(Q45:T45,+N45)</f>
        <v>466.72845000000012</v>
      </c>
      <c r="V45" s="228"/>
      <c r="W45" s="36">
        <v>3320.02</v>
      </c>
      <c r="X45" s="43"/>
      <c r="Y45" s="36"/>
      <c r="Z45" s="38"/>
      <c r="AA45" s="27"/>
      <c r="AB45" s="32"/>
      <c r="AC45" s="29"/>
      <c r="AD45" s="29"/>
      <c r="AE45" s="30">
        <f>SUM(AB45:AD45,+Y45)</f>
        <v>0</v>
      </c>
      <c r="AG45" s="36">
        <v>5399.59</v>
      </c>
      <c r="AH45" s="43">
        <v>383.57</v>
      </c>
      <c r="AI45" s="36"/>
      <c r="AJ45" s="38"/>
      <c r="AK45" s="27"/>
      <c r="AL45" s="28"/>
      <c r="AM45" s="29"/>
      <c r="AN45" s="29"/>
      <c r="AO45" s="30">
        <f>SUM(AL45:AN45,+AI45)</f>
        <v>0</v>
      </c>
      <c r="AQ45" s="36">
        <v>7069.5</v>
      </c>
      <c r="AR45" s="36">
        <v>546.24</v>
      </c>
      <c r="AS45" s="36">
        <v>346.94</v>
      </c>
      <c r="AT45" s="41"/>
      <c r="AU45" s="27"/>
      <c r="AV45" s="32">
        <v>164.38835000000006</v>
      </c>
      <c r="AW45" s="32">
        <v>13.063238500000011</v>
      </c>
      <c r="AX45" s="44">
        <v>5.2529774999999859</v>
      </c>
      <c r="AY45" s="30">
        <f>SUM(AV45:AX45,+AS45)</f>
        <v>529.64456600000005</v>
      </c>
      <c r="BA45" s="36">
        <v>5238.18</v>
      </c>
      <c r="BB45" s="43"/>
      <c r="BC45" s="36"/>
      <c r="BD45" s="38"/>
      <c r="BE45" s="27"/>
      <c r="BF45" s="32">
        <v>7.9297599999999733</v>
      </c>
      <c r="BG45" s="29"/>
      <c r="BH45" s="29"/>
      <c r="BI45" s="30">
        <f>SUM(BF45:BH45,+BC45)</f>
        <v>7.9297599999999733</v>
      </c>
      <c r="BK45" s="36">
        <v>11381.62</v>
      </c>
      <c r="BL45" s="43">
        <v>1560.68</v>
      </c>
      <c r="BM45" s="36">
        <v>182.23</v>
      </c>
      <c r="BN45" s="38"/>
      <c r="BO45" s="27"/>
      <c r="BP45" s="32">
        <v>63.548349999999957</v>
      </c>
      <c r="BQ45" s="32"/>
      <c r="BR45" s="42"/>
      <c r="BS45" s="29"/>
      <c r="BT45" s="30">
        <f>SUM(BP45:BS45,+BM45)</f>
        <v>245.77834999999993</v>
      </c>
      <c r="BV45" s="36">
        <v>2939.98</v>
      </c>
      <c r="BW45" s="43">
        <v>645.22</v>
      </c>
      <c r="BX45" s="36">
        <v>11.13</v>
      </c>
      <c r="BY45" s="38"/>
      <c r="BZ45" s="27"/>
      <c r="CA45" s="28"/>
      <c r="CB45" s="29"/>
      <c r="CC45" s="29"/>
      <c r="CD45" s="30">
        <f>SUM(CA45:CC45,+BX45)</f>
        <v>11.13</v>
      </c>
      <c r="CF45" s="36">
        <v>1881.53</v>
      </c>
      <c r="CG45" s="43"/>
      <c r="CH45" s="36">
        <v>39.479999999999997</v>
      </c>
      <c r="CI45" s="38"/>
      <c r="CJ45" s="27"/>
      <c r="CK45" s="32">
        <v>40.11316000000005</v>
      </c>
      <c r="CL45" s="42"/>
      <c r="CM45" s="29"/>
      <c r="CN45" s="30">
        <f>SUM(CK45:CM45,+CH45)</f>
        <v>79.59316000000004</v>
      </c>
      <c r="CP45" s="36">
        <v>2807.45</v>
      </c>
      <c r="CQ45" s="36">
        <v>735.88</v>
      </c>
      <c r="CR45" s="43">
        <v>2130.62</v>
      </c>
      <c r="CS45" s="36"/>
      <c r="CT45" s="38"/>
      <c r="CU45" s="27"/>
      <c r="CV45" s="28"/>
      <c r="CW45" s="42">
        <v>99.32575250000005</v>
      </c>
      <c r="CX45" s="29"/>
      <c r="CY45" s="229">
        <f>SUM(CV45:CX45,+CS45)</f>
        <v>99.32575250000005</v>
      </c>
    </row>
    <row r="46" spans="1:103" s="217" customFormat="1" hidden="1" x14ac:dyDescent="0.25">
      <c r="A46" s="47">
        <v>46358</v>
      </c>
      <c r="B46" s="230">
        <v>3511.78</v>
      </c>
      <c r="C46" s="231">
        <v>2875.86</v>
      </c>
      <c r="D46" s="230">
        <v>244.85</v>
      </c>
      <c r="E46" s="232">
        <v>0.75</v>
      </c>
      <c r="F46" s="27"/>
      <c r="G46" s="32"/>
      <c r="H46" s="52"/>
      <c r="I46" s="44"/>
      <c r="J46" s="30">
        <f t="shared" ref="J46:J75" si="21">SUM(G46:I46,+D46)</f>
        <v>244.85</v>
      </c>
      <c r="L46" s="58">
        <v>6382.67</v>
      </c>
      <c r="M46" s="63">
        <v>4062.74</v>
      </c>
      <c r="N46" s="58">
        <v>18.63</v>
      </c>
      <c r="O46" s="60"/>
      <c r="P46" s="27"/>
      <c r="Q46" s="32">
        <v>174.64049999999997</v>
      </c>
      <c r="R46" s="32"/>
      <c r="S46" s="42"/>
      <c r="T46" s="44">
        <v>15.079000000000008</v>
      </c>
      <c r="U46" s="30">
        <f t="shared" si="20"/>
        <v>208.34949999999998</v>
      </c>
      <c r="V46" s="228"/>
      <c r="W46" s="58">
        <v>3544.96</v>
      </c>
      <c r="X46" s="63"/>
      <c r="Y46" s="58"/>
      <c r="Z46" s="60"/>
      <c r="AA46" s="27"/>
      <c r="AB46" s="32"/>
      <c r="AC46" s="52"/>
      <c r="AD46" s="52"/>
      <c r="AE46" s="30">
        <f t="shared" ref="AE46:AE75" si="22">SUM(AB46:AD46,+Y46)</f>
        <v>0</v>
      </c>
      <c r="AG46" s="58">
        <v>3222.4</v>
      </c>
      <c r="AH46" s="63">
        <v>509.76</v>
      </c>
      <c r="AI46" s="58"/>
      <c r="AJ46" s="60"/>
      <c r="AK46" s="27"/>
      <c r="AL46" s="51"/>
      <c r="AM46" s="52"/>
      <c r="AN46" s="52"/>
      <c r="AO46" s="30">
        <f t="shared" ref="AO46:AO75" si="23">SUM(AL46:AN46,+AI46)</f>
        <v>0</v>
      </c>
      <c r="AQ46" s="58">
        <v>10465.83</v>
      </c>
      <c r="AR46" s="58">
        <v>541.58000000000004</v>
      </c>
      <c r="AS46" s="58">
        <v>399.52</v>
      </c>
      <c r="AT46" s="62"/>
      <c r="AU46" s="27"/>
      <c r="AV46" s="32">
        <v>184.70226000000002</v>
      </c>
      <c r="AW46" s="32">
        <v>25.366650858571575</v>
      </c>
      <c r="AX46" s="44"/>
      <c r="AY46" s="30">
        <f t="shared" ref="AY46:AY75" si="24">SUM(AV46:AX46,+AS46)</f>
        <v>609.58891085857158</v>
      </c>
      <c r="BA46" s="58">
        <v>6373.1</v>
      </c>
      <c r="BB46" s="63"/>
      <c r="BC46" s="58"/>
      <c r="BD46" s="60"/>
      <c r="BE46" s="27"/>
      <c r="BF46" s="32">
        <v>56.629839999999959</v>
      </c>
      <c r="BG46" s="52"/>
      <c r="BH46" s="52"/>
      <c r="BI46" s="30">
        <f t="shared" ref="BI46:BI75" si="25">SUM(BF46:BH46,+BC46)</f>
        <v>56.629839999999959</v>
      </c>
      <c r="BK46" s="58">
        <v>18691.27</v>
      </c>
      <c r="BL46" s="63">
        <v>1340.9</v>
      </c>
      <c r="BM46" s="58">
        <v>275.10000000000002</v>
      </c>
      <c r="BN46" s="60"/>
      <c r="BO46" s="27"/>
      <c r="BP46" s="32">
        <v>31.957299999999975</v>
      </c>
      <c r="BQ46" s="32"/>
      <c r="BR46" s="42">
        <v>40.239263917904822</v>
      </c>
      <c r="BS46" s="52"/>
      <c r="BT46" s="30">
        <f>SUM(BP46:BS46,+BM46)</f>
        <v>347.29656391790479</v>
      </c>
      <c r="BV46" s="58">
        <v>3901.16</v>
      </c>
      <c r="BW46" s="63">
        <v>1298.99</v>
      </c>
      <c r="BX46" s="58">
        <v>4.09</v>
      </c>
      <c r="BY46" s="60"/>
      <c r="BZ46" s="27"/>
      <c r="CA46" s="51"/>
      <c r="CB46" s="52"/>
      <c r="CC46" s="52"/>
      <c r="CD46" s="30">
        <f t="shared" ref="CD46:CD75" si="26">SUM(CA46:CC46,+BX46)</f>
        <v>4.09</v>
      </c>
      <c r="CF46" s="58">
        <v>2671.43</v>
      </c>
      <c r="CG46" s="63"/>
      <c r="CH46" s="58">
        <v>73.89</v>
      </c>
      <c r="CI46" s="60"/>
      <c r="CJ46" s="27"/>
      <c r="CK46" s="32">
        <v>32.083140000000043</v>
      </c>
      <c r="CL46" s="42"/>
      <c r="CM46" s="52"/>
      <c r="CN46" s="30">
        <f t="shared" ref="CN46:CN75" si="27">SUM(CK46:CM46,+CH46)</f>
        <v>105.97314000000004</v>
      </c>
      <c r="CP46" s="58">
        <v>1325.29</v>
      </c>
      <c r="CQ46" s="58">
        <v>359.51</v>
      </c>
      <c r="CR46" s="63">
        <v>2761.52</v>
      </c>
      <c r="CS46" s="58"/>
      <c r="CT46" s="60"/>
      <c r="CU46" s="27"/>
      <c r="CV46" s="51"/>
      <c r="CW46" s="42">
        <v>35.561629147619044</v>
      </c>
      <c r="CX46" s="52"/>
      <c r="CY46" s="229">
        <f t="shared" ref="CY46:CY75" si="28">SUM(CV46:CX46,+CS46)</f>
        <v>35.561629147619044</v>
      </c>
    </row>
    <row r="47" spans="1:103" s="217" customFormat="1" hidden="1" x14ac:dyDescent="0.25">
      <c r="A47" s="47">
        <v>46359</v>
      </c>
      <c r="B47" s="230">
        <v>1642.45</v>
      </c>
      <c r="C47" s="231">
        <v>2902.82</v>
      </c>
      <c r="D47" s="230">
        <v>470.83</v>
      </c>
      <c r="E47" s="232">
        <v>2.64</v>
      </c>
      <c r="F47" s="27"/>
      <c r="G47" s="32"/>
      <c r="H47" s="52"/>
      <c r="I47" s="44"/>
      <c r="J47" s="30">
        <f t="shared" si="21"/>
        <v>470.83</v>
      </c>
      <c r="L47" s="58">
        <v>6260.68</v>
      </c>
      <c r="M47" s="63">
        <v>5246.01</v>
      </c>
      <c r="N47" s="58">
        <v>14.43</v>
      </c>
      <c r="O47" s="60"/>
      <c r="P47" s="27"/>
      <c r="Q47" s="32">
        <v>351.86754999999999</v>
      </c>
      <c r="R47" s="32"/>
      <c r="S47" s="42"/>
      <c r="T47" s="44">
        <v>136.64970000000011</v>
      </c>
      <c r="U47" s="30">
        <f t="shared" si="20"/>
        <v>502.94725000000011</v>
      </c>
      <c r="V47" s="228"/>
      <c r="W47" s="58">
        <v>2794.73</v>
      </c>
      <c r="X47" s="63"/>
      <c r="Y47" s="58"/>
      <c r="Z47" s="60"/>
      <c r="AA47" s="27"/>
      <c r="AB47" s="32"/>
      <c r="AC47" s="52"/>
      <c r="AD47" s="52"/>
      <c r="AE47" s="30">
        <f t="shared" si="22"/>
        <v>0</v>
      </c>
      <c r="AG47" s="58">
        <v>4042.8599999999997</v>
      </c>
      <c r="AH47" s="63">
        <v>231.32</v>
      </c>
      <c r="AI47" s="58"/>
      <c r="AJ47" s="60"/>
      <c r="AK47" s="27"/>
      <c r="AL47" s="51"/>
      <c r="AM47" s="52"/>
      <c r="AN47" s="52"/>
      <c r="AO47" s="30">
        <f t="shared" si="23"/>
        <v>0</v>
      </c>
      <c r="AQ47" s="58">
        <v>9188.7999999999993</v>
      </c>
      <c r="AR47" s="58">
        <v>690.51</v>
      </c>
      <c r="AS47" s="58">
        <v>499.63</v>
      </c>
      <c r="AT47" s="62"/>
      <c r="AU47" s="27"/>
      <c r="AV47" s="32">
        <v>121.54628</v>
      </c>
      <c r="AW47" s="32">
        <v>12.286128328571451</v>
      </c>
      <c r="AX47" s="44"/>
      <c r="AY47" s="30">
        <f t="shared" si="24"/>
        <v>633.46240832857143</v>
      </c>
      <c r="BA47" s="58">
        <v>11943.24</v>
      </c>
      <c r="BB47" s="63"/>
      <c r="BC47" s="58"/>
      <c r="BD47" s="60"/>
      <c r="BE47" s="27"/>
      <c r="BF47" s="32">
        <v>-93.604320000000087</v>
      </c>
      <c r="BG47" s="52"/>
      <c r="BH47" s="52"/>
      <c r="BI47" s="30">
        <f t="shared" si="25"/>
        <v>-93.604320000000087</v>
      </c>
      <c r="BK47" s="58">
        <v>18136.78</v>
      </c>
      <c r="BL47" s="63">
        <v>924.79</v>
      </c>
      <c r="BM47" s="58">
        <v>358.98</v>
      </c>
      <c r="BN47" s="60"/>
      <c r="BO47" s="27"/>
      <c r="BP47" s="32">
        <v>243.72752999999983</v>
      </c>
      <c r="BQ47" s="32"/>
      <c r="BR47" s="42">
        <v>55.74290903380944</v>
      </c>
      <c r="BS47" s="52"/>
      <c r="BT47" s="30">
        <f t="shared" ref="BT47:BT75" si="29">SUM(BP47:BS47,+BM47)</f>
        <v>658.45043903380929</v>
      </c>
      <c r="BV47" s="58">
        <v>2570.66</v>
      </c>
      <c r="BW47" s="63">
        <v>1149.56</v>
      </c>
      <c r="BX47" s="58">
        <v>2.4</v>
      </c>
      <c r="BY47" s="60"/>
      <c r="BZ47" s="27"/>
      <c r="CA47" s="51"/>
      <c r="CB47" s="52"/>
      <c r="CC47" s="52"/>
      <c r="CD47" s="30">
        <f t="shared" si="26"/>
        <v>2.4</v>
      </c>
      <c r="CF47" s="58">
        <v>1922</v>
      </c>
      <c r="CG47" s="63"/>
      <c r="CH47" s="58">
        <v>21.16</v>
      </c>
      <c r="CI47" s="60"/>
      <c r="CJ47" s="27"/>
      <c r="CK47" s="32"/>
      <c r="CL47" s="42"/>
      <c r="CM47" s="52"/>
      <c r="CN47" s="30">
        <f t="shared" si="27"/>
        <v>21.16</v>
      </c>
      <c r="CP47" s="58">
        <v>1725.12</v>
      </c>
      <c r="CQ47" s="58">
        <v>535.16999999999996</v>
      </c>
      <c r="CR47" s="63">
        <v>2796.1</v>
      </c>
      <c r="CS47" s="58"/>
      <c r="CT47" s="60"/>
      <c r="CU47" s="27"/>
      <c r="CV47" s="51"/>
      <c r="CW47" s="42">
        <v>63.45473812000013</v>
      </c>
      <c r="CX47" s="52"/>
      <c r="CY47" s="229">
        <f t="shared" si="28"/>
        <v>63.45473812000013</v>
      </c>
    </row>
    <row r="48" spans="1:103" s="217" customFormat="1" hidden="1" x14ac:dyDescent="0.25">
      <c r="A48" s="47">
        <v>46360</v>
      </c>
      <c r="B48" s="230">
        <v>3391.48</v>
      </c>
      <c r="C48" s="231">
        <v>3676.83</v>
      </c>
      <c r="D48" s="230">
        <v>683.55</v>
      </c>
      <c r="E48" s="232">
        <v>24.59</v>
      </c>
      <c r="F48" s="27"/>
      <c r="G48" s="32"/>
      <c r="H48" s="52"/>
      <c r="I48" s="44"/>
      <c r="J48" s="30">
        <f t="shared" si="21"/>
        <v>683.55</v>
      </c>
      <c r="L48" s="58">
        <v>8684.19</v>
      </c>
      <c r="M48" s="63">
        <v>4758.1099999999997</v>
      </c>
      <c r="N48" s="58">
        <v>43.99</v>
      </c>
      <c r="O48" s="60"/>
      <c r="P48" s="27"/>
      <c r="Q48" s="32">
        <v>57.400359999999992</v>
      </c>
      <c r="R48" s="32"/>
      <c r="S48" s="42"/>
      <c r="T48" s="44">
        <v>36.390742400000008</v>
      </c>
      <c r="U48" s="30">
        <f t="shared" si="20"/>
        <v>137.78110240000001</v>
      </c>
      <c r="V48" s="228"/>
      <c r="W48" s="58">
        <v>2650.82</v>
      </c>
      <c r="X48" s="63"/>
      <c r="Y48" s="58"/>
      <c r="Z48" s="60"/>
      <c r="AA48" s="27"/>
      <c r="AB48" s="32"/>
      <c r="AC48" s="52"/>
      <c r="AD48" s="52"/>
      <c r="AE48" s="30">
        <f t="shared" si="22"/>
        <v>0</v>
      </c>
      <c r="AG48" s="58">
        <v>3484.3900000000003</v>
      </c>
      <c r="AH48" s="63">
        <v>323.94</v>
      </c>
      <c r="AI48" s="58"/>
      <c r="AJ48" s="60"/>
      <c r="AK48" s="27"/>
      <c r="AL48" s="51"/>
      <c r="AM48" s="52"/>
      <c r="AN48" s="52"/>
      <c r="AO48" s="30">
        <f t="shared" si="23"/>
        <v>0</v>
      </c>
      <c r="AQ48" s="58">
        <v>6842.2</v>
      </c>
      <c r="AR48" s="58">
        <v>827.06</v>
      </c>
      <c r="AS48" s="58">
        <v>219.21</v>
      </c>
      <c r="AT48" s="62"/>
      <c r="AU48" s="27"/>
      <c r="AV48" s="32">
        <v>128.74199999999993</v>
      </c>
      <c r="AW48" s="32">
        <v>65.809222004285942</v>
      </c>
      <c r="AX48" s="44"/>
      <c r="AY48" s="30">
        <f t="shared" si="24"/>
        <v>413.76122200428586</v>
      </c>
      <c r="BA48" s="58">
        <v>11814.65</v>
      </c>
      <c r="BB48" s="63"/>
      <c r="BC48" s="58">
        <v>32</v>
      </c>
      <c r="BD48" s="60"/>
      <c r="BE48" s="27"/>
      <c r="BF48" s="32">
        <v>1.2228299999999024</v>
      </c>
      <c r="BG48" s="52"/>
      <c r="BH48" s="52"/>
      <c r="BI48" s="30">
        <f t="shared" si="25"/>
        <v>33.222829999999902</v>
      </c>
      <c r="BK48" s="58">
        <v>25866.49</v>
      </c>
      <c r="BL48" s="63">
        <v>1131.06</v>
      </c>
      <c r="BM48" s="58">
        <v>489.09</v>
      </c>
      <c r="BN48" s="60"/>
      <c r="BO48" s="27"/>
      <c r="BP48" s="32">
        <v>54.750719999999887</v>
      </c>
      <c r="BQ48" s="32"/>
      <c r="BR48" s="42"/>
      <c r="BS48" s="52"/>
      <c r="BT48" s="30">
        <f t="shared" si="29"/>
        <v>543.84071999999992</v>
      </c>
      <c r="BV48" s="58">
        <v>2567.09</v>
      </c>
      <c r="BW48" s="63">
        <v>849.48</v>
      </c>
      <c r="BX48" s="58">
        <v>4.55</v>
      </c>
      <c r="BY48" s="60"/>
      <c r="BZ48" s="27"/>
      <c r="CA48" s="51"/>
      <c r="CB48" s="52"/>
      <c r="CC48" s="52"/>
      <c r="CD48" s="30">
        <f t="shared" si="26"/>
        <v>4.55</v>
      </c>
      <c r="CF48" s="58">
        <v>2715.53</v>
      </c>
      <c r="CG48" s="63"/>
      <c r="CH48" s="58">
        <v>87.7</v>
      </c>
      <c r="CI48" s="60"/>
      <c r="CJ48" s="27"/>
      <c r="CK48" s="32"/>
      <c r="CL48" s="42"/>
      <c r="CM48" s="52"/>
      <c r="CN48" s="30">
        <f t="shared" si="27"/>
        <v>87.7</v>
      </c>
      <c r="CP48" s="58">
        <v>2864.32</v>
      </c>
      <c r="CQ48" s="58">
        <v>618.54</v>
      </c>
      <c r="CR48" s="63">
        <v>3212.48</v>
      </c>
      <c r="CS48" s="58"/>
      <c r="CT48" s="60"/>
      <c r="CU48" s="27"/>
      <c r="CV48" s="51"/>
      <c r="CW48" s="42">
        <v>25.533723618095223</v>
      </c>
      <c r="CX48" s="52"/>
      <c r="CY48" s="229">
        <f t="shared" si="28"/>
        <v>25.533723618095223</v>
      </c>
    </row>
    <row r="49" spans="1:103" s="217" customFormat="1" hidden="1" x14ac:dyDescent="0.25">
      <c r="A49" s="47">
        <v>46361</v>
      </c>
      <c r="B49" s="230">
        <v>3379.36</v>
      </c>
      <c r="C49" s="231">
        <v>3509.53</v>
      </c>
      <c r="D49" s="230">
        <v>137.61000000000001</v>
      </c>
      <c r="E49" s="232">
        <v>5.41</v>
      </c>
      <c r="F49" s="27"/>
      <c r="G49" s="32">
        <v>19.052639999999982</v>
      </c>
      <c r="H49" s="52"/>
      <c r="I49" s="44"/>
      <c r="J49" s="30">
        <f t="shared" si="21"/>
        <v>156.66264000000001</v>
      </c>
      <c r="L49" s="58">
        <v>7952.71</v>
      </c>
      <c r="M49" s="63">
        <v>5351.63</v>
      </c>
      <c r="N49" s="58">
        <v>22</v>
      </c>
      <c r="O49" s="60"/>
      <c r="P49" s="27"/>
      <c r="Q49" s="32">
        <v>148.56318000000005</v>
      </c>
      <c r="R49" s="32"/>
      <c r="S49" s="42"/>
      <c r="T49" s="44">
        <v>104.90279999999996</v>
      </c>
      <c r="U49" s="30">
        <f t="shared" si="20"/>
        <v>275.46598</v>
      </c>
      <c r="V49" s="228"/>
      <c r="W49" s="58">
        <v>1200.04</v>
      </c>
      <c r="X49" s="63"/>
      <c r="Y49" s="58"/>
      <c r="Z49" s="60"/>
      <c r="AA49" s="27"/>
      <c r="AB49" s="32"/>
      <c r="AC49" s="52"/>
      <c r="AD49" s="52"/>
      <c r="AE49" s="30">
        <f t="shared" si="22"/>
        <v>0</v>
      </c>
      <c r="AG49" s="58">
        <v>4294.6099999999997</v>
      </c>
      <c r="AH49" s="63">
        <v>671.86</v>
      </c>
      <c r="AI49" s="58"/>
      <c r="AJ49" s="60"/>
      <c r="AK49" s="27"/>
      <c r="AL49" s="51"/>
      <c r="AM49" s="52"/>
      <c r="AN49" s="52"/>
      <c r="AO49" s="30">
        <f t="shared" si="23"/>
        <v>0</v>
      </c>
      <c r="AQ49" s="58">
        <v>10501.7</v>
      </c>
      <c r="AR49" s="58">
        <v>674.88</v>
      </c>
      <c r="AS49" s="58">
        <v>444.38</v>
      </c>
      <c r="AT49" s="62"/>
      <c r="AU49" s="27"/>
      <c r="AV49" s="32">
        <v>163.37722000000002</v>
      </c>
      <c r="AW49" s="32">
        <v>9.2587292576191089</v>
      </c>
      <c r="AX49" s="44">
        <v>6.4020074000000022</v>
      </c>
      <c r="AY49" s="30">
        <f t="shared" si="24"/>
        <v>623.41795665761913</v>
      </c>
      <c r="BA49" s="58">
        <v>7641.94</v>
      </c>
      <c r="BB49" s="63"/>
      <c r="BC49" s="58"/>
      <c r="BD49" s="60"/>
      <c r="BE49" s="27"/>
      <c r="BF49" s="32">
        <v>1.6216019999999673</v>
      </c>
      <c r="BG49" s="52"/>
      <c r="BH49" s="52"/>
      <c r="BI49" s="30">
        <f t="shared" si="25"/>
        <v>1.6216019999999673</v>
      </c>
      <c r="BK49" s="58">
        <v>21995.1</v>
      </c>
      <c r="BL49" s="63">
        <v>1596.42</v>
      </c>
      <c r="BM49" s="58">
        <v>323.26</v>
      </c>
      <c r="BN49" s="60"/>
      <c r="BO49" s="27"/>
      <c r="BP49" s="32">
        <v>113.4304599999999</v>
      </c>
      <c r="BQ49" s="32"/>
      <c r="BR49" s="42">
        <v>74.974136731428416</v>
      </c>
      <c r="BS49" s="52"/>
      <c r="BT49" s="30">
        <f t="shared" si="29"/>
        <v>511.66459673142833</v>
      </c>
      <c r="BV49" s="58">
        <v>2490.7399999999998</v>
      </c>
      <c r="BW49" s="63">
        <v>723.72</v>
      </c>
      <c r="BX49" s="58"/>
      <c r="BY49" s="60"/>
      <c r="BZ49" s="27"/>
      <c r="CA49" s="51"/>
      <c r="CB49" s="52"/>
      <c r="CC49" s="52"/>
      <c r="CD49" s="30">
        <f t="shared" si="26"/>
        <v>0</v>
      </c>
      <c r="CF49" s="58">
        <v>1401.57</v>
      </c>
      <c r="CG49" s="63"/>
      <c r="CH49" s="58">
        <v>18.07</v>
      </c>
      <c r="CI49" s="60"/>
      <c r="CJ49" s="27"/>
      <c r="CK49" s="32">
        <v>8.4476700000000164</v>
      </c>
      <c r="CL49" s="42"/>
      <c r="CM49" s="52"/>
      <c r="CN49" s="30">
        <f t="shared" si="27"/>
        <v>26.517670000000017</v>
      </c>
      <c r="CP49" s="58">
        <v>1148.95</v>
      </c>
      <c r="CQ49" s="58">
        <v>918.16</v>
      </c>
      <c r="CR49" s="63">
        <v>5370.97</v>
      </c>
      <c r="CS49" s="58">
        <v>10.69</v>
      </c>
      <c r="CT49" s="60"/>
      <c r="CU49" s="27"/>
      <c r="CV49" s="51"/>
      <c r="CW49" s="42">
        <v>100.59445957352389</v>
      </c>
      <c r="CX49" s="52"/>
      <c r="CY49" s="229">
        <f t="shared" si="28"/>
        <v>111.28445957352389</v>
      </c>
    </row>
    <row r="50" spans="1:103" s="217" customFormat="1" hidden="1" x14ac:dyDescent="0.25">
      <c r="A50" s="47">
        <v>46362</v>
      </c>
      <c r="B50" s="230">
        <v>1878.93</v>
      </c>
      <c r="C50" s="231">
        <v>2324.19</v>
      </c>
      <c r="D50" s="230">
        <v>123.1</v>
      </c>
      <c r="E50" s="232">
        <v>2.86</v>
      </c>
      <c r="F50" s="27"/>
      <c r="G50" s="32">
        <v>8.0799999999999983</v>
      </c>
      <c r="H50" s="52"/>
      <c r="I50" s="44"/>
      <c r="J50" s="30">
        <f t="shared" si="21"/>
        <v>131.18</v>
      </c>
      <c r="L50" s="58">
        <v>7906.64</v>
      </c>
      <c r="M50" s="63">
        <v>5986.45</v>
      </c>
      <c r="N50" s="58">
        <v>64.75</v>
      </c>
      <c r="O50" s="60"/>
      <c r="P50" s="27"/>
      <c r="Q50" s="32">
        <v>379.59732000000008</v>
      </c>
      <c r="R50" s="32"/>
      <c r="S50" s="42"/>
      <c r="T50" s="44"/>
      <c r="U50" s="30">
        <f t="shared" si="20"/>
        <v>444.34732000000008</v>
      </c>
      <c r="V50" s="228"/>
      <c r="W50" s="58">
        <v>5446.3</v>
      </c>
      <c r="X50" s="63"/>
      <c r="Y50" s="58"/>
      <c r="Z50" s="60"/>
      <c r="AA50" s="27"/>
      <c r="AB50" s="32"/>
      <c r="AC50" s="52"/>
      <c r="AD50" s="52"/>
      <c r="AE50" s="30">
        <f t="shared" si="22"/>
        <v>0</v>
      </c>
      <c r="AG50" s="58">
        <v>2654.56</v>
      </c>
      <c r="AH50" s="63">
        <v>943.2</v>
      </c>
      <c r="AI50" s="58"/>
      <c r="AJ50" s="60"/>
      <c r="AK50" s="27"/>
      <c r="AL50" s="51"/>
      <c r="AM50" s="52"/>
      <c r="AN50" s="52"/>
      <c r="AO50" s="30">
        <f t="shared" si="23"/>
        <v>0</v>
      </c>
      <c r="AQ50" s="58">
        <v>11053.21</v>
      </c>
      <c r="AR50" s="58">
        <v>561.14</v>
      </c>
      <c r="AS50" s="58">
        <v>323.20999999999998</v>
      </c>
      <c r="AT50" s="62"/>
      <c r="AU50" s="27"/>
      <c r="AV50" s="32">
        <v>20.214799999999997</v>
      </c>
      <c r="AW50" s="32"/>
      <c r="AX50" s="44"/>
      <c r="AY50" s="30">
        <f t="shared" si="24"/>
        <v>343.4248</v>
      </c>
      <c r="BA50" s="58">
        <v>10104.65</v>
      </c>
      <c r="BB50" s="63"/>
      <c r="BC50" s="58"/>
      <c r="BD50" s="60"/>
      <c r="BE50" s="27"/>
      <c r="BF50" s="32">
        <v>22.278689999999948</v>
      </c>
      <c r="BG50" s="52"/>
      <c r="BH50" s="52"/>
      <c r="BI50" s="30">
        <f t="shared" si="25"/>
        <v>22.278689999999948</v>
      </c>
      <c r="BK50" s="58">
        <v>30026.41</v>
      </c>
      <c r="BL50" s="63">
        <v>2436.54</v>
      </c>
      <c r="BM50" s="58">
        <v>366.83</v>
      </c>
      <c r="BN50" s="60"/>
      <c r="BO50" s="27"/>
      <c r="BP50" s="32">
        <v>170.80902000000012</v>
      </c>
      <c r="BQ50" s="32"/>
      <c r="BR50" s="42">
        <v>47.179433465714396</v>
      </c>
      <c r="BS50" s="52"/>
      <c r="BT50" s="30">
        <f t="shared" si="29"/>
        <v>584.81845346571447</v>
      </c>
      <c r="BV50" s="58">
        <v>1974.39</v>
      </c>
      <c r="BW50" s="63">
        <v>908.9</v>
      </c>
      <c r="BX50" s="58">
        <v>9.1999999999999993</v>
      </c>
      <c r="BY50" s="60"/>
      <c r="BZ50" s="27"/>
      <c r="CA50" s="51"/>
      <c r="CB50" s="52"/>
      <c r="CC50" s="52"/>
      <c r="CD50" s="30">
        <f t="shared" si="26"/>
        <v>9.1999999999999993</v>
      </c>
      <c r="CF50" s="58">
        <v>3624.82</v>
      </c>
      <c r="CG50" s="63"/>
      <c r="CH50" s="58">
        <v>59.91</v>
      </c>
      <c r="CI50" s="60"/>
      <c r="CJ50" s="27"/>
      <c r="CK50" s="32"/>
      <c r="CL50" s="42"/>
      <c r="CM50" s="52"/>
      <c r="CN50" s="30">
        <f t="shared" si="27"/>
        <v>59.91</v>
      </c>
      <c r="CP50" s="58">
        <v>3292.78</v>
      </c>
      <c r="CQ50" s="58">
        <v>1187.22</v>
      </c>
      <c r="CR50" s="63">
        <v>3858.45</v>
      </c>
      <c r="CS50" s="58"/>
      <c r="CT50" s="60"/>
      <c r="CU50" s="27"/>
      <c r="CV50" s="51"/>
      <c r="CW50" s="42">
        <v>24.310995632380994</v>
      </c>
      <c r="CX50" s="52"/>
      <c r="CY50" s="229">
        <f t="shared" si="28"/>
        <v>24.310995632380994</v>
      </c>
    </row>
    <row r="51" spans="1:103" s="217" customFormat="1" hidden="1" x14ac:dyDescent="0.25">
      <c r="A51" s="47">
        <v>46363</v>
      </c>
      <c r="B51" s="230">
        <v>651.99</v>
      </c>
      <c r="C51" s="231">
        <v>1663.46</v>
      </c>
      <c r="D51" s="230">
        <v>175.06</v>
      </c>
      <c r="E51" s="232">
        <v>1.48</v>
      </c>
      <c r="F51" s="27"/>
      <c r="G51" s="32"/>
      <c r="H51" s="52"/>
      <c r="I51" s="44"/>
      <c r="J51" s="30">
        <f t="shared" si="21"/>
        <v>175.06</v>
      </c>
      <c r="L51" s="58">
        <v>4380.3</v>
      </c>
      <c r="M51" s="63">
        <v>3871.06</v>
      </c>
      <c r="N51" s="58">
        <v>14.11</v>
      </c>
      <c r="O51" s="60"/>
      <c r="P51" s="27"/>
      <c r="Q51" s="32">
        <v>122.39096999999998</v>
      </c>
      <c r="R51" s="32"/>
      <c r="S51" s="42"/>
      <c r="T51" s="44"/>
      <c r="U51" s="30">
        <f t="shared" si="20"/>
        <v>136.50097</v>
      </c>
      <c r="V51" s="228"/>
      <c r="W51" s="58">
        <v>1826.55</v>
      </c>
      <c r="X51" s="63"/>
      <c r="Y51" s="58"/>
      <c r="Z51" s="60"/>
      <c r="AA51" s="27"/>
      <c r="AB51" s="32"/>
      <c r="AC51" s="52"/>
      <c r="AD51" s="52"/>
      <c r="AE51" s="30">
        <f t="shared" si="22"/>
        <v>0</v>
      </c>
      <c r="AG51" s="58">
        <v>9433.9600000000009</v>
      </c>
      <c r="AH51" s="63">
        <v>856.95</v>
      </c>
      <c r="AI51" s="58"/>
      <c r="AJ51" s="60"/>
      <c r="AK51" s="27"/>
      <c r="AL51" s="51"/>
      <c r="AM51" s="52"/>
      <c r="AN51" s="52"/>
      <c r="AO51" s="30">
        <f t="shared" si="23"/>
        <v>0</v>
      </c>
      <c r="AQ51" s="58">
        <v>5942.35</v>
      </c>
      <c r="AR51" s="58">
        <v>703.6</v>
      </c>
      <c r="AS51" s="58">
        <v>83.53</v>
      </c>
      <c r="AT51" s="62"/>
      <c r="AU51" s="27"/>
      <c r="AV51" s="32">
        <v>33.487459999999999</v>
      </c>
      <c r="AW51" s="32"/>
      <c r="AX51" s="44"/>
      <c r="AY51" s="30">
        <f t="shared" si="24"/>
        <v>117.01746</v>
      </c>
      <c r="BA51" s="58">
        <v>2821.86</v>
      </c>
      <c r="BB51" s="63"/>
      <c r="BC51" s="58"/>
      <c r="BD51" s="60"/>
      <c r="BE51" s="27"/>
      <c r="BF51" s="32">
        <v>2.2580399999999656</v>
      </c>
      <c r="BG51" s="52"/>
      <c r="BH51" s="52"/>
      <c r="BI51" s="30">
        <f t="shared" si="25"/>
        <v>2.2580399999999656</v>
      </c>
      <c r="BK51" s="58">
        <v>9928.6299999999992</v>
      </c>
      <c r="BL51" s="63">
        <v>1480.18</v>
      </c>
      <c r="BM51" s="58">
        <v>205</v>
      </c>
      <c r="BN51" s="60"/>
      <c r="BO51" s="27"/>
      <c r="BP51" s="32">
        <v>21.681610000000006</v>
      </c>
      <c r="BQ51" s="32"/>
      <c r="BR51" s="42">
        <v>13.259756948952429</v>
      </c>
      <c r="BS51" s="52"/>
      <c r="BT51" s="30">
        <f t="shared" si="29"/>
        <v>239.94136694895244</v>
      </c>
      <c r="BV51" s="58">
        <v>1951.47</v>
      </c>
      <c r="BW51" s="63">
        <v>765.28</v>
      </c>
      <c r="BX51" s="58">
        <v>4.4800000000000004</v>
      </c>
      <c r="BY51" s="60"/>
      <c r="BZ51" s="27"/>
      <c r="CA51" s="51"/>
      <c r="CB51" s="52"/>
      <c r="CC51" s="52"/>
      <c r="CD51" s="30">
        <f t="shared" si="26"/>
        <v>4.4800000000000004</v>
      </c>
      <c r="CF51" s="58">
        <v>1552.24</v>
      </c>
      <c r="CG51" s="63"/>
      <c r="CH51" s="58">
        <v>5.88</v>
      </c>
      <c r="CI51" s="60"/>
      <c r="CJ51" s="27"/>
      <c r="CK51" s="32"/>
      <c r="CL51" s="42"/>
      <c r="CM51" s="52"/>
      <c r="CN51" s="30">
        <f t="shared" si="27"/>
        <v>5.88</v>
      </c>
      <c r="CP51" s="58">
        <v>2448.1799999999998</v>
      </c>
      <c r="CQ51" s="58">
        <v>917.34</v>
      </c>
      <c r="CR51" s="63">
        <v>4090.39</v>
      </c>
      <c r="CS51" s="58">
        <v>18.760000000000002</v>
      </c>
      <c r="CT51" s="60"/>
      <c r="CU51" s="27"/>
      <c r="CV51" s="51"/>
      <c r="CW51" s="42">
        <v>16.237340992380993</v>
      </c>
      <c r="CX51" s="52"/>
      <c r="CY51" s="229">
        <f t="shared" si="28"/>
        <v>34.997340992380998</v>
      </c>
    </row>
    <row r="52" spans="1:103" s="217" customFormat="1" hidden="1" x14ac:dyDescent="0.25">
      <c r="A52" s="47">
        <v>46364</v>
      </c>
      <c r="B52" s="230">
        <v>7866.99</v>
      </c>
      <c r="C52" s="231">
        <v>2496.79</v>
      </c>
      <c r="D52" s="230">
        <v>255.59</v>
      </c>
      <c r="E52" s="232">
        <v>1.1599999999999999</v>
      </c>
      <c r="F52" s="27"/>
      <c r="G52" s="32"/>
      <c r="H52" s="52"/>
      <c r="I52" s="44">
        <v>55.046446900000092</v>
      </c>
      <c r="J52" s="30">
        <f t="shared" si="21"/>
        <v>310.63644690000012</v>
      </c>
      <c r="L52" s="58">
        <v>6464.18</v>
      </c>
      <c r="M52" s="63">
        <v>4297.8999999999996</v>
      </c>
      <c r="N52" s="58">
        <v>17.47</v>
      </c>
      <c r="O52" s="60"/>
      <c r="P52" s="27"/>
      <c r="Q52" s="32">
        <v>267.89306999999997</v>
      </c>
      <c r="R52" s="32"/>
      <c r="S52" s="42"/>
      <c r="T52" s="44"/>
      <c r="U52" s="30">
        <f t="shared" si="20"/>
        <v>285.36306999999999</v>
      </c>
      <c r="V52" s="228"/>
      <c r="W52" s="58">
        <v>1350.6</v>
      </c>
      <c r="X52" s="63"/>
      <c r="Y52" s="58"/>
      <c r="Z52" s="60"/>
      <c r="AA52" s="27"/>
      <c r="AB52" s="32"/>
      <c r="AC52" s="52"/>
      <c r="AD52" s="52"/>
      <c r="AE52" s="30">
        <f t="shared" si="22"/>
        <v>0</v>
      </c>
      <c r="AG52" s="58">
        <v>1128</v>
      </c>
      <c r="AH52" s="63">
        <v>424.24</v>
      </c>
      <c r="AI52" s="58"/>
      <c r="AJ52" s="60"/>
      <c r="AK52" s="27"/>
      <c r="AL52" s="51"/>
      <c r="AM52" s="52"/>
      <c r="AN52" s="52"/>
      <c r="AO52" s="30">
        <f t="shared" si="23"/>
        <v>0</v>
      </c>
      <c r="AQ52" s="58">
        <v>6713.13</v>
      </c>
      <c r="AR52" s="58">
        <v>711.24</v>
      </c>
      <c r="AS52" s="58">
        <v>383.4</v>
      </c>
      <c r="AT52" s="62"/>
      <c r="AU52" s="27"/>
      <c r="AV52" s="32">
        <v>53.277419999999992</v>
      </c>
      <c r="AW52" s="32"/>
      <c r="AX52" s="44"/>
      <c r="AY52" s="30">
        <f t="shared" si="24"/>
        <v>436.67741999999998</v>
      </c>
      <c r="BA52" s="58">
        <v>7406.3</v>
      </c>
      <c r="BB52" s="63"/>
      <c r="BC52" s="58">
        <v>633.47</v>
      </c>
      <c r="BD52" s="60"/>
      <c r="BE52" s="27"/>
      <c r="BF52" s="32">
        <v>0.54084000000000287</v>
      </c>
      <c r="BG52" s="52"/>
      <c r="BH52" s="52"/>
      <c r="BI52" s="30">
        <f t="shared" si="25"/>
        <v>634.01084000000003</v>
      </c>
      <c r="BK52" s="58">
        <v>10084.94</v>
      </c>
      <c r="BL52" s="63">
        <v>1701.81</v>
      </c>
      <c r="BM52" s="58">
        <v>315.66000000000003</v>
      </c>
      <c r="BN52" s="60"/>
      <c r="BO52" s="27"/>
      <c r="BP52" s="32">
        <v>7.9588700000000046</v>
      </c>
      <c r="BQ52" s="32"/>
      <c r="BR52" s="42">
        <v>218.83634325666719</v>
      </c>
      <c r="BS52" s="52"/>
      <c r="BT52" s="30">
        <f t="shared" si="29"/>
        <v>542.45521325666721</v>
      </c>
      <c r="BV52" s="58">
        <v>1576.27</v>
      </c>
      <c r="BW52" s="63">
        <v>1072.5899999999999</v>
      </c>
      <c r="BX52" s="58"/>
      <c r="BY52" s="60"/>
      <c r="BZ52" s="27"/>
      <c r="CA52" s="51"/>
      <c r="CB52" s="52"/>
      <c r="CC52" s="52"/>
      <c r="CD52" s="30">
        <f t="shared" si="26"/>
        <v>0</v>
      </c>
      <c r="CF52" s="58">
        <v>1558.52</v>
      </c>
      <c r="CG52" s="63"/>
      <c r="CH52" s="58">
        <v>88.4</v>
      </c>
      <c r="CI52" s="60"/>
      <c r="CJ52" s="27"/>
      <c r="CK52" s="32"/>
      <c r="CL52" s="42"/>
      <c r="CM52" s="52"/>
      <c r="CN52" s="30">
        <f t="shared" si="27"/>
        <v>88.4</v>
      </c>
      <c r="CP52" s="58">
        <v>2688.34</v>
      </c>
      <c r="CQ52" s="58">
        <v>1460.82</v>
      </c>
      <c r="CR52" s="63">
        <v>3996.37</v>
      </c>
      <c r="CS52" s="58">
        <v>24.64</v>
      </c>
      <c r="CT52" s="60"/>
      <c r="CU52" s="27"/>
      <c r="CV52" s="51"/>
      <c r="CW52" s="42"/>
      <c r="CX52" s="52"/>
      <c r="CY52" s="229">
        <f t="shared" si="28"/>
        <v>24.64</v>
      </c>
    </row>
    <row r="53" spans="1:103" s="217" customFormat="1" hidden="1" x14ac:dyDescent="0.25">
      <c r="A53" s="47">
        <v>46365</v>
      </c>
      <c r="B53" s="230">
        <v>2293.61</v>
      </c>
      <c r="C53" s="231">
        <v>2273.5</v>
      </c>
      <c r="D53" s="230">
        <v>57.22</v>
      </c>
      <c r="E53" s="232">
        <v>4.1900000000000004</v>
      </c>
      <c r="F53" s="27"/>
      <c r="G53" s="32"/>
      <c r="H53" s="52"/>
      <c r="I53" s="44"/>
      <c r="J53" s="30">
        <f t="shared" si="21"/>
        <v>57.22</v>
      </c>
      <c r="L53" s="58">
        <v>5791.72</v>
      </c>
      <c r="M53" s="63">
        <v>3959.9</v>
      </c>
      <c r="N53" s="58">
        <v>43.8</v>
      </c>
      <c r="O53" s="60"/>
      <c r="P53" s="27"/>
      <c r="Q53" s="32">
        <v>24.498259999999988</v>
      </c>
      <c r="R53" s="32"/>
      <c r="S53" s="42"/>
      <c r="T53" s="44">
        <v>21.675490400000001</v>
      </c>
      <c r="U53" s="30">
        <f t="shared" si="20"/>
        <v>89.973750399999986</v>
      </c>
      <c r="V53" s="228"/>
      <c r="W53" s="58">
        <v>1060.01</v>
      </c>
      <c r="X53" s="63"/>
      <c r="Y53" s="58"/>
      <c r="Z53" s="60"/>
      <c r="AA53" s="27"/>
      <c r="AB53" s="32"/>
      <c r="AC53" s="52"/>
      <c r="AD53" s="52"/>
      <c r="AE53" s="30">
        <f t="shared" si="22"/>
        <v>0</v>
      </c>
      <c r="AG53" s="58">
        <v>7029.21</v>
      </c>
      <c r="AH53" s="63">
        <v>747.44</v>
      </c>
      <c r="AI53" s="58"/>
      <c r="AJ53" s="60"/>
      <c r="AK53" s="27"/>
      <c r="AL53" s="51"/>
      <c r="AM53" s="52"/>
      <c r="AN53" s="52"/>
      <c r="AO53" s="30">
        <f t="shared" si="23"/>
        <v>0</v>
      </c>
      <c r="AQ53" s="58">
        <v>6802.15</v>
      </c>
      <c r="AR53" s="58">
        <v>569.78</v>
      </c>
      <c r="AS53" s="58">
        <v>405.89</v>
      </c>
      <c r="AT53" s="62"/>
      <c r="AU53" s="27"/>
      <c r="AV53" s="32">
        <v>39.234319999999997</v>
      </c>
      <c r="AW53" s="32"/>
      <c r="AX53" s="44"/>
      <c r="AY53" s="30">
        <f t="shared" si="24"/>
        <v>445.12432000000001</v>
      </c>
      <c r="BA53" s="58">
        <v>5908.39</v>
      </c>
      <c r="BB53" s="63"/>
      <c r="BC53" s="58"/>
      <c r="BD53" s="60"/>
      <c r="BE53" s="27"/>
      <c r="BF53" s="32">
        <v>7.2460499999998262</v>
      </c>
      <c r="BG53" s="52"/>
      <c r="BH53" s="52"/>
      <c r="BI53" s="30">
        <f t="shared" si="25"/>
        <v>7.2460499999998262</v>
      </c>
      <c r="BK53" s="58">
        <v>10622.5</v>
      </c>
      <c r="BL53" s="63">
        <v>1438.92</v>
      </c>
      <c r="BM53" s="58">
        <v>719.52</v>
      </c>
      <c r="BN53" s="60"/>
      <c r="BO53" s="27"/>
      <c r="BP53" s="32">
        <v>15.386819999999986</v>
      </c>
      <c r="BQ53" s="32"/>
      <c r="BR53" s="42">
        <v>52.017599034285752</v>
      </c>
      <c r="BS53" s="52"/>
      <c r="BT53" s="30">
        <f t="shared" si="29"/>
        <v>786.92441903428573</v>
      </c>
      <c r="BV53" s="58">
        <v>2104.39</v>
      </c>
      <c r="BW53" s="63">
        <v>888.44</v>
      </c>
      <c r="BX53" s="58"/>
      <c r="BY53" s="60"/>
      <c r="BZ53" s="27"/>
      <c r="CA53" s="51"/>
      <c r="CB53" s="52"/>
      <c r="CC53" s="52"/>
      <c r="CD53" s="30">
        <f t="shared" si="26"/>
        <v>0</v>
      </c>
      <c r="CF53" s="58">
        <v>1311.96</v>
      </c>
      <c r="CG53" s="63"/>
      <c r="CH53" s="58">
        <v>25.11</v>
      </c>
      <c r="CI53" s="60"/>
      <c r="CJ53" s="27"/>
      <c r="CK53" s="32">
        <v>8.9699999999999989</v>
      </c>
      <c r="CL53" s="42">
        <v>19.356895238095262</v>
      </c>
      <c r="CM53" s="52"/>
      <c r="CN53" s="30">
        <f t="shared" si="27"/>
        <v>53.436895238095261</v>
      </c>
      <c r="CP53" s="58">
        <v>3023.87</v>
      </c>
      <c r="CQ53" s="58">
        <v>770.57</v>
      </c>
      <c r="CR53" s="63">
        <v>3333.94</v>
      </c>
      <c r="CS53" s="58">
        <v>6.57</v>
      </c>
      <c r="CT53" s="60"/>
      <c r="CU53" s="27"/>
      <c r="CV53" s="51"/>
      <c r="CW53" s="42">
        <v>-1.5091860952367142E-2</v>
      </c>
      <c r="CX53" s="52"/>
      <c r="CY53" s="229">
        <f t="shared" si="28"/>
        <v>6.5549081390476331</v>
      </c>
    </row>
    <row r="54" spans="1:103" s="217" customFormat="1" hidden="1" x14ac:dyDescent="0.25">
      <c r="A54" s="47">
        <v>46366</v>
      </c>
      <c r="B54" s="230">
        <v>1530.94</v>
      </c>
      <c r="C54" s="231">
        <v>3620.48</v>
      </c>
      <c r="D54" s="230">
        <v>322.44</v>
      </c>
      <c r="E54" s="232">
        <v>27.97</v>
      </c>
      <c r="F54" s="27"/>
      <c r="G54" s="32">
        <v>8.0799999999999983</v>
      </c>
      <c r="H54" s="52"/>
      <c r="I54" s="44"/>
      <c r="J54" s="30">
        <f t="shared" si="21"/>
        <v>330.52</v>
      </c>
      <c r="L54" s="58">
        <v>6634.84</v>
      </c>
      <c r="M54" s="63">
        <v>4443.3100000000004</v>
      </c>
      <c r="N54" s="58">
        <v>49.84</v>
      </c>
      <c r="O54" s="60"/>
      <c r="P54" s="27"/>
      <c r="Q54" s="32">
        <v>88.157019999999932</v>
      </c>
      <c r="R54" s="32"/>
      <c r="S54" s="42"/>
      <c r="T54" s="44">
        <v>99.381600000000049</v>
      </c>
      <c r="U54" s="30">
        <f t="shared" si="20"/>
        <v>237.37861999999998</v>
      </c>
      <c r="V54" s="228"/>
      <c r="W54" s="58">
        <v>2735.93</v>
      </c>
      <c r="X54" s="63"/>
      <c r="Y54" s="58"/>
      <c r="Z54" s="60"/>
      <c r="AA54" s="27"/>
      <c r="AB54" s="32"/>
      <c r="AC54" s="52"/>
      <c r="AD54" s="52"/>
      <c r="AE54" s="30">
        <f t="shared" si="22"/>
        <v>0</v>
      </c>
      <c r="AG54" s="58">
        <v>7351.7900000000009</v>
      </c>
      <c r="AH54" s="63">
        <v>399.59</v>
      </c>
      <c r="AI54" s="58"/>
      <c r="AJ54" s="60"/>
      <c r="AK54" s="27"/>
      <c r="AL54" s="51"/>
      <c r="AM54" s="52"/>
      <c r="AN54" s="52"/>
      <c r="AO54" s="30">
        <f t="shared" si="23"/>
        <v>0</v>
      </c>
      <c r="AQ54" s="58">
        <v>7286.65</v>
      </c>
      <c r="AR54" s="58">
        <v>641.5</v>
      </c>
      <c r="AS54" s="58">
        <v>362.93</v>
      </c>
      <c r="AT54" s="62"/>
      <c r="AU54" s="27"/>
      <c r="AV54" s="32">
        <v>139.81949999999992</v>
      </c>
      <c r="AW54" s="32">
        <v>42.327322181428528</v>
      </c>
      <c r="AX54" s="44"/>
      <c r="AY54" s="30">
        <f t="shared" si="24"/>
        <v>545.0768221814285</v>
      </c>
      <c r="BA54" s="58">
        <v>7064.24</v>
      </c>
      <c r="BB54" s="63"/>
      <c r="BC54" s="58"/>
      <c r="BD54" s="60"/>
      <c r="BE54" s="27"/>
      <c r="BF54" s="32">
        <v>2.3168100000000038</v>
      </c>
      <c r="BG54" s="52"/>
      <c r="BH54" s="52"/>
      <c r="BI54" s="30">
        <f t="shared" si="25"/>
        <v>2.3168100000000038</v>
      </c>
      <c r="BK54" s="58">
        <v>21465.73</v>
      </c>
      <c r="BL54" s="63">
        <v>1241.4100000000001</v>
      </c>
      <c r="BM54" s="58">
        <v>649.02</v>
      </c>
      <c r="BN54" s="60"/>
      <c r="BO54" s="27"/>
      <c r="BP54" s="32">
        <v>52.53185000000002</v>
      </c>
      <c r="BQ54" s="32"/>
      <c r="BR54" s="42">
        <v>366.77042720142879</v>
      </c>
      <c r="BS54" s="52"/>
      <c r="BT54" s="30">
        <f t="shared" si="29"/>
        <v>1068.3222772014287</v>
      </c>
      <c r="BV54" s="58">
        <v>3013.27</v>
      </c>
      <c r="BW54" s="63">
        <v>993.97</v>
      </c>
      <c r="BX54" s="58">
        <v>3.71</v>
      </c>
      <c r="BY54" s="60"/>
      <c r="BZ54" s="27"/>
      <c r="CA54" s="51"/>
      <c r="CB54" s="52"/>
      <c r="CC54" s="52"/>
      <c r="CD54" s="30">
        <f t="shared" si="26"/>
        <v>3.71</v>
      </c>
      <c r="CF54" s="58">
        <v>2789.85</v>
      </c>
      <c r="CG54" s="63"/>
      <c r="CH54" s="58">
        <v>502.51</v>
      </c>
      <c r="CI54" s="60"/>
      <c r="CJ54" s="27"/>
      <c r="CK54" s="32"/>
      <c r="CL54" s="42">
        <v>21.954942857142839</v>
      </c>
      <c r="CM54" s="52"/>
      <c r="CN54" s="30">
        <f t="shared" si="27"/>
        <v>524.46494285714289</v>
      </c>
      <c r="CP54" s="58">
        <v>1651.83</v>
      </c>
      <c r="CQ54" s="58">
        <v>925.76</v>
      </c>
      <c r="CR54" s="63">
        <v>3814.33</v>
      </c>
      <c r="CS54" s="58"/>
      <c r="CT54" s="60"/>
      <c r="CU54" s="27"/>
      <c r="CV54" s="51"/>
      <c r="CW54" s="42">
        <v>100.05055944257145</v>
      </c>
      <c r="CX54" s="52"/>
      <c r="CY54" s="229">
        <f t="shared" si="28"/>
        <v>100.05055944257145</v>
      </c>
    </row>
    <row r="55" spans="1:103" s="217" customFormat="1" hidden="1" x14ac:dyDescent="0.25">
      <c r="A55" s="47">
        <v>46367</v>
      </c>
      <c r="B55" s="230">
        <v>2186.6999999999998</v>
      </c>
      <c r="C55" s="231">
        <v>3226.82</v>
      </c>
      <c r="D55" s="230">
        <v>366.14</v>
      </c>
      <c r="E55" s="232">
        <v>3.82</v>
      </c>
      <c r="F55" s="27"/>
      <c r="G55" s="32">
        <v>227.04999999999995</v>
      </c>
      <c r="H55" s="52"/>
      <c r="I55" s="44"/>
      <c r="J55" s="30">
        <f t="shared" si="21"/>
        <v>593.18999999999994</v>
      </c>
      <c r="L55" s="58">
        <v>5952.59</v>
      </c>
      <c r="M55" s="63">
        <v>3988.04</v>
      </c>
      <c r="N55" s="58">
        <v>33.25</v>
      </c>
      <c r="O55" s="60"/>
      <c r="P55" s="27"/>
      <c r="Q55" s="32">
        <v>582.41850000000022</v>
      </c>
      <c r="R55" s="32"/>
      <c r="S55" s="42"/>
      <c r="T55" s="44">
        <v>22.144183599999991</v>
      </c>
      <c r="U55" s="30">
        <f t="shared" si="20"/>
        <v>637.81268360000024</v>
      </c>
      <c r="V55" s="228"/>
      <c r="W55" s="58">
        <v>6943.08</v>
      </c>
      <c r="X55" s="63"/>
      <c r="Y55" s="58"/>
      <c r="Z55" s="60"/>
      <c r="AA55" s="27"/>
      <c r="AB55" s="32"/>
      <c r="AC55" s="52"/>
      <c r="AD55" s="52"/>
      <c r="AE55" s="30">
        <f t="shared" si="22"/>
        <v>0</v>
      </c>
      <c r="AG55" s="58">
        <v>10384.52</v>
      </c>
      <c r="AH55" s="63">
        <v>370.67</v>
      </c>
      <c r="AI55" s="58"/>
      <c r="AJ55" s="60"/>
      <c r="AK55" s="27"/>
      <c r="AL55" s="51"/>
      <c r="AM55" s="52"/>
      <c r="AN55" s="52"/>
      <c r="AO55" s="30">
        <f t="shared" si="23"/>
        <v>0</v>
      </c>
      <c r="AQ55" s="58">
        <v>10372.870000000001</v>
      </c>
      <c r="AR55" s="58">
        <v>513.12</v>
      </c>
      <c r="AS55" s="58">
        <v>302.42</v>
      </c>
      <c r="AT55" s="62"/>
      <c r="AU55" s="27"/>
      <c r="AV55" s="32">
        <v>349.6838600000001</v>
      </c>
      <c r="AW55" s="32">
        <v>110.39261803171422</v>
      </c>
      <c r="AX55" s="44"/>
      <c r="AY55" s="30">
        <f t="shared" si="24"/>
        <v>762.49647803171433</v>
      </c>
      <c r="BA55" s="58">
        <v>10251.42</v>
      </c>
      <c r="BB55" s="63"/>
      <c r="BC55" s="58"/>
      <c r="BD55" s="60"/>
      <c r="BE55" s="27"/>
      <c r="BF55" s="32">
        <v>419.65093999999874</v>
      </c>
      <c r="BG55" s="52"/>
      <c r="BH55" s="52"/>
      <c r="BI55" s="30">
        <f t="shared" si="25"/>
        <v>419.65093999999874</v>
      </c>
      <c r="BK55" s="58">
        <v>25532.83</v>
      </c>
      <c r="BL55" s="63">
        <v>1338.24</v>
      </c>
      <c r="BM55" s="58">
        <v>572.44000000000005</v>
      </c>
      <c r="BN55" s="60"/>
      <c r="BO55" s="27"/>
      <c r="BP55" s="32">
        <v>277.37414000000012</v>
      </c>
      <c r="BQ55" s="32"/>
      <c r="BR55" s="42"/>
      <c r="BS55" s="52"/>
      <c r="BT55" s="30">
        <f t="shared" si="29"/>
        <v>849.81414000000018</v>
      </c>
      <c r="BV55" s="58">
        <v>2572.23</v>
      </c>
      <c r="BW55" s="63">
        <v>740.9</v>
      </c>
      <c r="BX55" s="58">
        <v>4.0999999999999996</v>
      </c>
      <c r="BY55" s="60"/>
      <c r="BZ55" s="27"/>
      <c r="CA55" s="51"/>
      <c r="CB55" s="52"/>
      <c r="CC55" s="52"/>
      <c r="CD55" s="30">
        <f t="shared" si="26"/>
        <v>4.0999999999999996</v>
      </c>
      <c r="CF55" s="58">
        <v>2100.91</v>
      </c>
      <c r="CG55" s="63"/>
      <c r="CH55" s="58">
        <v>62.19</v>
      </c>
      <c r="CI55" s="60"/>
      <c r="CJ55" s="27"/>
      <c r="CK55" s="32">
        <v>78.688580000000101</v>
      </c>
      <c r="CL55" s="42"/>
      <c r="CM55" s="52"/>
      <c r="CN55" s="30">
        <f t="shared" si="27"/>
        <v>140.87858000000011</v>
      </c>
      <c r="CP55" s="58">
        <v>1000.84</v>
      </c>
      <c r="CQ55" s="58">
        <v>751.36</v>
      </c>
      <c r="CR55" s="63">
        <v>3095.1</v>
      </c>
      <c r="CS55" s="58">
        <v>22.34</v>
      </c>
      <c r="CT55" s="60"/>
      <c r="CU55" s="27"/>
      <c r="CV55" s="51"/>
      <c r="CW55" s="42">
        <v>16.046791985714293</v>
      </c>
      <c r="CX55" s="52"/>
      <c r="CY55" s="229">
        <f t="shared" si="28"/>
        <v>38.386791985714297</v>
      </c>
    </row>
    <row r="56" spans="1:103" s="217" customFormat="1" hidden="1" x14ac:dyDescent="0.25">
      <c r="A56" s="47">
        <v>46368</v>
      </c>
      <c r="B56" s="230">
        <v>2643.08</v>
      </c>
      <c r="C56" s="231">
        <v>2857.35</v>
      </c>
      <c r="D56" s="230">
        <v>331.75</v>
      </c>
      <c r="E56" s="232">
        <v>2.0699999999999998</v>
      </c>
      <c r="F56" s="27"/>
      <c r="G56" s="32"/>
      <c r="H56" s="52"/>
      <c r="I56" s="44">
        <v>70.938684899999998</v>
      </c>
      <c r="J56" s="30">
        <f t="shared" si="21"/>
        <v>402.6886849</v>
      </c>
      <c r="L56" s="58">
        <v>7784.99</v>
      </c>
      <c r="M56" s="63">
        <v>6108.57</v>
      </c>
      <c r="N56" s="58">
        <v>60.37</v>
      </c>
      <c r="O56" s="60"/>
      <c r="P56" s="27"/>
      <c r="Q56" s="32">
        <v>319.04078000000015</v>
      </c>
      <c r="R56" s="32"/>
      <c r="S56" s="42"/>
      <c r="T56" s="44">
        <v>119.57245520000006</v>
      </c>
      <c r="U56" s="30">
        <f t="shared" si="20"/>
        <v>498.98323520000019</v>
      </c>
      <c r="V56" s="228"/>
      <c r="W56" s="58">
        <v>2521.6999999999998</v>
      </c>
      <c r="X56" s="63"/>
      <c r="Y56" s="58"/>
      <c r="Z56" s="60"/>
      <c r="AA56" s="27"/>
      <c r="AB56" s="32"/>
      <c r="AC56" s="52"/>
      <c r="AD56" s="52"/>
      <c r="AE56" s="30">
        <f t="shared" si="22"/>
        <v>0</v>
      </c>
      <c r="AG56" s="58">
        <v>2762.05</v>
      </c>
      <c r="AH56" s="63">
        <v>608.03</v>
      </c>
      <c r="AI56" s="58"/>
      <c r="AJ56" s="60"/>
      <c r="AK56" s="27"/>
      <c r="AL56" s="51"/>
      <c r="AM56" s="52"/>
      <c r="AN56" s="52"/>
      <c r="AO56" s="30">
        <f t="shared" si="23"/>
        <v>0</v>
      </c>
      <c r="AQ56" s="58">
        <v>17057.189999999999</v>
      </c>
      <c r="AR56" s="58">
        <v>592.22</v>
      </c>
      <c r="AS56" s="58">
        <v>764.55</v>
      </c>
      <c r="AT56" s="62"/>
      <c r="AU56" s="27"/>
      <c r="AV56" s="32">
        <v>281.65212000000014</v>
      </c>
      <c r="AW56" s="32">
        <v>129.86372136714283</v>
      </c>
      <c r="AX56" s="44">
        <v>17.026330700000017</v>
      </c>
      <c r="AY56" s="30">
        <f t="shared" si="24"/>
        <v>1193.0921720671429</v>
      </c>
      <c r="BA56" s="58">
        <v>11205.69</v>
      </c>
      <c r="BB56" s="63"/>
      <c r="BC56" s="58"/>
      <c r="BD56" s="60"/>
      <c r="BE56" s="27"/>
      <c r="BF56" s="32">
        <v>52.834799999999973</v>
      </c>
      <c r="BG56" s="52"/>
      <c r="BH56" s="52"/>
      <c r="BI56" s="30">
        <f t="shared" si="25"/>
        <v>52.834799999999973</v>
      </c>
      <c r="BK56" s="58">
        <v>13245.25</v>
      </c>
      <c r="BL56" s="63">
        <v>1127.45</v>
      </c>
      <c r="BM56" s="58">
        <v>600.55999999999995</v>
      </c>
      <c r="BN56" s="60"/>
      <c r="BO56" s="27"/>
      <c r="BP56" s="32">
        <v>143.1984700000001</v>
      </c>
      <c r="BQ56" s="32"/>
      <c r="BR56" s="42">
        <v>37.88947857142864</v>
      </c>
      <c r="BS56" s="52"/>
      <c r="BT56" s="30">
        <f t="shared" si="29"/>
        <v>781.64794857142874</v>
      </c>
      <c r="BV56" s="58">
        <v>2487.08</v>
      </c>
      <c r="BW56" s="63">
        <v>802.84</v>
      </c>
      <c r="BX56" s="58">
        <v>4.2300000000000004</v>
      </c>
      <c r="BY56" s="60"/>
      <c r="BZ56" s="27"/>
      <c r="CA56" s="51"/>
      <c r="CB56" s="52"/>
      <c r="CC56" s="52"/>
      <c r="CD56" s="30">
        <f t="shared" si="26"/>
        <v>4.2300000000000004</v>
      </c>
      <c r="CF56" s="58">
        <v>2390.0300000000002</v>
      </c>
      <c r="CG56" s="63"/>
      <c r="CH56" s="58">
        <v>11.84</v>
      </c>
      <c r="CI56" s="60"/>
      <c r="CJ56" s="27"/>
      <c r="CK56" s="32">
        <v>67.078509999999994</v>
      </c>
      <c r="CL56" s="42">
        <v>80.473414285714227</v>
      </c>
      <c r="CM56" s="52"/>
      <c r="CN56" s="30">
        <f t="shared" si="27"/>
        <v>159.39192428571423</v>
      </c>
      <c r="CP56" s="58">
        <v>1379.18</v>
      </c>
      <c r="CQ56" s="58">
        <v>605.84</v>
      </c>
      <c r="CR56" s="63">
        <v>4973.53</v>
      </c>
      <c r="CS56" s="58"/>
      <c r="CT56" s="60"/>
      <c r="CU56" s="27"/>
      <c r="CV56" s="51"/>
      <c r="CW56" s="42">
        <v>50.88214776742862</v>
      </c>
      <c r="CX56" s="52"/>
      <c r="CY56" s="229">
        <f t="shared" si="28"/>
        <v>50.88214776742862</v>
      </c>
    </row>
    <row r="57" spans="1:103" s="217" customFormat="1" hidden="1" x14ac:dyDescent="0.25">
      <c r="A57" s="47">
        <v>46369</v>
      </c>
      <c r="B57" s="230">
        <v>3072.39</v>
      </c>
      <c r="C57" s="231">
        <v>2849.24</v>
      </c>
      <c r="D57" s="230">
        <v>177.78</v>
      </c>
      <c r="E57" s="232">
        <v>7.88</v>
      </c>
      <c r="F57" s="27"/>
      <c r="G57" s="32">
        <v>9.8500000000000085</v>
      </c>
      <c r="H57" s="52"/>
      <c r="I57" s="44"/>
      <c r="J57" s="30">
        <f t="shared" si="21"/>
        <v>187.63</v>
      </c>
      <c r="L57" s="58">
        <v>8037.09</v>
      </c>
      <c r="M57" s="63">
        <v>6179.34</v>
      </c>
      <c r="N57" s="58">
        <v>23.14</v>
      </c>
      <c r="O57" s="60"/>
      <c r="P57" s="27"/>
      <c r="Q57" s="32">
        <v>460.63394000000005</v>
      </c>
      <c r="R57" s="32"/>
      <c r="S57" s="42"/>
      <c r="T57" s="44"/>
      <c r="U57" s="30">
        <f t="shared" si="20"/>
        <v>483.77394000000004</v>
      </c>
      <c r="V57" s="228"/>
      <c r="W57" s="58">
        <v>3078.07</v>
      </c>
      <c r="X57" s="63"/>
      <c r="Y57" s="58"/>
      <c r="Z57" s="60"/>
      <c r="AA57" s="27"/>
      <c r="AB57" s="32"/>
      <c r="AC57" s="52"/>
      <c r="AD57" s="52"/>
      <c r="AE57" s="30">
        <f t="shared" si="22"/>
        <v>0</v>
      </c>
      <c r="AG57" s="58">
        <v>3397.0199999999995</v>
      </c>
      <c r="AH57" s="63">
        <v>508.79</v>
      </c>
      <c r="AI57" s="58"/>
      <c r="AJ57" s="60"/>
      <c r="AK57" s="27"/>
      <c r="AL57" s="51"/>
      <c r="AM57" s="52"/>
      <c r="AN57" s="52"/>
      <c r="AO57" s="30">
        <f t="shared" si="23"/>
        <v>0</v>
      </c>
      <c r="AQ57" s="58">
        <v>9136.1</v>
      </c>
      <c r="AR57" s="58">
        <v>810.55</v>
      </c>
      <c r="AS57" s="58">
        <v>141.82</v>
      </c>
      <c r="AT57" s="62"/>
      <c r="AU57" s="27"/>
      <c r="AV57" s="32">
        <v>230.82815999999997</v>
      </c>
      <c r="AW57" s="32"/>
      <c r="AX57" s="44"/>
      <c r="AY57" s="30">
        <f t="shared" si="24"/>
        <v>372.64815999999996</v>
      </c>
      <c r="BA57" s="58">
        <v>7843.53</v>
      </c>
      <c r="BB57" s="63"/>
      <c r="BC57" s="58"/>
      <c r="BD57" s="60"/>
      <c r="BE57" s="27"/>
      <c r="BF57" s="32">
        <v>68.766749999999803</v>
      </c>
      <c r="BG57" s="52"/>
      <c r="BH57" s="52"/>
      <c r="BI57" s="30">
        <f t="shared" si="25"/>
        <v>68.766749999999803</v>
      </c>
      <c r="BK57" s="58">
        <v>25174.33</v>
      </c>
      <c r="BL57" s="63">
        <v>1205.28</v>
      </c>
      <c r="BM57" s="58">
        <v>672.86</v>
      </c>
      <c r="BN57" s="60"/>
      <c r="BO57" s="27"/>
      <c r="BP57" s="32">
        <v>81.301500000000033</v>
      </c>
      <c r="BQ57" s="32"/>
      <c r="BR57" s="42">
        <v>41.172700818571457</v>
      </c>
      <c r="BS57" s="52"/>
      <c r="BT57" s="30">
        <f t="shared" si="29"/>
        <v>795.3342008185715</v>
      </c>
      <c r="BV57" s="58">
        <v>2171.25</v>
      </c>
      <c r="BW57" s="63">
        <v>909.41</v>
      </c>
      <c r="BX57" s="58">
        <v>1.68</v>
      </c>
      <c r="BY57" s="60"/>
      <c r="BZ57" s="27"/>
      <c r="CA57" s="51"/>
      <c r="CB57" s="52"/>
      <c r="CC57" s="52"/>
      <c r="CD57" s="30">
        <f t="shared" si="26"/>
        <v>1.68</v>
      </c>
      <c r="CF57" s="58">
        <v>1792</v>
      </c>
      <c r="CG57" s="63"/>
      <c r="CH57" s="58">
        <v>85.28</v>
      </c>
      <c r="CI57" s="60"/>
      <c r="CJ57" s="27"/>
      <c r="CK57" s="32">
        <v>73.020710000000008</v>
      </c>
      <c r="CL57" s="42">
        <v>87.819771428571357</v>
      </c>
      <c r="CM57" s="52"/>
      <c r="CN57" s="30">
        <f t="shared" si="27"/>
        <v>246.12048142857137</v>
      </c>
      <c r="CP57" s="58">
        <v>2448.25</v>
      </c>
      <c r="CQ57" s="58">
        <v>1154.79</v>
      </c>
      <c r="CR57" s="63">
        <v>2572.98</v>
      </c>
      <c r="CS57" s="58">
        <v>7.42</v>
      </c>
      <c r="CT57" s="60"/>
      <c r="CU57" s="27"/>
      <c r="CV57" s="51"/>
      <c r="CW57" s="42">
        <v>67.984804241428606</v>
      </c>
      <c r="CX57" s="52"/>
      <c r="CY57" s="229">
        <f t="shared" si="28"/>
        <v>75.404804241428607</v>
      </c>
    </row>
    <row r="58" spans="1:103" s="217" customFormat="1" hidden="1" x14ac:dyDescent="0.25">
      <c r="A58" s="47">
        <v>46370</v>
      </c>
      <c r="B58" s="230">
        <v>1070.03</v>
      </c>
      <c r="C58" s="231">
        <v>2399.7800000000002</v>
      </c>
      <c r="D58" s="230">
        <v>149</v>
      </c>
      <c r="E58" s="232">
        <v>1.92</v>
      </c>
      <c r="F58" s="27"/>
      <c r="G58" s="32"/>
      <c r="H58" s="52"/>
      <c r="I58" s="44"/>
      <c r="J58" s="30">
        <f t="shared" si="21"/>
        <v>149</v>
      </c>
      <c r="L58" s="58">
        <v>6911.8</v>
      </c>
      <c r="M58" s="63">
        <v>4708.9799999999996</v>
      </c>
      <c r="N58" s="58">
        <v>7.02</v>
      </c>
      <c r="O58" s="60"/>
      <c r="P58" s="27"/>
      <c r="Q58" s="32">
        <v>42.663659999999979</v>
      </c>
      <c r="R58" s="32"/>
      <c r="S58" s="42"/>
      <c r="T58" s="44"/>
      <c r="U58" s="30">
        <f t="shared" si="20"/>
        <v>49.683659999999975</v>
      </c>
      <c r="V58" s="228"/>
      <c r="W58" s="58">
        <v>1186.05</v>
      </c>
      <c r="X58" s="63"/>
      <c r="Y58" s="58"/>
      <c r="Z58" s="60"/>
      <c r="AA58" s="27"/>
      <c r="AB58" s="32"/>
      <c r="AC58" s="52"/>
      <c r="AD58" s="52"/>
      <c r="AE58" s="30">
        <f t="shared" si="22"/>
        <v>0</v>
      </c>
      <c r="AG58" s="58">
        <v>4289.0200000000004</v>
      </c>
      <c r="AH58" s="63">
        <v>491.47</v>
      </c>
      <c r="AI58" s="58"/>
      <c r="AJ58" s="60"/>
      <c r="AK58" s="27"/>
      <c r="AL58" s="51"/>
      <c r="AM58" s="52"/>
      <c r="AN58" s="52"/>
      <c r="AO58" s="30">
        <f t="shared" si="23"/>
        <v>0</v>
      </c>
      <c r="AQ58" s="58">
        <v>6119.68</v>
      </c>
      <c r="AR58" s="58">
        <v>644.13</v>
      </c>
      <c r="AS58" s="58">
        <v>100.36</v>
      </c>
      <c r="AT58" s="62"/>
      <c r="AU58" s="27"/>
      <c r="AV58" s="32"/>
      <c r="AW58" s="32"/>
      <c r="AX58" s="44"/>
      <c r="AY58" s="30">
        <f t="shared" si="24"/>
        <v>100.36</v>
      </c>
      <c r="BA58" s="58">
        <v>3793.31</v>
      </c>
      <c r="BB58" s="63"/>
      <c r="BC58" s="58"/>
      <c r="BD58" s="60"/>
      <c r="BE58" s="27"/>
      <c r="BF58" s="32">
        <v>55.384549999999905</v>
      </c>
      <c r="BG58" s="52"/>
      <c r="BH58" s="52"/>
      <c r="BI58" s="30">
        <f t="shared" si="25"/>
        <v>55.384549999999905</v>
      </c>
      <c r="BK58" s="58">
        <v>8807.4500000000007</v>
      </c>
      <c r="BL58" s="63">
        <v>1293.57</v>
      </c>
      <c r="BM58" s="58">
        <v>151.79</v>
      </c>
      <c r="BN58" s="60"/>
      <c r="BO58" s="27"/>
      <c r="BP58" s="32">
        <v>31.563820000000021</v>
      </c>
      <c r="BQ58" s="32"/>
      <c r="BR58" s="42"/>
      <c r="BS58" s="52"/>
      <c r="BT58" s="30">
        <f t="shared" si="29"/>
        <v>183.35382000000001</v>
      </c>
      <c r="BV58" s="58">
        <v>1907.72</v>
      </c>
      <c r="BW58" s="63">
        <v>782.16</v>
      </c>
      <c r="BX58" s="58"/>
      <c r="BY58" s="60"/>
      <c r="BZ58" s="27"/>
      <c r="CA58" s="51"/>
      <c r="CB58" s="52"/>
      <c r="CC58" s="52"/>
      <c r="CD58" s="30">
        <f t="shared" si="26"/>
        <v>0</v>
      </c>
      <c r="CF58" s="58">
        <v>1821.78</v>
      </c>
      <c r="CG58" s="63"/>
      <c r="CH58" s="58">
        <v>17.45</v>
      </c>
      <c r="CI58" s="60"/>
      <c r="CJ58" s="27"/>
      <c r="CK58" s="32">
        <v>19.257000000000005</v>
      </c>
      <c r="CL58" s="42"/>
      <c r="CM58" s="52"/>
      <c r="CN58" s="30">
        <f t="shared" si="27"/>
        <v>36.707000000000008</v>
      </c>
      <c r="CP58" s="58">
        <v>2579.59</v>
      </c>
      <c r="CQ58" s="58">
        <v>772.25</v>
      </c>
      <c r="CR58" s="63">
        <v>2459.1999999999998</v>
      </c>
      <c r="CS58" s="58"/>
      <c r="CT58" s="60"/>
      <c r="CU58" s="27"/>
      <c r="CV58" s="51"/>
      <c r="CW58" s="42">
        <v>26.563795175428581</v>
      </c>
      <c r="CX58" s="52"/>
      <c r="CY58" s="229">
        <f t="shared" si="28"/>
        <v>26.563795175428581</v>
      </c>
    </row>
    <row r="59" spans="1:103" s="217" customFormat="1" hidden="1" x14ac:dyDescent="0.25">
      <c r="A59" s="47">
        <v>46371</v>
      </c>
      <c r="B59" s="230">
        <v>4125.12</v>
      </c>
      <c r="C59" s="231">
        <v>4430.66</v>
      </c>
      <c r="D59" s="230">
        <v>96.96</v>
      </c>
      <c r="E59" s="232">
        <v>26.91</v>
      </c>
      <c r="F59" s="27"/>
      <c r="G59" s="32">
        <v>17.357669999999999</v>
      </c>
      <c r="H59" s="52"/>
      <c r="I59" s="44"/>
      <c r="J59" s="30">
        <f t="shared" si="21"/>
        <v>114.31766999999999</v>
      </c>
      <c r="L59" s="58">
        <v>8233.32</v>
      </c>
      <c r="M59" s="63">
        <v>5272.5</v>
      </c>
      <c r="N59" s="58">
        <v>48.39</v>
      </c>
      <c r="O59" s="60"/>
      <c r="P59" s="27"/>
      <c r="Q59" s="32">
        <v>100.27115000000002</v>
      </c>
      <c r="R59" s="32"/>
      <c r="S59" s="42"/>
      <c r="T59" s="44"/>
      <c r="U59" s="30">
        <f t="shared" si="20"/>
        <v>148.66115000000002</v>
      </c>
      <c r="V59" s="228"/>
      <c r="W59" s="58">
        <v>2198.4899999999998</v>
      </c>
      <c r="X59" s="63"/>
      <c r="Y59" s="58"/>
      <c r="Z59" s="60"/>
      <c r="AA59" s="27"/>
      <c r="AB59" s="32"/>
      <c r="AC59" s="52"/>
      <c r="AD59" s="52"/>
      <c r="AE59" s="30">
        <f t="shared" si="22"/>
        <v>0</v>
      </c>
      <c r="AG59" s="58">
        <v>6446.4299999999994</v>
      </c>
      <c r="AH59" s="63">
        <v>512.47</v>
      </c>
      <c r="AI59" s="58"/>
      <c r="AJ59" s="60"/>
      <c r="AK59" s="27"/>
      <c r="AL59" s="51"/>
      <c r="AM59" s="52"/>
      <c r="AN59" s="52"/>
      <c r="AO59" s="30">
        <f t="shared" si="23"/>
        <v>0</v>
      </c>
      <c r="AQ59" s="58">
        <v>5365.02</v>
      </c>
      <c r="AR59" s="58">
        <v>684.56</v>
      </c>
      <c r="AS59" s="58">
        <v>473.52</v>
      </c>
      <c r="AT59" s="62"/>
      <c r="AU59" s="27"/>
      <c r="AV59" s="32">
        <v>270.16148000000015</v>
      </c>
      <c r="AW59" s="32">
        <v>22.028084322857147</v>
      </c>
      <c r="AX59" s="44">
        <v>8.8415865999999994</v>
      </c>
      <c r="AY59" s="30">
        <f t="shared" si="24"/>
        <v>774.55115092285723</v>
      </c>
      <c r="BA59" s="58">
        <v>8083.19</v>
      </c>
      <c r="BB59" s="63"/>
      <c r="BC59" s="58">
        <v>32.82</v>
      </c>
      <c r="BD59" s="60"/>
      <c r="BE59" s="27"/>
      <c r="BF59" s="32">
        <v>81.645849999999797</v>
      </c>
      <c r="BG59" s="52"/>
      <c r="BH59" s="52"/>
      <c r="BI59" s="30">
        <f t="shared" si="25"/>
        <v>114.46584999999979</v>
      </c>
      <c r="BK59" s="58">
        <v>22489.27</v>
      </c>
      <c r="BL59" s="63">
        <v>1566.66</v>
      </c>
      <c r="BM59" s="58">
        <v>1208.22</v>
      </c>
      <c r="BN59" s="60"/>
      <c r="BO59" s="27"/>
      <c r="BP59" s="32">
        <v>201.60917000000012</v>
      </c>
      <c r="BQ59" s="32"/>
      <c r="BR59" s="42"/>
      <c r="BS59" s="52"/>
      <c r="BT59" s="30">
        <f t="shared" si="29"/>
        <v>1409.8291700000002</v>
      </c>
      <c r="BV59" s="58">
        <v>2734.99</v>
      </c>
      <c r="BW59" s="63">
        <v>1317.88</v>
      </c>
      <c r="BX59" s="58">
        <v>9.4600000000000009</v>
      </c>
      <c r="BY59" s="60"/>
      <c r="BZ59" s="27"/>
      <c r="CA59" s="51"/>
      <c r="CB59" s="52"/>
      <c r="CC59" s="52"/>
      <c r="CD59" s="30">
        <f t="shared" si="26"/>
        <v>9.4600000000000009</v>
      </c>
      <c r="CF59" s="58">
        <v>1269.3599999999999</v>
      </c>
      <c r="CG59" s="63"/>
      <c r="CH59" s="58">
        <v>131.78</v>
      </c>
      <c r="CI59" s="60"/>
      <c r="CJ59" s="27"/>
      <c r="CK59" s="32">
        <v>33.44</v>
      </c>
      <c r="CL59" s="42"/>
      <c r="CM59" s="52"/>
      <c r="CN59" s="30">
        <f t="shared" si="27"/>
        <v>165.22</v>
      </c>
      <c r="CP59" s="58">
        <v>1966.74</v>
      </c>
      <c r="CQ59" s="58">
        <v>798.37</v>
      </c>
      <c r="CR59" s="63">
        <v>3211.43</v>
      </c>
      <c r="CS59" s="58"/>
      <c r="CT59" s="60"/>
      <c r="CU59" s="27"/>
      <c r="CV59" s="51"/>
      <c r="CW59" s="42">
        <v>116.57328307428571</v>
      </c>
      <c r="CX59" s="52"/>
      <c r="CY59" s="229">
        <f t="shared" si="28"/>
        <v>116.57328307428571</v>
      </c>
    </row>
    <row r="60" spans="1:103" s="217" customFormat="1" hidden="1" x14ac:dyDescent="0.25">
      <c r="A60" s="47">
        <v>46372</v>
      </c>
      <c r="B60" s="230">
        <v>1725.72</v>
      </c>
      <c r="C60" s="231">
        <v>3041.98</v>
      </c>
      <c r="D60" s="230">
        <v>153.76</v>
      </c>
      <c r="E60" s="232">
        <v>1.41</v>
      </c>
      <c r="F60" s="27"/>
      <c r="G60" s="32">
        <v>9.8500000000000085</v>
      </c>
      <c r="H60" s="52"/>
      <c r="I60" s="44"/>
      <c r="J60" s="30">
        <f t="shared" si="21"/>
        <v>163.61000000000001</v>
      </c>
      <c r="L60" s="58">
        <v>5994.06</v>
      </c>
      <c r="M60" s="63">
        <v>5297.4</v>
      </c>
      <c r="N60" s="58">
        <v>44.24</v>
      </c>
      <c r="O60" s="60"/>
      <c r="P60" s="27"/>
      <c r="Q60" s="32">
        <v>263.73637000000008</v>
      </c>
      <c r="R60" s="32"/>
      <c r="S60" s="42"/>
      <c r="T60" s="44">
        <v>161.57960000000003</v>
      </c>
      <c r="U60" s="30">
        <f t="shared" si="20"/>
        <v>469.55597000000012</v>
      </c>
      <c r="V60" s="228"/>
      <c r="W60" s="58">
        <v>1025.21</v>
      </c>
      <c r="X60" s="63"/>
      <c r="Y60" s="58"/>
      <c r="Z60" s="60"/>
      <c r="AA60" s="27"/>
      <c r="AB60" s="32"/>
      <c r="AC60" s="52"/>
      <c r="AD60" s="52"/>
      <c r="AE60" s="30">
        <f t="shared" si="22"/>
        <v>0</v>
      </c>
      <c r="AG60" s="58">
        <v>5937.5</v>
      </c>
      <c r="AH60" s="63">
        <v>415.75</v>
      </c>
      <c r="AI60" s="58"/>
      <c r="AJ60" s="60"/>
      <c r="AK60" s="27"/>
      <c r="AL60" s="51"/>
      <c r="AM60" s="52"/>
      <c r="AN60" s="52"/>
      <c r="AO60" s="30">
        <f t="shared" si="23"/>
        <v>0</v>
      </c>
      <c r="AQ60" s="58">
        <v>6583.6</v>
      </c>
      <c r="AR60" s="58">
        <v>677.3</v>
      </c>
      <c r="AS60" s="58">
        <v>504.59</v>
      </c>
      <c r="AT60" s="62"/>
      <c r="AU60" s="27"/>
      <c r="AV60" s="32">
        <v>250.49866000000011</v>
      </c>
      <c r="AW60" s="32">
        <v>245.80109160714309</v>
      </c>
      <c r="AX60" s="44"/>
      <c r="AY60" s="30">
        <f t="shared" si="24"/>
        <v>1000.8897516071431</v>
      </c>
      <c r="BA60" s="58">
        <v>8518.58</v>
      </c>
      <c r="BB60" s="63"/>
      <c r="BC60" s="58"/>
      <c r="BD60" s="60"/>
      <c r="BE60" s="27"/>
      <c r="BF60" s="32">
        <v>134.65052999999972</v>
      </c>
      <c r="BG60" s="52"/>
      <c r="BH60" s="52">
        <v>4.1835656999999742</v>
      </c>
      <c r="BI60" s="30">
        <f t="shared" si="25"/>
        <v>138.83409569999969</v>
      </c>
      <c r="BK60" s="58">
        <v>20840.849999999999</v>
      </c>
      <c r="BL60" s="63">
        <v>1259.6400000000001</v>
      </c>
      <c r="BM60" s="58">
        <v>705.37</v>
      </c>
      <c r="BN60" s="60"/>
      <c r="BO60" s="27"/>
      <c r="BP60" s="32">
        <v>65.633710000000036</v>
      </c>
      <c r="BQ60" s="32"/>
      <c r="BR60" s="42">
        <v>278.44741882857164</v>
      </c>
      <c r="BS60" s="52"/>
      <c r="BT60" s="30">
        <f t="shared" si="29"/>
        <v>1049.4511288285717</v>
      </c>
      <c r="BV60" s="58">
        <v>2890.56</v>
      </c>
      <c r="BW60" s="63">
        <v>808.5</v>
      </c>
      <c r="BX60" s="58"/>
      <c r="BY60" s="60"/>
      <c r="BZ60" s="27"/>
      <c r="CA60" s="51"/>
      <c r="CB60" s="52"/>
      <c r="CC60" s="52"/>
      <c r="CD60" s="30">
        <f t="shared" si="26"/>
        <v>0</v>
      </c>
      <c r="CF60" s="58">
        <v>2125.11</v>
      </c>
      <c r="CG60" s="63"/>
      <c r="CH60" s="58">
        <v>524.58000000000004</v>
      </c>
      <c r="CI60" s="60"/>
      <c r="CJ60" s="27"/>
      <c r="CK60" s="32">
        <v>79.97999999999999</v>
      </c>
      <c r="CL60" s="42"/>
      <c r="CM60" s="52"/>
      <c r="CN60" s="30">
        <f t="shared" si="27"/>
        <v>604.56000000000006</v>
      </c>
      <c r="CP60" s="58">
        <v>1844.99</v>
      </c>
      <c r="CQ60" s="58">
        <v>814.23</v>
      </c>
      <c r="CR60" s="63">
        <v>2304.1999999999998</v>
      </c>
      <c r="CS60" s="58"/>
      <c r="CT60" s="60"/>
      <c r="CU60" s="27"/>
      <c r="CV60" s="51"/>
      <c r="CW60" s="42">
        <v>107.39319591600005</v>
      </c>
      <c r="CX60" s="52"/>
      <c r="CY60" s="229">
        <f t="shared" si="28"/>
        <v>107.39319591600005</v>
      </c>
    </row>
    <row r="61" spans="1:103" s="217" customFormat="1" hidden="1" x14ac:dyDescent="0.25">
      <c r="A61" s="47">
        <v>46373</v>
      </c>
      <c r="B61" s="230">
        <v>3022.83</v>
      </c>
      <c r="C61" s="231">
        <v>3742.21</v>
      </c>
      <c r="D61" s="230">
        <v>579.28</v>
      </c>
      <c r="E61" s="232">
        <v>2.9</v>
      </c>
      <c r="F61" s="27"/>
      <c r="G61" s="32">
        <v>81.045079999999999</v>
      </c>
      <c r="H61" s="52"/>
      <c r="I61" s="44">
        <v>89.040050000000008</v>
      </c>
      <c r="J61" s="30">
        <f t="shared" si="21"/>
        <v>749.36512999999991</v>
      </c>
      <c r="L61" s="58">
        <v>6829.2</v>
      </c>
      <c r="M61" s="63">
        <v>5980.1</v>
      </c>
      <c r="N61" s="58">
        <v>69.709999999999994</v>
      </c>
      <c r="O61" s="60"/>
      <c r="P61" s="27"/>
      <c r="Q61" s="32">
        <v>757.70897999999966</v>
      </c>
      <c r="R61" s="32"/>
      <c r="S61" s="42"/>
      <c r="T61" s="44"/>
      <c r="U61" s="30">
        <f t="shared" si="20"/>
        <v>827.41897999999969</v>
      </c>
      <c r="V61" s="228"/>
      <c r="W61" s="58">
        <v>1552.03</v>
      </c>
      <c r="X61" s="63"/>
      <c r="Y61" s="58"/>
      <c r="Z61" s="60"/>
      <c r="AA61" s="27"/>
      <c r="AB61" s="32"/>
      <c r="AC61" s="52"/>
      <c r="AD61" s="52"/>
      <c r="AE61" s="30">
        <f t="shared" si="22"/>
        <v>0</v>
      </c>
      <c r="AG61" s="58">
        <v>4666.04</v>
      </c>
      <c r="AH61" s="63">
        <v>522.55999999999995</v>
      </c>
      <c r="AI61" s="58"/>
      <c r="AJ61" s="60"/>
      <c r="AK61" s="27"/>
      <c r="AL61" s="51"/>
      <c r="AM61" s="52"/>
      <c r="AN61" s="52"/>
      <c r="AO61" s="30">
        <f t="shared" si="23"/>
        <v>0</v>
      </c>
      <c r="AQ61" s="58">
        <v>6029.9</v>
      </c>
      <c r="AR61" s="58">
        <v>717.89</v>
      </c>
      <c r="AS61" s="58">
        <v>339.28</v>
      </c>
      <c r="AT61" s="62"/>
      <c r="AU61" s="27"/>
      <c r="AV61" s="32">
        <v>126.21362000000005</v>
      </c>
      <c r="AW61" s="32"/>
      <c r="AX61" s="44">
        <v>10.947806099999994</v>
      </c>
      <c r="AY61" s="30">
        <f t="shared" si="24"/>
        <v>476.4414261</v>
      </c>
      <c r="BA61" s="58">
        <v>6046.25</v>
      </c>
      <c r="BB61" s="63"/>
      <c r="BC61" s="58"/>
      <c r="BD61" s="60"/>
      <c r="BE61" s="27"/>
      <c r="BF61" s="32">
        <v>499.15174999999988</v>
      </c>
      <c r="BG61" s="52"/>
      <c r="BH61" s="52"/>
      <c r="BI61" s="30">
        <f t="shared" si="25"/>
        <v>499.15174999999988</v>
      </c>
      <c r="BK61" s="58">
        <v>26645.72</v>
      </c>
      <c r="BL61" s="63">
        <v>1277.83</v>
      </c>
      <c r="BM61" s="58">
        <v>676.98</v>
      </c>
      <c r="BN61" s="60"/>
      <c r="BO61" s="27"/>
      <c r="BP61" s="32">
        <v>151.69077999999996</v>
      </c>
      <c r="BQ61" s="32"/>
      <c r="BR61" s="42">
        <v>34.546703343428561</v>
      </c>
      <c r="BS61" s="52"/>
      <c r="BT61" s="30">
        <f t="shared" si="29"/>
        <v>863.21748334342851</v>
      </c>
      <c r="BV61" s="58">
        <v>3596</v>
      </c>
      <c r="BW61" s="63">
        <v>904.55</v>
      </c>
      <c r="BX61" s="58">
        <v>6.11</v>
      </c>
      <c r="BY61" s="60"/>
      <c r="BZ61" s="27"/>
      <c r="CA61" s="51"/>
      <c r="CB61" s="52"/>
      <c r="CC61" s="52"/>
      <c r="CD61" s="30">
        <f t="shared" si="26"/>
        <v>6.11</v>
      </c>
      <c r="CF61" s="58">
        <v>1614.97</v>
      </c>
      <c r="CG61" s="63"/>
      <c r="CH61" s="58">
        <v>12.75</v>
      </c>
      <c r="CI61" s="60"/>
      <c r="CJ61" s="27"/>
      <c r="CK61" s="32">
        <v>172.80132000000003</v>
      </c>
      <c r="CL61" s="42"/>
      <c r="CM61" s="52"/>
      <c r="CN61" s="30">
        <f t="shared" si="27"/>
        <v>185.55132000000003</v>
      </c>
      <c r="CP61" s="58">
        <v>2088.2399999999998</v>
      </c>
      <c r="CQ61" s="58">
        <v>787.35</v>
      </c>
      <c r="CR61" s="63">
        <v>2435.88</v>
      </c>
      <c r="CS61" s="58"/>
      <c r="CT61" s="60"/>
      <c r="CU61" s="27"/>
      <c r="CV61" s="51"/>
      <c r="CW61" s="42">
        <v>55.061279459142895</v>
      </c>
      <c r="CX61" s="52"/>
      <c r="CY61" s="229">
        <f t="shared" si="28"/>
        <v>55.061279459142895</v>
      </c>
    </row>
    <row r="62" spans="1:103" s="217" customFormat="1" hidden="1" x14ac:dyDescent="0.25">
      <c r="A62" s="47">
        <v>46374</v>
      </c>
      <c r="B62" s="230">
        <v>2808.92</v>
      </c>
      <c r="C62" s="231">
        <v>3913.27</v>
      </c>
      <c r="D62" s="230">
        <v>385.94</v>
      </c>
      <c r="E62" s="232">
        <v>2.36</v>
      </c>
      <c r="F62" s="27"/>
      <c r="G62" s="32">
        <v>21.689999999999998</v>
      </c>
      <c r="H62" s="52"/>
      <c r="I62" s="44"/>
      <c r="J62" s="30">
        <f t="shared" si="21"/>
        <v>407.63</v>
      </c>
      <c r="L62" s="58">
        <v>8083.44</v>
      </c>
      <c r="M62" s="63">
        <v>6081.7</v>
      </c>
      <c r="N62" s="58">
        <v>23.46</v>
      </c>
      <c r="O62" s="60"/>
      <c r="P62" s="27"/>
      <c r="Q62" s="32">
        <v>140.95661999999993</v>
      </c>
      <c r="R62" s="32"/>
      <c r="S62" s="42"/>
      <c r="T62" s="44"/>
      <c r="U62" s="30">
        <f t="shared" si="20"/>
        <v>164.41661999999994</v>
      </c>
      <c r="V62" s="228"/>
      <c r="W62" s="58">
        <v>1113.29</v>
      </c>
      <c r="X62" s="63"/>
      <c r="Y62" s="58"/>
      <c r="Z62" s="60"/>
      <c r="AA62" s="27"/>
      <c r="AB62" s="32"/>
      <c r="AC62" s="52"/>
      <c r="AD62" s="52"/>
      <c r="AE62" s="30">
        <f t="shared" si="22"/>
        <v>0</v>
      </c>
      <c r="AG62" s="58">
        <v>7560.14</v>
      </c>
      <c r="AH62" s="63">
        <v>558.87</v>
      </c>
      <c r="AI62" s="58"/>
      <c r="AJ62" s="60"/>
      <c r="AK62" s="27"/>
      <c r="AL62" s="51"/>
      <c r="AM62" s="52"/>
      <c r="AN62" s="52"/>
      <c r="AO62" s="30">
        <f t="shared" si="23"/>
        <v>0</v>
      </c>
      <c r="AQ62" s="58">
        <v>5043.7299999999996</v>
      </c>
      <c r="AR62" s="58">
        <v>1024.99</v>
      </c>
      <c r="AS62" s="58">
        <v>564.59</v>
      </c>
      <c r="AT62" s="62"/>
      <c r="AU62" s="27"/>
      <c r="AV62" s="32">
        <v>239.34779999999998</v>
      </c>
      <c r="AW62" s="32">
        <v>47.015965988571452</v>
      </c>
      <c r="AX62" s="44"/>
      <c r="AY62" s="30">
        <f t="shared" si="24"/>
        <v>850.95376598857149</v>
      </c>
      <c r="BA62" s="58">
        <v>7185.15</v>
      </c>
      <c r="BB62" s="63"/>
      <c r="BC62" s="58"/>
      <c r="BD62" s="60"/>
      <c r="BE62" s="27"/>
      <c r="BF62" s="32">
        <v>105.71900000000001</v>
      </c>
      <c r="BG62" s="52"/>
      <c r="BH62" s="52"/>
      <c r="BI62" s="30">
        <f t="shared" si="25"/>
        <v>105.71900000000001</v>
      </c>
      <c r="BK62" s="58">
        <v>28344.68</v>
      </c>
      <c r="BL62" s="63">
        <v>1680.06</v>
      </c>
      <c r="BM62" s="58">
        <v>570.11</v>
      </c>
      <c r="BN62" s="60"/>
      <c r="BO62" s="27"/>
      <c r="BP62" s="32">
        <v>67.763339999999999</v>
      </c>
      <c r="BQ62" s="32"/>
      <c r="BR62" s="42">
        <v>67.782492449142808</v>
      </c>
      <c r="BS62" s="52"/>
      <c r="BT62" s="30">
        <f t="shared" si="29"/>
        <v>705.65583244914285</v>
      </c>
      <c r="BV62" s="58">
        <v>3547.92</v>
      </c>
      <c r="BW62" s="63">
        <v>1005.67</v>
      </c>
      <c r="BX62" s="58">
        <v>0.15</v>
      </c>
      <c r="BY62" s="60"/>
      <c r="BZ62" s="27"/>
      <c r="CA62" s="51"/>
      <c r="CB62" s="52"/>
      <c r="CC62" s="52"/>
      <c r="CD62" s="30">
        <f t="shared" si="26"/>
        <v>0.15</v>
      </c>
      <c r="CF62" s="58">
        <v>3548.76</v>
      </c>
      <c r="CG62" s="63"/>
      <c r="CH62" s="58">
        <v>95.84</v>
      </c>
      <c r="CI62" s="60"/>
      <c r="CJ62" s="27"/>
      <c r="CK62" s="32">
        <v>128.33315999999994</v>
      </c>
      <c r="CL62" s="42"/>
      <c r="CM62" s="52"/>
      <c r="CN62" s="30">
        <f t="shared" si="27"/>
        <v>224.17315999999994</v>
      </c>
      <c r="CP62" s="58">
        <v>1875.32</v>
      </c>
      <c r="CQ62" s="58">
        <v>832.29</v>
      </c>
      <c r="CR62" s="63">
        <v>3330.42</v>
      </c>
      <c r="CS62" s="58"/>
      <c r="CT62" s="60"/>
      <c r="CU62" s="27"/>
      <c r="CV62" s="51"/>
      <c r="CW62" s="42">
        <v>73.991240077714252</v>
      </c>
      <c r="CX62" s="52"/>
      <c r="CY62" s="229">
        <f t="shared" si="28"/>
        <v>73.991240077714252</v>
      </c>
    </row>
    <row r="63" spans="1:103" s="217" customFormat="1" hidden="1" x14ac:dyDescent="0.25">
      <c r="A63" s="47">
        <v>46375</v>
      </c>
      <c r="B63" s="230">
        <v>3399.55</v>
      </c>
      <c r="C63" s="231">
        <v>3790.43</v>
      </c>
      <c r="D63" s="230">
        <v>169.83</v>
      </c>
      <c r="E63" s="232">
        <v>2.27</v>
      </c>
      <c r="F63" s="27"/>
      <c r="G63" s="32">
        <v>16.358400000000003</v>
      </c>
      <c r="H63" s="52"/>
      <c r="I63" s="44"/>
      <c r="J63" s="30">
        <f t="shared" si="21"/>
        <v>186.1884</v>
      </c>
      <c r="L63" s="58">
        <v>6680.67</v>
      </c>
      <c r="M63" s="63">
        <v>6170.14</v>
      </c>
      <c r="N63" s="58">
        <v>22.85</v>
      </c>
      <c r="O63" s="60"/>
      <c r="P63" s="27"/>
      <c r="Q63" s="32">
        <v>310.93010000000004</v>
      </c>
      <c r="R63" s="32"/>
      <c r="S63" s="42"/>
      <c r="T63" s="44">
        <v>207.12960000000021</v>
      </c>
      <c r="U63" s="30">
        <f t="shared" si="20"/>
        <v>540.90970000000027</v>
      </c>
      <c r="V63" s="228"/>
      <c r="W63" s="58">
        <v>3764.66</v>
      </c>
      <c r="X63" s="63"/>
      <c r="Y63" s="58"/>
      <c r="Z63" s="60"/>
      <c r="AA63" s="27"/>
      <c r="AB63" s="32"/>
      <c r="AC63" s="52"/>
      <c r="AD63" s="52"/>
      <c r="AE63" s="30">
        <f t="shared" si="22"/>
        <v>0</v>
      </c>
      <c r="AG63" s="58">
        <v>10274.209999999999</v>
      </c>
      <c r="AH63" s="63">
        <v>706.24</v>
      </c>
      <c r="AI63" s="58"/>
      <c r="AJ63" s="60"/>
      <c r="AK63" s="27"/>
      <c r="AL63" s="51"/>
      <c r="AM63" s="52"/>
      <c r="AN63" s="52"/>
      <c r="AO63" s="30">
        <f t="shared" si="23"/>
        <v>0</v>
      </c>
      <c r="AQ63" s="58">
        <v>5176.8599999999997</v>
      </c>
      <c r="AR63" s="58">
        <v>813.24</v>
      </c>
      <c r="AS63" s="58">
        <v>395.21</v>
      </c>
      <c r="AT63" s="62"/>
      <c r="AU63" s="27"/>
      <c r="AV63" s="32">
        <v>240.61155000000002</v>
      </c>
      <c r="AW63" s="32">
        <v>128.66871485142855</v>
      </c>
      <c r="AX63" s="44"/>
      <c r="AY63" s="30">
        <f t="shared" si="24"/>
        <v>764.49026485142849</v>
      </c>
      <c r="BA63" s="58">
        <v>5744.91</v>
      </c>
      <c r="BB63" s="63"/>
      <c r="BC63" s="58"/>
      <c r="BD63" s="60"/>
      <c r="BE63" s="27"/>
      <c r="BF63" s="32">
        <v>58.397999999999996</v>
      </c>
      <c r="BG63" s="52"/>
      <c r="BH63" s="52"/>
      <c r="BI63" s="30">
        <f t="shared" si="25"/>
        <v>58.397999999999996</v>
      </c>
      <c r="BK63" s="58">
        <v>26055.22</v>
      </c>
      <c r="BL63" s="63">
        <v>1317.37</v>
      </c>
      <c r="BM63" s="58">
        <v>591.86</v>
      </c>
      <c r="BN63" s="60"/>
      <c r="BO63" s="27"/>
      <c r="BP63" s="32">
        <v>78.592749999999995</v>
      </c>
      <c r="BQ63" s="32"/>
      <c r="BR63" s="42"/>
      <c r="BS63" s="52"/>
      <c r="BT63" s="30">
        <f t="shared" si="29"/>
        <v>670.45275000000004</v>
      </c>
      <c r="BV63" s="58">
        <v>3643.23</v>
      </c>
      <c r="BW63" s="63">
        <v>1428.98</v>
      </c>
      <c r="BX63" s="58">
        <v>8.42</v>
      </c>
      <c r="BY63" s="60"/>
      <c r="BZ63" s="27"/>
      <c r="CA63" s="51"/>
      <c r="CB63" s="52"/>
      <c r="CC63" s="52"/>
      <c r="CD63" s="30">
        <f t="shared" si="26"/>
        <v>8.42</v>
      </c>
      <c r="CF63" s="58">
        <v>1820.63</v>
      </c>
      <c r="CG63" s="63"/>
      <c r="CH63" s="58">
        <v>502.56</v>
      </c>
      <c r="CI63" s="60"/>
      <c r="CJ63" s="27"/>
      <c r="CK63" s="32">
        <v>102.83847999999996</v>
      </c>
      <c r="CL63" s="42">
        <v>48.215276190476288</v>
      </c>
      <c r="CM63" s="52"/>
      <c r="CN63" s="30">
        <f t="shared" si="27"/>
        <v>653.61375619047624</v>
      </c>
      <c r="CP63" s="58">
        <v>1465.48</v>
      </c>
      <c r="CQ63" s="58">
        <v>868.25</v>
      </c>
      <c r="CR63" s="63">
        <v>4001.8500000000004</v>
      </c>
      <c r="CS63" s="58">
        <v>16.7</v>
      </c>
      <c r="CT63" s="60"/>
      <c r="CU63" s="27"/>
      <c r="CV63" s="51"/>
      <c r="CW63" s="42">
        <v>27.822800814761905</v>
      </c>
      <c r="CX63" s="52"/>
      <c r="CY63" s="229">
        <f t="shared" si="28"/>
        <v>44.522800814761908</v>
      </c>
    </row>
    <row r="64" spans="1:103" s="217" customFormat="1" hidden="1" x14ac:dyDescent="0.25">
      <c r="A64" s="47">
        <v>46376</v>
      </c>
      <c r="B64" s="230">
        <v>2869.91</v>
      </c>
      <c r="C64" s="231">
        <v>3817.44</v>
      </c>
      <c r="D64" s="230">
        <v>200.57</v>
      </c>
      <c r="E64" s="232">
        <v>3.08</v>
      </c>
      <c r="F64" s="27"/>
      <c r="G64" s="32">
        <v>36.150000000000013</v>
      </c>
      <c r="H64" s="52"/>
      <c r="I64" s="44"/>
      <c r="J64" s="30">
        <f t="shared" si="21"/>
        <v>236.72</v>
      </c>
      <c r="L64" s="58">
        <v>6742.67</v>
      </c>
      <c r="M64" s="63">
        <v>6752.42</v>
      </c>
      <c r="N64" s="58">
        <v>45.14</v>
      </c>
      <c r="O64" s="60"/>
      <c r="P64" s="27"/>
      <c r="Q64" s="32">
        <v>908.95963999999992</v>
      </c>
      <c r="R64" s="32"/>
      <c r="S64" s="42"/>
      <c r="T64" s="44">
        <v>20.620183200000028</v>
      </c>
      <c r="U64" s="30">
        <f t="shared" si="20"/>
        <v>974.71982319999995</v>
      </c>
      <c r="V64" s="228"/>
      <c r="W64" s="58">
        <v>2471.58</v>
      </c>
      <c r="X64" s="63"/>
      <c r="Y64" s="58"/>
      <c r="Z64" s="60"/>
      <c r="AA64" s="27"/>
      <c r="AB64" s="32"/>
      <c r="AC64" s="52"/>
      <c r="AD64" s="52"/>
      <c r="AE64" s="30">
        <f t="shared" si="22"/>
        <v>0</v>
      </c>
      <c r="AG64" s="58">
        <v>2424.79</v>
      </c>
      <c r="AH64" s="63">
        <v>546.02</v>
      </c>
      <c r="AI64" s="58"/>
      <c r="AJ64" s="60"/>
      <c r="AK64" s="27"/>
      <c r="AL64" s="51"/>
      <c r="AM64" s="52"/>
      <c r="AN64" s="52"/>
      <c r="AO64" s="30">
        <f t="shared" si="23"/>
        <v>0</v>
      </c>
      <c r="AQ64" s="58">
        <v>6418.64</v>
      </c>
      <c r="AR64" s="58">
        <v>1038.28</v>
      </c>
      <c r="AS64" s="58">
        <v>241.91</v>
      </c>
      <c r="AT64" s="62"/>
      <c r="AU64" s="27"/>
      <c r="AV64" s="32">
        <v>72.382140000000049</v>
      </c>
      <c r="AW64" s="32">
        <v>36.87144927380956</v>
      </c>
      <c r="AX64" s="44"/>
      <c r="AY64" s="30">
        <f t="shared" si="24"/>
        <v>351.16358927380963</v>
      </c>
      <c r="BA64" s="58">
        <v>3664.36</v>
      </c>
      <c r="BB64" s="63"/>
      <c r="BC64" s="58"/>
      <c r="BD64" s="60"/>
      <c r="BE64" s="27"/>
      <c r="BF64" s="32">
        <v>109.14640000000009</v>
      </c>
      <c r="BG64" s="52"/>
      <c r="BH64" s="52"/>
      <c r="BI64" s="30">
        <f t="shared" si="25"/>
        <v>109.14640000000009</v>
      </c>
      <c r="BK64" s="58">
        <v>18173.330000000002</v>
      </c>
      <c r="BL64" s="63">
        <v>1670.29</v>
      </c>
      <c r="BM64" s="58">
        <v>194.39</v>
      </c>
      <c r="BN64" s="60"/>
      <c r="BO64" s="27"/>
      <c r="BP64" s="32">
        <v>92.297479999999965</v>
      </c>
      <c r="BQ64" s="32"/>
      <c r="BR64" s="42">
        <v>590.74159665076195</v>
      </c>
      <c r="BS64" s="52"/>
      <c r="BT64" s="30">
        <f t="shared" si="29"/>
        <v>877.42907665076189</v>
      </c>
      <c r="BV64" s="58">
        <v>3520.57</v>
      </c>
      <c r="BW64" s="63">
        <v>1510.59</v>
      </c>
      <c r="BX64" s="58">
        <v>9.5500000000000007</v>
      </c>
      <c r="BY64" s="60"/>
      <c r="BZ64" s="27"/>
      <c r="CA64" s="51"/>
      <c r="CB64" s="52"/>
      <c r="CC64" s="52"/>
      <c r="CD64" s="30">
        <f t="shared" si="26"/>
        <v>9.5500000000000007</v>
      </c>
      <c r="CF64" s="58">
        <v>2308.67</v>
      </c>
      <c r="CG64" s="63"/>
      <c r="CH64" s="58">
        <v>50.41</v>
      </c>
      <c r="CI64" s="60"/>
      <c r="CJ64" s="27"/>
      <c r="CK64" s="32">
        <v>36.639999999999986</v>
      </c>
      <c r="CL64" s="42"/>
      <c r="CM64" s="52"/>
      <c r="CN64" s="30">
        <f t="shared" si="27"/>
        <v>87.049999999999983</v>
      </c>
      <c r="CP64" s="58">
        <v>2279.21</v>
      </c>
      <c r="CQ64" s="58">
        <v>1016.51</v>
      </c>
      <c r="CR64" s="63">
        <v>2778.6</v>
      </c>
      <c r="CS64" s="58"/>
      <c r="CT64" s="60"/>
      <c r="CU64" s="27"/>
      <c r="CV64" s="51"/>
      <c r="CW64" s="42">
        <v>32.662514909047616</v>
      </c>
      <c r="CX64" s="52"/>
      <c r="CY64" s="229">
        <f t="shared" si="28"/>
        <v>32.662514909047616</v>
      </c>
    </row>
    <row r="65" spans="1:103" s="217" customFormat="1" hidden="1" x14ac:dyDescent="0.25">
      <c r="A65" s="47">
        <v>46377</v>
      </c>
      <c r="B65" s="230">
        <v>1496.94</v>
      </c>
      <c r="C65" s="231">
        <v>3342.84</v>
      </c>
      <c r="D65" s="230">
        <v>71.2</v>
      </c>
      <c r="E65" s="232">
        <v>26.8</v>
      </c>
      <c r="F65" s="27"/>
      <c r="G65" s="32"/>
      <c r="H65" s="52"/>
      <c r="I65" s="44"/>
      <c r="J65" s="30">
        <f t="shared" si="21"/>
        <v>71.2</v>
      </c>
      <c r="L65" s="58">
        <v>5761.53</v>
      </c>
      <c r="M65" s="63">
        <v>5258.29</v>
      </c>
      <c r="N65" s="58">
        <v>10.49</v>
      </c>
      <c r="O65" s="60"/>
      <c r="P65" s="27"/>
      <c r="Q65" s="32">
        <v>100.19160000000002</v>
      </c>
      <c r="R65" s="32"/>
      <c r="S65" s="42"/>
      <c r="T65" s="44">
        <v>43.152000000000044</v>
      </c>
      <c r="U65" s="30">
        <f t="shared" si="20"/>
        <v>153.83360000000008</v>
      </c>
      <c r="V65" s="228"/>
      <c r="W65" s="58">
        <v>1727.05</v>
      </c>
      <c r="X65" s="63"/>
      <c r="Y65" s="58"/>
      <c r="Z65" s="60"/>
      <c r="AA65" s="27"/>
      <c r="AB65" s="32"/>
      <c r="AC65" s="52"/>
      <c r="AD65" s="52"/>
      <c r="AE65" s="30">
        <f t="shared" si="22"/>
        <v>0</v>
      </c>
      <c r="AG65" s="58">
        <v>4258.7</v>
      </c>
      <c r="AH65" s="63">
        <v>351.22</v>
      </c>
      <c r="AI65" s="58"/>
      <c r="AJ65" s="60"/>
      <c r="AK65" s="27"/>
      <c r="AL65" s="51"/>
      <c r="AM65" s="52"/>
      <c r="AN65" s="52"/>
      <c r="AO65" s="30">
        <f t="shared" si="23"/>
        <v>0</v>
      </c>
      <c r="AQ65" s="58">
        <v>3832.45</v>
      </c>
      <c r="AR65" s="58">
        <v>705.71</v>
      </c>
      <c r="AS65" s="58">
        <v>134.72999999999999</v>
      </c>
      <c r="AT65" s="62"/>
      <c r="AU65" s="27"/>
      <c r="AV65" s="32">
        <v>41.369950000000046</v>
      </c>
      <c r="AW65" s="32"/>
      <c r="AX65" s="44"/>
      <c r="AY65" s="30">
        <f t="shared" si="24"/>
        <v>176.09995000000004</v>
      </c>
      <c r="BA65" s="58">
        <v>2730.05</v>
      </c>
      <c r="BB65" s="63"/>
      <c r="BC65" s="58"/>
      <c r="BD65" s="60"/>
      <c r="BE65" s="27"/>
      <c r="BF65" s="32">
        <v>75.122310000000056</v>
      </c>
      <c r="BG65" s="52"/>
      <c r="BH65" s="52"/>
      <c r="BI65" s="30">
        <f t="shared" si="25"/>
        <v>75.122310000000056</v>
      </c>
      <c r="BK65" s="58">
        <v>17113.400000000001</v>
      </c>
      <c r="BL65" s="63">
        <v>1228.44</v>
      </c>
      <c r="BM65" s="58">
        <v>118.21</v>
      </c>
      <c r="BN65" s="60"/>
      <c r="BO65" s="27"/>
      <c r="BP65" s="32">
        <v>122.77459999999996</v>
      </c>
      <c r="BQ65" s="32"/>
      <c r="BR65" s="42">
        <v>32.115274170952375</v>
      </c>
      <c r="BS65" s="52"/>
      <c r="BT65" s="30">
        <f t="shared" si="29"/>
        <v>273.09987417095232</v>
      </c>
      <c r="BV65" s="58">
        <v>2051.7600000000002</v>
      </c>
      <c r="BW65" s="63">
        <v>841.48</v>
      </c>
      <c r="BX65" s="58"/>
      <c r="BY65" s="60"/>
      <c r="BZ65" s="27"/>
      <c r="CA65" s="51"/>
      <c r="CB65" s="52"/>
      <c r="CC65" s="52"/>
      <c r="CD65" s="30">
        <f t="shared" si="26"/>
        <v>0</v>
      </c>
      <c r="CF65" s="58">
        <v>2201.9899999999998</v>
      </c>
      <c r="CG65" s="63"/>
      <c r="CH65" s="58">
        <v>53.79</v>
      </c>
      <c r="CI65" s="60"/>
      <c r="CJ65" s="27"/>
      <c r="CK65" s="32"/>
      <c r="CL65" s="42"/>
      <c r="CM65" s="52"/>
      <c r="CN65" s="30">
        <f t="shared" si="27"/>
        <v>53.79</v>
      </c>
      <c r="CP65" s="58">
        <v>2096.59</v>
      </c>
      <c r="CQ65" s="58">
        <v>533.07000000000005</v>
      </c>
      <c r="CR65" s="63">
        <v>2468.6999999999998</v>
      </c>
      <c r="CS65" s="58"/>
      <c r="CT65" s="60"/>
      <c r="CU65" s="27"/>
      <c r="CV65" s="51">
        <v>27.394639999999995</v>
      </c>
      <c r="CW65" s="42"/>
      <c r="CX65" s="52"/>
      <c r="CY65" s="229">
        <f t="shared" si="28"/>
        <v>27.394639999999995</v>
      </c>
    </row>
    <row r="66" spans="1:103" s="217" customFormat="1" hidden="1" x14ac:dyDescent="0.25">
      <c r="A66" s="47">
        <v>46378</v>
      </c>
      <c r="B66" s="230">
        <v>1969.63</v>
      </c>
      <c r="C66" s="231">
        <v>3297.36</v>
      </c>
      <c r="D66" s="230">
        <v>398.2</v>
      </c>
      <c r="E66" s="232">
        <v>2.36</v>
      </c>
      <c r="F66" s="27"/>
      <c r="G66" s="32">
        <v>11.36</v>
      </c>
      <c r="H66" s="52"/>
      <c r="I66" s="44">
        <v>143.78462500000001</v>
      </c>
      <c r="J66" s="30">
        <f t="shared" si="21"/>
        <v>553.34462499999995</v>
      </c>
      <c r="L66" s="58">
        <v>6662.73</v>
      </c>
      <c r="M66" s="63">
        <v>6290.49</v>
      </c>
      <c r="N66" s="58">
        <v>49.15</v>
      </c>
      <c r="O66" s="60"/>
      <c r="P66" s="27"/>
      <c r="Q66" s="32">
        <v>870.3370000000001</v>
      </c>
      <c r="R66" s="32"/>
      <c r="S66" s="42"/>
      <c r="T66" s="44"/>
      <c r="U66" s="30">
        <f t="shared" si="20"/>
        <v>919.48700000000008</v>
      </c>
      <c r="V66" s="228"/>
      <c r="W66" s="58">
        <v>1826.02</v>
      </c>
      <c r="X66" s="63"/>
      <c r="Y66" s="58"/>
      <c r="Z66" s="60"/>
      <c r="AA66" s="27"/>
      <c r="AB66" s="32"/>
      <c r="AC66" s="52"/>
      <c r="AD66" s="52"/>
      <c r="AE66" s="30">
        <f t="shared" si="22"/>
        <v>0</v>
      </c>
      <c r="AG66" s="58">
        <v>5477.67</v>
      </c>
      <c r="AH66" s="63">
        <v>707.97</v>
      </c>
      <c r="AI66" s="58"/>
      <c r="AJ66" s="60"/>
      <c r="AK66" s="27"/>
      <c r="AL66" s="51"/>
      <c r="AM66" s="52"/>
      <c r="AN66" s="52"/>
      <c r="AO66" s="30">
        <f t="shared" si="23"/>
        <v>0</v>
      </c>
      <c r="AQ66" s="58">
        <v>9019.33</v>
      </c>
      <c r="AR66" s="58">
        <v>1200.55</v>
      </c>
      <c r="AS66" s="58">
        <v>460.71</v>
      </c>
      <c r="AT66" s="62"/>
      <c r="AU66" s="27"/>
      <c r="AV66" s="32">
        <v>234.03795000000011</v>
      </c>
      <c r="AW66" s="32">
        <v>27.976889446190484</v>
      </c>
      <c r="AX66" s="44">
        <v>24.986828400000036</v>
      </c>
      <c r="AY66" s="30">
        <f t="shared" si="24"/>
        <v>747.71166784619061</v>
      </c>
      <c r="BA66" s="58">
        <v>5377.86</v>
      </c>
      <c r="BB66" s="63"/>
      <c r="BC66" s="58"/>
      <c r="BD66" s="60"/>
      <c r="BE66" s="27"/>
      <c r="BF66" s="32">
        <v>52.953600000000066</v>
      </c>
      <c r="BG66" s="52"/>
      <c r="BH66" s="52"/>
      <c r="BI66" s="30">
        <f t="shared" si="25"/>
        <v>52.953600000000066</v>
      </c>
      <c r="BK66" s="58">
        <v>26724.85</v>
      </c>
      <c r="BL66" s="63">
        <v>1090.23</v>
      </c>
      <c r="BM66" s="58">
        <v>533.51</v>
      </c>
      <c r="BN66" s="60"/>
      <c r="BO66" s="27"/>
      <c r="BP66" s="32">
        <v>82.984199999999959</v>
      </c>
      <c r="BQ66" s="32"/>
      <c r="BR66" s="42">
        <v>482.2018287246666</v>
      </c>
      <c r="BS66" s="52"/>
      <c r="BT66" s="30">
        <f t="shared" si="29"/>
        <v>1098.6960287246666</v>
      </c>
      <c r="BV66" s="58">
        <v>2962.08</v>
      </c>
      <c r="BW66" s="63">
        <v>839.83</v>
      </c>
      <c r="BX66" s="58">
        <v>4.03</v>
      </c>
      <c r="BY66" s="60"/>
      <c r="BZ66" s="27"/>
      <c r="CA66" s="51"/>
      <c r="CB66" s="52"/>
      <c r="CC66" s="52"/>
      <c r="CD66" s="30">
        <f t="shared" si="26"/>
        <v>4.03</v>
      </c>
      <c r="CF66" s="58">
        <v>2348.7600000000002</v>
      </c>
      <c r="CG66" s="63"/>
      <c r="CH66" s="58">
        <v>121.76</v>
      </c>
      <c r="CI66" s="60"/>
      <c r="CJ66" s="27"/>
      <c r="CK66" s="32">
        <v>205.93649999999997</v>
      </c>
      <c r="CL66" s="42"/>
      <c r="CM66" s="52"/>
      <c r="CN66" s="30">
        <f t="shared" si="27"/>
        <v>327.69649999999996</v>
      </c>
      <c r="CP66" s="58">
        <v>2779.44</v>
      </c>
      <c r="CQ66" s="58">
        <v>514.92999999999995</v>
      </c>
      <c r="CR66" s="63">
        <v>3151.94</v>
      </c>
      <c r="CS66" s="58"/>
      <c r="CT66" s="60"/>
      <c r="CU66" s="27"/>
      <c r="CV66" s="51"/>
      <c r="CW66" s="42">
        <v>316.40575280047619</v>
      </c>
      <c r="CX66" s="52"/>
      <c r="CY66" s="229">
        <f t="shared" si="28"/>
        <v>316.40575280047619</v>
      </c>
    </row>
    <row r="67" spans="1:103" s="217" customFormat="1" hidden="1" x14ac:dyDescent="0.25">
      <c r="A67" s="47">
        <v>46379</v>
      </c>
      <c r="B67" s="230">
        <v>2185.35</v>
      </c>
      <c r="C67" s="231">
        <v>3021.09</v>
      </c>
      <c r="D67" s="230">
        <v>333.97</v>
      </c>
      <c r="E67" s="232">
        <v>6.64</v>
      </c>
      <c r="F67" s="27"/>
      <c r="G67" s="32">
        <v>12.050000000000004</v>
      </c>
      <c r="H67" s="52"/>
      <c r="I67" s="44"/>
      <c r="J67" s="30">
        <f t="shared" si="21"/>
        <v>346.02000000000004</v>
      </c>
      <c r="L67" s="58">
        <v>7750.98</v>
      </c>
      <c r="M67" s="63">
        <v>5438.55</v>
      </c>
      <c r="N67" s="58">
        <v>6.42</v>
      </c>
      <c r="O67" s="60"/>
      <c r="P67" s="27"/>
      <c r="Q67" s="32">
        <v>427.20668999999998</v>
      </c>
      <c r="R67" s="32"/>
      <c r="S67" s="42"/>
      <c r="T67" s="44">
        <v>224.39040000000023</v>
      </c>
      <c r="U67" s="30">
        <f t="shared" si="20"/>
        <v>658.01709000000017</v>
      </c>
      <c r="V67" s="228"/>
      <c r="W67" s="58">
        <v>1935.6</v>
      </c>
      <c r="X67" s="63"/>
      <c r="Y67" s="58"/>
      <c r="Z67" s="60"/>
      <c r="AA67" s="27"/>
      <c r="AB67" s="32"/>
      <c r="AC67" s="52"/>
      <c r="AD67" s="52"/>
      <c r="AE67" s="30">
        <f t="shared" si="22"/>
        <v>0</v>
      </c>
      <c r="AG67" s="58">
        <v>5787.72</v>
      </c>
      <c r="AH67" s="63">
        <v>705.92</v>
      </c>
      <c r="AI67" s="58"/>
      <c r="AJ67" s="60"/>
      <c r="AK67" s="27"/>
      <c r="AL67" s="51"/>
      <c r="AM67" s="52"/>
      <c r="AN67" s="52"/>
      <c r="AO67" s="30">
        <f t="shared" si="23"/>
        <v>0</v>
      </c>
      <c r="AQ67" s="58">
        <v>8691</v>
      </c>
      <c r="AR67" s="58">
        <v>928.55</v>
      </c>
      <c r="AS67" s="58">
        <v>475.77</v>
      </c>
      <c r="AT67" s="62"/>
      <c r="AU67" s="27"/>
      <c r="AV67" s="32">
        <v>201.90363000000002</v>
      </c>
      <c r="AW67" s="32">
        <v>128.22025227428568</v>
      </c>
      <c r="AX67" s="44"/>
      <c r="AY67" s="30">
        <f t="shared" si="24"/>
        <v>805.89388227428572</v>
      </c>
      <c r="BA67" s="58">
        <v>6147.07</v>
      </c>
      <c r="BB67" s="63"/>
      <c r="BC67" s="58"/>
      <c r="BD67" s="60"/>
      <c r="BE67" s="27"/>
      <c r="BF67" s="32">
        <v>98.726400000000098</v>
      </c>
      <c r="BG67" s="52"/>
      <c r="BH67" s="52"/>
      <c r="BI67" s="30">
        <f t="shared" si="25"/>
        <v>98.726400000000098</v>
      </c>
      <c r="BK67" s="58">
        <v>18470.25</v>
      </c>
      <c r="BL67" s="63">
        <v>1474.11</v>
      </c>
      <c r="BM67" s="58">
        <v>157.53</v>
      </c>
      <c r="BN67" s="60"/>
      <c r="BO67" s="27"/>
      <c r="BP67" s="32">
        <v>729.5436400000001</v>
      </c>
      <c r="BQ67" s="32"/>
      <c r="BR67" s="42"/>
      <c r="BS67" s="52"/>
      <c r="BT67" s="30">
        <f t="shared" si="29"/>
        <v>887.07364000000007</v>
      </c>
      <c r="BV67" s="58">
        <v>2485.0700000000002</v>
      </c>
      <c r="BW67" s="63">
        <v>340.12</v>
      </c>
      <c r="BX67" s="58">
        <v>3.35</v>
      </c>
      <c r="BY67" s="60"/>
      <c r="BZ67" s="27"/>
      <c r="CA67" s="51"/>
      <c r="CB67" s="52"/>
      <c r="CC67" s="52"/>
      <c r="CD67" s="30">
        <f t="shared" si="26"/>
        <v>3.35</v>
      </c>
      <c r="CF67" s="58">
        <v>1965.72</v>
      </c>
      <c r="CG67" s="63"/>
      <c r="CH67" s="58">
        <v>70.099999999999994</v>
      </c>
      <c r="CI67" s="60"/>
      <c r="CJ67" s="27"/>
      <c r="CK67" s="32"/>
      <c r="CL67" s="42"/>
      <c r="CM67" s="52"/>
      <c r="CN67" s="30">
        <f t="shared" si="27"/>
        <v>70.099999999999994</v>
      </c>
      <c r="CP67" s="58">
        <v>2193.12</v>
      </c>
      <c r="CQ67" s="58">
        <v>989.32</v>
      </c>
      <c r="CR67" s="63">
        <v>2968.23</v>
      </c>
      <c r="CS67" s="58">
        <v>14.07</v>
      </c>
      <c r="CT67" s="60"/>
      <c r="CU67" s="27"/>
      <c r="CV67" s="51"/>
      <c r="CW67" s="42">
        <v>139.3620306857143</v>
      </c>
      <c r="CX67" s="52"/>
      <c r="CY67" s="229">
        <f t="shared" si="28"/>
        <v>153.4320306857143</v>
      </c>
    </row>
    <row r="68" spans="1:103" s="217" customFormat="1" hidden="1" x14ac:dyDescent="0.25">
      <c r="A68" s="47">
        <v>46380</v>
      </c>
      <c r="B68" s="230">
        <v>1346.56</v>
      </c>
      <c r="C68" s="231">
        <v>3309.26</v>
      </c>
      <c r="D68" s="230">
        <v>123.98</v>
      </c>
      <c r="E68" s="232">
        <v>2.6</v>
      </c>
      <c r="F68" s="27"/>
      <c r="G68" s="32">
        <v>298.19999999999993</v>
      </c>
      <c r="H68" s="52"/>
      <c r="I68" s="44"/>
      <c r="J68" s="30">
        <f t="shared" si="21"/>
        <v>422.17999999999995</v>
      </c>
      <c r="L68" s="58">
        <v>5874.76</v>
      </c>
      <c r="M68" s="63">
        <v>4719.5</v>
      </c>
      <c r="N68" s="58">
        <v>13.43</v>
      </c>
      <c r="O68" s="60"/>
      <c r="P68" s="27"/>
      <c r="Q68" s="32">
        <v>456.7702000000001</v>
      </c>
      <c r="R68" s="32"/>
      <c r="S68" s="42"/>
      <c r="T68" s="44"/>
      <c r="U68" s="30">
        <f t="shared" si="20"/>
        <v>470.20020000000011</v>
      </c>
      <c r="V68" s="228"/>
      <c r="W68" s="58">
        <v>990.07</v>
      </c>
      <c r="X68" s="63"/>
      <c r="Y68" s="58"/>
      <c r="Z68" s="60"/>
      <c r="AA68" s="27"/>
      <c r="AB68" s="32"/>
      <c r="AC68" s="52"/>
      <c r="AD68" s="52"/>
      <c r="AE68" s="30">
        <f t="shared" si="22"/>
        <v>0</v>
      </c>
      <c r="AG68" s="58">
        <v>2703.09</v>
      </c>
      <c r="AH68" s="63">
        <v>505.01</v>
      </c>
      <c r="AI68" s="58"/>
      <c r="AJ68" s="60"/>
      <c r="AK68" s="27"/>
      <c r="AL68" s="51"/>
      <c r="AM68" s="52"/>
      <c r="AN68" s="52"/>
      <c r="AO68" s="30">
        <f t="shared" si="23"/>
        <v>0</v>
      </c>
      <c r="AQ68" s="58">
        <v>5239.0600000000004</v>
      </c>
      <c r="AR68" s="58">
        <v>856.99</v>
      </c>
      <c r="AS68" s="58">
        <v>51.38</v>
      </c>
      <c r="AT68" s="62"/>
      <c r="AU68" s="27"/>
      <c r="AV68" s="32">
        <v>161.03409000000002</v>
      </c>
      <c r="AW68" s="53"/>
      <c r="AX68" s="44"/>
      <c r="AY68" s="30">
        <f t="shared" si="24"/>
        <v>212.41409000000002</v>
      </c>
      <c r="BA68" s="58">
        <v>1789.53</v>
      </c>
      <c r="BB68" s="63"/>
      <c r="BC68" s="58"/>
      <c r="BD68" s="60"/>
      <c r="BE68" s="27"/>
      <c r="BF68" s="32">
        <v>28.884000000000015</v>
      </c>
      <c r="BG68" s="52"/>
      <c r="BH68" s="52"/>
      <c r="BI68" s="30">
        <f t="shared" si="25"/>
        <v>28.884000000000015</v>
      </c>
      <c r="BK68" s="58">
        <v>13114.61</v>
      </c>
      <c r="BL68" s="63">
        <v>1190.96</v>
      </c>
      <c r="BM68" s="58">
        <v>101.03</v>
      </c>
      <c r="BN68" s="60"/>
      <c r="BO68" s="27"/>
      <c r="BP68" s="32">
        <v>99.091199999999972</v>
      </c>
      <c r="BQ68" s="32"/>
      <c r="BR68" s="42">
        <v>47.678645758857158</v>
      </c>
      <c r="BS68" s="52"/>
      <c r="BT68" s="30">
        <f t="shared" si="29"/>
        <v>247.79984575885712</v>
      </c>
      <c r="BV68" s="58">
        <v>2395.75</v>
      </c>
      <c r="BW68" s="63">
        <v>967.81</v>
      </c>
      <c r="BX68" s="58">
        <v>3.8</v>
      </c>
      <c r="BY68" s="60"/>
      <c r="BZ68" s="27"/>
      <c r="CA68" s="51"/>
      <c r="CB68" s="52"/>
      <c r="CC68" s="52"/>
      <c r="CD68" s="30">
        <f t="shared" si="26"/>
        <v>3.8</v>
      </c>
      <c r="CF68" s="58">
        <v>1889.47</v>
      </c>
      <c r="CG68" s="63"/>
      <c r="CH68" s="58">
        <v>24.71</v>
      </c>
      <c r="CI68" s="60"/>
      <c r="CJ68" s="27"/>
      <c r="CK68" s="32">
        <v>4.9234999999999971</v>
      </c>
      <c r="CL68" s="42"/>
      <c r="CM68" s="52"/>
      <c r="CN68" s="30">
        <f t="shared" si="27"/>
        <v>29.633499999999998</v>
      </c>
      <c r="CP68" s="58">
        <v>2424.8200000000002</v>
      </c>
      <c r="CQ68" s="58">
        <v>792.59</v>
      </c>
      <c r="CR68" s="63">
        <v>4162.8500000000004</v>
      </c>
      <c r="CS68" s="58"/>
      <c r="CT68" s="60"/>
      <c r="CU68" s="27"/>
      <c r="CV68" s="51"/>
      <c r="CW68" s="42">
        <v>51.766728371428556</v>
      </c>
      <c r="CX68" s="52"/>
      <c r="CY68" s="229">
        <f t="shared" si="28"/>
        <v>51.766728371428556</v>
      </c>
    </row>
    <row r="69" spans="1:103" s="217" customFormat="1" hidden="1" x14ac:dyDescent="0.25">
      <c r="A69" s="47">
        <v>46381</v>
      </c>
      <c r="B69" s="230">
        <v>3651.1</v>
      </c>
      <c r="C69" s="231">
        <v>1475.27</v>
      </c>
      <c r="D69" s="230">
        <v>72.010000000000005</v>
      </c>
      <c r="E69" s="232">
        <v>0.88</v>
      </c>
      <c r="F69" s="27"/>
      <c r="G69" s="32"/>
      <c r="H69" s="52"/>
      <c r="I69" s="44"/>
      <c r="J69" s="30">
        <f t="shared" si="21"/>
        <v>72.010000000000005</v>
      </c>
      <c r="L69" s="58">
        <v>5061.87</v>
      </c>
      <c r="M69" s="63">
        <v>3996.77</v>
      </c>
      <c r="N69" s="58">
        <v>6.65</v>
      </c>
      <c r="O69" s="60"/>
      <c r="P69" s="27"/>
      <c r="Q69" s="32">
        <v>13.370000000000005</v>
      </c>
      <c r="R69" s="32"/>
      <c r="S69" s="42"/>
      <c r="T69" s="44">
        <v>24.853514300000015</v>
      </c>
      <c r="U69" s="30">
        <f t="shared" si="20"/>
        <v>44.873514300000018</v>
      </c>
      <c r="V69" s="228"/>
      <c r="W69" s="58">
        <v>2448.06</v>
      </c>
      <c r="X69" s="63"/>
      <c r="Y69" s="58"/>
      <c r="Z69" s="60"/>
      <c r="AA69" s="27"/>
      <c r="AB69" s="32"/>
      <c r="AC69" s="52"/>
      <c r="AD69" s="52"/>
      <c r="AE69" s="30">
        <f t="shared" si="22"/>
        <v>0</v>
      </c>
      <c r="AG69" s="58">
        <v>1673.6599999999999</v>
      </c>
      <c r="AH69" s="63">
        <v>540.1</v>
      </c>
      <c r="AI69" s="58"/>
      <c r="AJ69" s="60"/>
      <c r="AK69" s="27"/>
      <c r="AL69" s="51"/>
      <c r="AM69" s="52"/>
      <c r="AN69" s="52"/>
      <c r="AO69" s="30">
        <f t="shared" si="23"/>
        <v>0</v>
      </c>
      <c r="AQ69" s="58">
        <v>3658.27</v>
      </c>
      <c r="AR69" s="58">
        <v>1087.42</v>
      </c>
      <c r="AS69" s="58">
        <v>163.78</v>
      </c>
      <c r="AT69" s="62"/>
      <c r="AU69" s="27"/>
      <c r="AV69" s="32">
        <v>64.199999999999989</v>
      </c>
      <c r="AW69" s="53"/>
      <c r="AX69" s="44"/>
      <c r="AY69" s="30">
        <f t="shared" si="24"/>
        <v>227.98</v>
      </c>
      <c r="BA69" s="58">
        <v>2726.8</v>
      </c>
      <c r="BB69" s="63"/>
      <c r="BC69" s="58"/>
      <c r="BD69" s="60"/>
      <c r="BE69" s="27"/>
      <c r="BF69" s="32">
        <v>7.3237500000000182</v>
      </c>
      <c r="BG69" s="52"/>
      <c r="BH69" s="52"/>
      <c r="BI69" s="30">
        <f t="shared" si="25"/>
        <v>7.3237500000000182</v>
      </c>
      <c r="BK69" s="58">
        <v>7844.39</v>
      </c>
      <c r="BL69" s="63">
        <v>839.18</v>
      </c>
      <c r="BM69" s="58">
        <v>42.87</v>
      </c>
      <c r="BN69" s="60"/>
      <c r="BO69" s="27"/>
      <c r="BP69" s="32">
        <v>29.542820000000006</v>
      </c>
      <c r="BQ69" s="32"/>
      <c r="BR69" s="42"/>
      <c r="BS69" s="52"/>
      <c r="BT69" s="30">
        <f t="shared" si="29"/>
        <v>72.412820000000011</v>
      </c>
      <c r="BV69" s="58">
        <v>1691.14</v>
      </c>
      <c r="BW69" s="63">
        <v>734.35</v>
      </c>
      <c r="BX69" s="58"/>
      <c r="BY69" s="60"/>
      <c r="BZ69" s="27"/>
      <c r="CA69" s="51"/>
      <c r="CB69" s="52"/>
      <c r="CC69" s="52"/>
      <c r="CD69" s="30">
        <f t="shared" si="26"/>
        <v>0</v>
      </c>
      <c r="CF69" s="58">
        <v>1556.41</v>
      </c>
      <c r="CG69" s="63"/>
      <c r="CH69" s="58">
        <v>403.7</v>
      </c>
      <c r="CI69" s="60"/>
      <c r="CJ69" s="27"/>
      <c r="CK69" s="32"/>
      <c r="CL69" s="42"/>
      <c r="CM69" s="52"/>
      <c r="CN69" s="30">
        <f t="shared" si="27"/>
        <v>403.7</v>
      </c>
      <c r="CP69" s="58">
        <v>1344.63</v>
      </c>
      <c r="CQ69" s="58">
        <v>574.73</v>
      </c>
      <c r="CR69" s="63">
        <v>1840.87</v>
      </c>
      <c r="CS69" s="58"/>
      <c r="CT69" s="60"/>
      <c r="CU69" s="27"/>
      <c r="CV69" s="51"/>
      <c r="CW69" s="42"/>
      <c r="CX69" s="52"/>
      <c r="CY69" s="229">
        <f t="shared" si="28"/>
        <v>0</v>
      </c>
    </row>
    <row r="70" spans="1:103" s="217" customFormat="1" hidden="1" x14ac:dyDescent="0.25">
      <c r="A70" s="47">
        <v>46382</v>
      </c>
      <c r="B70" s="230">
        <v>685.09</v>
      </c>
      <c r="C70" s="231">
        <v>3224.99</v>
      </c>
      <c r="D70" s="230">
        <v>398.69</v>
      </c>
      <c r="E70" s="232">
        <v>1.07</v>
      </c>
      <c r="F70" s="27"/>
      <c r="G70" s="32">
        <v>10.36</v>
      </c>
      <c r="H70" s="52"/>
      <c r="I70" s="44">
        <v>175.63018460000012</v>
      </c>
      <c r="J70" s="30">
        <f t="shared" si="21"/>
        <v>584.68018460000008</v>
      </c>
      <c r="L70" s="58">
        <v>4894.3900000000003</v>
      </c>
      <c r="M70" s="63">
        <v>4665.74</v>
      </c>
      <c r="N70" s="58">
        <v>56.81</v>
      </c>
      <c r="O70" s="60"/>
      <c r="P70" s="27"/>
      <c r="Q70" s="32">
        <v>148.58320000000003</v>
      </c>
      <c r="R70" s="32"/>
      <c r="S70" s="42"/>
      <c r="T70" s="44">
        <v>104.49416480000005</v>
      </c>
      <c r="U70" s="30">
        <f t="shared" si="20"/>
        <v>309.88736480000011</v>
      </c>
      <c r="V70" s="228"/>
      <c r="W70" s="58">
        <v>1807.44</v>
      </c>
      <c r="X70" s="63"/>
      <c r="Y70" s="58"/>
      <c r="Z70" s="60"/>
      <c r="AA70" s="27"/>
      <c r="AB70" s="32"/>
      <c r="AC70" s="52"/>
      <c r="AD70" s="52"/>
      <c r="AE70" s="30">
        <f t="shared" si="22"/>
        <v>0</v>
      </c>
      <c r="AG70" s="58">
        <v>6974.99</v>
      </c>
      <c r="AH70" s="63">
        <v>658.15</v>
      </c>
      <c r="AI70" s="58"/>
      <c r="AJ70" s="60"/>
      <c r="AK70" s="27"/>
      <c r="AL70" s="51"/>
      <c r="AM70" s="52"/>
      <c r="AN70" s="52"/>
      <c r="AO70" s="30">
        <f t="shared" si="23"/>
        <v>0</v>
      </c>
      <c r="AQ70" s="58">
        <v>11501.87</v>
      </c>
      <c r="AR70" s="58">
        <v>598</v>
      </c>
      <c r="AS70" s="58">
        <v>414.67</v>
      </c>
      <c r="AT70" s="62"/>
      <c r="AU70" s="27"/>
      <c r="AV70" s="32">
        <v>169.70816000000005</v>
      </c>
      <c r="AW70" s="53">
        <v>14.804380954285733</v>
      </c>
      <c r="AX70" s="44"/>
      <c r="AY70" s="30">
        <f t="shared" si="24"/>
        <v>599.18254095428574</v>
      </c>
      <c r="BA70" s="58">
        <v>7025.33</v>
      </c>
      <c r="BB70" s="63"/>
      <c r="BC70" s="58">
        <v>217.5</v>
      </c>
      <c r="BD70" s="60"/>
      <c r="BE70" s="27"/>
      <c r="BF70" s="32">
        <v>5.341920000000016</v>
      </c>
      <c r="BG70" s="52"/>
      <c r="BH70" s="52"/>
      <c r="BI70" s="30">
        <f t="shared" si="25"/>
        <v>222.84192000000002</v>
      </c>
      <c r="BK70" s="58">
        <v>21420.98</v>
      </c>
      <c r="BL70" s="63">
        <v>1719.52</v>
      </c>
      <c r="BM70" s="58">
        <v>207.05</v>
      </c>
      <c r="BN70" s="60"/>
      <c r="BO70" s="27"/>
      <c r="BP70" s="32">
        <v>49.15055000000001</v>
      </c>
      <c r="BQ70" s="32"/>
      <c r="BR70" s="42">
        <v>49.023727594285731</v>
      </c>
      <c r="BS70" s="52"/>
      <c r="BT70" s="30">
        <f t="shared" si="29"/>
        <v>305.22427759428575</v>
      </c>
      <c r="BV70" s="58">
        <v>1372.46</v>
      </c>
      <c r="BW70" s="63">
        <v>604.11</v>
      </c>
      <c r="BX70" s="58">
        <v>6.1</v>
      </c>
      <c r="BY70" s="60"/>
      <c r="BZ70" s="27"/>
      <c r="CA70" s="51"/>
      <c r="CB70" s="52"/>
      <c r="CC70" s="52"/>
      <c r="CD70" s="30">
        <f t="shared" si="26"/>
        <v>6.1</v>
      </c>
      <c r="CF70" s="58">
        <v>1387.54</v>
      </c>
      <c r="CG70" s="63"/>
      <c r="CH70" s="58">
        <v>17.86</v>
      </c>
      <c r="CI70" s="60"/>
      <c r="CJ70" s="27"/>
      <c r="CK70" s="32"/>
      <c r="CL70" s="42"/>
      <c r="CM70" s="52"/>
      <c r="CN70" s="30">
        <f t="shared" si="27"/>
        <v>17.86</v>
      </c>
      <c r="CP70" s="58">
        <v>2205.98</v>
      </c>
      <c r="CQ70" s="58">
        <v>767.72</v>
      </c>
      <c r="CR70" s="63">
        <v>3473.67</v>
      </c>
      <c r="CS70" s="58"/>
      <c r="CT70" s="60"/>
      <c r="CU70" s="27"/>
      <c r="CV70" s="51"/>
      <c r="CW70" s="42">
        <v>105.44339235200002</v>
      </c>
      <c r="CX70" s="52"/>
      <c r="CY70" s="229">
        <f t="shared" si="28"/>
        <v>105.44339235200002</v>
      </c>
    </row>
    <row r="71" spans="1:103" s="217" customFormat="1" hidden="1" x14ac:dyDescent="0.25">
      <c r="A71" s="47">
        <v>46383</v>
      </c>
      <c r="B71" s="230">
        <v>2640.1</v>
      </c>
      <c r="C71" s="231">
        <v>2692.19</v>
      </c>
      <c r="D71" s="230">
        <v>302.89999999999998</v>
      </c>
      <c r="E71" s="232">
        <v>5.86</v>
      </c>
      <c r="F71" s="27"/>
      <c r="G71" s="32">
        <v>10.800000000000004</v>
      </c>
      <c r="H71" s="52"/>
      <c r="I71" s="44"/>
      <c r="J71" s="30">
        <f t="shared" si="21"/>
        <v>313.7</v>
      </c>
      <c r="L71" s="58">
        <v>5903.81</v>
      </c>
      <c r="M71" s="63">
        <v>5438.39</v>
      </c>
      <c r="N71" s="58">
        <v>37.86</v>
      </c>
      <c r="O71" s="60"/>
      <c r="P71" s="27"/>
      <c r="Q71" s="32">
        <v>576.77436000000012</v>
      </c>
      <c r="R71" s="32"/>
      <c r="S71" s="42"/>
      <c r="T71" s="44"/>
      <c r="U71" s="30">
        <f t="shared" si="20"/>
        <v>614.63436000000013</v>
      </c>
      <c r="V71" s="228"/>
      <c r="W71" s="58">
        <v>1416.22</v>
      </c>
      <c r="X71" s="63"/>
      <c r="Y71" s="58"/>
      <c r="Z71" s="60"/>
      <c r="AA71" s="27"/>
      <c r="AB71" s="32"/>
      <c r="AC71" s="52"/>
      <c r="AD71" s="52"/>
      <c r="AE71" s="30">
        <f t="shared" si="22"/>
        <v>0</v>
      </c>
      <c r="AG71" s="58">
        <v>6183.87</v>
      </c>
      <c r="AH71" s="63">
        <v>636.77</v>
      </c>
      <c r="AI71" s="58"/>
      <c r="AJ71" s="60"/>
      <c r="AK71" s="27"/>
      <c r="AL71" s="51"/>
      <c r="AM71" s="52"/>
      <c r="AN71" s="52"/>
      <c r="AO71" s="30">
        <f t="shared" si="23"/>
        <v>0</v>
      </c>
      <c r="AQ71" s="58">
        <v>8128.79</v>
      </c>
      <c r="AR71" s="58">
        <v>881.48</v>
      </c>
      <c r="AS71" s="58">
        <v>592.98</v>
      </c>
      <c r="AT71" s="62"/>
      <c r="AU71" s="27"/>
      <c r="AV71" s="32">
        <v>144.11185999999998</v>
      </c>
      <c r="AW71" s="53">
        <v>24.340417919999993</v>
      </c>
      <c r="AX71" s="44"/>
      <c r="AY71" s="30">
        <f t="shared" si="24"/>
        <v>761.43227791999993</v>
      </c>
      <c r="BA71" s="58">
        <v>3244.21</v>
      </c>
      <c r="BB71" s="63"/>
      <c r="BC71" s="58"/>
      <c r="BD71" s="60"/>
      <c r="BE71" s="27"/>
      <c r="BF71" s="32">
        <v>7.7562000000000069</v>
      </c>
      <c r="BG71" s="52"/>
      <c r="BH71" s="52"/>
      <c r="BI71" s="30">
        <f t="shared" si="25"/>
        <v>7.7562000000000069</v>
      </c>
      <c r="BK71" s="58">
        <v>22083.51</v>
      </c>
      <c r="BL71" s="63">
        <v>1287.69</v>
      </c>
      <c r="BM71" s="58">
        <v>642.63</v>
      </c>
      <c r="BN71" s="60"/>
      <c r="BO71" s="27"/>
      <c r="BP71" s="32">
        <v>193.87531999999996</v>
      </c>
      <c r="BQ71" s="32"/>
      <c r="BR71" s="42">
        <v>46.959586285714238</v>
      </c>
      <c r="BS71" s="52"/>
      <c r="BT71" s="30">
        <f t="shared" si="29"/>
        <v>883.46490628571416</v>
      </c>
      <c r="BV71" s="58">
        <v>1799.39</v>
      </c>
      <c r="BW71" s="63">
        <v>446.52</v>
      </c>
      <c r="BX71" s="58">
        <v>3.16</v>
      </c>
      <c r="BY71" s="60"/>
      <c r="BZ71" s="27"/>
      <c r="CA71" s="51"/>
      <c r="CB71" s="52"/>
      <c r="CC71" s="52"/>
      <c r="CD71" s="30">
        <f t="shared" si="26"/>
        <v>3.16</v>
      </c>
      <c r="CF71" s="58">
        <v>2811.27</v>
      </c>
      <c r="CG71" s="63"/>
      <c r="CH71" s="58">
        <v>103.31</v>
      </c>
      <c r="CI71" s="60"/>
      <c r="CJ71" s="27"/>
      <c r="CK71" s="32"/>
      <c r="CL71" s="42"/>
      <c r="CM71" s="52"/>
      <c r="CN71" s="30">
        <f t="shared" si="27"/>
        <v>103.31</v>
      </c>
      <c r="CP71" s="58">
        <v>5157.05</v>
      </c>
      <c r="CQ71" s="58">
        <v>989.94</v>
      </c>
      <c r="CR71" s="63">
        <v>5198.0200000000004</v>
      </c>
      <c r="CS71" s="58">
        <v>18.760000000000002</v>
      </c>
      <c r="CT71" s="60"/>
      <c r="CU71" s="27"/>
      <c r="CV71" s="51"/>
      <c r="CW71" s="42">
        <v>114.95530423428568</v>
      </c>
      <c r="CX71" s="52"/>
      <c r="CY71" s="229">
        <f t="shared" si="28"/>
        <v>133.71530423428567</v>
      </c>
    </row>
    <row r="72" spans="1:103" s="217" customFormat="1" hidden="1" x14ac:dyDescent="0.25">
      <c r="A72" s="47">
        <v>46384</v>
      </c>
      <c r="B72" s="230">
        <v>1550.22</v>
      </c>
      <c r="C72" s="231">
        <v>2300.4</v>
      </c>
      <c r="D72" s="230">
        <v>101.47</v>
      </c>
      <c r="E72" s="232">
        <v>22.01</v>
      </c>
      <c r="F72" s="27"/>
      <c r="G72" s="32"/>
      <c r="H72" s="52"/>
      <c r="I72" s="44"/>
      <c r="J72" s="30">
        <f t="shared" si="21"/>
        <v>101.47</v>
      </c>
      <c r="L72" s="58">
        <v>5193.3900000000003</v>
      </c>
      <c r="M72" s="63">
        <v>4124.28</v>
      </c>
      <c r="N72" s="58">
        <v>31.89</v>
      </c>
      <c r="O72" s="60"/>
      <c r="P72" s="27"/>
      <c r="Q72" s="32">
        <v>84.167650000000023</v>
      </c>
      <c r="R72" s="32"/>
      <c r="S72" s="42"/>
      <c r="T72" s="44"/>
      <c r="U72" s="30">
        <f t="shared" si="20"/>
        <v>116.05765000000002</v>
      </c>
      <c r="V72" s="228"/>
      <c r="W72" s="58">
        <v>455.41</v>
      </c>
      <c r="X72" s="63"/>
      <c r="Y72" s="58"/>
      <c r="Z72" s="60"/>
      <c r="AA72" s="27"/>
      <c r="AB72" s="32"/>
      <c r="AC72" s="52"/>
      <c r="AD72" s="52"/>
      <c r="AE72" s="30">
        <f t="shared" si="22"/>
        <v>0</v>
      </c>
      <c r="AG72" s="58">
        <v>3603.79</v>
      </c>
      <c r="AH72" s="63">
        <v>347.19</v>
      </c>
      <c r="AI72" s="58"/>
      <c r="AJ72" s="60"/>
      <c r="AK72" s="27"/>
      <c r="AL72" s="51"/>
      <c r="AM72" s="52"/>
      <c r="AN72" s="52"/>
      <c r="AO72" s="30">
        <f t="shared" si="23"/>
        <v>0</v>
      </c>
      <c r="AQ72" s="58">
        <v>3829.89</v>
      </c>
      <c r="AR72" s="58">
        <v>841.38</v>
      </c>
      <c r="AS72" s="58">
        <v>140.62</v>
      </c>
      <c r="AT72" s="62"/>
      <c r="AU72" s="27"/>
      <c r="AV72" s="32">
        <v>64.843319999999977</v>
      </c>
      <c r="AW72" s="53"/>
      <c r="AX72" s="44"/>
      <c r="AY72" s="30">
        <f t="shared" si="24"/>
        <v>205.46331999999998</v>
      </c>
      <c r="BA72" s="58">
        <v>2139.7600000000002</v>
      </c>
      <c r="BB72" s="63"/>
      <c r="BC72" s="58"/>
      <c r="BD72" s="60"/>
      <c r="BE72" s="27"/>
      <c r="BF72" s="32">
        <v>10.039659999999984</v>
      </c>
      <c r="BG72" s="52"/>
      <c r="BH72" s="52"/>
      <c r="BI72" s="30">
        <f t="shared" si="25"/>
        <v>10.039659999999984</v>
      </c>
      <c r="BK72" s="58">
        <v>7657.24</v>
      </c>
      <c r="BL72" s="63">
        <v>1421.7</v>
      </c>
      <c r="BM72" s="58">
        <v>212.56</v>
      </c>
      <c r="BN72" s="60"/>
      <c r="BO72" s="27"/>
      <c r="BP72" s="32">
        <v>135.98349000000007</v>
      </c>
      <c r="BQ72" s="32"/>
      <c r="BR72" s="42">
        <v>23.517927613714321</v>
      </c>
      <c r="BS72" s="52"/>
      <c r="BT72" s="30">
        <f t="shared" si="29"/>
        <v>372.06141761371441</v>
      </c>
      <c r="BV72" s="58">
        <v>1490.89</v>
      </c>
      <c r="BW72" s="63">
        <v>657.2</v>
      </c>
      <c r="BX72" s="58"/>
      <c r="BY72" s="60"/>
      <c r="BZ72" s="27"/>
      <c r="CA72" s="51"/>
      <c r="CB72" s="52"/>
      <c r="CC72" s="52"/>
      <c r="CD72" s="30">
        <f t="shared" si="26"/>
        <v>0</v>
      </c>
      <c r="CF72" s="58">
        <v>1572.52</v>
      </c>
      <c r="CG72" s="63"/>
      <c r="CH72" s="58">
        <v>9.83</v>
      </c>
      <c r="CI72" s="60"/>
      <c r="CJ72" s="27"/>
      <c r="CK72" s="32"/>
      <c r="CL72" s="42"/>
      <c r="CM72" s="52"/>
      <c r="CN72" s="30">
        <f t="shared" si="27"/>
        <v>9.83</v>
      </c>
      <c r="CP72" s="58">
        <v>3178.8</v>
      </c>
      <c r="CQ72" s="58">
        <v>870.35</v>
      </c>
      <c r="CR72" s="63">
        <v>2705.93</v>
      </c>
      <c r="CS72" s="58">
        <v>42.12</v>
      </c>
      <c r="CT72" s="60"/>
      <c r="CU72" s="27"/>
      <c r="CV72" s="51"/>
      <c r="CW72" s="42">
        <v>51.268226594285693</v>
      </c>
      <c r="CX72" s="52"/>
      <c r="CY72" s="229">
        <f t="shared" si="28"/>
        <v>93.388226594285698</v>
      </c>
    </row>
    <row r="73" spans="1:103" s="217" customFormat="1" hidden="1" x14ac:dyDescent="0.25">
      <c r="A73" s="47">
        <v>46385</v>
      </c>
      <c r="B73" s="230">
        <v>5466.41</v>
      </c>
      <c r="C73" s="231">
        <v>3149.58</v>
      </c>
      <c r="D73" s="230">
        <v>466.91</v>
      </c>
      <c r="E73" s="232">
        <v>1.26</v>
      </c>
      <c r="F73" s="27"/>
      <c r="G73" s="32">
        <v>10.36</v>
      </c>
      <c r="H73" s="52"/>
      <c r="I73" s="44">
        <v>82.804499999999962</v>
      </c>
      <c r="J73" s="30">
        <f t="shared" si="21"/>
        <v>560.07449999999994</v>
      </c>
      <c r="L73" s="58">
        <v>7104.22</v>
      </c>
      <c r="M73" s="63">
        <v>4600.3900000000003</v>
      </c>
      <c r="N73" s="58">
        <v>20.54</v>
      </c>
      <c r="O73" s="60"/>
      <c r="P73" s="27"/>
      <c r="Q73" s="32">
        <v>549.50026000000014</v>
      </c>
      <c r="R73" s="32"/>
      <c r="S73" s="42"/>
      <c r="T73" s="44">
        <v>93.776400000000066</v>
      </c>
      <c r="U73" s="30">
        <f t="shared" si="20"/>
        <v>663.81666000000018</v>
      </c>
      <c r="V73" s="228"/>
      <c r="W73" s="58">
        <v>2542</v>
      </c>
      <c r="X73" s="63"/>
      <c r="Y73" s="58"/>
      <c r="Z73" s="60"/>
      <c r="AA73" s="27"/>
      <c r="AB73" s="32"/>
      <c r="AC73" s="52"/>
      <c r="AD73" s="52"/>
      <c r="AE73" s="30">
        <f t="shared" si="22"/>
        <v>0</v>
      </c>
      <c r="AG73" s="58">
        <v>7176.1</v>
      </c>
      <c r="AH73" s="63">
        <v>470.5</v>
      </c>
      <c r="AI73" s="58"/>
      <c r="AJ73" s="60"/>
      <c r="AK73" s="27"/>
      <c r="AL73" s="51"/>
      <c r="AM73" s="52"/>
      <c r="AN73" s="52"/>
      <c r="AO73" s="30">
        <f t="shared" si="23"/>
        <v>0</v>
      </c>
      <c r="AQ73" s="58">
        <v>7791.43</v>
      </c>
      <c r="AR73" s="58">
        <v>859.9</v>
      </c>
      <c r="AS73" s="58">
        <v>502.9</v>
      </c>
      <c r="AT73" s="62"/>
      <c r="AU73" s="27"/>
      <c r="AV73" s="32">
        <v>190.22035999999989</v>
      </c>
      <c r="AW73" s="53">
        <v>7.7345467200000115</v>
      </c>
      <c r="AX73" s="44"/>
      <c r="AY73" s="30">
        <f t="shared" si="24"/>
        <v>700.85490671999992</v>
      </c>
      <c r="BA73" s="58">
        <v>4481.1499999999996</v>
      </c>
      <c r="BB73" s="63"/>
      <c r="BC73" s="58"/>
      <c r="BD73" s="60"/>
      <c r="BE73" s="27"/>
      <c r="BF73" s="32">
        <v>45.645330000000101</v>
      </c>
      <c r="BG73" s="52"/>
      <c r="BH73" s="52"/>
      <c r="BI73" s="30">
        <f t="shared" si="25"/>
        <v>45.645330000000101</v>
      </c>
      <c r="BK73" s="58">
        <v>21478.85</v>
      </c>
      <c r="BL73" s="63">
        <v>1906.88</v>
      </c>
      <c r="BM73" s="58">
        <v>279.38</v>
      </c>
      <c r="BN73" s="60"/>
      <c r="BO73" s="27"/>
      <c r="BP73" s="32">
        <v>87.303210000000036</v>
      </c>
      <c r="BQ73" s="32"/>
      <c r="BR73" s="42">
        <v>303.98010167999973</v>
      </c>
      <c r="BS73" s="52"/>
      <c r="BT73" s="30">
        <f t="shared" si="29"/>
        <v>670.66331167999977</v>
      </c>
      <c r="BV73" s="58">
        <v>1818.73</v>
      </c>
      <c r="BW73" s="63">
        <v>492.85</v>
      </c>
      <c r="BX73" s="58">
        <v>3.25</v>
      </c>
      <c r="BY73" s="60"/>
      <c r="BZ73" s="27"/>
      <c r="CA73" s="51"/>
      <c r="CB73" s="52"/>
      <c r="CC73" s="52"/>
      <c r="CD73" s="30">
        <f t="shared" si="26"/>
        <v>3.25</v>
      </c>
      <c r="CF73" s="58">
        <v>2030.89</v>
      </c>
      <c r="CG73" s="63"/>
      <c r="CH73" s="58">
        <v>106.37</v>
      </c>
      <c r="CI73" s="60"/>
      <c r="CJ73" s="27"/>
      <c r="CK73" s="32"/>
      <c r="CL73" s="42"/>
      <c r="CM73" s="52"/>
      <c r="CN73" s="30">
        <f t="shared" si="27"/>
        <v>106.37</v>
      </c>
      <c r="CP73" s="58">
        <v>2125.9699999999998</v>
      </c>
      <c r="CQ73" s="58">
        <v>1231.47</v>
      </c>
      <c r="CR73" s="63">
        <v>3877.26</v>
      </c>
      <c r="CS73" s="58"/>
      <c r="CT73" s="60"/>
      <c r="CU73" s="27"/>
      <c r="CV73" s="51"/>
      <c r="CW73" s="42">
        <v>81.849622468571511</v>
      </c>
      <c r="CX73" s="52"/>
      <c r="CY73" s="229">
        <f t="shared" si="28"/>
        <v>81.849622468571511</v>
      </c>
    </row>
    <row r="74" spans="1:103" s="217" customFormat="1" hidden="1" x14ac:dyDescent="0.25">
      <c r="A74" s="47">
        <v>46386</v>
      </c>
      <c r="B74" s="230">
        <v>3627.89</v>
      </c>
      <c r="C74" s="231">
        <v>3125.68</v>
      </c>
      <c r="D74" s="230">
        <v>269.88</v>
      </c>
      <c r="E74" s="232">
        <v>2.2599999999999998</v>
      </c>
      <c r="F74" s="27"/>
      <c r="G74" s="32">
        <v>89.716190000000012</v>
      </c>
      <c r="H74" s="52"/>
      <c r="I74" s="44"/>
      <c r="J74" s="30">
        <f t="shared" si="21"/>
        <v>359.59618999999998</v>
      </c>
      <c r="L74" s="58">
        <v>7782.24</v>
      </c>
      <c r="M74" s="63">
        <v>5993.3</v>
      </c>
      <c r="N74" s="58">
        <v>62.09</v>
      </c>
      <c r="O74" s="60"/>
      <c r="P74" s="27"/>
      <c r="Q74" s="32">
        <v>248.78204000000008</v>
      </c>
      <c r="R74" s="32"/>
      <c r="S74" s="42"/>
      <c r="T74" s="44">
        <v>34.250400000000013</v>
      </c>
      <c r="U74" s="30">
        <f t="shared" si="20"/>
        <v>345.1224400000001</v>
      </c>
      <c r="V74" s="228"/>
      <c r="W74" s="58">
        <v>450</v>
      </c>
      <c r="X74" s="63"/>
      <c r="Y74" s="58"/>
      <c r="Z74" s="60"/>
      <c r="AA74" s="27"/>
      <c r="AB74" s="32"/>
      <c r="AC74" s="52"/>
      <c r="AD74" s="52"/>
      <c r="AE74" s="30">
        <f t="shared" si="22"/>
        <v>0</v>
      </c>
      <c r="AG74" s="58">
        <v>3176.97</v>
      </c>
      <c r="AH74" s="63">
        <v>454.09</v>
      </c>
      <c r="AI74" s="58"/>
      <c r="AJ74" s="60"/>
      <c r="AK74" s="27"/>
      <c r="AL74" s="51"/>
      <c r="AM74" s="52"/>
      <c r="AN74" s="52"/>
      <c r="AO74" s="30">
        <f t="shared" si="23"/>
        <v>0</v>
      </c>
      <c r="AQ74" s="58">
        <v>8914.26</v>
      </c>
      <c r="AR74" s="58">
        <v>917.57</v>
      </c>
      <c r="AS74" s="58">
        <v>288.20999999999998</v>
      </c>
      <c r="AT74" s="62"/>
      <c r="AU74" s="27"/>
      <c r="AV74" s="32">
        <v>172.68248000000006</v>
      </c>
      <c r="AW74" s="53">
        <v>60.799300714285721</v>
      </c>
      <c r="AX74" s="44"/>
      <c r="AY74" s="30">
        <f t="shared" si="24"/>
        <v>521.69178071428576</v>
      </c>
      <c r="BA74" s="58">
        <v>6293.43</v>
      </c>
      <c r="BB74" s="63"/>
      <c r="BC74" s="58"/>
      <c r="BD74" s="60"/>
      <c r="BE74" s="27"/>
      <c r="BF74" s="32">
        <v>44.643350000000041</v>
      </c>
      <c r="BG74" s="52"/>
      <c r="BH74" s="52"/>
      <c r="BI74" s="30">
        <f t="shared" si="25"/>
        <v>44.643350000000041</v>
      </c>
      <c r="BK74" s="58">
        <v>14587.85</v>
      </c>
      <c r="BL74" s="63">
        <v>1673.71</v>
      </c>
      <c r="BM74" s="58">
        <v>537.67999999999995</v>
      </c>
      <c r="BN74" s="60"/>
      <c r="BO74" s="27"/>
      <c r="BP74" s="32">
        <v>115.84181000000001</v>
      </c>
      <c r="BQ74" s="32"/>
      <c r="BR74" s="42">
        <v>292.47487574285708</v>
      </c>
      <c r="BS74" s="52"/>
      <c r="BT74" s="30">
        <f t="shared" si="29"/>
        <v>945.99668574285704</v>
      </c>
      <c r="BV74" s="58">
        <v>1965.34</v>
      </c>
      <c r="BW74" s="63">
        <v>973.18</v>
      </c>
      <c r="BX74" s="58">
        <v>4.54</v>
      </c>
      <c r="BY74" s="60"/>
      <c r="BZ74" s="27"/>
      <c r="CA74" s="51"/>
      <c r="CB74" s="52"/>
      <c r="CC74" s="52"/>
      <c r="CD74" s="30">
        <f t="shared" si="26"/>
        <v>4.54</v>
      </c>
      <c r="CF74" s="58">
        <v>2066.54</v>
      </c>
      <c r="CG74" s="63"/>
      <c r="CH74" s="58">
        <v>28.7</v>
      </c>
      <c r="CI74" s="60"/>
      <c r="CJ74" s="27"/>
      <c r="CK74" s="32"/>
      <c r="CL74" s="42"/>
      <c r="CM74" s="52"/>
      <c r="CN74" s="30">
        <f t="shared" si="27"/>
        <v>28.7</v>
      </c>
      <c r="CP74" s="58">
        <v>2672.77</v>
      </c>
      <c r="CQ74" s="58">
        <v>1550.04</v>
      </c>
      <c r="CR74" s="63">
        <v>5477.47</v>
      </c>
      <c r="CS74" s="58">
        <v>9.3800000000000008</v>
      </c>
      <c r="CT74" s="60"/>
      <c r="CU74" s="27"/>
      <c r="CV74" s="51"/>
      <c r="CW74" s="42"/>
      <c r="CX74" s="52"/>
      <c r="CY74" s="229">
        <f t="shared" si="28"/>
        <v>9.3800000000000008</v>
      </c>
    </row>
    <row r="75" spans="1:103" s="217" customFormat="1" ht="15.75" hidden="1" thickBot="1" x14ac:dyDescent="0.3">
      <c r="A75" s="75">
        <v>46387</v>
      </c>
      <c r="B75" s="230">
        <v>3306.54</v>
      </c>
      <c r="C75" s="231">
        <v>3531.91</v>
      </c>
      <c r="D75" s="230">
        <v>101.78</v>
      </c>
      <c r="E75" s="232">
        <v>30.72</v>
      </c>
      <c r="F75" s="27"/>
      <c r="G75" s="32"/>
      <c r="H75" s="80"/>
      <c r="I75" s="82">
        <v>106.69267819999993</v>
      </c>
      <c r="J75" s="30">
        <f t="shared" si="21"/>
        <v>208.47267819999993</v>
      </c>
      <c r="L75" s="58">
        <v>8157.13</v>
      </c>
      <c r="M75" s="63">
        <v>4728.6899999999996</v>
      </c>
      <c r="N75" s="58">
        <v>4.4400000000000004</v>
      </c>
      <c r="O75" s="60"/>
      <c r="P75" s="27"/>
      <c r="Q75" s="32">
        <v>450.43512000000004</v>
      </c>
      <c r="R75" s="32"/>
      <c r="S75" s="42"/>
      <c r="T75" s="82"/>
      <c r="U75" s="30">
        <f t="shared" si="20"/>
        <v>454.87512000000004</v>
      </c>
      <c r="V75" s="228"/>
      <c r="W75" s="58">
        <v>1140.53</v>
      </c>
      <c r="X75" s="63"/>
      <c r="Y75" s="58"/>
      <c r="Z75" s="60"/>
      <c r="AA75" s="27"/>
      <c r="AB75" s="32"/>
      <c r="AC75" s="80"/>
      <c r="AD75" s="80"/>
      <c r="AE75" s="30">
        <f t="shared" si="22"/>
        <v>0</v>
      </c>
      <c r="AG75" s="58">
        <v>6117.48</v>
      </c>
      <c r="AH75" s="63">
        <v>850.07</v>
      </c>
      <c r="AI75" s="58"/>
      <c r="AJ75" s="60"/>
      <c r="AK75" s="27"/>
      <c r="AL75" s="79"/>
      <c r="AM75" s="80"/>
      <c r="AN75" s="80"/>
      <c r="AO75" s="30">
        <f t="shared" si="23"/>
        <v>0</v>
      </c>
      <c r="AQ75" s="58">
        <v>5865.17</v>
      </c>
      <c r="AR75" s="58">
        <v>872.23</v>
      </c>
      <c r="AS75" s="58">
        <v>296.87</v>
      </c>
      <c r="AT75" s="233"/>
      <c r="AU75" s="27"/>
      <c r="AV75" s="32">
        <v>73.524540000000002</v>
      </c>
      <c r="AW75" s="81">
        <v>13.388981194285719</v>
      </c>
      <c r="AX75" s="82"/>
      <c r="AY75" s="30">
        <f t="shared" si="24"/>
        <v>383.78352119428575</v>
      </c>
      <c r="BA75" s="58">
        <v>1943.62</v>
      </c>
      <c r="BB75" s="63"/>
      <c r="BC75" s="58"/>
      <c r="BD75" s="60"/>
      <c r="BE75" s="27"/>
      <c r="BF75" s="32">
        <v>125.93533000000035</v>
      </c>
      <c r="BG75" s="80"/>
      <c r="BH75" s="80"/>
      <c r="BI75" s="30">
        <f t="shared" si="25"/>
        <v>125.93533000000035</v>
      </c>
      <c r="BK75" s="58">
        <v>11926.41</v>
      </c>
      <c r="BL75" s="63">
        <v>3267.96</v>
      </c>
      <c r="BM75" s="58"/>
      <c r="BN75" s="60"/>
      <c r="BO75" s="27"/>
      <c r="BP75" s="32"/>
      <c r="BQ75" s="32"/>
      <c r="BR75" s="42"/>
      <c r="BS75" s="80"/>
      <c r="BT75" s="30">
        <f t="shared" si="29"/>
        <v>0</v>
      </c>
      <c r="BV75" s="58">
        <v>3821.09</v>
      </c>
      <c r="BW75" s="63">
        <v>882.17</v>
      </c>
      <c r="BX75" s="58">
        <v>3.45</v>
      </c>
      <c r="BY75" s="60"/>
      <c r="BZ75" s="27"/>
      <c r="CA75" s="79"/>
      <c r="CB75" s="80"/>
      <c r="CC75" s="80"/>
      <c r="CD75" s="30">
        <f t="shared" si="26"/>
        <v>3.45</v>
      </c>
      <c r="CF75" s="58">
        <v>1592.97</v>
      </c>
      <c r="CG75" s="63"/>
      <c r="CH75" s="58">
        <v>36.72</v>
      </c>
      <c r="CI75" s="60"/>
      <c r="CJ75" s="27"/>
      <c r="CK75" s="32"/>
      <c r="CL75" s="42"/>
      <c r="CM75" s="80"/>
      <c r="CN75" s="30">
        <f t="shared" si="27"/>
        <v>36.72</v>
      </c>
      <c r="CP75" s="58">
        <v>3086.11</v>
      </c>
      <c r="CQ75" s="234">
        <v>1982.01</v>
      </c>
      <c r="CR75" s="235">
        <v>6275.01</v>
      </c>
      <c r="CS75" s="58"/>
      <c r="CT75" s="60"/>
      <c r="CU75" s="27"/>
      <c r="CV75" s="79"/>
      <c r="CW75" s="42">
        <v>117.73332985714282</v>
      </c>
      <c r="CX75" s="80"/>
      <c r="CY75" s="229">
        <f t="shared" si="28"/>
        <v>117.73332985714282</v>
      </c>
    </row>
    <row r="76" spans="1:103" s="86" customFormat="1" ht="16.5" hidden="1" thickBot="1" x14ac:dyDescent="0.3">
      <c r="B76" s="236">
        <f>SUM(B45:B75)</f>
        <v>84837.060000000012</v>
      </c>
      <c r="C76" s="236">
        <f>SUM(C45:C75)</f>
        <v>95535.26</v>
      </c>
      <c r="D76" s="237">
        <f>SUM(D45:D75)</f>
        <v>8086.5799999999981</v>
      </c>
      <c r="E76" s="236">
        <f>SUM(E45:E75)</f>
        <v>253.24</v>
      </c>
      <c r="F76" s="83"/>
      <c r="G76" s="84">
        <f t="shared" ref="G76:J76" si="30">SUM(G45:G75)</f>
        <v>897.4099799999999</v>
      </c>
      <c r="H76" s="85">
        <f t="shared" si="30"/>
        <v>0</v>
      </c>
      <c r="I76" s="85">
        <f t="shared" si="30"/>
        <v>771.4067761</v>
      </c>
      <c r="J76" s="85">
        <f t="shared" si="30"/>
        <v>9755.3967561000009</v>
      </c>
      <c r="L76" s="236">
        <f>SUM(L45:L75)</f>
        <v>209073.16000000006</v>
      </c>
      <c r="M76" s="237">
        <f>SUM(M45:M75)</f>
        <v>158594.13</v>
      </c>
      <c r="N76" s="237">
        <f>SUM(N45:N75)</f>
        <v>996.26999999999987</v>
      </c>
      <c r="O76" s="238">
        <f>SUM(O45:O75)</f>
        <v>0</v>
      </c>
      <c r="P76" s="83"/>
      <c r="Q76" s="84">
        <f t="shared" ref="Q76:U76" si="31">SUM(Q45:Q75)</f>
        <v>9774.79054</v>
      </c>
      <c r="R76" s="433"/>
      <c r="S76" s="85">
        <f t="shared" si="31"/>
        <v>0</v>
      </c>
      <c r="T76" s="85">
        <f t="shared" si="31"/>
        <v>1560.5162339000008</v>
      </c>
      <c r="U76" s="85">
        <f t="shared" si="31"/>
        <v>12331.5767739</v>
      </c>
      <c r="W76" s="236">
        <f>SUM(W45:W75)</f>
        <v>68522.51999999999</v>
      </c>
      <c r="X76" s="237">
        <f>SUM(X45:X75)</f>
        <v>0</v>
      </c>
      <c r="Y76" s="237">
        <f>SUM(Y45:Y75)</f>
        <v>0</v>
      </c>
      <c r="Z76" s="238">
        <f>SUM(Z45:Z75)</f>
        <v>0</v>
      </c>
      <c r="AA76" s="83"/>
      <c r="AB76" s="84">
        <f t="shared" ref="AB76:AE76" si="32">SUM(AB45:AB75)</f>
        <v>0</v>
      </c>
      <c r="AC76" s="85">
        <f t="shared" si="32"/>
        <v>0</v>
      </c>
      <c r="AD76" s="85">
        <f t="shared" si="32"/>
        <v>0</v>
      </c>
      <c r="AE76" s="85">
        <f t="shared" si="32"/>
        <v>0</v>
      </c>
      <c r="AG76" s="236">
        <f>SUM(AG45:AG75)</f>
        <v>159317.13</v>
      </c>
      <c r="AH76" s="237">
        <f>SUM(AH45:AH75)</f>
        <v>16959.73</v>
      </c>
      <c r="AI76" s="237">
        <f>SUM(AI45:AI75)</f>
        <v>0</v>
      </c>
      <c r="AJ76" s="238">
        <f>SUM(AJ45:AJ75)</f>
        <v>0</v>
      </c>
      <c r="AK76" s="83"/>
      <c r="AL76" s="84">
        <f t="shared" ref="AL76:AO76" si="33">SUM(AL45:AL75)</f>
        <v>0</v>
      </c>
      <c r="AM76" s="85">
        <f t="shared" si="33"/>
        <v>0</v>
      </c>
      <c r="AN76" s="85">
        <f t="shared" si="33"/>
        <v>0</v>
      </c>
      <c r="AO76" s="85">
        <f t="shared" si="33"/>
        <v>0</v>
      </c>
      <c r="AQ76" s="237">
        <f>SUM(AQ45:AQ75)</f>
        <v>235640.63</v>
      </c>
      <c r="AR76" s="237">
        <f>SUM(AR45:AR75)</f>
        <v>23733.59</v>
      </c>
      <c r="AS76" s="237">
        <f>SUM(AS45:AS75)</f>
        <v>10819.509999999998</v>
      </c>
      <c r="AT76" s="237">
        <f>SUM(AT45:AT75)</f>
        <v>0</v>
      </c>
      <c r="AU76" s="83"/>
      <c r="AV76" s="84">
        <f t="shared" ref="AV76:AY76" si="34">SUM(AV45:AV75)</f>
        <v>4627.8053400000017</v>
      </c>
      <c r="AW76" s="85">
        <f t="shared" si="34"/>
        <v>1166.0177057964765</v>
      </c>
      <c r="AX76" s="85">
        <f t="shared" si="34"/>
        <v>73.457536700000034</v>
      </c>
      <c r="AY76" s="85">
        <f t="shared" si="34"/>
        <v>16686.790582496476</v>
      </c>
      <c r="BA76" s="236">
        <f>SUM(BA45:BA75)</f>
        <v>192551.74999999994</v>
      </c>
      <c r="BB76" s="237">
        <f>SUM(BB45:BB75)</f>
        <v>0</v>
      </c>
      <c r="BC76" s="237">
        <f>SUM(BC45:BC75)</f>
        <v>915.79000000000008</v>
      </c>
      <c r="BD76" s="238">
        <f>SUM(BD45:BD75)</f>
        <v>0</v>
      </c>
      <c r="BE76" s="83"/>
      <c r="BF76" s="84">
        <f t="shared" ref="BF76:BI76" si="35">SUM(BF45:BF75)</f>
        <v>2096.1605619999978</v>
      </c>
      <c r="BG76" s="85">
        <f t="shared" si="35"/>
        <v>0</v>
      </c>
      <c r="BH76" s="85">
        <f t="shared" si="35"/>
        <v>4.1835656999999742</v>
      </c>
      <c r="BI76" s="85">
        <f t="shared" si="35"/>
        <v>3016.1341276999983</v>
      </c>
      <c r="BK76" s="236">
        <f>SUM(BK45:BK75)</f>
        <v>575930.74000000011</v>
      </c>
      <c r="BL76" s="237">
        <f>SUM(BL45:BL75)</f>
        <v>45689.479999999989</v>
      </c>
      <c r="BM76" s="237">
        <f>SUM(BM45:BM75)</f>
        <v>12661.719999999998</v>
      </c>
      <c r="BN76" s="238">
        <f>SUM(BN45:BN75)</f>
        <v>0</v>
      </c>
      <c r="BO76" s="83"/>
      <c r="BP76" s="84">
        <f t="shared" ref="BP76:BT76" si="36">SUM(BP45:BP75)</f>
        <v>3612.8985299999999</v>
      </c>
      <c r="BQ76" s="433"/>
      <c r="BR76" s="85">
        <f t="shared" si="36"/>
        <v>3197.5522278231433</v>
      </c>
      <c r="BS76" s="85">
        <f t="shared" si="36"/>
        <v>0</v>
      </c>
      <c r="BT76" s="85">
        <f t="shared" si="36"/>
        <v>19472.170757823144</v>
      </c>
      <c r="BV76" s="236">
        <f>SUM(BV45:BV75)</f>
        <v>78014.67</v>
      </c>
      <c r="BW76" s="237">
        <f>SUM(BW45:BW75)</f>
        <v>27287.249999999996</v>
      </c>
      <c r="BX76" s="237">
        <f>SUM(BX45:BX75)</f>
        <v>114.94</v>
      </c>
      <c r="BY76" s="238">
        <f>SUM(BY45:BY75)</f>
        <v>0</v>
      </c>
      <c r="BZ76" s="83"/>
      <c r="CA76" s="84">
        <f t="shared" ref="CA76:CD76" si="37">SUM(CA45:CA75)</f>
        <v>0</v>
      </c>
      <c r="CB76" s="85">
        <f t="shared" si="37"/>
        <v>0</v>
      </c>
      <c r="CC76" s="85">
        <f t="shared" si="37"/>
        <v>0</v>
      </c>
      <c r="CD76" s="85">
        <f t="shared" si="37"/>
        <v>114.94</v>
      </c>
      <c r="CF76" s="236">
        <f>SUM(CF45:CF75)</f>
        <v>63645.749999999993</v>
      </c>
      <c r="CG76" s="237">
        <f>SUM(CG45:CG75)</f>
        <v>0</v>
      </c>
      <c r="CH76" s="237">
        <f>SUM(CH45:CH75)</f>
        <v>3393.6399999999994</v>
      </c>
      <c r="CI76" s="238">
        <f>SUM(CI45:CI75)</f>
        <v>0</v>
      </c>
      <c r="CJ76" s="83"/>
      <c r="CK76" s="84">
        <f t="shared" ref="CK76:CN76" si="38">SUM(CK45:CK75)</f>
        <v>1092.5517300000001</v>
      </c>
      <c r="CL76" s="85">
        <f t="shared" si="38"/>
        <v>257.82029999999997</v>
      </c>
      <c r="CM76" s="85">
        <f t="shared" si="38"/>
        <v>0</v>
      </c>
      <c r="CN76" s="85">
        <f t="shared" si="38"/>
        <v>4744.0120299999999</v>
      </c>
      <c r="CP76" s="236">
        <f>SUM(CP45:CP75)</f>
        <v>71169.250000000015</v>
      </c>
      <c r="CQ76" s="237">
        <f>SUM(CQ45:CQ75)</f>
        <v>27626.379999999997</v>
      </c>
      <c r="CR76" s="237">
        <f>SUM(CR45:CR75)</f>
        <v>108128.30999999997</v>
      </c>
      <c r="CS76" s="237">
        <f>SUM(CS45:CS75)</f>
        <v>191.45</v>
      </c>
      <c r="CT76" s="238">
        <f>SUM(CT45:CT75)</f>
        <v>0</v>
      </c>
      <c r="CU76" s="83"/>
      <c r="CV76" s="84">
        <f t="shared" ref="CV76:CX76" si="39">SUM(CV45:CV75)</f>
        <v>27.394639999999995</v>
      </c>
      <c r="CW76" s="85">
        <f t="shared" si="39"/>
        <v>2018.8203479504766</v>
      </c>
      <c r="CX76" s="85">
        <f t="shared" si="39"/>
        <v>0</v>
      </c>
      <c r="CY76" s="85">
        <f>SUM(CY45:CY75)</f>
        <v>2237.6649879504771</v>
      </c>
    </row>
    <row r="77" spans="1:103" hidden="1" x14ac:dyDescent="0.25"/>
    <row r="78" spans="1:103" hidden="1" x14ac:dyDescent="0.25"/>
    <row r="79" spans="1:103" hidden="1" x14ac:dyDescent="0.25"/>
    <row r="80" spans="1:103" hidden="1" x14ac:dyDescent="0.25"/>
    <row r="81" spans="1:103" ht="21" hidden="1" x14ac:dyDescent="0.35">
      <c r="B81" s="1" t="s">
        <v>44</v>
      </c>
      <c r="L81" s="1" t="s">
        <v>45</v>
      </c>
      <c r="W81" s="1" t="s">
        <v>46</v>
      </c>
      <c r="AG81" s="1" t="s">
        <v>47</v>
      </c>
      <c r="AQ81" s="1" t="s">
        <v>48</v>
      </c>
      <c r="BA81" s="1" t="s">
        <v>49</v>
      </c>
      <c r="BK81" s="1" t="s">
        <v>50</v>
      </c>
      <c r="BV81" s="1" t="s">
        <v>51</v>
      </c>
      <c r="CF81" s="1" t="s">
        <v>52</v>
      </c>
      <c r="CP81" s="1" t="s">
        <v>53</v>
      </c>
    </row>
    <row r="82" spans="1:103" hidden="1" x14ac:dyDescent="0.25"/>
    <row r="83" spans="1:103" s="217" customFormat="1" ht="12.75" hidden="1" x14ac:dyDescent="0.2">
      <c r="A83" s="213" t="s">
        <v>14</v>
      </c>
      <c r="B83" s="132" t="s">
        <v>15</v>
      </c>
      <c r="C83" s="210" t="s">
        <v>15</v>
      </c>
      <c r="D83" s="214" t="s">
        <v>16</v>
      </c>
      <c r="E83" s="215" t="s">
        <v>16</v>
      </c>
      <c r="F83" s="6"/>
      <c r="G83" s="7" t="s">
        <v>16</v>
      </c>
      <c r="H83" s="8" t="s">
        <v>16</v>
      </c>
      <c r="I83" s="317" t="s">
        <v>16</v>
      </c>
      <c r="J83" s="216" t="s">
        <v>54</v>
      </c>
      <c r="L83" s="132" t="s">
        <v>15</v>
      </c>
      <c r="M83" s="210" t="s">
        <v>15</v>
      </c>
      <c r="N83" s="214" t="s">
        <v>16</v>
      </c>
      <c r="O83" s="215" t="s">
        <v>16</v>
      </c>
      <c r="P83" s="6"/>
      <c r="Q83" s="7" t="s">
        <v>16</v>
      </c>
      <c r="R83" s="7"/>
      <c r="S83" s="8" t="s">
        <v>16</v>
      </c>
      <c r="T83" s="9" t="s">
        <v>16</v>
      </c>
      <c r="U83" s="216" t="s">
        <v>54</v>
      </c>
      <c r="W83" s="132" t="s">
        <v>15</v>
      </c>
      <c r="X83" s="210" t="s">
        <v>15</v>
      </c>
      <c r="Y83" s="214" t="s">
        <v>16</v>
      </c>
      <c r="Z83" s="215" t="s">
        <v>16</v>
      </c>
      <c r="AA83" s="6"/>
      <c r="AB83" s="7" t="s">
        <v>16</v>
      </c>
      <c r="AC83" s="8" t="s">
        <v>16</v>
      </c>
      <c r="AD83" s="9" t="s">
        <v>16</v>
      </c>
      <c r="AE83" s="216" t="s">
        <v>54</v>
      </c>
      <c r="AG83" s="132" t="s">
        <v>15</v>
      </c>
      <c r="AH83" s="210" t="s">
        <v>15</v>
      </c>
      <c r="AI83" s="214" t="s">
        <v>16</v>
      </c>
      <c r="AJ83" s="215" t="s">
        <v>16</v>
      </c>
      <c r="AK83" s="6"/>
      <c r="AL83" s="7" t="s">
        <v>16</v>
      </c>
      <c r="AM83" s="8" t="s">
        <v>16</v>
      </c>
      <c r="AN83" s="9" t="s">
        <v>16</v>
      </c>
      <c r="AO83" s="216" t="s">
        <v>54</v>
      </c>
      <c r="AQ83" s="132" t="s">
        <v>15</v>
      </c>
      <c r="AR83" s="210" t="s">
        <v>15</v>
      </c>
      <c r="AS83" s="214" t="s">
        <v>16</v>
      </c>
      <c r="AT83" s="215" t="s">
        <v>16</v>
      </c>
      <c r="AU83" s="6"/>
      <c r="AV83" s="7" t="s">
        <v>16</v>
      </c>
      <c r="AW83" s="8" t="s">
        <v>16</v>
      </c>
      <c r="AX83" s="9" t="s">
        <v>16</v>
      </c>
      <c r="AY83" s="216" t="s">
        <v>54</v>
      </c>
      <c r="BA83" s="132" t="s">
        <v>15</v>
      </c>
      <c r="BB83" s="210" t="s">
        <v>15</v>
      </c>
      <c r="BC83" s="214" t="s">
        <v>16</v>
      </c>
      <c r="BD83" s="215" t="s">
        <v>16</v>
      </c>
      <c r="BE83" s="6"/>
      <c r="BF83" s="7" t="s">
        <v>16</v>
      </c>
      <c r="BG83" s="8" t="s">
        <v>16</v>
      </c>
      <c r="BH83" s="9" t="s">
        <v>16</v>
      </c>
      <c r="BI83" s="216" t="s">
        <v>54</v>
      </c>
      <c r="BK83" s="132" t="s">
        <v>15</v>
      </c>
      <c r="BL83" s="210" t="s">
        <v>15</v>
      </c>
      <c r="BM83" s="5" t="s">
        <v>16</v>
      </c>
      <c r="BN83" s="215" t="s">
        <v>16</v>
      </c>
      <c r="BO83" s="6"/>
      <c r="BP83" s="7" t="s">
        <v>16</v>
      </c>
      <c r="BQ83" s="7"/>
      <c r="BR83" s="8" t="s">
        <v>16</v>
      </c>
      <c r="BS83" s="9" t="s">
        <v>16</v>
      </c>
      <c r="BT83" s="216" t="s">
        <v>54</v>
      </c>
      <c r="BV83" s="132" t="s">
        <v>15</v>
      </c>
      <c r="BW83" s="210" t="s">
        <v>15</v>
      </c>
      <c r="BX83" s="214" t="s">
        <v>16</v>
      </c>
      <c r="BY83" s="215" t="s">
        <v>16</v>
      </c>
      <c r="BZ83" s="6"/>
      <c r="CA83" s="7" t="s">
        <v>16</v>
      </c>
      <c r="CB83" s="8" t="s">
        <v>16</v>
      </c>
      <c r="CC83" s="9" t="s">
        <v>16</v>
      </c>
      <c r="CD83" s="216" t="s">
        <v>54</v>
      </c>
      <c r="CF83" s="132" t="s">
        <v>15</v>
      </c>
      <c r="CG83" s="210" t="s">
        <v>15</v>
      </c>
      <c r="CH83" s="214" t="s">
        <v>16</v>
      </c>
      <c r="CI83" s="215" t="s">
        <v>16</v>
      </c>
      <c r="CJ83" s="6"/>
      <c r="CK83" s="7" t="s">
        <v>16</v>
      </c>
      <c r="CL83" s="8" t="s">
        <v>16</v>
      </c>
      <c r="CM83" s="9" t="s">
        <v>16</v>
      </c>
      <c r="CN83" s="216" t="s">
        <v>54</v>
      </c>
      <c r="CP83" s="132" t="s">
        <v>15</v>
      </c>
      <c r="CQ83" s="210" t="s">
        <v>15</v>
      </c>
      <c r="CR83" s="210" t="s">
        <v>15</v>
      </c>
      <c r="CS83" s="214" t="s">
        <v>16</v>
      </c>
      <c r="CT83" s="215" t="s">
        <v>16</v>
      </c>
      <c r="CU83" s="6"/>
      <c r="CV83" s="7" t="s">
        <v>16</v>
      </c>
      <c r="CW83" s="8" t="s">
        <v>16</v>
      </c>
      <c r="CX83" s="9" t="s">
        <v>16</v>
      </c>
      <c r="CY83" s="218" t="s">
        <v>54</v>
      </c>
    </row>
    <row r="84" spans="1:103" s="217" customFormat="1" ht="13.5" hidden="1" thickBot="1" x14ac:dyDescent="0.25">
      <c r="A84" s="219"/>
      <c r="B84" s="220" t="s">
        <v>18</v>
      </c>
      <c r="C84" s="221" t="s">
        <v>19</v>
      </c>
      <c r="D84" s="222" t="s">
        <v>25</v>
      </c>
      <c r="E84" s="223" t="s">
        <v>19</v>
      </c>
      <c r="F84" s="6"/>
      <c r="G84" s="16" t="s">
        <v>21</v>
      </c>
      <c r="H84" s="17" t="s">
        <v>22</v>
      </c>
      <c r="I84" s="318" t="s">
        <v>23</v>
      </c>
      <c r="J84" s="19" t="s">
        <v>55</v>
      </c>
      <c r="L84" s="220" t="s">
        <v>18</v>
      </c>
      <c r="M84" s="221" t="s">
        <v>19</v>
      </c>
      <c r="N84" s="222" t="s">
        <v>25</v>
      </c>
      <c r="O84" s="223" t="s">
        <v>19</v>
      </c>
      <c r="P84" s="6"/>
      <c r="Q84" s="16" t="s">
        <v>21</v>
      </c>
      <c r="R84" s="16"/>
      <c r="S84" s="17" t="s">
        <v>22</v>
      </c>
      <c r="T84" s="18" t="s">
        <v>23</v>
      </c>
      <c r="U84" s="19" t="s">
        <v>55</v>
      </c>
      <c r="W84" s="220" t="s">
        <v>18</v>
      </c>
      <c r="X84" s="221" t="s">
        <v>19</v>
      </c>
      <c r="Y84" s="222" t="s">
        <v>19</v>
      </c>
      <c r="Z84" s="223" t="s">
        <v>25</v>
      </c>
      <c r="AA84" s="6"/>
      <c r="AB84" s="16" t="s">
        <v>21</v>
      </c>
      <c r="AC84" s="17" t="s">
        <v>22</v>
      </c>
      <c r="AD84" s="18" t="s">
        <v>23</v>
      </c>
      <c r="AE84" s="19" t="s">
        <v>55</v>
      </c>
      <c r="AG84" s="220" t="s">
        <v>18</v>
      </c>
      <c r="AH84" s="221" t="s">
        <v>19</v>
      </c>
      <c r="AI84" s="222" t="s">
        <v>25</v>
      </c>
      <c r="AJ84" s="223" t="s">
        <v>19</v>
      </c>
      <c r="AK84" s="6"/>
      <c r="AL84" s="16" t="s">
        <v>21</v>
      </c>
      <c r="AM84" s="17" t="s">
        <v>22</v>
      </c>
      <c r="AN84" s="18" t="s">
        <v>23</v>
      </c>
      <c r="AO84" s="19" t="s">
        <v>55</v>
      </c>
      <c r="AQ84" s="220" t="s">
        <v>18</v>
      </c>
      <c r="AR84" s="221" t="s">
        <v>19</v>
      </c>
      <c r="AS84" s="222" t="s">
        <v>25</v>
      </c>
      <c r="AT84" s="223" t="s">
        <v>19</v>
      </c>
      <c r="AU84" s="6"/>
      <c r="AV84" s="16" t="s">
        <v>21</v>
      </c>
      <c r="AW84" s="17" t="s">
        <v>22</v>
      </c>
      <c r="AX84" s="18" t="s">
        <v>23</v>
      </c>
      <c r="AY84" s="19" t="s">
        <v>55</v>
      </c>
      <c r="BA84" s="220" t="s">
        <v>18</v>
      </c>
      <c r="BB84" s="221" t="s">
        <v>19</v>
      </c>
      <c r="BC84" s="222" t="s">
        <v>25</v>
      </c>
      <c r="BD84" s="223" t="s">
        <v>19</v>
      </c>
      <c r="BE84" s="6"/>
      <c r="BF84" s="16" t="s">
        <v>21</v>
      </c>
      <c r="BG84" s="17" t="s">
        <v>22</v>
      </c>
      <c r="BH84" s="18" t="s">
        <v>23</v>
      </c>
      <c r="BI84" s="19" t="s">
        <v>55</v>
      </c>
      <c r="BK84" s="220" t="s">
        <v>18</v>
      </c>
      <c r="BL84" s="221" t="s">
        <v>19</v>
      </c>
      <c r="BM84" s="222" t="s">
        <v>25</v>
      </c>
      <c r="BN84" s="223" t="s">
        <v>19</v>
      </c>
      <c r="BO84" s="6"/>
      <c r="BP84" s="16" t="s">
        <v>21</v>
      </c>
      <c r="BQ84" s="16"/>
      <c r="BR84" s="17" t="s">
        <v>22</v>
      </c>
      <c r="BS84" s="18" t="s">
        <v>23</v>
      </c>
      <c r="BT84" s="19" t="s">
        <v>55</v>
      </c>
      <c r="BV84" s="220" t="s">
        <v>18</v>
      </c>
      <c r="BW84" s="221" t="s">
        <v>19</v>
      </c>
      <c r="BX84" s="222" t="s">
        <v>25</v>
      </c>
      <c r="BY84" s="223" t="s">
        <v>19</v>
      </c>
      <c r="BZ84" s="6"/>
      <c r="CA84" s="16" t="s">
        <v>21</v>
      </c>
      <c r="CB84" s="17" t="s">
        <v>22</v>
      </c>
      <c r="CC84" s="18" t="s">
        <v>23</v>
      </c>
      <c r="CD84" s="19" t="s">
        <v>55</v>
      </c>
      <c r="CF84" s="220" t="s">
        <v>18</v>
      </c>
      <c r="CG84" s="221" t="s">
        <v>19</v>
      </c>
      <c r="CH84" s="222" t="s">
        <v>25</v>
      </c>
      <c r="CI84" s="223" t="s">
        <v>19</v>
      </c>
      <c r="CJ84" s="6"/>
      <c r="CK84" s="16" t="s">
        <v>21</v>
      </c>
      <c r="CL84" s="17" t="s">
        <v>22</v>
      </c>
      <c r="CM84" s="18" t="s">
        <v>23</v>
      </c>
      <c r="CN84" s="19" t="s">
        <v>55</v>
      </c>
      <c r="CP84" s="220" t="s">
        <v>18</v>
      </c>
      <c r="CQ84" s="221" t="s">
        <v>19</v>
      </c>
      <c r="CR84" s="221" t="s">
        <v>20</v>
      </c>
      <c r="CS84" s="222" t="s">
        <v>25</v>
      </c>
      <c r="CT84" s="223" t="s">
        <v>19</v>
      </c>
      <c r="CU84" s="6"/>
      <c r="CV84" s="16" t="s">
        <v>21</v>
      </c>
      <c r="CW84" s="17" t="s">
        <v>22</v>
      </c>
      <c r="CX84" s="18" t="s">
        <v>23</v>
      </c>
      <c r="CY84" s="224" t="s">
        <v>55</v>
      </c>
    </row>
    <row r="85" spans="1:103" s="217" customFormat="1" hidden="1" x14ac:dyDescent="0.25">
      <c r="A85" s="22">
        <v>46023</v>
      </c>
      <c r="B85" s="225">
        <v>2582.86</v>
      </c>
      <c r="C85" s="226">
        <v>1507.12</v>
      </c>
      <c r="D85" s="225">
        <v>113.94</v>
      </c>
      <c r="E85" s="321"/>
      <c r="F85" s="322"/>
      <c r="G85" s="32">
        <v>12.950000000000003</v>
      </c>
      <c r="H85" s="30"/>
      <c r="I85" s="319"/>
      <c r="J85" s="239">
        <f>+D85+G85+H85+I85</f>
        <v>126.89</v>
      </c>
      <c r="L85" s="36">
        <v>3677.76</v>
      </c>
      <c r="M85" s="43">
        <v>4081.48</v>
      </c>
      <c r="N85" s="36">
        <v>4.54</v>
      </c>
      <c r="O85" s="38"/>
      <c r="P85" s="27"/>
      <c r="Q85" s="32"/>
      <c r="R85" s="32"/>
      <c r="S85" s="42"/>
      <c r="T85" s="44"/>
      <c r="U85" s="239">
        <f t="shared" ref="U85:U115" si="40">+N85+Q85+S85+T85</f>
        <v>4.54</v>
      </c>
      <c r="V85" s="228"/>
      <c r="W85" s="36">
        <v>908.13</v>
      </c>
      <c r="X85" s="43"/>
      <c r="Y85" s="36"/>
      <c r="Z85" s="38"/>
      <c r="AA85" s="27"/>
      <c r="AB85" s="32"/>
      <c r="AC85" s="29"/>
      <c r="AD85" s="29"/>
      <c r="AE85" s="239">
        <f>+Y85+AB85+AC85+AD85</f>
        <v>0</v>
      </c>
      <c r="AG85" s="36">
        <v>1827.29</v>
      </c>
      <c r="AH85" s="43">
        <v>128.08000000000001</v>
      </c>
      <c r="AI85" s="36"/>
      <c r="AJ85" s="38"/>
      <c r="AK85" s="27"/>
      <c r="AL85" s="28"/>
      <c r="AM85" s="29"/>
      <c r="AN85" s="29"/>
      <c r="AO85" s="239">
        <f>+AI85+AL85+AM85+AN85</f>
        <v>0</v>
      </c>
      <c r="AQ85" s="36">
        <v>3692.93</v>
      </c>
      <c r="AR85" s="36">
        <v>893.97</v>
      </c>
      <c r="AS85" s="36">
        <v>28.06</v>
      </c>
      <c r="AT85" s="41"/>
      <c r="AU85" s="27"/>
      <c r="AV85" s="32"/>
      <c r="AW85" s="32"/>
      <c r="AX85" s="44"/>
      <c r="AY85" s="239">
        <f>+AS85+AV85+AW85+AX85</f>
        <v>28.06</v>
      </c>
      <c r="BA85" s="36">
        <v>550</v>
      </c>
      <c r="BB85" s="43"/>
      <c r="BC85" s="36"/>
      <c r="BD85" s="38"/>
      <c r="BE85" s="27"/>
      <c r="BF85" s="32">
        <v>9.9410800000000421</v>
      </c>
      <c r="BG85" s="29"/>
      <c r="BH85" s="29"/>
      <c r="BI85" s="239">
        <f>+BC85+BF85+BG85+BH85</f>
        <v>9.9410800000000421</v>
      </c>
      <c r="BK85" s="36">
        <v>8676.35</v>
      </c>
      <c r="BL85" s="43">
        <v>2619.8200000000002</v>
      </c>
      <c r="BM85" s="36">
        <v>221.09</v>
      </c>
      <c r="BN85" s="38"/>
      <c r="BO85" s="27"/>
      <c r="BP85" s="32"/>
      <c r="BQ85" s="32"/>
      <c r="BR85" s="42"/>
      <c r="BS85" s="29"/>
      <c r="BT85" s="239">
        <f>+BM85+BP85+BR85+BS85</f>
        <v>221.09</v>
      </c>
      <c r="BV85" s="36">
        <v>741.78</v>
      </c>
      <c r="BW85" s="43">
        <v>532.57000000000005</v>
      </c>
      <c r="BX85" s="36"/>
      <c r="BY85" s="38"/>
      <c r="BZ85" s="27"/>
      <c r="CA85" s="28"/>
      <c r="CB85" s="29"/>
      <c r="CC85" s="29"/>
      <c r="CD85" s="239">
        <f>+BX85+CA85+CB85+CC85</f>
        <v>0</v>
      </c>
      <c r="CF85" s="36">
        <v>839.99</v>
      </c>
      <c r="CG85" s="43"/>
      <c r="CH85" s="36"/>
      <c r="CI85" s="38"/>
      <c r="CJ85" s="27"/>
      <c r="CK85" s="32"/>
      <c r="CL85" s="42"/>
      <c r="CM85" s="29"/>
      <c r="CN85" s="239">
        <f>+CH85+CK85+CL85+CM85</f>
        <v>0</v>
      </c>
      <c r="CP85" s="36">
        <v>2546.92</v>
      </c>
      <c r="CQ85" s="36">
        <v>1329.11</v>
      </c>
      <c r="CR85" s="43">
        <v>4782.3</v>
      </c>
      <c r="CS85" s="36"/>
      <c r="CT85" s="38"/>
      <c r="CU85" s="27"/>
      <c r="CV85" s="28"/>
      <c r="CW85" s="42"/>
      <c r="CX85" s="29"/>
      <c r="CY85" s="239">
        <f>+CS85+CV85+CW85+CX85</f>
        <v>0</v>
      </c>
    </row>
    <row r="86" spans="1:103" s="217" customFormat="1" hidden="1" x14ac:dyDescent="0.25">
      <c r="A86" s="47">
        <v>46024</v>
      </c>
      <c r="B86" s="230">
        <v>6195.65</v>
      </c>
      <c r="C86" s="231">
        <v>2713.3</v>
      </c>
      <c r="D86" s="230">
        <v>470.06</v>
      </c>
      <c r="E86" s="323">
        <v>1.85</v>
      </c>
      <c r="F86" s="322"/>
      <c r="G86" s="32"/>
      <c r="H86" s="53"/>
      <c r="I86" s="319"/>
      <c r="J86" s="240">
        <f t="shared" ref="J86:J115" si="41">+D86+G86+H86+I86</f>
        <v>470.06</v>
      </c>
      <c r="L86" s="58">
        <v>7931.85</v>
      </c>
      <c r="M86" s="63">
        <v>5178.7</v>
      </c>
      <c r="N86" s="58">
        <v>57.91</v>
      </c>
      <c r="O86" s="60"/>
      <c r="P86" s="27"/>
      <c r="Q86" s="32">
        <v>409.65269000000001</v>
      </c>
      <c r="R86" s="32"/>
      <c r="S86" s="42"/>
      <c r="T86" s="44">
        <v>125.37002220000011</v>
      </c>
      <c r="U86" s="240">
        <f t="shared" si="40"/>
        <v>592.93271220000008</v>
      </c>
      <c r="V86" s="228"/>
      <c r="W86" s="58">
        <v>4921.84</v>
      </c>
      <c r="X86" s="63"/>
      <c r="Y86" s="58"/>
      <c r="Z86" s="60"/>
      <c r="AA86" s="27"/>
      <c r="AB86" s="32">
        <v>-7.5788599999999633</v>
      </c>
      <c r="AC86" s="52"/>
      <c r="AD86" s="52"/>
      <c r="AE86" s="240">
        <f>+Y86+AB86+AC86+AD86</f>
        <v>-7.5788599999999633</v>
      </c>
      <c r="AG86" s="58">
        <v>7695.42</v>
      </c>
      <c r="AH86" s="63">
        <v>387.36</v>
      </c>
      <c r="AI86" s="58"/>
      <c r="AJ86" s="60"/>
      <c r="AK86" s="27"/>
      <c r="AL86" s="51"/>
      <c r="AM86" s="52"/>
      <c r="AN86" s="52"/>
      <c r="AO86" s="240">
        <f t="shared" ref="AO86:AO115" si="42">+AI86+AL86+AM86+AN86</f>
        <v>0</v>
      </c>
      <c r="AQ86" s="58">
        <v>6803.82</v>
      </c>
      <c r="AR86" s="58">
        <v>1360.86</v>
      </c>
      <c r="AS86" s="58">
        <v>207.68</v>
      </c>
      <c r="AT86" s="62"/>
      <c r="AU86" s="27"/>
      <c r="AV86" s="32">
        <v>105.02802999999997</v>
      </c>
      <c r="AW86" s="32">
        <v>23.349616320000003</v>
      </c>
      <c r="AX86" s="44"/>
      <c r="AY86" s="240">
        <f t="shared" ref="AY86:AY115" si="43">+AS86+AV86+AW86+AX86</f>
        <v>336.05764632</v>
      </c>
      <c r="BA86" s="58">
        <v>2511.14</v>
      </c>
      <c r="BB86" s="63"/>
      <c r="BC86" s="58"/>
      <c r="BD86" s="60"/>
      <c r="BE86" s="27"/>
      <c r="BF86" s="32">
        <v>3.4065900000000227</v>
      </c>
      <c r="BG86" s="52"/>
      <c r="BH86" s="52"/>
      <c r="BI86" s="240">
        <f t="shared" ref="BI86:BI115" si="44">+BC86+BF86+BG86+BH86</f>
        <v>3.4065900000000227</v>
      </c>
      <c r="BK86" s="58">
        <v>14101.41</v>
      </c>
      <c r="BL86" s="63">
        <v>1765.07</v>
      </c>
      <c r="BM86" s="58">
        <v>392.93</v>
      </c>
      <c r="BN86" s="60"/>
      <c r="BO86" s="27"/>
      <c r="BP86" s="32"/>
      <c r="BQ86" s="32"/>
      <c r="BR86" s="42">
        <v>24.672622028571396</v>
      </c>
      <c r="BS86" s="52"/>
      <c r="BT86" s="240">
        <f t="shared" ref="BT86:BT115" si="45">+BM86+BP86+BR86+BS86</f>
        <v>417.60262202857143</v>
      </c>
      <c r="BV86" s="58">
        <v>2998.37</v>
      </c>
      <c r="BW86" s="63">
        <v>529.47</v>
      </c>
      <c r="BX86" s="58">
        <v>4.3099999999999996</v>
      </c>
      <c r="BY86" s="60"/>
      <c r="BZ86" s="27"/>
      <c r="CA86" s="51"/>
      <c r="CB86" s="52"/>
      <c r="CC86" s="52"/>
      <c r="CD86" s="240">
        <f t="shared" ref="CD86:CD115" si="46">+BX86+CA86+CB86+CC86</f>
        <v>4.3099999999999996</v>
      </c>
      <c r="CF86" s="58">
        <v>1990.71</v>
      </c>
      <c r="CG86" s="63"/>
      <c r="CH86" s="58">
        <v>53.81</v>
      </c>
      <c r="CI86" s="60"/>
      <c r="CJ86" s="27"/>
      <c r="CK86" s="32">
        <v>29.374379999999974</v>
      </c>
      <c r="CL86" s="42"/>
      <c r="CM86" s="52"/>
      <c r="CN86" s="240">
        <f t="shared" ref="CN86:CN115" si="47">+CH86+CK86+CL86+CM86</f>
        <v>83.184379999999976</v>
      </c>
      <c r="CP86" s="58">
        <v>5763.24</v>
      </c>
      <c r="CQ86" s="58">
        <v>1705.75</v>
      </c>
      <c r="CR86" s="63">
        <v>6915.44</v>
      </c>
      <c r="CS86" s="58"/>
      <c r="CT86" s="60"/>
      <c r="CU86" s="27"/>
      <c r="CV86" s="51"/>
      <c r="CW86" s="42">
        <v>45.717023700000034</v>
      </c>
      <c r="CX86" s="52"/>
      <c r="CY86" s="240">
        <f t="shared" ref="CY86:CY115" si="48">+CS86+CV86+CW86+CX86</f>
        <v>45.717023700000034</v>
      </c>
    </row>
    <row r="87" spans="1:103" s="217" customFormat="1" hidden="1" x14ac:dyDescent="0.25">
      <c r="A87" s="47">
        <v>46025</v>
      </c>
      <c r="B87" s="230">
        <v>1865.78</v>
      </c>
      <c r="C87" s="231">
        <v>2080.71</v>
      </c>
      <c r="D87" s="230">
        <v>395.86</v>
      </c>
      <c r="E87" s="323">
        <v>0.4</v>
      </c>
      <c r="F87" s="322"/>
      <c r="G87" s="32"/>
      <c r="H87" s="53">
        <v>18.083176000000009</v>
      </c>
      <c r="I87" s="319"/>
      <c r="J87" s="240">
        <f t="shared" si="41"/>
        <v>413.94317599999999</v>
      </c>
      <c r="L87" s="58">
        <v>5079.8</v>
      </c>
      <c r="M87" s="63">
        <v>5287.18</v>
      </c>
      <c r="N87" s="58">
        <v>6.36</v>
      </c>
      <c r="O87" s="60"/>
      <c r="P87" s="27"/>
      <c r="Q87" s="32">
        <v>76.069879999999998</v>
      </c>
      <c r="R87" s="32"/>
      <c r="S87" s="42"/>
      <c r="T87" s="44"/>
      <c r="U87" s="240">
        <f t="shared" si="40"/>
        <v>82.429879999999997</v>
      </c>
      <c r="V87" s="228"/>
      <c r="W87" s="58">
        <v>740.06</v>
      </c>
      <c r="X87" s="63"/>
      <c r="Y87" s="58"/>
      <c r="Z87" s="60"/>
      <c r="AA87" s="27"/>
      <c r="AB87" s="32"/>
      <c r="AC87" s="52"/>
      <c r="AD87" s="52"/>
      <c r="AE87" s="240">
        <f t="shared" ref="AE87:AE115" si="49">+Y87+AB87+AC87+AD87</f>
        <v>0</v>
      </c>
      <c r="AG87" s="58">
        <v>3287.2</v>
      </c>
      <c r="AH87" s="63">
        <v>319</v>
      </c>
      <c r="AI87" s="58"/>
      <c r="AJ87" s="60"/>
      <c r="AK87" s="27"/>
      <c r="AL87" s="51"/>
      <c r="AM87" s="52"/>
      <c r="AN87" s="52"/>
      <c r="AO87" s="240">
        <f t="shared" si="42"/>
        <v>0</v>
      </c>
      <c r="AQ87" s="58">
        <v>7680.88</v>
      </c>
      <c r="AR87" s="58">
        <v>1108.3</v>
      </c>
      <c r="AS87" s="58">
        <v>321.13</v>
      </c>
      <c r="AT87" s="62"/>
      <c r="AU87" s="27"/>
      <c r="AV87" s="32">
        <v>123.98467999999997</v>
      </c>
      <c r="AW87" s="32">
        <v>23.273717417142848</v>
      </c>
      <c r="AX87" s="44"/>
      <c r="AY87" s="240">
        <f t="shared" si="43"/>
        <v>468.38839741714281</v>
      </c>
      <c r="BA87" s="58">
        <v>4640.08</v>
      </c>
      <c r="BB87" s="63"/>
      <c r="BC87" s="58"/>
      <c r="BD87" s="60"/>
      <c r="BE87" s="27"/>
      <c r="BF87" s="32">
        <v>14.291609999999991</v>
      </c>
      <c r="BG87" s="52"/>
      <c r="BH87" s="52"/>
      <c r="BI87" s="240">
        <f t="shared" si="44"/>
        <v>14.291609999999991</v>
      </c>
      <c r="BK87" s="58">
        <v>19649.77</v>
      </c>
      <c r="BL87" s="63">
        <v>2164.75</v>
      </c>
      <c r="BM87" s="58">
        <v>166.76</v>
      </c>
      <c r="BN87" s="60"/>
      <c r="BO87" s="27"/>
      <c r="BP87" s="32">
        <v>234.82562999999965</v>
      </c>
      <c r="BQ87" s="32"/>
      <c r="BR87" s="42">
        <v>51.594071742857125</v>
      </c>
      <c r="BS87" s="52"/>
      <c r="BT87" s="240">
        <f t="shared" si="45"/>
        <v>453.17970174285676</v>
      </c>
      <c r="BV87" s="58">
        <v>2241.7399999999998</v>
      </c>
      <c r="BW87" s="63">
        <v>707.53</v>
      </c>
      <c r="BX87" s="58"/>
      <c r="BY87" s="60"/>
      <c r="BZ87" s="27"/>
      <c r="CA87" s="51"/>
      <c r="CB87" s="52"/>
      <c r="CC87" s="52"/>
      <c r="CD87" s="240">
        <f t="shared" si="46"/>
        <v>0</v>
      </c>
      <c r="CF87" s="58">
        <v>1876.71</v>
      </c>
      <c r="CG87" s="63"/>
      <c r="CH87" s="58">
        <v>12.49</v>
      </c>
      <c r="CI87" s="60"/>
      <c r="CJ87" s="27"/>
      <c r="CK87" s="32"/>
      <c r="CL87" s="42"/>
      <c r="CM87" s="52"/>
      <c r="CN87" s="240">
        <f t="shared" si="47"/>
        <v>12.49</v>
      </c>
      <c r="CP87" s="58">
        <v>4685.67</v>
      </c>
      <c r="CQ87" s="58">
        <v>1934.79</v>
      </c>
      <c r="CR87" s="63">
        <v>5662.66</v>
      </c>
      <c r="CS87" s="58"/>
      <c r="CT87" s="60"/>
      <c r="CU87" s="27"/>
      <c r="CV87" s="51"/>
      <c r="CW87" s="42">
        <v>102.89300000000014</v>
      </c>
      <c r="CX87" s="52"/>
      <c r="CY87" s="240">
        <f t="shared" si="48"/>
        <v>102.89300000000014</v>
      </c>
    </row>
    <row r="88" spans="1:103" s="217" customFormat="1" hidden="1" x14ac:dyDescent="0.25">
      <c r="A88" s="47">
        <v>46026</v>
      </c>
      <c r="B88" s="230">
        <v>805.44</v>
      </c>
      <c r="C88" s="231">
        <v>2654.31</v>
      </c>
      <c r="D88" s="230">
        <v>83.25</v>
      </c>
      <c r="E88" s="323">
        <v>3.45</v>
      </c>
      <c r="F88" s="322"/>
      <c r="G88" s="32">
        <v>20.324520000000003</v>
      </c>
      <c r="H88" s="53"/>
      <c r="I88" s="319"/>
      <c r="J88" s="240">
        <f t="shared" si="41"/>
        <v>103.57452000000001</v>
      </c>
      <c r="L88" s="58">
        <v>3768.51</v>
      </c>
      <c r="M88" s="63">
        <v>3631.64</v>
      </c>
      <c r="N88" s="58"/>
      <c r="O88" s="60"/>
      <c r="P88" s="27"/>
      <c r="Q88" s="32">
        <v>113.80012000000005</v>
      </c>
      <c r="R88" s="32"/>
      <c r="S88" s="42"/>
      <c r="T88" s="44"/>
      <c r="U88" s="240">
        <f t="shared" si="40"/>
        <v>113.80012000000005</v>
      </c>
      <c r="V88" s="228"/>
      <c r="W88" s="58">
        <v>3531.8</v>
      </c>
      <c r="X88" s="63"/>
      <c r="Y88" s="58"/>
      <c r="Z88" s="60"/>
      <c r="AA88" s="27"/>
      <c r="AB88" s="32">
        <v>2.7313000000000009</v>
      </c>
      <c r="AC88" s="52"/>
      <c r="AD88" s="52"/>
      <c r="AE88" s="240">
        <f t="shared" si="49"/>
        <v>2.7313000000000009</v>
      </c>
      <c r="AG88" s="58">
        <v>3473.37</v>
      </c>
      <c r="AH88" s="63">
        <v>643.80999999999995</v>
      </c>
      <c r="AI88" s="58"/>
      <c r="AJ88" s="60"/>
      <c r="AK88" s="27"/>
      <c r="AL88" s="51"/>
      <c r="AM88" s="52"/>
      <c r="AN88" s="52"/>
      <c r="AO88" s="240">
        <f t="shared" si="42"/>
        <v>0</v>
      </c>
      <c r="AQ88" s="58">
        <v>5013.03</v>
      </c>
      <c r="AR88" s="58">
        <v>1342.66</v>
      </c>
      <c r="AS88" s="58">
        <v>235.68</v>
      </c>
      <c r="AT88" s="62"/>
      <c r="AU88" s="27"/>
      <c r="AV88" s="32">
        <v>56.889390000000049</v>
      </c>
      <c r="AW88" s="32"/>
      <c r="AX88" s="44"/>
      <c r="AY88" s="240">
        <f t="shared" si="43"/>
        <v>292.56939000000006</v>
      </c>
      <c r="BA88" s="58">
        <v>4780.6499999999996</v>
      </c>
      <c r="BB88" s="63"/>
      <c r="BC88" s="58"/>
      <c r="BD88" s="60"/>
      <c r="BE88" s="27"/>
      <c r="BF88" s="32">
        <v>11.430030000000031</v>
      </c>
      <c r="BG88" s="52"/>
      <c r="BH88" s="52"/>
      <c r="BI88" s="240">
        <f t="shared" si="44"/>
        <v>11.430030000000031</v>
      </c>
      <c r="BK88" s="58">
        <v>12137.56</v>
      </c>
      <c r="BL88" s="63">
        <v>1835.72</v>
      </c>
      <c r="BM88" s="58">
        <v>682.09</v>
      </c>
      <c r="BN88" s="60"/>
      <c r="BO88" s="27"/>
      <c r="BP88" s="32"/>
      <c r="BQ88" s="32"/>
      <c r="BR88" s="42"/>
      <c r="BS88" s="52"/>
      <c r="BT88" s="240">
        <f t="shared" si="45"/>
        <v>682.09</v>
      </c>
      <c r="BV88" s="58">
        <v>1116.92</v>
      </c>
      <c r="BW88" s="63">
        <v>577.02</v>
      </c>
      <c r="BX88" s="58"/>
      <c r="BY88" s="60"/>
      <c r="BZ88" s="27"/>
      <c r="CA88" s="51"/>
      <c r="CB88" s="52"/>
      <c r="CC88" s="52"/>
      <c r="CD88" s="240">
        <f t="shared" si="46"/>
        <v>0</v>
      </c>
      <c r="CF88" s="58">
        <v>7511</v>
      </c>
      <c r="CG88" s="63"/>
      <c r="CH88" s="58">
        <v>622.89</v>
      </c>
      <c r="CI88" s="60"/>
      <c r="CJ88" s="27"/>
      <c r="CK88" s="32"/>
      <c r="CL88" s="42"/>
      <c r="CM88" s="52"/>
      <c r="CN88" s="240">
        <f t="shared" si="47"/>
        <v>622.89</v>
      </c>
      <c r="CP88" s="58">
        <v>6052.22</v>
      </c>
      <c r="CQ88" s="58">
        <v>1631.02</v>
      </c>
      <c r="CR88" s="63">
        <v>4506.3100000000004</v>
      </c>
      <c r="CS88" s="58"/>
      <c r="CT88" s="60"/>
      <c r="CU88" s="27"/>
      <c r="CV88" s="51"/>
      <c r="CW88" s="42"/>
      <c r="CX88" s="52"/>
      <c r="CY88" s="240">
        <f t="shared" si="48"/>
        <v>0</v>
      </c>
    </row>
    <row r="89" spans="1:103" s="217" customFormat="1" hidden="1" x14ac:dyDescent="0.25">
      <c r="A89" s="47">
        <v>46027</v>
      </c>
      <c r="B89" s="230">
        <v>2082.12</v>
      </c>
      <c r="C89" s="231">
        <v>3256.63</v>
      </c>
      <c r="D89" s="230">
        <v>475.03</v>
      </c>
      <c r="E89" s="323">
        <v>4.71</v>
      </c>
      <c r="F89" s="322"/>
      <c r="G89" s="32">
        <v>6.3197399999999959</v>
      </c>
      <c r="H89" s="53"/>
      <c r="I89" s="319"/>
      <c r="J89" s="240">
        <f t="shared" si="41"/>
        <v>481.34974</v>
      </c>
      <c r="L89" s="58">
        <v>3080.15</v>
      </c>
      <c r="M89" s="63">
        <v>3132.09</v>
      </c>
      <c r="N89" s="58">
        <v>22.46</v>
      </c>
      <c r="O89" s="60"/>
      <c r="P89" s="27"/>
      <c r="Q89" s="32">
        <v>42.340339999999983</v>
      </c>
      <c r="R89" s="32"/>
      <c r="S89" s="42"/>
      <c r="T89" s="44">
        <v>17.753000000000014</v>
      </c>
      <c r="U89" s="240">
        <f t="shared" si="40"/>
        <v>82.553339999999992</v>
      </c>
      <c r="V89" s="228"/>
      <c r="W89" s="58">
        <v>867.64</v>
      </c>
      <c r="X89" s="63"/>
      <c r="Y89" s="58"/>
      <c r="Z89" s="60"/>
      <c r="AA89" s="27"/>
      <c r="AB89" s="32">
        <v>24.203589999999963</v>
      </c>
      <c r="AC89" s="52"/>
      <c r="AD89" s="52"/>
      <c r="AE89" s="240">
        <f t="shared" si="49"/>
        <v>24.203589999999963</v>
      </c>
      <c r="AG89" s="58">
        <v>5894.6</v>
      </c>
      <c r="AH89" s="63">
        <v>676.16</v>
      </c>
      <c r="AI89" s="58"/>
      <c r="AJ89" s="60"/>
      <c r="AK89" s="27"/>
      <c r="AL89" s="51"/>
      <c r="AM89" s="52"/>
      <c r="AN89" s="52"/>
      <c r="AO89" s="240">
        <f t="shared" si="42"/>
        <v>0</v>
      </c>
      <c r="AQ89" s="58">
        <v>8974.58</v>
      </c>
      <c r="AR89" s="58">
        <v>853.7</v>
      </c>
      <c r="AS89" s="58">
        <v>443.64</v>
      </c>
      <c r="AT89" s="62"/>
      <c r="AU89" s="27"/>
      <c r="AV89" s="32">
        <v>105.02165000000001</v>
      </c>
      <c r="AW89" s="32">
        <v>12.970927885714275</v>
      </c>
      <c r="AX89" s="44"/>
      <c r="AY89" s="240">
        <f>+AS89+AV89+AW89+AX89</f>
        <v>561.63257788571423</v>
      </c>
      <c r="BA89" s="58">
        <v>6004.23</v>
      </c>
      <c r="BB89" s="63"/>
      <c r="BC89" s="58"/>
      <c r="BD89" s="60"/>
      <c r="BE89" s="27"/>
      <c r="BF89" s="32">
        <v>9.9367800000000059</v>
      </c>
      <c r="BG89" s="52"/>
      <c r="BH89" s="52"/>
      <c r="BI89" s="240">
        <f t="shared" si="44"/>
        <v>9.9367800000000059</v>
      </c>
      <c r="BK89" s="58">
        <v>14276.86</v>
      </c>
      <c r="BL89" s="63">
        <v>971.48</v>
      </c>
      <c r="BM89" s="58">
        <v>441.73</v>
      </c>
      <c r="BN89" s="60"/>
      <c r="BO89" s="27"/>
      <c r="BP89" s="32"/>
      <c r="BQ89" s="32"/>
      <c r="BR89" s="42">
        <v>20.117692151999961</v>
      </c>
      <c r="BS89" s="52"/>
      <c r="BT89" s="240">
        <f t="shared" si="45"/>
        <v>461.84769215199998</v>
      </c>
      <c r="BV89" s="58">
        <v>3010.42</v>
      </c>
      <c r="BW89" s="63">
        <v>780.99</v>
      </c>
      <c r="BX89" s="58">
        <v>8.89</v>
      </c>
      <c r="BY89" s="60"/>
      <c r="BZ89" s="27"/>
      <c r="CA89" s="51"/>
      <c r="CB89" s="52"/>
      <c r="CC89" s="52"/>
      <c r="CD89" s="240">
        <f t="shared" si="46"/>
        <v>8.89</v>
      </c>
      <c r="CF89" s="58">
        <v>2493.34</v>
      </c>
      <c r="CG89" s="63"/>
      <c r="CH89" s="58">
        <v>557.07000000000005</v>
      </c>
      <c r="CI89" s="60"/>
      <c r="CJ89" s="27"/>
      <c r="CK89" s="32">
        <v>14.715010000000017</v>
      </c>
      <c r="CL89" s="42"/>
      <c r="CM89" s="52"/>
      <c r="CN89" s="240">
        <f t="shared" si="47"/>
        <v>571.78501000000006</v>
      </c>
      <c r="CP89" s="58">
        <v>3557.09</v>
      </c>
      <c r="CQ89" s="58">
        <v>1074.9000000000001</v>
      </c>
      <c r="CR89" s="63">
        <v>2817.28</v>
      </c>
      <c r="CS89" s="58"/>
      <c r="CT89" s="60"/>
      <c r="CU89" s="27"/>
      <c r="CV89" s="51"/>
      <c r="CW89" s="42">
        <v>109.56928580000003</v>
      </c>
      <c r="CX89" s="52"/>
      <c r="CY89" s="240">
        <f t="shared" si="48"/>
        <v>109.56928580000003</v>
      </c>
    </row>
    <row r="90" spans="1:103" s="217" customFormat="1" hidden="1" x14ac:dyDescent="0.25">
      <c r="A90" s="47">
        <v>46028</v>
      </c>
      <c r="B90" s="230">
        <v>3261.96</v>
      </c>
      <c r="C90" s="231">
        <v>3900.36</v>
      </c>
      <c r="D90" s="230">
        <v>518.91999999999996</v>
      </c>
      <c r="E90" s="323">
        <v>30.86</v>
      </c>
      <c r="F90" s="322"/>
      <c r="G90" s="32">
        <v>9.8399999999999963</v>
      </c>
      <c r="H90" s="53"/>
      <c r="I90" s="319">
        <v>97.693784400000027</v>
      </c>
      <c r="J90" s="240">
        <f t="shared" si="41"/>
        <v>626.45378440000002</v>
      </c>
      <c r="L90" s="58">
        <v>5807.6</v>
      </c>
      <c r="M90" s="63">
        <v>5680.43</v>
      </c>
      <c r="N90" s="58">
        <v>70.510000000000005</v>
      </c>
      <c r="O90" s="60"/>
      <c r="P90" s="27"/>
      <c r="Q90" s="32">
        <v>594.10446000000036</v>
      </c>
      <c r="R90" s="32"/>
      <c r="S90" s="42"/>
      <c r="T90" s="44">
        <v>198.6480936000001</v>
      </c>
      <c r="U90" s="240">
        <f t="shared" si="40"/>
        <v>863.2625536000005</v>
      </c>
      <c r="V90" s="228"/>
      <c r="W90" s="58">
        <v>3823.09</v>
      </c>
      <c r="X90" s="63"/>
      <c r="Y90" s="58"/>
      <c r="Z90" s="60"/>
      <c r="AA90" s="27"/>
      <c r="AB90" s="32">
        <v>12.06465</v>
      </c>
      <c r="AC90" s="52"/>
      <c r="AD90" s="52"/>
      <c r="AE90" s="240">
        <f t="shared" si="49"/>
        <v>12.06465</v>
      </c>
      <c r="AG90" s="58">
        <v>6146.9699999999993</v>
      </c>
      <c r="AH90" s="63">
        <v>255.21</v>
      </c>
      <c r="AI90" s="58"/>
      <c r="AJ90" s="60"/>
      <c r="AK90" s="27"/>
      <c r="AL90" s="51"/>
      <c r="AM90" s="52"/>
      <c r="AN90" s="52"/>
      <c r="AO90" s="240">
        <f t="shared" si="42"/>
        <v>0</v>
      </c>
      <c r="AQ90" s="58">
        <v>6614.88</v>
      </c>
      <c r="AR90" s="58">
        <v>873.03</v>
      </c>
      <c r="AS90" s="58">
        <v>439.14</v>
      </c>
      <c r="AT90" s="62"/>
      <c r="AU90" s="27"/>
      <c r="AV90" s="32">
        <v>94.801100000000034</v>
      </c>
      <c r="AW90" s="32">
        <v>38.776647137142874</v>
      </c>
      <c r="AX90" s="44"/>
      <c r="AY90" s="240">
        <f t="shared" si="43"/>
        <v>572.71774713714285</v>
      </c>
      <c r="BA90" s="58">
        <v>8813.67</v>
      </c>
      <c r="BB90" s="63"/>
      <c r="BC90" s="58"/>
      <c r="BD90" s="60"/>
      <c r="BE90" s="27"/>
      <c r="BF90" s="32">
        <v>-26.197469999999981</v>
      </c>
      <c r="BG90" s="52"/>
      <c r="BH90" s="52"/>
      <c r="BI90" s="240">
        <f t="shared" si="44"/>
        <v>-26.197469999999981</v>
      </c>
      <c r="BK90" s="58">
        <v>29796.98</v>
      </c>
      <c r="BL90" s="63">
        <v>1014.17</v>
      </c>
      <c r="BM90" s="58">
        <v>857.7</v>
      </c>
      <c r="BN90" s="60"/>
      <c r="BO90" s="27"/>
      <c r="BP90" s="32">
        <v>110.55710999999988</v>
      </c>
      <c r="BQ90" s="32"/>
      <c r="BR90" s="42">
        <v>126.63020718857138</v>
      </c>
      <c r="BS90" s="52"/>
      <c r="BT90" s="240">
        <f t="shared" si="45"/>
        <v>1094.8873171885712</v>
      </c>
      <c r="BV90" s="58">
        <v>1705.96</v>
      </c>
      <c r="BW90" s="63">
        <v>597.95000000000005</v>
      </c>
      <c r="BX90" s="58">
        <v>2.15</v>
      </c>
      <c r="BY90" s="60"/>
      <c r="BZ90" s="27"/>
      <c r="CA90" s="51"/>
      <c r="CB90" s="52"/>
      <c r="CC90" s="52"/>
      <c r="CD90" s="240">
        <f t="shared" si="46"/>
        <v>2.15</v>
      </c>
      <c r="CF90" s="58">
        <v>1525.54</v>
      </c>
      <c r="CG90" s="63"/>
      <c r="CH90" s="58">
        <v>61.78</v>
      </c>
      <c r="CI90" s="60"/>
      <c r="CJ90" s="27"/>
      <c r="CK90" s="32">
        <v>5.1955500000000114</v>
      </c>
      <c r="CL90" s="42"/>
      <c r="CM90" s="52"/>
      <c r="CN90" s="240">
        <f t="shared" si="47"/>
        <v>66.975550000000013</v>
      </c>
      <c r="CP90" s="58">
        <v>2392.35</v>
      </c>
      <c r="CQ90" s="58">
        <v>478.06</v>
      </c>
      <c r="CR90" s="63">
        <v>3898.66</v>
      </c>
      <c r="CS90" s="58"/>
      <c r="CT90" s="60"/>
      <c r="CU90" s="27"/>
      <c r="CV90" s="51">
        <v>22.594740000000002</v>
      </c>
      <c r="CW90" s="42">
        <v>50.221352097142841</v>
      </c>
      <c r="CX90" s="52"/>
      <c r="CY90" s="240">
        <f t="shared" si="48"/>
        <v>72.816092097142842</v>
      </c>
    </row>
    <row r="91" spans="1:103" s="217" customFormat="1" hidden="1" x14ac:dyDescent="0.25">
      <c r="A91" s="47">
        <v>46029</v>
      </c>
      <c r="B91" s="230">
        <v>3304.39</v>
      </c>
      <c r="C91" s="231">
        <v>3643.41</v>
      </c>
      <c r="D91" s="230">
        <v>447.35</v>
      </c>
      <c r="E91" s="323">
        <v>3.6</v>
      </c>
      <c r="F91" s="322"/>
      <c r="G91" s="32"/>
      <c r="H91" s="53"/>
      <c r="I91" s="319"/>
      <c r="J91" s="240">
        <f t="shared" si="41"/>
        <v>447.35</v>
      </c>
      <c r="L91" s="58">
        <v>6042.66</v>
      </c>
      <c r="M91" s="63">
        <v>5836.66</v>
      </c>
      <c r="N91" s="58">
        <v>20.3</v>
      </c>
      <c r="O91" s="60"/>
      <c r="P91" s="27"/>
      <c r="Q91" s="32">
        <v>258.22805000000017</v>
      </c>
      <c r="R91" s="32"/>
      <c r="S91" s="42"/>
      <c r="T91" s="44"/>
      <c r="U91" s="240">
        <f t="shared" si="40"/>
        <v>278.52805000000018</v>
      </c>
      <c r="V91" s="228"/>
      <c r="W91" s="58">
        <v>1865.7</v>
      </c>
      <c r="X91" s="63"/>
      <c r="Y91" s="58"/>
      <c r="Z91" s="60"/>
      <c r="AA91" s="27"/>
      <c r="AB91" s="32">
        <v>-14.039520000000039</v>
      </c>
      <c r="AC91" s="52"/>
      <c r="AD91" s="52"/>
      <c r="AE91" s="240">
        <f t="shared" si="49"/>
        <v>-14.039520000000039</v>
      </c>
      <c r="AG91" s="58">
        <v>4024.25</v>
      </c>
      <c r="AH91" s="63">
        <v>694.84</v>
      </c>
      <c r="AI91" s="58"/>
      <c r="AJ91" s="60"/>
      <c r="AK91" s="27"/>
      <c r="AL91" s="51"/>
      <c r="AM91" s="52"/>
      <c r="AN91" s="52"/>
      <c r="AO91" s="240">
        <f t="shared" si="42"/>
        <v>0</v>
      </c>
      <c r="AQ91" s="58">
        <v>10923.33</v>
      </c>
      <c r="AR91" s="58">
        <v>893.52</v>
      </c>
      <c r="AS91" s="58">
        <v>787.53</v>
      </c>
      <c r="AT91" s="62"/>
      <c r="AU91" s="27"/>
      <c r="AV91" s="32">
        <v>214.67243000000002</v>
      </c>
      <c r="AW91" s="32">
        <v>54.339416622857144</v>
      </c>
      <c r="AX91" s="44">
        <v>20.563389500000028</v>
      </c>
      <c r="AY91" s="240">
        <f t="shared" si="43"/>
        <v>1077.1052361228574</v>
      </c>
      <c r="BA91" s="58">
        <v>10724.75</v>
      </c>
      <c r="BB91" s="63"/>
      <c r="BC91" s="58"/>
      <c r="BD91" s="60"/>
      <c r="BE91" s="27"/>
      <c r="BF91" s="32">
        <v>-3.5585600000000852</v>
      </c>
      <c r="BG91" s="52"/>
      <c r="BH91" s="52"/>
      <c r="BI91" s="240">
        <f>+BC91+BF91+BG91+BH91</f>
        <v>-3.5585600000000852</v>
      </c>
      <c r="BK91" s="58">
        <v>18023.96</v>
      </c>
      <c r="BL91" s="63">
        <v>955.37</v>
      </c>
      <c r="BM91" s="58">
        <v>1109.46</v>
      </c>
      <c r="BN91" s="60"/>
      <c r="BO91" s="27"/>
      <c r="BP91" s="32">
        <v>19.426729999999992</v>
      </c>
      <c r="BQ91" s="32"/>
      <c r="BR91" s="42"/>
      <c r="BS91" s="52"/>
      <c r="BT91" s="240">
        <f t="shared" si="45"/>
        <v>1128.8867299999999</v>
      </c>
      <c r="BV91" s="58">
        <v>2514.29</v>
      </c>
      <c r="BW91" s="63">
        <v>552.76</v>
      </c>
      <c r="BX91" s="58">
        <v>10.46</v>
      </c>
      <c r="BY91" s="60"/>
      <c r="BZ91" s="27"/>
      <c r="CA91" s="51"/>
      <c r="CB91" s="52"/>
      <c r="CC91" s="52"/>
      <c r="CD91" s="240">
        <f t="shared" si="46"/>
        <v>10.46</v>
      </c>
      <c r="CF91" s="58">
        <v>1637.5</v>
      </c>
      <c r="CG91" s="63"/>
      <c r="CH91" s="58">
        <v>120.14</v>
      </c>
      <c r="CI91" s="60"/>
      <c r="CJ91" s="27"/>
      <c r="CK91" s="32"/>
      <c r="CL91" s="42"/>
      <c r="CM91" s="52"/>
      <c r="CN91" s="240">
        <f t="shared" si="47"/>
        <v>120.14</v>
      </c>
      <c r="CP91" s="58">
        <v>2315.0300000000002</v>
      </c>
      <c r="CQ91" s="58">
        <v>505.45</v>
      </c>
      <c r="CR91" s="63">
        <v>2062.86</v>
      </c>
      <c r="CS91" s="58"/>
      <c r="CT91" s="60"/>
      <c r="CU91" s="27"/>
      <c r="CV91" s="51"/>
      <c r="CW91" s="42">
        <v>16.141548799999981</v>
      </c>
      <c r="CX91" s="52"/>
      <c r="CY91" s="240">
        <f t="shared" si="48"/>
        <v>16.141548799999981</v>
      </c>
    </row>
    <row r="92" spans="1:103" s="217" customFormat="1" hidden="1" x14ac:dyDescent="0.25">
      <c r="A92" s="47">
        <v>46030</v>
      </c>
      <c r="B92" s="230">
        <v>1529.38</v>
      </c>
      <c r="C92" s="231">
        <v>3854.63</v>
      </c>
      <c r="D92" s="230">
        <v>179.67</v>
      </c>
      <c r="E92" s="323">
        <v>29.56</v>
      </c>
      <c r="F92" s="322"/>
      <c r="G92" s="32">
        <v>10.200000000000003</v>
      </c>
      <c r="H92" s="53">
        <v>18.556600118857133</v>
      </c>
      <c r="I92" s="319"/>
      <c r="J92" s="240">
        <f t="shared" si="41"/>
        <v>208.42660011885715</v>
      </c>
      <c r="L92" s="58">
        <v>6163.42</v>
      </c>
      <c r="M92" s="63">
        <v>5376.29</v>
      </c>
      <c r="N92" s="58">
        <v>47.07</v>
      </c>
      <c r="O92" s="60"/>
      <c r="P92" s="27"/>
      <c r="Q92" s="32">
        <v>408.78303000000005</v>
      </c>
      <c r="R92" s="32"/>
      <c r="S92" s="42"/>
      <c r="T92" s="44">
        <v>162.71710000000013</v>
      </c>
      <c r="U92" s="240">
        <f t="shared" si="40"/>
        <v>618.57013000000018</v>
      </c>
      <c r="V92" s="228"/>
      <c r="W92" s="58">
        <v>3150.53</v>
      </c>
      <c r="X92" s="63"/>
      <c r="Y92" s="58"/>
      <c r="Z92" s="60"/>
      <c r="AA92" s="27"/>
      <c r="AB92" s="32">
        <v>-0.60936000000000234</v>
      </c>
      <c r="AC92" s="52"/>
      <c r="AD92" s="52"/>
      <c r="AE92" s="240">
        <f t="shared" si="49"/>
        <v>-0.60936000000000234</v>
      </c>
      <c r="AG92" s="58">
        <v>8474.17</v>
      </c>
      <c r="AH92" s="63">
        <v>766.15</v>
      </c>
      <c r="AI92" s="58"/>
      <c r="AJ92" s="60"/>
      <c r="AK92" s="27"/>
      <c r="AL92" s="51"/>
      <c r="AM92" s="52"/>
      <c r="AN92" s="52"/>
      <c r="AO92" s="240">
        <f t="shared" si="42"/>
        <v>0</v>
      </c>
      <c r="AQ92" s="58">
        <v>9168.98</v>
      </c>
      <c r="AR92" s="58">
        <v>1023.03</v>
      </c>
      <c r="AS92" s="58">
        <v>529.83000000000004</v>
      </c>
      <c r="AT92" s="62"/>
      <c r="AU92" s="27"/>
      <c r="AV92" s="32">
        <v>125.35932000000004</v>
      </c>
      <c r="AW92" s="32">
        <v>28.309921777142833</v>
      </c>
      <c r="AX92" s="44"/>
      <c r="AY92" s="240">
        <f t="shared" si="43"/>
        <v>683.49924177714286</v>
      </c>
      <c r="BA92" s="58">
        <v>10274.91</v>
      </c>
      <c r="BB92" s="63"/>
      <c r="BC92" s="58"/>
      <c r="BD92" s="60"/>
      <c r="BE92" s="27"/>
      <c r="BF92" s="32">
        <v>15.510239999999911</v>
      </c>
      <c r="BG92" s="52"/>
      <c r="BH92" s="52"/>
      <c r="BI92" s="240">
        <f t="shared" si="44"/>
        <v>15.510239999999911</v>
      </c>
      <c r="BK92" s="58">
        <v>24038.3</v>
      </c>
      <c r="BL92" s="63">
        <v>1189.4000000000001</v>
      </c>
      <c r="BM92" s="58">
        <v>379.61</v>
      </c>
      <c r="BN92" s="60"/>
      <c r="BO92" s="27"/>
      <c r="BP92" s="32">
        <v>150.07669999999996</v>
      </c>
      <c r="BQ92" s="32"/>
      <c r="BR92" s="42">
        <v>21.912548142857545</v>
      </c>
      <c r="BS92" s="52"/>
      <c r="BT92" s="240">
        <f t="shared" si="45"/>
        <v>551.5992481428575</v>
      </c>
      <c r="BV92" s="58">
        <v>1987.79</v>
      </c>
      <c r="BW92" s="63">
        <v>817.53</v>
      </c>
      <c r="BX92" s="58">
        <v>8.33</v>
      </c>
      <c r="BY92" s="60"/>
      <c r="BZ92" s="27"/>
      <c r="CA92" s="51"/>
      <c r="CB92" s="52"/>
      <c r="CC92" s="52"/>
      <c r="CD92" s="240">
        <f t="shared" si="46"/>
        <v>8.33</v>
      </c>
      <c r="CF92" s="58">
        <v>4251.0200000000004</v>
      </c>
      <c r="CG92" s="63"/>
      <c r="CH92" s="58">
        <v>216.63</v>
      </c>
      <c r="CI92" s="60"/>
      <c r="CJ92" s="27"/>
      <c r="CK92" s="32">
        <v>9.9379799999999818</v>
      </c>
      <c r="CL92" s="42"/>
      <c r="CM92" s="52"/>
      <c r="CN92" s="240">
        <f t="shared" si="47"/>
        <v>226.56797999999998</v>
      </c>
      <c r="CP92" s="58">
        <v>3221.14</v>
      </c>
      <c r="CQ92" s="58">
        <v>929.47</v>
      </c>
      <c r="CR92" s="63">
        <v>3739.25</v>
      </c>
      <c r="CS92" s="58">
        <v>18.149999999999999</v>
      </c>
      <c r="CT92" s="60"/>
      <c r="CU92" s="27"/>
      <c r="CV92" s="51"/>
      <c r="CW92" s="42"/>
      <c r="CX92" s="52"/>
      <c r="CY92" s="240">
        <f t="shared" si="48"/>
        <v>18.149999999999999</v>
      </c>
    </row>
    <row r="93" spans="1:103" s="217" customFormat="1" hidden="1" x14ac:dyDescent="0.25">
      <c r="A93" s="47">
        <v>46031</v>
      </c>
      <c r="B93" s="230">
        <v>2241.4</v>
      </c>
      <c r="C93" s="231">
        <v>4115.68</v>
      </c>
      <c r="D93" s="230">
        <v>370.15</v>
      </c>
      <c r="E93" s="323">
        <v>2.31</v>
      </c>
      <c r="F93" s="322"/>
      <c r="G93" s="32">
        <v>48.911569999999998</v>
      </c>
      <c r="H93" s="53"/>
      <c r="I93" s="319"/>
      <c r="J93" s="240">
        <f t="shared" si="41"/>
        <v>419.06156999999996</v>
      </c>
      <c r="L93" s="58">
        <v>7452.26</v>
      </c>
      <c r="M93" s="63">
        <v>5684.66</v>
      </c>
      <c r="N93" s="58">
        <v>74.77</v>
      </c>
      <c r="O93" s="60"/>
      <c r="P93" s="27"/>
      <c r="Q93" s="32">
        <v>454.14853000000011</v>
      </c>
      <c r="R93" s="32"/>
      <c r="S93" s="42"/>
      <c r="T93" s="44"/>
      <c r="U93" s="240">
        <f t="shared" si="40"/>
        <v>528.91853000000015</v>
      </c>
      <c r="V93" s="228"/>
      <c r="W93" s="58">
        <v>987.8</v>
      </c>
      <c r="X93" s="63"/>
      <c r="Y93" s="58"/>
      <c r="Z93" s="60"/>
      <c r="AA93" s="27"/>
      <c r="AB93" s="32">
        <v>-20.556240000000003</v>
      </c>
      <c r="AC93" s="52"/>
      <c r="AD93" s="52"/>
      <c r="AE93" s="240">
        <f t="shared" si="49"/>
        <v>-20.556240000000003</v>
      </c>
      <c r="AG93" s="58">
        <v>6952.83</v>
      </c>
      <c r="AH93" s="63">
        <v>420.67</v>
      </c>
      <c r="AI93" s="58"/>
      <c r="AJ93" s="60"/>
      <c r="AK93" s="27"/>
      <c r="AL93" s="51"/>
      <c r="AM93" s="52"/>
      <c r="AN93" s="52"/>
      <c r="AO93" s="240">
        <f t="shared" si="42"/>
        <v>0</v>
      </c>
      <c r="AQ93" s="58">
        <v>6498.99</v>
      </c>
      <c r="AR93" s="58">
        <v>819.67</v>
      </c>
      <c r="AS93" s="58">
        <v>340.48</v>
      </c>
      <c r="AT93" s="62"/>
      <c r="AU93" s="27"/>
      <c r="AV93" s="32">
        <v>241.94427000000013</v>
      </c>
      <c r="AW93" s="32">
        <v>17.197681845714271</v>
      </c>
      <c r="AX93" s="44"/>
      <c r="AY93" s="240">
        <f t="shared" si="43"/>
        <v>599.62195184571442</v>
      </c>
      <c r="BA93" s="58">
        <v>7446.04</v>
      </c>
      <c r="BB93" s="63"/>
      <c r="BC93" s="58"/>
      <c r="BD93" s="60"/>
      <c r="BE93" s="27"/>
      <c r="BF93" s="32">
        <v>64.184359999999657</v>
      </c>
      <c r="BG93" s="52"/>
      <c r="BH93" s="52"/>
      <c r="BI93" s="240">
        <f t="shared" si="44"/>
        <v>64.184359999999657</v>
      </c>
      <c r="BK93" s="58">
        <v>21184.02</v>
      </c>
      <c r="BL93" s="63">
        <v>1301.1300000000001</v>
      </c>
      <c r="BM93" s="58">
        <v>507.73</v>
      </c>
      <c r="BN93" s="60"/>
      <c r="BO93" s="27"/>
      <c r="BP93" s="32">
        <v>182.86387999999985</v>
      </c>
      <c r="BQ93" s="32"/>
      <c r="BR93" s="42">
        <v>109.19581209142848</v>
      </c>
      <c r="BS93" s="52"/>
      <c r="BT93" s="240">
        <f>+BM93+BP93+BR93+BS93</f>
        <v>799.78969209142838</v>
      </c>
      <c r="BV93" s="58">
        <v>1849.56</v>
      </c>
      <c r="BW93" s="63">
        <v>819.54</v>
      </c>
      <c r="BX93" s="58">
        <v>5.68</v>
      </c>
      <c r="BY93" s="60"/>
      <c r="BZ93" s="27"/>
      <c r="CA93" s="51"/>
      <c r="CB93" s="52"/>
      <c r="CC93" s="52"/>
      <c r="CD93" s="240">
        <f t="shared" si="46"/>
        <v>5.68</v>
      </c>
      <c r="CF93" s="58">
        <v>2072.61</v>
      </c>
      <c r="CG93" s="63"/>
      <c r="CH93" s="58">
        <v>91.87</v>
      </c>
      <c r="CI93" s="60"/>
      <c r="CJ93" s="27"/>
      <c r="CK93" s="32"/>
      <c r="CL93" s="42"/>
      <c r="CM93" s="52"/>
      <c r="CN93" s="240">
        <f t="shared" si="47"/>
        <v>91.87</v>
      </c>
      <c r="CP93" s="58">
        <v>1856.07</v>
      </c>
      <c r="CQ93" s="58">
        <v>1267.43</v>
      </c>
      <c r="CR93" s="63">
        <v>5285.9</v>
      </c>
      <c r="CS93" s="58"/>
      <c r="CT93" s="60"/>
      <c r="CU93" s="27"/>
      <c r="CV93" s="51"/>
      <c r="CW93" s="42">
        <v>15.552928411428582</v>
      </c>
      <c r="CX93" s="52"/>
      <c r="CY93" s="240">
        <f t="shared" si="48"/>
        <v>15.552928411428582</v>
      </c>
    </row>
    <row r="94" spans="1:103" s="217" customFormat="1" hidden="1" x14ac:dyDescent="0.25">
      <c r="A94" s="47">
        <v>46032</v>
      </c>
      <c r="B94" s="230">
        <v>2998.88</v>
      </c>
      <c r="C94" s="231">
        <v>2886.02</v>
      </c>
      <c r="D94" s="230">
        <v>376.93</v>
      </c>
      <c r="E94" s="323">
        <v>5.14</v>
      </c>
      <c r="F94" s="322"/>
      <c r="G94" s="32"/>
      <c r="H94" s="53"/>
      <c r="I94" s="319"/>
      <c r="J94" s="240">
        <f t="shared" si="41"/>
        <v>376.93</v>
      </c>
      <c r="L94" s="58">
        <v>6716.9</v>
      </c>
      <c r="M94" s="63">
        <v>5459.13</v>
      </c>
      <c r="N94" s="58"/>
      <c r="O94" s="60"/>
      <c r="P94" s="27"/>
      <c r="Q94" s="32">
        <v>44.370000000000026</v>
      </c>
      <c r="R94" s="32"/>
      <c r="S94" s="42"/>
      <c r="T94" s="44"/>
      <c r="U94" s="240">
        <f t="shared" si="40"/>
        <v>44.370000000000026</v>
      </c>
      <c r="V94" s="228"/>
      <c r="W94" s="58">
        <v>2113.41</v>
      </c>
      <c r="X94" s="63"/>
      <c r="Y94" s="58"/>
      <c r="Z94" s="60"/>
      <c r="AA94" s="27"/>
      <c r="AB94" s="32">
        <v>-14.701820000000041</v>
      </c>
      <c r="AC94" s="52"/>
      <c r="AD94" s="52"/>
      <c r="AE94" s="240">
        <f t="shared" si="49"/>
        <v>-14.701820000000041</v>
      </c>
      <c r="AG94" s="58">
        <v>5248.73</v>
      </c>
      <c r="AH94" s="63">
        <v>435.04</v>
      </c>
      <c r="AI94" s="58"/>
      <c r="AJ94" s="60"/>
      <c r="AK94" s="27"/>
      <c r="AL94" s="51"/>
      <c r="AM94" s="52"/>
      <c r="AN94" s="52"/>
      <c r="AO94" s="240">
        <f t="shared" si="42"/>
        <v>0</v>
      </c>
      <c r="AQ94" s="58">
        <v>8896.6299999999992</v>
      </c>
      <c r="AR94" s="58">
        <v>1352.71</v>
      </c>
      <c r="AS94" s="58">
        <v>436.49</v>
      </c>
      <c r="AT94" s="62"/>
      <c r="AU94" s="27"/>
      <c r="AV94" s="32">
        <v>120.90652</v>
      </c>
      <c r="AW94" s="32"/>
      <c r="AX94" s="44"/>
      <c r="AY94" s="240">
        <f t="shared" si="43"/>
        <v>557.39652000000001</v>
      </c>
      <c r="BA94" s="58">
        <v>3188.18</v>
      </c>
      <c r="BB94" s="63"/>
      <c r="BC94" s="58"/>
      <c r="BD94" s="60"/>
      <c r="BE94" s="27"/>
      <c r="BF94" s="32">
        <v>-1.7131600000000304</v>
      </c>
      <c r="BG94" s="52"/>
      <c r="BH94" s="52"/>
      <c r="BI94" s="240">
        <f t="shared" si="44"/>
        <v>-1.7131600000000304</v>
      </c>
      <c r="BK94" s="58">
        <v>19928.3</v>
      </c>
      <c r="BL94" s="63">
        <v>2015.07</v>
      </c>
      <c r="BM94" s="58">
        <v>430.87</v>
      </c>
      <c r="BN94" s="60"/>
      <c r="BO94" s="27"/>
      <c r="BP94" s="32">
        <v>151.87454999999986</v>
      </c>
      <c r="BQ94" s="32"/>
      <c r="BR94" s="42">
        <v>178.87508302285764</v>
      </c>
      <c r="BS94" s="52"/>
      <c r="BT94" s="240">
        <f t="shared" si="45"/>
        <v>761.61963302285756</v>
      </c>
      <c r="BV94" s="58">
        <v>2180.4899999999998</v>
      </c>
      <c r="BW94" s="63">
        <v>524.41</v>
      </c>
      <c r="BX94" s="58">
        <v>3.91</v>
      </c>
      <c r="BY94" s="60"/>
      <c r="BZ94" s="27"/>
      <c r="CA94" s="51"/>
      <c r="CB94" s="52"/>
      <c r="CC94" s="52"/>
      <c r="CD94" s="240">
        <f t="shared" si="46"/>
        <v>3.91</v>
      </c>
      <c r="CF94" s="58">
        <v>1816.17</v>
      </c>
      <c r="CG94" s="63"/>
      <c r="CH94" s="58">
        <v>8.58</v>
      </c>
      <c r="CI94" s="60"/>
      <c r="CJ94" s="27"/>
      <c r="CK94" s="32">
        <v>7.7772799999999904</v>
      </c>
      <c r="CL94" s="42"/>
      <c r="CM94" s="52"/>
      <c r="CN94" s="240">
        <f t="shared" si="47"/>
        <v>16.357279999999989</v>
      </c>
      <c r="CP94" s="58">
        <v>4333.3</v>
      </c>
      <c r="CQ94" s="58">
        <v>1314.69</v>
      </c>
      <c r="CR94" s="63">
        <v>8296.27</v>
      </c>
      <c r="CS94" s="58">
        <v>5</v>
      </c>
      <c r="CT94" s="60"/>
      <c r="CU94" s="27"/>
      <c r="CV94" s="51"/>
      <c r="CW94" s="42">
        <v>21.238880000000023</v>
      </c>
      <c r="CX94" s="52"/>
      <c r="CY94" s="240">
        <f t="shared" si="48"/>
        <v>26.238880000000023</v>
      </c>
    </row>
    <row r="95" spans="1:103" s="217" customFormat="1" hidden="1" x14ac:dyDescent="0.25">
      <c r="A95" s="47">
        <v>46033</v>
      </c>
      <c r="B95" s="230">
        <v>1054.8699999999999</v>
      </c>
      <c r="C95" s="231">
        <v>2115.66</v>
      </c>
      <c r="D95" s="230">
        <v>219.53</v>
      </c>
      <c r="E95" s="323">
        <v>1.27</v>
      </c>
      <c r="F95" s="322"/>
      <c r="G95" s="32">
        <v>6.0659700000000001</v>
      </c>
      <c r="H95" s="53"/>
      <c r="I95" s="319"/>
      <c r="J95" s="240">
        <f t="shared" si="41"/>
        <v>225.59596999999999</v>
      </c>
      <c r="L95" s="58">
        <v>4954.0200000000004</v>
      </c>
      <c r="M95" s="63">
        <v>4597.37</v>
      </c>
      <c r="N95" s="58">
        <v>16.84</v>
      </c>
      <c r="O95" s="60"/>
      <c r="P95" s="27"/>
      <c r="Q95" s="32">
        <v>180.94409000000007</v>
      </c>
      <c r="R95" s="32"/>
      <c r="S95" s="42"/>
      <c r="T95" s="44"/>
      <c r="U95" s="240">
        <f t="shared" si="40"/>
        <v>197.78409000000008</v>
      </c>
      <c r="V95" s="228"/>
      <c r="W95" s="58">
        <v>1825.47</v>
      </c>
      <c r="X95" s="63"/>
      <c r="Y95" s="58"/>
      <c r="Z95" s="60"/>
      <c r="AA95" s="27"/>
      <c r="AB95" s="32">
        <v>-4.5340800000000172</v>
      </c>
      <c r="AC95" s="52"/>
      <c r="AD95" s="52"/>
      <c r="AE95" s="240">
        <f t="shared" si="49"/>
        <v>-4.5340800000000172</v>
      </c>
      <c r="AG95" s="58">
        <v>3226.67</v>
      </c>
      <c r="AH95" s="63">
        <v>563.38</v>
      </c>
      <c r="AI95" s="58"/>
      <c r="AJ95" s="60"/>
      <c r="AK95" s="27"/>
      <c r="AL95" s="51"/>
      <c r="AM95" s="52"/>
      <c r="AN95" s="52"/>
      <c r="AO95" s="240">
        <f t="shared" si="42"/>
        <v>0</v>
      </c>
      <c r="AQ95" s="58">
        <v>4715.96</v>
      </c>
      <c r="AR95" s="58">
        <v>1072.25</v>
      </c>
      <c r="AS95" s="58">
        <v>161.71</v>
      </c>
      <c r="AT95" s="62"/>
      <c r="AU95" s="27"/>
      <c r="AV95" s="32">
        <v>57.527900000000045</v>
      </c>
      <c r="AW95" s="32"/>
      <c r="AX95" s="44"/>
      <c r="AY95" s="240">
        <f t="shared" si="43"/>
        <v>219.23790000000005</v>
      </c>
      <c r="BA95" s="58">
        <v>3689.79</v>
      </c>
      <c r="BB95" s="63"/>
      <c r="BC95" s="58"/>
      <c r="BD95" s="60"/>
      <c r="BE95" s="27"/>
      <c r="BF95" s="32">
        <v>-0.99744000000001165</v>
      </c>
      <c r="BG95" s="52"/>
      <c r="BH95" s="52"/>
      <c r="BI95" s="240">
        <f t="shared" si="44"/>
        <v>-0.99744000000001165</v>
      </c>
      <c r="BK95" s="58">
        <v>9640.86</v>
      </c>
      <c r="BL95" s="63">
        <v>2071.69</v>
      </c>
      <c r="BM95" s="58">
        <v>57.56</v>
      </c>
      <c r="BN95" s="60"/>
      <c r="BO95" s="27"/>
      <c r="BP95" s="32">
        <v>22.274460000000005</v>
      </c>
      <c r="BQ95" s="32"/>
      <c r="BR95" s="42">
        <v>619.21169006857122</v>
      </c>
      <c r="BS95" s="52"/>
      <c r="BT95" s="240">
        <f t="shared" si="45"/>
        <v>699.04615006857125</v>
      </c>
      <c r="BV95" s="58">
        <v>2298.34</v>
      </c>
      <c r="BW95" s="63">
        <v>591.66999999999996</v>
      </c>
      <c r="BX95" s="58"/>
      <c r="BY95" s="60"/>
      <c r="BZ95" s="27"/>
      <c r="CA95" s="51"/>
      <c r="CB95" s="52"/>
      <c r="CC95" s="52"/>
      <c r="CD95" s="240">
        <f t="shared" si="46"/>
        <v>0</v>
      </c>
      <c r="CF95" s="58">
        <v>657.01</v>
      </c>
      <c r="CG95" s="63"/>
      <c r="CH95" s="58">
        <v>255.6</v>
      </c>
      <c r="CI95" s="60"/>
      <c r="CJ95" s="27"/>
      <c r="CK95" s="32"/>
      <c r="CL95" s="42"/>
      <c r="CM95" s="52"/>
      <c r="CN95" s="240">
        <f t="shared" si="47"/>
        <v>255.6</v>
      </c>
      <c r="CP95" s="58">
        <v>5508.21</v>
      </c>
      <c r="CQ95" s="58">
        <v>1228.4100000000001</v>
      </c>
      <c r="CR95" s="63">
        <v>4086.44</v>
      </c>
      <c r="CS95" s="58">
        <v>3.56</v>
      </c>
      <c r="CT95" s="60"/>
      <c r="CU95" s="27"/>
      <c r="CV95" s="51"/>
      <c r="CW95" s="42">
        <v>19.307658982857163</v>
      </c>
      <c r="CX95" s="52"/>
      <c r="CY95" s="240">
        <f t="shared" si="48"/>
        <v>22.867658982857161</v>
      </c>
    </row>
    <row r="96" spans="1:103" s="217" customFormat="1" hidden="1" x14ac:dyDescent="0.25">
      <c r="A96" s="47">
        <v>46034</v>
      </c>
      <c r="B96" s="230">
        <v>2554.7199999999998</v>
      </c>
      <c r="C96" s="231">
        <v>3639.56</v>
      </c>
      <c r="D96" s="230">
        <v>109.28</v>
      </c>
      <c r="E96" s="323">
        <v>30.56</v>
      </c>
      <c r="F96" s="322"/>
      <c r="G96" s="32">
        <v>10.200000000000003</v>
      </c>
      <c r="H96" s="53"/>
      <c r="I96" s="319">
        <v>114.61287110000001</v>
      </c>
      <c r="J96" s="240">
        <f t="shared" si="41"/>
        <v>234.09287110000002</v>
      </c>
      <c r="L96" s="58">
        <v>6748.25</v>
      </c>
      <c r="M96" s="63">
        <v>5485.04</v>
      </c>
      <c r="N96" s="58">
        <v>31.19</v>
      </c>
      <c r="O96" s="60"/>
      <c r="P96" s="27"/>
      <c r="Q96" s="32">
        <v>580.88005000000044</v>
      </c>
      <c r="R96" s="32"/>
      <c r="S96" s="42"/>
      <c r="T96" s="44">
        <v>210.68372780000007</v>
      </c>
      <c r="U96" s="240">
        <f t="shared" si="40"/>
        <v>822.75377780000053</v>
      </c>
      <c r="V96" s="228"/>
      <c r="W96" s="58">
        <v>3555.17</v>
      </c>
      <c r="X96" s="63"/>
      <c r="Y96" s="58"/>
      <c r="Z96" s="60"/>
      <c r="AA96" s="27"/>
      <c r="AB96" s="32">
        <v>6.0356800000000135</v>
      </c>
      <c r="AC96" s="52"/>
      <c r="AD96" s="52"/>
      <c r="AE96" s="240">
        <f t="shared" si="49"/>
        <v>6.0356800000000135</v>
      </c>
      <c r="AG96" s="58">
        <v>7787.2699999999995</v>
      </c>
      <c r="AH96" s="63">
        <v>739.6</v>
      </c>
      <c r="AI96" s="58"/>
      <c r="AJ96" s="60"/>
      <c r="AK96" s="27"/>
      <c r="AL96" s="51"/>
      <c r="AM96" s="52"/>
      <c r="AN96" s="52"/>
      <c r="AO96" s="240">
        <f t="shared" si="42"/>
        <v>0</v>
      </c>
      <c r="AQ96" s="58">
        <v>11155.55</v>
      </c>
      <c r="AR96" s="58">
        <v>1123.49</v>
      </c>
      <c r="AS96" s="58">
        <v>618.87</v>
      </c>
      <c r="AT96" s="62"/>
      <c r="AU96" s="27"/>
      <c r="AV96" s="32">
        <v>148.15266000000005</v>
      </c>
      <c r="AW96" s="32">
        <v>73.554624919999981</v>
      </c>
      <c r="AX96" s="44"/>
      <c r="AY96" s="240">
        <f t="shared" si="43"/>
        <v>840.57728492000001</v>
      </c>
      <c r="BA96" s="58">
        <v>10385.969999999999</v>
      </c>
      <c r="BB96" s="63"/>
      <c r="BC96" s="58">
        <v>105</v>
      </c>
      <c r="BD96" s="60"/>
      <c r="BE96" s="27"/>
      <c r="BF96" s="32">
        <v>-6.5344400000002452</v>
      </c>
      <c r="BG96" s="52"/>
      <c r="BH96" s="52"/>
      <c r="BI96" s="240">
        <f t="shared" si="44"/>
        <v>98.465559999999755</v>
      </c>
      <c r="BK96" s="58">
        <v>28563.4</v>
      </c>
      <c r="BL96" s="63">
        <v>1165.9100000000001</v>
      </c>
      <c r="BM96" s="58">
        <v>1224.6300000000001</v>
      </c>
      <c r="BN96" s="60"/>
      <c r="BO96" s="27"/>
      <c r="BP96" s="32">
        <v>186.89380999999989</v>
      </c>
      <c r="BQ96" s="32"/>
      <c r="BR96" s="42">
        <v>242.77131489142823</v>
      </c>
      <c r="BS96" s="52"/>
      <c r="BT96" s="240">
        <f t="shared" si="45"/>
        <v>1654.2951248914283</v>
      </c>
      <c r="BV96" s="58">
        <v>2321.5500000000002</v>
      </c>
      <c r="BW96" s="63">
        <v>459.36</v>
      </c>
      <c r="BX96" s="58">
        <v>1.05</v>
      </c>
      <c r="BY96" s="60"/>
      <c r="BZ96" s="27"/>
      <c r="CA96" s="51"/>
      <c r="CB96" s="52"/>
      <c r="CC96" s="52"/>
      <c r="CD96" s="240">
        <f>+BX96+CA96+CB96+CC96</f>
        <v>1.05</v>
      </c>
      <c r="CF96" s="58">
        <v>3173.79</v>
      </c>
      <c r="CG96" s="63"/>
      <c r="CH96" s="58">
        <v>528.54999999999995</v>
      </c>
      <c r="CI96" s="60"/>
      <c r="CJ96" s="27"/>
      <c r="CK96" s="32"/>
      <c r="CL96" s="42"/>
      <c r="CM96" s="52"/>
      <c r="CN96" s="240">
        <f t="shared" si="47"/>
        <v>528.54999999999995</v>
      </c>
      <c r="CP96" s="58">
        <v>3034.95</v>
      </c>
      <c r="CQ96" s="58">
        <v>699.03</v>
      </c>
      <c r="CR96" s="63">
        <v>2163.02</v>
      </c>
      <c r="CS96" s="58">
        <v>13.01</v>
      </c>
      <c r="CT96" s="60"/>
      <c r="CU96" s="27"/>
      <c r="CV96" s="51">
        <v>45.017969999999977</v>
      </c>
      <c r="CW96" s="42">
        <v>20.613850102857128</v>
      </c>
      <c r="CX96" s="52"/>
      <c r="CY96" s="240">
        <f t="shared" si="48"/>
        <v>78.64182010285711</v>
      </c>
    </row>
    <row r="97" spans="1:103" s="217" customFormat="1" hidden="1" x14ac:dyDescent="0.25">
      <c r="A97" s="47">
        <v>46035</v>
      </c>
      <c r="B97" s="230">
        <v>1560.41</v>
      </c>
      <c r="C97" s="231">
        <v>3755.93</v>
      </c>
      <c r="D97" s="230">
        <v>183.76</v>
      </c>
      <c r="E97" s="323">
        <v>1.9</v>
      </c>
      <c r="F97" s="322"/>
      <c r="G97" s="32"/>
      <c r="H97" s="53"/>
      <c r="I97" s="319"/>
      <c r="J97" s="240">
        <f t="shared" si="41"/>
        <v>183.76</v>
      </c>
      <c r="L97" s="58">
        <v>6028.31</v>
      </c>
      <c r="M97" s="63">
        <v>6000.6</v>
      </c>
      <c r="N97" s="58">
        <v>42.3</v>
      </c>
      <c r="O97" s="60"/>
      <c r="P97" s="27"/>
      <c r="Q97" s="32">
        <v>316.76291000000003</v>
      </c>
      <c r="R97" s="32"/>
      <c r="S97" s="42"/>
      <c r="T97" s="44">
        <v>35.762000000000029</v>
      </c>
      <c r="U97" s="240">
        <f t="shared" si="40"/>
        <v>394.82491000000005</v>
      </c>
      <c r="V97" s="228"/>
      <c r="W97" s="58">
        <v>1715.16</v>
      </c>
      <c r="X97" s="63"/>
      <c r="Y97" s="58"/>
      <c r="Z97" s="60"/>
      <c r="AA97" s="27"/>
      <c r="AB97" s="32">
        <v>-33.215600000000194</v>
      </c>
      <c r="AC97" s="52"/>
      <c r="AD97" s="52"/>
      <c r="AE97" s="240">
        <f t="shared" si="49"/>
        <v>-33.215600000000194</v>
      </c>
      <c r="AG97" s="58">
        <v>2878.41</v>
      </c>
      <c r="AH97" s="63">
        <v>395.2</v>
      </c>
      <c r="AI97" s="58"/>
      <c r="AJ97" s="60"/>
      <c r="AK97" s="27"/>
      <c r="AL97" s="51"/>
      <c r="AM97" s="52"/>
      <c r="AN97" s="52"/>
      <c r="AO97" s="240">
        <f t="shared" si="42"/>
        <v>0</v>
      </c>
      <c r="AQ97" s="58">
        <v>7342.65</v>
      </c>
      <c r="AR97" s="58">
        <v>670.58</v>
      </c>
      <c r="AS97" s="58">
        <v>140.88999999999999</v>
      </c>
      <c r="AT97" s="62"/>
      <c r="AU97" s="27"/>
      <c r="AV97" s="32">
        <v>96.308270000000007</v>
      </c>
      <c r="AW97" s="32">
        <v>59.30599554285709</v>
      </c>
      <c r="AX97" s="44"/>
      <c r="AY97" s="240">
        <f t="shared" si="43"/>
        <v>296.50426554285707</v>
      </c>
      <c r="BA97" s="58">
        <v>5125.63</v>
      </c>
      <c r="BB97" s="63"/>
      <c r="BC97" s="58"/>
      <c r="BD97" s="60"/>
      <c r="BE97" s="27"/>
      <c r="BF97" s="32">
        <v>-23.633360000000806</v>
      </c>
      <c r="BG97" s="52"/>
      <c r="BH97" s="52"/>
      <c r="BI97" s="240">
        <f t="shared" si="44"/>
        <v>-23.633360000000806</v>
      </c>
      <c r="BK97" s="58">
        <v>18357.150000000001</v>
      </c>
      <c r="BL97" s="63">
        <v>1273.52</v>
      </c>
      <c r="BM97" s="58">
        <v>476.31</v>
      </c>
      <c r="BN97" s="60"/>
      <c r="BO97" s="27"/>
      <c r="BP97" s="32">
        <v>202.56071999999983</v>
      </c>
      <c r="BQ97" s="32"/>
      <c r="BR97" s="42">
        <v>161.61782510476189</v>
      </c>
      <c r="BS97" s="52"/>
      <c r="BT97" s="240">
        <f t="shared" si="45"/>
        <v>840.48854510476178</v>
      </c>
      <c r="BV97" s="58">
        <v>3216.01</v>
      </c>
      <c r="BW97" s="63">
        <v>713</v>
      </c>
      <c r="BX97" s="58">
        <v>0.36</v>
      </c>
      <c r="BY97" s="60"/>
      <c r="BZ97" s="27"/>
      <c r="CA97" s="51"/>
      <c r="CB97" s="52"/>
      <c r="CC97" s="52"/>
      <c r="CD97" s="240">
        <f t="shared" si="46"/>
        <v>0.36</v>
      </c>
      <c r="CF97" s="58">
        <v>1305.5899999999999</v>
      </c>
      <c r="CG97" s="63"/>
      <c r="CH97" s="58">
        <v>22.06</v>
      </c>
      <c r="CI97" s="60"/>
      <c r="CJ97" s="27"/>
      <c r="CK97" s="32">
        <v>13.775779999999983</v>
      </c>
      <c r="CL97" s="42"/>
      <c r="CM97" s="52"/>
      <c r="CN97" s="240">
        <f>+CH97+CK97+CL97+CM97</f>
        <v>35.835779999999986</v>
      </c>
      <c r="CP97" s="58">
        <v>2212.54</v>
      </c>
      <c r="CQ97" s="58">
        <v>785.87</v>
      </c>
      <c r="CR97" s="63">
        <v>2766.56</v>
      </c>
      <c r="CS97" s="58"/>
      <c r="CT97" s="60"/>
      <c r="CU97" s="27"/>
      <c r="CV97" s="51"/>
      <c r="CW97" s="42">
        <v>32.007512990476201</v>
      </c>
      <c r="CX97" s="52"/>
      <c r="CY97" s="240">
        <f t="shared" si="48"/>
        <v>32.007512990476201</v>
      </c>
    </row>
    <row r="98" spans="1:103" s="217" customFormat="1" hidden="1" x14ac:dyDescent="0.25">
      <c r="A98" s="47">
        <v>46036</v>
      </c>
      <c r="B98" s="230">
        <v>2402.89</v>
      </c>
      <c r="C98" s="231">
        <v>3873.31</v>
      </c>
      <c r="D98" s="230">
        <v>206.14</v>
      </c>
      <c r="E98" s="323">
        <v>25.37</v>
      </c>
      <c r="F98" s="322"/>
      <c r="G98" s="32"/>
      <c r="H98" s="53"/>
      <c r="I98" s="319"/>
      <c r="J98" s="240">
        <f t="shared" si="41"/>
        <v>206.14</v>
      </c>
      <c r="L98" s="58">
        <v>6442.95</v>
      </c>
      <c r="M98" s="63">
        <v>6395.76</v>
      </c>
      <c r="N98" s="58">
        <v>21.75</v>
      </c>
      <c r="O98" s="60"/>
      <c r="P98" s="27"/>
      <c r="Q98" s="32">
        <v>354.6278200000001</v>
      </c>
      <c r="R98" s="32"/>
      <c r="S98" s="42"/>
      <c r="T98" s="44">
        <v>119.98288400000024</v>
      </c>
      <c r="U98" s="240">
        <f t="shared" si="40"/>
        <v>496.36070400000034</v>
      </c>
      <c r="V98" s="228"/>
      <c r="W98" s="58">
        <v>2304.04</v>
      </c>
      <c r="X98" s="63"/>
      <c r="Y98" s="58"/>
      <c r="Z98" s="60"/>
      <c r="AA98" s="27"/>
      <c r="AB98" s="32">
        <v>10.402569999999987</v>
      </c>
      <c r="AC98" s="52"/>
      <c r="AD98" s="52"/>
      <c r="AE98" s="240">
        <f t="shared" si="49"/>
        <v>10.402569999999987</v>
      </c>
      <c r="AG98" s="58">
        <v>4165</v>
      </c>
      <c r="AH98" s="63">
        <v>552.53</v>
      </c>
      <c r="AI98" s="58"/>
      <c r="AJ98" s="60"/>
      <c r="AK98" s="27"/>
      <c r="AL98" s="51"/>
      <c r="AM98" s="52"/>
      <c r="AN98" s="52"/>
      <c r="AO98" s="240">
        <f t="shared" si="42"/>
        <v>0</v>
      </c>
      <c r="AQ98" s="58">
        <v>4599.3999999999996</v>
      </c>
      <c r="AR98" s="58">
        <v>703.35</v>
      </c>
      <c r="AS98" s="58">
        <v>403.85</v>
      </c>
      <c r="AT98" s="62"/>
      <c r="AU98" s="27"/>
      <c r="AV98" s="32">
        <v>144.91851000000005</v>
      </c>
      <c r="AW98" s="32">
        <v>58.102633428571465</v>
      </c>
      <c r="AX98" s="44"/>
      <c r="AY98" s="240">
        <f t="shared" si="43"/>
        <v>606.8711434285716</v>
      </c>
      <c r="BA98" s="58">
        <v>10964.08</v>
      </c>
      <c r="BB98" s="63"/>
      <c r="BC98" s="58"/>
      <c r="BD98" s="60"/>
      <c r="BE98" s="27"/>
      <c r="BF98" s="32">
        <v>11.235859999999946</v>
      </c>
      <c r="BG98" s="52"/>
      <c r="BH98" s="52"/>
      <c r="BI98" s="240">
        <f t="shared" si="44"/>
        <v>11.235859999999946</v>
      </c>
      <c r="BK98" s="58">
        <v>16743.27</v>
      </c>
      <c r="BL98" s="63">
        <v>879.08</v>
      </c>
      <c r="BM98" s="58">
        <v>415.01</v>
      </c>
      <c r="BN98" s="60"/>
      <c r="BO98" s="27"/>
      <c r="BP98" s="32">
        <v>298.84610999999995</v>
      </c>
      <c r="BQ98" s="32"/>
      <c r="BR98" s="42">
        <v>457.28098077409504</v>
      </c>
      <c r="BS98" s="52"/>
      <c r="BT98" s="240">
        <f t="shared" si="45"/>
        <v>1171.137090774095</v>
      </c>
      <c r="BV98" s="58">
        <v>1705.3</v>
      </c>
      <c r="BW98" s="63">
        <v>694.62</v>
      </c>
      <c r="BX98" s="58">
        <v>4.1900000000000004</v>
      </c>
      <c r="BY98" s="60"/>
      <c r="BZ98" s="27"/>
      <c r="CA98" s="51"/>
      <c r="CB98" s="52"/>
      <c r="CC98" s="52"/>
      <c r="CD98" s="240">
        <f t="shared" si="46"/>
        <v>4.1900000000000004</v>
      </c>
      <c r="CF98" s="58">
        <v>1502.71</v>
      </c>
      <c r="CG98" s="63"/>
      <c r="CH98" s="58">
        <v>432.93</v>
      </c>
      <c r="CI98" s="60"/>
      <c r="CJ98" s="27"/>
      <c r="CK98" s="32"/>
      <c r="CL98" s="42"/>
      <c r="CM98" s="52"/>
      <c r="CN98" s="240">
        <f t="shared" si="47"/>
        <v>432.93</v>
      </c>
      <c r="CP98" s="58">
        <v>1685.16</v>
      </c>
      <c r="CQ98" s="58">
        <v>900.1</v>
      </c>
      <c r="CR98" s="63">
        <v>2661.97</v>
      </c>
      <c r="CS98" s="58"/>
      <c r="CT98" s="60"/>
      <c r="CU98" s="27"/>
      <c r="CV98" s="51"/>
      <c r="CW98" s="42">
        <v>23.886638516190516</v>
      </c>
      <c r="CX98" s="52"/>
      <c r="CY98" s="240">
        <f>+CS98+CV98+CW98+CX98</f>
        <v>23.886638516190516</v>
      </c>
    </row>
    <row r="99" spans="1:103" s="217" customFormat="1" hidden="1" x14ac:dyDescent="0.25">
      <c r="A99" s="47">
        <v>46037</v>
      </c>
      <c r="B99" s="230">
        <v>6377.69</v>
      </c>
      <c r="C99" s="231">
        <v>3888.64</v>
      </c>
      <c r="D99" s="230">
        <v>445.24</v>
      </c>
      <c r="E99" s="323">
        <v>1.03</v>
      </c>
      <c r="F99" s="322"/>
      <c r="G99" s="32"/>
      <c r="H99" s="53"/>
      <c r="I99" s="319">
        <v>96.51809999999989</v>
      </c>
      <c r="J99" s="240">
        <f t="shared" si="41"/>
        <v>541.7580999999999</v>
      </c>
      <c r="L99" s="58">
        <v>6234.36</v>
      </c>
      <c r="M99" s="63">
        <v>6227.89</v>
      </c>
      <c r="N99" s="58">
        <v>33.29</v>
      </c>
      <c r="O99" s="60"/>
      <c r="P99" s="27"/>
      <c r="Q99" s="32">
        <v>209.82104000000001</v>
      </c>
      <c r="R99" s="32"/>
      <c r="S99" s="42"/>
      <c r="T99" s="44">
        <v>73.564000000000078</v>
      </c>
      <c r="U99" s="240">
        <f t="shared" si="40"/>
        <v>316.67504000000008</v>
      </c>
      <c r="V99" s="228"/>
      <c r="W99" s="58">
        <v>725</v>
      </c>
      <c r="X99" s="63"/>
      <c r="Y99" s="58"/>
      <c r="Z99" s="60"/>
      <c r="AA99" s="27"/>
      <c r="AB99" s="32">
        <v>23.434319999999985</v>
      </c>
      <c r="AC99" s="52"/>
      <c r="AD99" s="52"/>
      <c r="AE99" s="240">
        <f t="shared" si="49"/>
        <v>23.434319999999985</v>
      </c>
      <c r="AG99" s="58">
        <v>6615.36</v>
      </c>
      <c r="AH99" s="63">
        <v>583.88</v>
      </c>
      <c r="AI99" s="58"/>
      <c r="AJ99" s="60"/>
      <c r="AK99" s="27"/>
      <c r="AL99" s="51"/>
      <c r="AM99" s="52"/>
      <c r="AN99" s="52"/>
      <c r="AO99" s="240">
        <f t="shared" si="42"/>
        <v>0</v>
      </c>
      <c r="AQ99" s="58">
        <v>7732.79</v>
      </c>
      <c r="AR99" s="58">
        <v>694</v>
      </c>
      <c r="AS99" s="58">
        <v>520.41999999999996</v>
      </c>
      <c r="AT99" s="62"/>
      <c r="AU99" s="27"/>
      <c r="AV99" s="32">
        <v>72.418789999999987</v>
      </c>
      <c r="AW99" s="32">
        <v>25.585514087619046</v>
      </c>
      <c r="AX99" s="44"/>
      <c r="AY99" s="240">
        <f t="shared" si="43"/>
        <v>618.42430408761891</v>
      </c>
      <c r="BA99" s="58">
        <v>4896.1499999999996</v>
      </c>
      <c r="BB99" s="63"/>
      <c r="BC99" s="58"/>
      <c r="BD99" s="60"/>
      <c r="BE99" s="27"/>
      <c r="BF99" s="32">
        <v>153.87861999999996</v>
      </c>
      <c r="BG99" s="52"/>
      <c r="BH99" s="52"/>
      <c r="BI99" s="240">
        <f t="shared" si="44"/>
        <v>153.87861999999996</v>
      </c>
      <c r="BK99" s="58">
        <v>27133.65</v>
      </c>
      <c r="BL99" s="63">
        <v>1275.3699999999999</v>
      </c>
      <c r="BM99" s="58">
        <v>810.97</v>
      </c>
      <c r="BN99" s="60"/>
      <c r="BO99" s="27"/>
      <c r="BP99" s="32">
        <v>84.082200000000029</v>
      </c>
      <c r="BQ99" s="32"/>
      <c r="BR99" s="42">
        <v>151.84631912380939</v>
      </c>
      <c r="BS99" s="52"/>
      <c r="BT99" s="240">
        <f t="shared" si="45"/>
        <v>1046.8985191238094</v>
      </c>
      <c r="BV99" s="58">
        <v>1014.47</v>
      </c>
      <c r="BW99" s="63">
        <v>581.80999999999995</v>
      </c>
      <c r="BX99" s="58">
        <v>4.72</v>
      </c>
      <c r="BY99" s="60"/>
      <c r="BZ99" s="27"/>
      <c r="CA99" s="51"/>
      <c r="CB99" s="52"/>
      <c r="CC99" s="52"/>
      <c r="CD99" s="240">
        <f t="shared" si="46"/>
        <v>4.72</v>
      </c>
      <c r="CF99" s="58">
        <v>8982.14</v>
      </c>
      <c r="CG99" s="63"/>
      <c r="CH99" s="58">
        <v>594.42999999999995</v>
      </c>
      <c r="CI99" s="60"/>
      <c r="CJ99" s="27"/>
      <c r="CK99" s="32">
        <v>262.36059999999998</v>
      </c>
      <c r="CL99" s="42"/>
      <c r="CM99" s="52"/>
      <c r="CN99" s="240">
        <f t="shared" si="47"/>
        <v>856.79059999999993</v>
      </c>
      <c r="CP99" s="58">
        <v>3565.84</v>
      </c>
      <c r="CQ99" s="58">
        <v>794.36</v>
      </c>
      <c r="CR99" s="63">
        <v>3261.21</v>
      </c>
      <c r="CS99" s="58"/>
      <c r="CT99" s="60"/>
      <c r="CU99" s="27"/>
      <c r="CV99" s="51"/>
      <c r="CW99" s="42"/>
      <c r="CX99" s="52"/>
      <c r="CY99" s="240">
        <f t="shared" si="48"/>
        <v>0</v>
      </c>
    </row>
    <row r="100" spans="1:103" s="217" customFormat="1" hidden="1" x14ac:dyDescent="0.25">
      <c r="A100" s="47">
        <v>46038</v>
      </c>
      <c r="B100" s="230">
        <v>1247.9100000000001</v>
      </c>
      <c r="C100" s="231">
        <v>3622.83</v>
      </c>
      <c r="D100" s="230">
        <v>100.16</v>
      </c>
      <c r="E100" s="323">
        <v>24.74</v>
      </c>
      <c r="F100" s="322"/>
      <c r="G100" s="32">
        <v>30.994329999999984</v>
      </c>
      <c r="H100" s="53"/>
      <c r="I100" s="319"/>
      <c r="J100" s="240">
        <f t="shared" si="41"/>
        <v>131.15432999999999</v>
      </c>
      <c r="L100" s="58">
        <v>7426.83</v>
      </c>
      <c r="M100" s="63">
        <v>6284.55</v>
      </c>
      <c r="N100" s="58">
        <v>68.459999999999994</v>
      </c>
      <c r="O100" s="60"/>
      <c r="P100" s="27"/>
      <c r="Q100" s="32">
        <v>165.89568000000003</v>
      </c>
      <c r="R100" s="32"/>
      <c r="S100" s="42"/>
      <c r="T100" s="44">
        <v>117.70240000000024</v>
      </c>
      <c r="U100" s="240">
        <f t="shared" si="40"/>
        <v>352.05808000000025</v>
      </c>
      <c r="V100" s="228"/>
      <c r="W100" s="58">
        <v>1814.57</v>
      </c>
      <c r="X100" s="63"/>
      <c r="Y100" s="58"/>
      <c r="Z100" s="60"/>
      <c r="AA100" s="27"/>
      <c r="AB100" s="32">
        <v>13.609740000000002</v>
      </c>
      <c r="AC100" s="52"/>
      <c r="AD100" s="52"/>
      <c r="AE100" s="240">
        <f t="shared" si="49"/>
        <v>13.609740000000002</v>
      </c>
      <c r="AG100" s="58">
        <v>7575.75</v>
      </c>
      <c r="AH100" s="63">
        <v>614.76</v>
      </c>
      <c r="AI100" s="58"/>
      <c r="AJ100" s="60"/>
      <c r="AK100" s="27"/>
      <c r="AL100" s="51"/>
      <c r="AM100" s="52"/>
      <c r="AN100" s="52"/>
      <c r="AO100" s="240">
        <f t="shared" si="42"/>
        <v>0</v>
      </c>
      <c r="AQ100" s="58">
        <v>10097.870000000001</v>
      </c>
      <c r="AR100" s="58">
        <v>998.51</v>
      </c>
      <c r="AS100" s="58">
        <v>654.39</v>
      </c>
      <c r="AT100" s="62"/>
      <c r="AU100" s="27"/>
      <c r="AV100" s="32">
        <v>183.61179999999999</v>
      </c>
      <c r="AW100" s="32"/>
      <c r="AX100" s="44"/>
      <c r="AY100" s="240">
        <f t="shared" si="43"/>
        <v>838.0018</v>
      </c>
      <c r="BA100" s="58">
        <v>2437.81</v>
      </c>
      <c r="BB100" s="63"/>
      <c r="BC100" s="58"/>
      <c r="BD100" s="60"/>
      <c r="BE100" s="27"/>
      <c r="BF100" s="32">
        <v>248.58600000000001</v>
      </c>
      <c r="BG100" s="52"/>
      <c r="BH100" s="52"/>
      <c r="BI100" s="240">
        <f t="shared" si="44"/>
        <v>248.58600000000001</v>
      </c>
      <c r="BK100" s="58">
        <v>25117.54</v>
      </c>
      <c r="BL100" s="63">
        <v>1504.97</v>
      </c>
      <c r="BM100" s="58">
        <v>458.74</v>
      </c>
      <c r="BN100" s="60"/>
      <c r="BO100" s="27"/>
      <c r="BP100" s="32">
        <v>93.042870000000008</v>
      </c>
      <c r="BQ100" s="32"/>
      <c r="BR100" s="42">
        <v>24.384630575238077</v>
      </c>
      <c r="BS100" s="52"/>
      <c r="BT100" s="240">
        <f t="shared" si="45"/>
        <v>576.16750057523814</v>
      </c>
      <c r="BV100" s="58">
        <v>2398.62</v>
      </c>
      <c r="BW100" s="63">
        <v>704.72</v>
      </c>
      <c r="BX100" s="58">
        <v>4.47</v>
      </c>
      <c r="BY100" s="60"/>
      <c r="BZ100" s="27"/>
      <c r="CA100" s="51"/>
      <c r="CB100" s="52"/>
      <c r="CC100" s="52"/>
      <c r="CD100" s="240">
        <f t="shared" si="46"/>
        <v>4.47</v>
      </c>
      <c r="CF100" s="58">
        <v>4700.8</v>
      </c>
      <c r="CG100" s="63"/>
      <c r="CH100" s="58">
        <v>348.43</v>
      </c>
      <c r="CI100" s="60"/>
      <c r="CJ100" s="27"/>
      <c r="CK100" s="32">
        <v>63.045909999999964</v>
      </c>
      <c r="CL100" s="42"/>
      <c r="CM100" s="52"/>
      <c r="CN100" s="240">
        <f t="shared" si="47"/>
        <v>411.47591</v>
      </c>
      <c r="CP100" s="58">
        <v>2794.17</v>
      </c>
      <c r="CQ100" s="58">
        <v>1311.33</v>
      </c>
      <c r="CR100" s="63">
        <v>4833.9799999999996</v>
      </c>
      <c r="CS100" s="58">
        <v>17.2</v>
      </c>
      <c r="CT100" s="60"/>
      <c r="CU100" s="27"/>
      <c r="CV100" s="51"/>
      <c r="CW100" s="42">
        <v>31.720928796190506</v>
      </c>
      <c r="CX100" s="52"/>
      <c r="CY100" s="240">
        <f t="shared" si="48"/>
        <v>48.920928796190509</v>
      </c>
    </row>
    <row r="101" spans="1:103" s="217" customFormat="1" hidden="1" x14ac:dyDescent="0.25">
      <c r="A101" s="47">
        <v>46039</v>
      </c>
      <c r="B101" s="230">
        <v>1264.3699999999999</v>
      </c>
      <c r="C101" s="231">
        <v>2863.65</v>
      </c>
      <c r="D101" s="230">
        <v>195.53</v>
      </c>
      <c r="E101" s="323">
        <v>2.13</v>
      </c>
      <c r="F101" s="322"/>
      <c r="G101" s="32">
        <v>10.039999999999999</v>
      </c>
      <c r="H101" s="53"/>
      <c r="I101" s="319"/>
      <c r="J101" s="240">
        <f t="shared" si="41"/>
        <v>205.57</v>
      </c>
      <c r="L101" s="58">
        <v>7384.33</v>
      </c>
      <c r="M101" s="63">
        <v>6934.61</v>
      </c>
      <c r="N101" s="58">
        <v>15.1</v>
      </c>
      <c r="O101" s="60"/>
      <c r="P101" s="27"/>
      <c r="Q101" s="32">
        <v>533.29848000000027</v>
      </c>
      <c r="R101" s="32"/>
      <c r="S101" s="42"/>
      <c r="T101" s="44">
        <v>19.069627900000015</v>
      </c>
      <c r="U101" s="240">
        <f t="shared" si="40"/>
        <v>567.46810790000029</v>
      </c>
      <c r="V101" s="228"/>
      <c r="W101" s="58">
        <v>330.26</v>
      </c>
      <c r="X101" s="63"/>
      <c r="Y101" s="58"/>
      <c r="Z101" s="60"/>
      <c r="AA101" s="27"/>
      <c r="AB101" s="32">
        <v>6.960000000000008</v>
      </c>
      <c r="AC101" s="52"/>
      <c r="AD101" s="52"/>
      <c r="AE101" s="240">
        <f t="shared" si="49"/>
        <v>6.960000000000008</v>
      </c>
      <c r="AG101" s="58">
        <v>3157.02</v>
      </c>
      <c r="AH101" s="63">
        <v>689.89</v>
      </c>
      <c r="AI101" s="58"/>
      <c r="AJ101" s="60"/>
      <c r="AK101" s="27"/>
      <c r="AL101" s="51"/>
      <c r="AM101" s="52"/>
      <c r="AN101" s="52"/>
      <c r="AO101" s="240">
        <f t="shared" si="42"/>
        <v>0</v>
      </c>
      <c r="AQ101" s="58">
        <v>9219.8700000000008</v>
      </c>
      <c r="AR101" s="58">
        <v>691.76</v>
      </c>
      <c r="AS101" s="58">
        <v>228.45</v>
      </c>
      <c r="AT101" s="62"/>
      <c r="AU101" s="27"/>
      <c r="AV101" s="32">
        <v>161.12526</v>
      </c>
      <c r="AW101" s="32"/>
      <c r="AX101" s="44">
        <v>17.665886</v>
      </c>
      <c r="AY101" s="240">
        <f t="shared" si="43"/>
        <v>407.24114599999996</v>
      </c>
      <c r="BA101" s="58">
        <v>1592.29</v>
      </c>
      <c r="BB101" s="63"/>
      <c r="BC101" s="58"/>
      <c r="BD101" s="60"/>
      <c r="BE101" s="27"/>
      <c r="BF101" s="32">
        <v>71.474529999999973</v>
      </c>
      <c r="BG101" s="52"/>
      <c r="BH101" s="52"/>
      <c r="BI101" s="240">
        <f t="shared" si="44"/>
        <v>71.474529999999973</v>
      </c>
      <c r="BK101" s="58">
        <v>36391.5</v>
      </c>
      <c r="BL101" s="63">
        <v>3055.75</v>
      </c>
      <c r="BM101" s="58">
        <v>844.94</v>
      </c>
      <c r="BN101" s="60"/>
      <c r="BO101" s="27"/>
      <c r="BP101" s="32">
        <v>122.05215000000001</v>
      </c>
      <c r="BQ101" s="32"/>
      <c r="BR101" s="42">
        <v>27.350466521904764</v>
      </c>
      <c r="BS101" s="52"/>
      <c r="BT101" s="240">
        <f t="shared" si="45"/>
        <v>994.3426165219048</v>
      </c>
      <c r="BV101" s="58">
        <v>1450.7</v>
      </c>
      <c r="BW101" s="63">
        <v>602.70000000000005</v>
      </c>
      <c r="BX101" s="58"/>
      <c r="BY101" s="60"/>
      <c r="BZ101" s="27"/>
      <c r="CA101" s="51"/>
      <c r="CB101" s="52"/>
      <c r="CC101" s="52"/>
      <c r="CD101" s="240">
        <f t="shared" si="46"/>
        <v>0</v>
      </c>
      <c r="CF101" s="58">
        <v>798.51</v>
      </c>
      <c r="CG101" s="63"/>
      <c r="CH101" s="58">
        <v>572.82000000000005</v>
      </c>
      <c r="CI101" s="60"/>
      <c r="CJ101" s="27"/>
      <c r="CK101" s="32">
        <v>77.438559999999939</v>
      </c>
      <c r="CL101" s="42"/>
      <c r="CM101" s="52"/>
      <c r="CN101" s="240">
        <f t="shared" si="47"/>
        <v>650.25855999999999</v>
      </c>
      <c r="CP101" s="58">
        <v>3550.04</v>
      </c>
      <c r="CQ101" s="58">
        <v>1675.51</v>
      </c>
      <c r="CR101" s="63">
        <v>7090.81</v>
      </c>
      <c r="CS101" s="58">
        <v>6</v>
      </c>
      <c r="CT101" s="60"/>
      <c r="CU101" s="27"/>
      <c r="CV101" s="51"/>
      <c r="CW101" s="42">
        <v>57.628512619047655</v>
      </c>
      <c r="CX101" s="52"/>
      <c r="CY101" s="240">
        <f t="shared" si="48"/>
        <v>63.628512619047655</v>
      </c>
    </row>
    <row r="102" spans="1:103" s="217" customFormat="1" hidden="1" x14ac:dyDescent="0.25">
      <c r="A102" s="47">
        <v>46040</v>
      </c>
      <c r="B102" s="230">
        <v>3439.41</v>
      </c>
      <c r="C102" s="231">
        <v>4019.52</v>
      </c>
      <c r="D102" s="230">
        <v>214.49</v>
      </c>
      <c r="E102" s="323">
        <v>1.08</v>
      </c>
      <c r="F102" s="322"/>
      <c r="G102" s="32"/>
      <c r="H102" s="53"/>
      <c r="I102" s="319"/>
      <c r="J102" s="240">
        <f t="shared" si="41"/>
        <v>214.49</v>
      </c>
      <c r="L102" s="58">
        <v>5175.3900000000003</v>
      </c>
      <c r="M102" s="63">
        <v>5271.39</v>
      </c>
      <c r="N102" s="58">
        <v>14.4</v>
      </c>
      <c r="O102" s="60"/>
      <c r="P102" s="27"/>
      <c r="Q102" s="32">
        <v>221.05439999999996</v>
      </c>
      <c r="R102" s="32"/>
      <c r="S102" s="42"/>
      <c r="T102" s="44"/>
      <c r="U102" s="240">
        <f t="shared" si="40"/>
        <v>235.45439999999996</v>
      </c>
      <c r="V102" s="228"/>
      <c r="W102" s="58">
        <v>1936</v>
      </c>
      <c r="X102" s="63"/>
      <c r="Y102" s="58"/>
      <c r="Z102" s="60"/>
      <c r="AA102" s="27"/>
      <c r="AB102" s="32"/>
      <c r="AC102" s="52"/>
      <c r="AD102" s="52"/>
      <c r="AE102" s="240">
        <f t="shared" si="49"/>
        <v>0</v>
      </c>
      <c r="AG102" s="58">
        <v>2814.42</v>
      </c>
      <c r="AH102" s="63">
        <v>554.13</v>
      </c>
      <c r="AI102" s="58"/>
      <c r="AJ102" s="60"/>
      <c r="AK102" s="27"/>
      <c r="AL102" s="51"/>
      <c r="AM102" s="52"/>
      <c r="AN102" s="52"/>
      <c r="AO102" s="240">
        <f t="shared" si="42"/>
        <v>0</v>
      </c>
      <c r="AQ102" s="58">
        <v>3429.8</v>
      </c>
      <c r="AR102" s="58">
        <v>705.75</v>
      </c>
      <c r="AS102" s="58">
        <v>240.03</v>
      </c>
      <c r="AT102" s="62"/>
      <c r="AU102" s="27"/>
      <c r="AV102" s="32"/>
      <c r="AW102" s="32">
        <v>20.869053024761911</v>
      </c>
      <c r="AX102" s="44"/>
      <c r="AY102" s="240">
        <f t="shared" si="43"/>
        <v>260.89905302476188</v>
      </c>
      <c r="BA102" s="58">
        <v>4755.6899999999996</v>
      </c>
      <c r="BB102" s="63"/>
      <c r="BC102" s="58"/>
      <c r="BD102" s="60"/>
      <c r="BE102" s="27"/>
      <c r="BF102" s="32">
        <v>31.200000000000045</v>
      </c>
      <c r="BG102" s="52"/>
      <c r="BH102" s="52"/>
      <c r="BI102" s="240">
        <f t="shared" si="44"/>
        <v>31.200000000000045</v>
      </c>
      <c r="BK102" s="58">
        <v>9191.4500000000007</v>
      </c>
      <c r="BL102" s="63">
        <v>2076.6</v>
      </c>
      <c r="BM102" s="58">
        <v>48.92</v>
      </c>
      <c r="BN102" s="60"/>
      <c r="BO102" s="27"/>
      <c r="BP102" s="32">
        <v>126.91951999999998</v>
      </c>
      <c r="BQ102" s="32"/>
      <c r="BR102" s="42">
        <v>413.58337839238072</v>
      </c>
      <c r="BS102" s="52"/>
      <c r="BT102" s="240">
        <f t="shared" si="45"/>
        <v>589.42289839238072</v>
      </c>
      <c r="BV102" s="58">
        <v>2288.27</v>
      </c>
      <c r="BW102" s="63">
        <v>805.8</v>
      </c>
      <c r="BX102" s="58"/>
      <c r="BY102" s="60"/>
      <c r="BZ102" s="27"/>
      <c r="CA102" s="51"/>
      <c r="CB102" s="52"/>
      <c r="CC102" s="52"/>
      <c r="CD102" s="240">
        <f t="shared" si="46"/>
        <v>0</v>
      </c>
      <c r="CF102" s="58">
        <v>915.04</v>
      </c>
      <c r="CG102" s="63"/>
      <c r="CH102" s="58">
        <v>12.61</v>
      </c>
      <c r="CI102" s="60"/>
      <c r="CJ102" s="27"/>
      <c r="CK102" s="32">
        <v>63.039999999999964</v>
      </c>
      <c r="CL102" s="42"/>
      <c r="CM102" s="52"/>
      <c r="CN102" s="240">
        <f t="shared" si="47"/>
        <v>75.649999999999963</v>
      </c>
      <c r="CP102" s="58">
        <v>4097.91</v>
      </c>
      <c r="CQ102" s="58">
        <v>1089.2</v>
      </c>
      <c r="CR102" s="63">
        <v>4051.65</v>
      </c>
      <c r="CS102" s="58"/>
      <c r="CT102" s="60"/>
      <c r="CU102" s="27"/>
      <c r="CV102" s="51"/>
      <c r="CW102" s="42"/>
      <c r="CX102" s="52"/>
      <c r="CY102" s="240">
        <f t="shared" si="48"/>
        <v>0</v>
      </c>
    </row>
    <row r="103" spans="1:103" s="217" customFormat="1" hidden="1" x14ac:dyDescent="0.25">
      <c r="A103" s="47">
        <v>46041</v>
      </c>
      <c r="B103" s="230">
        <v>4514.57</v>
      </c>
      <c r="C103" s="231">
        <v>3848.12</v>
      </c>
      <c r="D103" s="230">
        <v>345.5</v>
      </c>
      <c r="E103" s="323">
        <v>27.5</v>
      </c>
      <c r="F103" s="322"/>
      <c r="G103" s="32">
        <v>20.34084</v>
      </c>
      <c r="H103" s="53"/>
      <c r="I103" s="319"/>
      <c r="J103" s="240">
        <f t="shared" si="41"/>
        <v>365.84084000000001</v>
      </c>
      <c r="L103" s="58">
        <v>5580.22</v>
      </c>
      <c r="M103" s="63">
        <v>5320.83</v>
      </c>
      <c r="N103" s="58">
        <v>42.45</v>
      </c>
      <c r="O103" s="60"/>
      <c r="P103" s="27"/>
      <c r="Q103" s="32">
        <v>166.47454000000005</v>
      </c>
      <c r="R103" s="32"/>
      <c r="S103" s="42"/>
      <c r="T103" s="44">
        <v>73.564000000000078</v>
      </c>
      <c r="U103" s="240">
        <f t="shared" si="40"/>
        <v>282.48854000000011</v>
      </c>
      <c r="V103" s="228"/>
      <c r="W103" s="58">
        <v>998.18</v>
      </c>
      <c r="X103" s="63"/>
      <c r="Y103" s="58"/>
      <c r="Z103" s="60"/>
      <c r="AA103" s="27"/>
      <c r="AB103" s="32">
        <v>12.674330000000005</v>
      </c>
      <c r="AC103" s="52"/>
      <c r="AD103" s="52"/>
      <c r="AE103" s="240">
        <f t="shared" si="49"/>
        <v>12.674330000000005</v>
      </c>
      <c r="AG103" s="58">
        <v>4191.18</v>
      </c>
      <c r="AH103" s="63">
        <v>617.1</v>
      </c>
      <c r="AI103" s="58"/>
      <c r="AJ103" s="60"/>
      <c r="AK103" s="27"/>
      <c r="AL103" s="51"/>
      <c r="AM103" s="52"/>
      <c r="AN103" s="52"/>
      <c r="AO103" s="240">
        <f t="shared" si="42"/>
        <v>0</v>
      </c>
      <c r="AQ103" s="58">
        <v>8076.3</v>
      </c>
      <c r="AR103" s="58">
        <v>797.39</v>
      </c>
      <c r="AS103" s="58">
        <v>507.94</v>
      </c>
      <c r="AT103" s="62"/>
      <c r="AU103" s="27"/>
      <c r="AV103" s="32">
        <v>251.92133999999996</v>
      </c>
      <c r="AW103" s="32">
        <v>73.773158394285787</v>
      </c>
      <c r="AX103" s="44"/>
      <c r="AY103" s="240">
        <f t="shared" si="43"/>
        <v>833.63449839428574</v>
      </c>
      <c r="BA103" s="58">
        <v>4297.33</v>
      </c>
      <c r="BB103" s="63"/>
      <c r="BC103" s="58"/>
      <c r="BD103" s="60"/>
      <c r="BE103" s="27"/>
      <c r="BF103" s="32">
        <v>35.934599999999961</v>
      </c>
      <c r="BG103" s="52"/>
      <c r="BH103" s="52"/>
      <c r="BI103" s="240">
        <f t="shared" si="44"/>
        <v>35.934599999999961</v>
      </c>
      <c r="BK103" s="58">
        <v>19197.52</v>
      </c>
      <c r="BL103" s="63">
        <v>1300.23</v>
      </c>
      <c r="BM103" s="58">
        <v>482.91</v>
      </c>
      <c r="BN103" s="60"/>
      <c r="BO103" s="27"/>
      <c r="BP103" s="32">
        <v>215.44796999999988</v>
      </c>
      <c r="BQ103" s="32"/>
      <c r="BR103" s="42">
        <v>22.154142689523795</v>
      </c>
      <c r="BS103" s="52"/>
      <c r="BT103" s="240">
        <f t="shared" si="45"/>
        <v>720.51211268952375</v>
      </c>
      <c r="BV103" s="58">
        <v>2227.31</v>
      </c>
      <c r="BW103" s="63">
        <v>624.55999999999995</v>
      </c>
      <c r="BX103" s="58">
        <v>7.55</v>
      </c>
      <c r="BY103" s="60"/>
      <c r="BZ103" s="27"/>
      <c r="CA103" s="51"/>
      <c r="CB103" s="52"/>
      <c r="CC103" s="52"/>
      <c r="CD103" s="240">
        <f t="shared" si="46"/>
        <v>7.55</v>
      </c>
      <c r="CF103" s="58">
        <v>2029.04</v>
      </c>
      <c r="CG103" s="63"/>
      <c r="CH103" s="58">
        <v>164.79</v>
      </c>
      <c r="CI103" s="60"/>
      <c r="CJ103" s="27"/>
      <c r="CK103" s="32"/>
      <c r="CL103" s="42"/>
      <c r="CM103" s="52"/>
      <c r="CN103" s="240">
        <f t="shared" si="47"/>
        <v>164.79</v>
      </c>
      <c r="CP103" s="58">
        <v>2538.58</v>
      </c>
      <c r="CQ103" s="58">
        <v>743.61</v>
      </c>
      <c r="CR103" s="63">
        <v>2601.4</v>
      </c>
      <c r="CS103" s="58"/>
      <c r="CT103" s="60"/>
      <c r="CU103" s="27"/>
      <c r="CV103" s="51"/>
      <c r="CW103" s="42">
        <v>25.481340887619069</v>
      </c>
      <c r="CX103" s="52"/>
      <c r="CY103" s="240">
        <f t="shared" si="48"/>
        <v>25.481340887619069</v>
      </c>
    </row>
    <row r="104" spans="1:103" s="217" customFormat="1" hidden="1" x14ac:dyDescent="0.25">
      <c r="A104" s="47">
        <v>46042</v>
      </c>
      <c r="B104" s="230">
        <v>2241.21</v>
      </c>
      <c r="C104" s="231">
        <v>2887.91</v>
      </c>
      <c r="D104" s="230">
        <v>304.41000000000003</v>
      </c>
      <c r="E104" s="323">
        <v>5.71</v>
      </c>
      <c r="F104" s="322"/>
      <c r="G104" s="32"/>
      <c r="H104" s="53"/>
      <c r="I104" s="319"/>
      <c r="J104" s="240">
        <f t="shared" si="41"/>
        <v>304.41000000000003</v>
      </c>
      <c r="L104" s="58">
        <v>7052.29</v>
      </c>
      <c r="M104" s="63">
        <v>6225.94</v>
      </c>
      <c r="N104" s="58">
        <v>33.93</v>
      </c>
      <c r="O104" s="60"/>
      <c r="P104" s="27"/>
      <c r="Q104" s="32">
        <v>871.31192999999996</v>
      </c>
      <c r="R104" s="32"/>
      <c r="S104" s="42"/>
      <c r="T104" s="44">
        <v>21.632940600000012</v>
      </c>
      <c r="U104" s="240">
        <f t="shared" si="40"/>
        <v>926.87487059999989</v>
      </c>
      <c r="V104" s="228"/>
      <c r="W104" s="58">
        <v>2169.04</v>
      </c>
      <c r="X104" s="63"/>
      <c r="Y104" s="58"/>
      <c r="Z104" s="60"/>
      <c r="AA104" s="27"/>
      <c r="AB104" s="32">
        <v>60.50270000000009</v>
      </c>
      <c r="AC104" s="52"/>
      <c r="AD104" s="52"/>
      <c r="AE104" s="240">
        <f t="shared" si="49"/>
        <v>60.50270000000009</v>
      </c>
      <c r="AG104" s="58">
        <v>9039.27</v>
      </c>
      <c r="AH104" s="63">
        <v>320.05</v>
      </c>
      <c r="AI104" s="58"/>
      <c r="AJ104" s="60"/>
      <c r="AK104" s="27"/>
      <c r="AL104" s="51"/>
      <c r="AM104" s="52"/>
      <c r="AN104" s="52"/>
      <c r="AO104" s="240">
        <f t="shared" si="42"/>
        <v>0</v>
      </c>
      <c r="AQ104" s="58">
        <v>7041.41</v>
      </c>
      <c r="AR104" s="58">
        <v>416</v>
      </c>
      <c r="AS104" s="58"/>
      <c r="AT104" s="62"/>
      <c r="AU104" s="27"/>
      <c r="AV104" s="32">
        <v>283.39122999999984</v>
      </c>
      <c r="AW104" s="32">
        <v>64.504437782857337</v>
      </c>
      <c r="AX104" s="44"/>
      <c r="AY104" s="240">
        <f t="shared" si="43"/>
        <v>347.89566778285717</v>
      </c>
      <c r="BA104" s="58">
        <v>8599.9</v>
      </c>
      <c r="BB104" s="63"/>
      <c r="BC104" s="58"/>
      <c r="BD104" s="60"/>
      <c r="BE104" s="27"/>
      <c r="BF104" s="32">
        <v>224.2827599999998</v>
      </c>
      <c r="BG104" s="52"/>
      <c r="BH104" s="52"/>
      <c r="BI104" s="240">
        <f t="shared" si="44"/>
        <v>224.2827599999998</v>
      </c>
      <c r="BK104" s="58">
        <v>16091.64</v>
      </c>
      <c r="BL104" s="63">
        <v>1076.75</v>
      </c>
      <c r="BM104" s="58">
        <v>403.44</v>
      </c>
      <c r="BN104" s="60"/>
      <c r="BO104" s="27"/>
      <c r="BP104" s="32">
        <v>31.762079999999997</v>
      </c>
      <c r="BQ104" s="32"/>
      <c r="BR104" s="42">
        <v>155.93463862857141</v>
      </c>
      <c r="BS104" s="52"/>
      <c r="BT104" s="240">
        <f t="shared" si="45"/>
        <v>591.13671862857143</v>
      </c>
      <c r="BV104" s="58">
        <v>2111.4699999999998</v>
      </c>
      <c r="BW104" s="63">
        <v>644.33000000000004</v>
      </c>
      <c r="BX104" s="58">
        <v>4.9800000000000004</v>
      </c>
      <c r="BY104" s="60"/>
      <c r="BZ104" s="27"/>
      <c r="CA104" s="51"/>
      <c r="CB104" s="52"/>
      <c r="CC104" s="52"/>
      <c r="CD104" s="240">
        <f t="shared" si="46"/>
        <v>4.9800000000000004</v>
      </c>
      <c r="CF104" s="58">
        <v>2354.0100000000002</v>
      </c>
      <c r="CG104" s="63"/>
      <c r="CH104" s="58">
        <v>791.33</v>
      </c>
      <c r="CI104" s="60"/>
      <c r="CJ104" s="27"/>
      <c r="CK104" s="32">
        <v>108.96287999999996</v>
      </c>
      <c r="CL104" s="42"/>
      <c r="CM104" s="52"/>
      <c r="CN104" s="240">
        <f t="shared" si="47"/>
        <v>900.29287999999997</v>
      </c>
      <c r="CP104" s="58">
        <v>2442.52</v>
      </c>
      <c r="CQ104" s="58">
        <v>586.99</v>
      </c>
      <c r="CR104" s="63">
        <v>2889.37</v>
      </c>
      <c r="CS104" s="58"/>
      <c r="CT104" s="60"/>
      <c r="CU104" s="27"/>
      <c r="CV104" s="51"/>
      <c r="CW104" s="42">
        <v>50.888828768571443</v>
      </c>
      <c r="CX104" s="52"/>
      <c r="CY104" s="240">
        <f t="shared" si="48"/>
        <v>50.888828768571443</v>
      </c>
    </row>
    <row r="105" spans="1:103" s="217" customFormat="1" hidden="1" x14ac:dyDescent="0.25">
      <c r="A105" s="47">
        <v>46043</v>
      </c>
      <c r="B105" s="230">
        <v>2271.17</v>
      </c>
      <c r="C105" s="231">
        <v>3934.37</v>
      </c>
      <c r="D105" s="230">
        <v>242.7</v>
      </c>
      <c r="E105" s="323">
        <v>2.35</v>
      </c>
      <c r="F105" s="322"/>
      <c r="G105" s="32">
        <v>60.933829999999993</v>
      </c>
      <c r="H105" s="53"/>
      <c r="I105" s="319">
        <v>70.738758000000018</v>
      </c>
      <c r="J105" s="240">
        <f t="shared" si="41"/>
        <v>374.37258800000001</v>
      </c>
      <c r="L105" s="58">
        <v>6220.14</v>
      </c>
      <c r="M105" s="63">
        <v>5807.25</v>
      </c>
      <c r="N105" s="58">
        <v>73.37</v>
      </c>
      <c r="O105" s="60"/>
      <c r="P105" s="27"/>
      <c r="Q105" s="32">
        <v>256.34472</v>
      </c>
      <c r="R105" s="32"/>
      <c r="S105" s="42"/>
      <c r="T105" s="44">
        <v>133.00000000000023</v>
      </c>
      <c r="U105" s="240">
        <f t="shared" si="40"/>
        <v>462.71472000000023</v>
      </c>
      <c r="V105" s="228"/>
      <c r="W105" s="58">
        <v>1826.24</v>
      </c>
      <c r="X105" s="63"/>
      <c r="Y105" s="58"/>
      <c r="Z105" s="60"/>
      <c r="AA105" s="27"/>
      <c r="AB105" s="32">
        <v>54.008725265123225</v>
      </c>
      <c r="AC105" s="52"/>
      <c r="AD105" s="52"/>
      <c r="AE105" s="240">
        <f t="shared" si="49"/>
        <v>54.008725265123225</v>
      </c>
      <c r="AG105" s="58">
        <v>3319.02</v>
      </c>
      <c r="AH105" s="63">
        <v>627.26</v>
      </c>
      <c r="AI105" s="58"/>
      <c r="AJ105" s="60"/>
      <c r="AK105" s="27"/>
      <c r="AL105" s="51"/>
      <c r="AM105" s="52"/>
      <c r="AN105" s="52"/>
      <c r="AO105" s="240">
        <f t="shared" si="42"/>
        <v>0</v>
      </c>
      <c r="AQ105" s="58">
        <v>6708.46</v>
      </c>
      <c r="AR105" s="58">
        <v>679.56</v>
      </c>
      <c r="AS105" s="58">
        <v>654.87</v>
      </c>
      <c r="AT105" s="62"/>
      <c r="AU105" s="27"/>
      <c r="AV105" s="32">
        <v>127.64037800000001</v>
      </c>
      <c r="AW105" s="32">
        <v>23.99915044857147</v>
      </c>
      <c r="AX105" s="44"/>
      <c r="AY105" s="240">
        <f t="shared" si="43"/>
        <v>806.50952844857147</v>
      </c>
      <c r="BA105" s="58">
        <v>7863.29</v>
      </c>
      <c r="BB105" s="63"/>
      <c r="BC105" s="58"/>
      <c r="BD105" s="60"/>
      <c r="BE105" s="27"/>
      <c r="BF105" s="32">
        <v>97.744919999999951</v>
      </c>
      <c r="BG105" s="52"/>
      <c r="BH105" s="52"/>
      <c r="BI105" s="240">
        <f t="shared" si="44"/>
        <v>97.744919999999951</v>
      </c>
      <c r="BK105" s="58">
        <v>10916.88</v>
      </c>
      <c r="BL105" s="63">
        <v>1187.8800000000001</v>
      </c>
      <c r="BM105" s="58">
        <v>378.82</v>
      </c>
      <c r="BN105" s="60"/>
      <c r="BO105" s="27"/>
      <c r="BP105" s="32">
        <v>145.61575999999999</v>
      </c>
      <c r="BQ105" s="32"/>
      <c r="BR105" s="42">
        <v>197.95444468228561</v>
      </c>
      <c r="BS105" s="52"/>
      <c r="BT105" s="240">
        <f t="shared" si="45"/>
        <v>722.39020468228557</v>
      </c>
      <c r="BV105" s="58">
        <v>2810.29</v>
      </c>
      <c r="BW105" s="63">
        <v>1043.8699999999999</v>
      </c>
      <c r="BX105" s="58"/>
      <c r="BY105" s="60"/>
      <c r="BZ105" s="27"/>
      <c r="CA105" s="51"/>
      <c r="CB105" s="52"/>
      <c r="CC105" s="52"/>
      <c r="CD105" s="240">
        <f t="shared" si="46"/>
        <v>0</v>
      </c>
      <c r="CF105" s="58">
        <v>1448.95</v>
      </c>
      <c r="CG105" s="63"/>
      <c r="CH105" s="58">
        <v>451.3</v>
      </c>
      <c r="CI105" s="60"/>
      <c r="CJ105" s="27"/>
      <c r="CK105" s="32">
        <v>115.14649999999992</v>
      </c>
      <c r="CL105" s="42">
        <v>67.311571428571483</v>
      </c>
      <c r="CM105" s="52"/>
      <c r="CN105" s="240">
        <f t="shared" si="47"/>
        <v>633.75807142857138</v>
      </c>
      <c r="CP105" s="58">
        <v>2478.48</v>
      </c>
      <c r="CQ105" s="58">
        <v>522.59</v>
      </c>
      <c r="CR105" s="63">
        <v>4352.18</v>
      </c>
      <c r="CS105" s="58"/>
      <c r="CT105" s="60"/>
      <c r="CU105" s="27"/>
      <c r="CV105" s="51"/>
      <c r="CW105" s="42">
        <v>25.749339882857186</v>
      </c>
      <c r="CX105" s="52"/>
      <c r="CY105" s="240">
        <f t="shared" si="48"/>
        <v>25.749339882857186</v>
      </c>
    </row>
    <row r="106" spans="1:103" s="217" customFormat="1" hidden="1" x14ac:dyDescent="0.25">
      <c r="A106" s="47">
        <v>46044</v>
      </c>
      <c r="B106" s="230">
        <v>2331.6</v>
      </c>
      <c r="C106" s="231">
        <v>4408.05</v>
      </c>
      <c r="D106" s="230">
        <v>332.97</v>
      </c>
      <c r="E106" s="323">
        <v>30.36</v>
      </c>
      <c r="F106" s="322"/>
      <c r="G106" s="32"/>
      <c r="H106" s="53"/>
      <c r="I106" s="319"/>
      <c r="J106" s="240">
        <f t="shared" si="41"/>
        <v>332.97</v>
      </c>
      <c r="L106" s="58">
        <v>5921.48</v>
      </c>
      <c r="M106" s="63">
        <v>6165.05</v>
      </c>
      <c r="N106" s="58">
        <v>27.65</v>
      </c>
      <c r="O106" s="60"/>
      <c r="P106" s="27"/>
      <c r="Q106" s="32">
        <v>379.93903999999998</v>
      </c>
      <c r="R106" s="32"/>
      <c r="S106" s="42"/>
      <c r="T106" s="44"/>
      <c r="U106" s="240">
        <f t="shared" si="40"/>
        <v>407.58903999999995</v>
      </c>
      <c r="V106" s="228"/>
      <c r="W106" s="58">
        <v>1129.19</v>
      </c>
      <c r="X106" s="63"/>
      <c r="Y106" s="58"/>
      <c r="Z106" s="60"/>
      <c r="AA106" s="27"/>
      <c r="AB106" s="32">
        <v>39.451759999999979</v>
      </c>
      <c r="AC106" s="52"/>
      <c r="AD106" s="52"/>
      <c r="AE106" s="240">
        <f t="shared" si="49"/>
        <v>39.451759999999979</v>
      </c>
      <c r="AG106" s="58">
        <v>745.23000000000025</v>
      </c>
      <c r="AH106" s="63">
        <v>594.82000000000005</v>
      </c>
      <c r="AI106" s="58"/>
      <c r="AJ106" s="60"/>
      <c r="AK106" s="27"/>
      <c r="AL106" s="51"/>
      <c r="AM106" s="52"/>
      <c r="AN106" s="52"/>
      <c r="AO106" s="240">
        <f t="shared" si="42"/>
        <v>0</v>
      </c>
      <c r="AQ106" s="58">
        <v>11537.82</v>
      </c>
      <c r="AR106" s="58">
        <v>844.57</v>
      </c>
      <c r="AS106" s="58">
        <v>558.25</v>
      </c>
      <c r="AT106" s="62"/>
      <c r="AU106" s="27"/>
      <c r="AV106" s="32">
        <v>134.07252999999997</v>
      </c>
      <c r="AW106" s="32">
        <v>25.504643768571491</v>
      </c>
      <c r="AX106" s="44"/>
      <c r="AY106" s="240">
        <f t="shared" si="43"/>
        <v>717.82717376857136</v>
      </c>
      <c r="BA106" s="58">
        <v>3594.19</v>
      </c>
      <c r="BB106" s="63"/>
      <c r="BC106" s="58"/>
      <c r="BD106" s="60"/>
      <c r="BE106" s="27"/>
      <c r="BF106" s="32">
        <v>83.828550000000064</v>
      </c>
      <c r="BG106" s="52"/>
      <c r="BH106" s="52"/>
      <c r="BI106" s="240">
        <f t="shared" si="44"/>
        <v>83.828550000000064</v>
      </c>
      <c r="BK106" s="58">
        <v>21970.21</v>
      </c>
      <c r="BL106" s="63">
        <v>1153.42</v>
      </c>
      <c r="BM106" s="58">
        <v>583.16</v>
      </c>
      <c r="BN106" s="60"/>
      <c r="BO106" s="27"/>
      <c r="BP106" s="32">
        <v>244.28052</v>
      </c>
      <c r="BQ106" s="32"/>
      <c r="BR106" s="42">
        <v>20.488259048571422</v>
      </c>
      <c r="BS106" s="52"/>
      <c r="BT106" s="240">
        <f t="shared" si="45"/>
        <v>847.92877904857141</v>
      </c>
      <c r="BV106" s="58">
        <v>2744.34</v>
      </c>
      <c r="BW106" s="63">
        <v>501.07</v>
      </c>
      <c r="BX106" s="58">
        <v>4.3600000000000003</v>
      </c>
      <c r="BY106" s="60"/>
      <c r="BZ106" s="27"/>
      <c r="CA106" s="51"/>
      <c r="CB106" s="52"/>
      <c r="CC106" s="52"/>
      <c r="CD106" s="240">
        <f t="shared" si="46"/>
        <v>4.3600000000000003</v>
      </c>
      <c r="CF106" s="58">
        <v>2118.52</v>
      </c>
      <c r="CG106" s="63"/>
      <c r="CH106" s="58">
        <v>423.87</v>
      </c>
      <c r="CI106" s="60"/>
      <c r="CJ106" s="27"/>
      <c r="CK106" s="32">
        <v>149.5030499999998</v>
      </c>
      <c r="CL106" s="42">
        <v>19.453044142857181</v>
      </c>
      <c r="CM106" s="52"/>
      <c r="CN106" s="240">
        <f t="shared" si="47"/>
        <v>592.82609414285696</v>
      </c>
      <c r="CP106" s="58">
        <v>3083.85</v>
      </c>
      <c r="CQ106" s="58">
        <v>922.22</v>
      </c>
      <c r="CR106" s="63">
        <v>4016.12</v>
      </c>
      <c r="CS106" s="58"/>
      <c r="CT106" s="60"/>
      <c r="CU106" s="27"/>
      <c r="CV106" s="51"/>
      <c r="CW106" s="42"/>
      <c r="CX106" s="52"/>
      <c r="CY106" s="240">
        <f t="shared" si="48"/>
        <v>0</v>
      </c>
    </row>
    <row r="107" spans="1:103" s="217" customFormat="1" hidden="1" x14ac:dyDescent="0.25">
      <c r="A107" s="47">
        <v>46045</v>
      </c>
      <c r="B107" s="230">
        <v>2961.95</v>
      </c>
      <c r="C107" s="231">
        <v>4683.6099999999997</v>
      </c>
      <c r="D107" s="230">
        <v>386.68</v>
      </c>
      <c r="E107" s="323">
        <v>27.64</v>
      </c>
      <c r="F107" s="322"/>
      <c r="G107" s="32">
        <v>31.024599999999992</v>
      </c>
      <c r="H107" s="53"/>
      <c r="I107" s="319">
        <v>117.08932319999997</v>
      </c>
      <c r="J107" s="240">
        <f t="shared" si="41"/>
        <v>534.79392319999999</v>
      </c>
      <c r="L107" s="58">
        <v>7805.9</v>
      </c>
      <c r="M107" s="63">
        <v>5398.22</v>
      </c>
      <c r="N107" s="58">
        <v>35.44</v>
      </c>
      <c r="O107" s="60"/>
      <c r="P107" s="27"/>
      <c r="Q107" s="32">
        <v>610.91528000000039</v>
      </c>
      <c r="R107" s="32"/>
      <c r="S107" s="42"/>
      <c r="T107" s="44">
        <v>70.000000000000057</v>
      </c>
      <c r="U107" s="240">
        <f t="shared" si="40"/>
        <v>716.35528000000045</v>
      </c>
      <c r="V107" s="228"/>
      <c r="W107" s="58">
        <v>968.1</v>
      </c>
      <c r="X107" s="63"/>
      <c r="Y107" s="58"/>
      <c r="Z107" s="60"/>
      <c r="AA107" s="27"/>
      <c r="AB107" s="32">
        <v>11.874499999999983</v>
      </c>
      <c r="AC107" s="52"/>
      <c r="AD107" s="52"/>
      <c r="AE107" s="240">
        <f t="shared" si="49"/>
        <v>11.874499999999983</v>
      </c>
      <c r="AG107" s="58">
        <v>4288.78</v>
      </c>
      <c r="AH107" s="63">
        <v>507.48</v>
      </c>
      <c r="AI107" s="58"/>
      <c r="AJ107" s="60"/>
      <c r="AK107" s="27"/>
      <c r="AL107" s="51"/>
      <c r="AM107" s="52"/>
      <c r="AN107" s="52"/>
      <c r="AO107" s="240">
        <f t="shared" si="42"/>
        <v>0</v>
      </c>
      <c r="AQ107" s="58">
        <v>10550.45</v>
      </c>
      <c r="AR107" s="58">
        <v>836.92</v>
      </c>
      <c r="AS107" s="58">
        <v>683.28</v>
      </c>
      <c r="AT107" s="62"/>
      <c r="AU107" s="27"/>
      <c r="AV107" s="32">
        <v>161.62174999999996</v>
      </c>
      <c r="AW107" s="32">
        <v>35.564930614285799</v>
      </c>
      <c r="AX107" s="44"/>
      <c r="AY107" s="240">
        <f t="shared" si="43"/>
        <v>880.46668061428579</v>
      </c>
      <c r="BA107" s="58">
        <v>5894.1</v>
      </c>
      <c r="BB107" s="63"/>
      <c r="BC107" s="58"/>
      <c r="BD107" s="60"/>
      <c r="BE107" s="27"/>
      <c r="BF107" s="32">
        <v>51.379250000000056</v>
      </c>
      <c r="BG107" s="52"/>
      <c r="BH107" s="52"/>
      <c r="BI107" s="240">
        <f t="shared" si="44"/>
        <v>51.379250000000056</v>
      </c>
      <c r="BK107" s="58">
        <v>23024.95</v>
      </c>
      <c r="BL107" s="63">
        <v>1676.68</v>
      </c>
      <c r="BM107" s="58">
        <v>232.48</v>
      </c>
      <c r="BN107" s="60"/>
      <c r="BO107" s="27"/>
      <c r="BP107" s="32">
        <v>73.312680000000029</v>
      </c>
      <c r="BQ107" s="32"/>
      <c r="BR107" s="42">
        <v>27.56506232571428</v>
      </c>
      <c r="BS107" s="52"/>
      <c r="BT107" s="240">
        <f t="shared" si="45"/>
        <v>333.3577423257143</v>
      </c>
      <c r="BV107" s="58">
        <v>2540.15</v>
      </c>
      <c r="BW107" s="63">
        <v>999.47</v>
      </c>
      <c r="BX107" s="58">
        <v>3.78</v>
      </c>
      <c r="BY107" s="60"/>
      <c r="BZ107" s="27"/>
      <c r="CA107" s="51"/>
      <c r="CB107" s="52"/>
      <c r="CC107" s="52"/>
      <c r="CD107" s="240">
        <f t="shared" si="46"/>
        <v>3.78</v>
      </c>
      <c r="CF107" s="58">
        <v>1582.5</v>
      </c>
      <c r="CG107" s="63"/>
      <c r="CH107" s="58">
        <v>13.95</v>
      </c>
      <c r="CI107" s="60"/>
      <c r="CJ107" s="27"/>
      <c r="CK107" s="32">
        <v>109.1399999999999</v>
      </c>
      <c r="CL107" s="42"/>
      <c r="CM107" s="52"/>
      <c r="CN107" s="240">
        <f t="shared" si="47"/>
        <v>123.0899999999999</v>
      </c>
      <c r="CP107" s="58">
        <v>5022.5600000000004</v>
      </c>
      <c r="CQ107" s="58">
        <v>1600.5</v>
      </c>
      <c r="CR107" s="63">
        <v>5117.24</v>
      </c>
      <c r="CS107" s="58"/>
      <c r="CT107" s="60"/>
      <c r="CU107" s="27"/>
      <c r="CV107" s="51"/>
      <c r="CW107" s="42">
        <v>48.425519151428603</v>
      </c>
      <c r="CX107" s="52"/>
      <c r="CY107" s="240">
        <f t="shared" si="48"/>
        <v>48.425519151428603</v>
      </c>
    </row>
    <row r="108" spans="1:103" s="217" customFormat="1" hidden="1" x14ac:dyDescent="0.25">
      <c r="A108" s="47">
        <v>46046</v>
      </c>
      <c r="B108" s="230">
        <v>1828.88</v>
      </c>
      <c r="C108" s="231">
        <v>2700.08</v>
      </c>
      <c r="D108" s="230">
        <v>66.48</v>
      </c>
      <c r="E108" s="323">
        <v>2.56</v>
      </c>
      <c r="F108" s="322"/>
      <c r="G108" s="32"/>
      <c r="H108" s="53"/>
      <c r="I108" s="319">
        <v>92.290136400000051</v>
      </c>
      <c r="J108" s="240">
        <f t="shared" si="41"/>
        <v>158.77013640000007</v>
      </c>
      <c r="L108" s="58">
        <v>5898.63</v>
      </c>
      <c r="M108" s="63">
        <v>4890.99</v>
      </c>
      <c r="N108" s="58">
        <v>21.88</v>
      </c>
      <c r="O108" s="60"/>
      <c r="P108" s="27"/>
      <c r="Q108" s="32">
        <v>264.93792000000008</v>
      </c>
      <c r="R108" s="32"/>
      <c r="S108" s="42"/>
      <c r="T108" s="44"/>
      <c r="U108" s="240">
        <f t="shared" si="40"/>
        <v>286.81792000000007</v>
      </c>
      <c r="V108" s="228"/>
      <c r="W108" s="58">
        <v>3110.04</v>
      </c>
      <c r="X108" s="63"/>
      <c r="Y108" s="58"/>
      <c r="Z108" s="60"/>
      <c r="AA108" s="27"/>
      <c r="AB108" s="32"/>
      <c r="AC108" s="52"/>
      <c r="AD108" s="52"/>
      <c r="AE108" s="240">
        <f t="shared" si="49"/>
        <v>0</v>
      </c>
      <c r="AG108" s="58">
        <v>5523.76</v>
      </c>
      <c r="AH108" s="63">
        <v>757.4</v>
      </c>
      <c r="AI108" s="58"/>
      <c r="AJ108" s="60"/>
      <c r="AK108" s="27"/>
      <c r="AL108" s="51"/>
      <c r="AM108" s="52"/>
      <c r="AN108" s="52"/>
      <c r="AO108" s="240">
        <f t="shared" si="42"/>
        <v>0</v>
      </c>
      <c r="AQ108" s="58">
        <v>7854.22</v>
      </c>
      <c r="AR108" s="58">
        <v>850.8</v>
      </c>
      <c r="AS108" s="58">
        <v>549.04999999999995</v>
      </c>
      <c r="AT108" s="62"/>
      <c r="AU108" s="27"/>
      <c r="AV108" s="32">
        <v>119.34685000000002</v>
      </c>
      <c r="AW108" s="53"/>
      <c r="AX108" s="44"/>
      <c r="AY108" s="240">
        <f t="shared" si="43"/>
        <v>668.39684999999997</v>
      </c>
      <c r="BA108" s="58">
        <v>5570.42</v>
      </c>
      <c r="BB108" s="63"/>
      <c r="BC108" s="58"/>
      <c r="BD108" s="60"/>
      <c r="BE108" s="27"/>
      <c r="BF108" s="32">
        <v>36.863970000000151</v>
      </c>
      <c r="BG108" s="52"/>
      <c r="BH108" s="52"/>
      <c r="BI108" s="240">
        <f t="shared" si="44"/>
        <v>36.863970000000151</v>
      </c>
      <c r="BK108" s="58">
        <v>31183.69</v>
      </c>
      <c r="BL108" s="63">
        <v>2280.16</v>
      </c>
      <c r="BM108" s="58">
        <v>653.55999999999995</v>
      </c>
      <c r="BN108" s="60"/>
      <c r="BO108" s="27"/>
      <c r="BP108" s="32">
        <v>117.28583999999996</v>
      </c>
      <c r="BQ108" s="32"/>
      <c r="BR108" s="42">
        <v>81.261743459999934</v>
      </c>
      <c r="BS108" s="52"/>
      <c r="BT108" s="240">
        <f t="shared" si="45"/>
        <v>852.10758345999989</v>
      </c>
      <c r="BV108" s="58">
        <v>2958.34</v>
      </c>
      <c r="BW108" s="63">
        <v>546.02</v>
      </c>
      <c r="BX108" s="58"/>
      <c r="BY108" s="60"/>
      <c r="BZ108" s="27"/>
      <c r="CA108" s="51"/>
      <c r="CB108" s="52"/>
      <c r="CC108" s="52"/>
      <c r="CD108" s="240">
        <f t="shared" si="46"/>
        <v>0</v>
      </c>
      <c r="CF108" s="58">
        <v>4078.41</v>
      </c>
      <c r="CG108" s="63"/>
      <c r="CH108" s="58">
        <v>305.25</v>
      </c>
      <c r="CI108" s="60"/>
      <c r="CJ108" s="27"/>
      <c r="CK108" s="32">
        <v>90.239999999999895</v>
      </c>
      <c r="CL108" s="42"/>
      <c r="CM108" s="52"/>
      <c r="CN108" s="240">
        <f t="shared" si="47"/>
        <v>395.4899999999999</v>
      </c>
      <c r="CP108" s="58">
        <v>3569.51</v>
      </c>
      <c r="CQ108" s="58">
        <v>1307.26</v>
      </c>
      <c r="CR108" s="63">
        <v>6389.16</v>
      </c>
      <c r="CS108" s="58"/>
      <c r="CT108" s="60"/>
      <c r="CU108" s="27"/>
      <c r="CV108" s="51"/>
      <c r="CW108" s="42">
        <v>10.405735714285726</v>
      </c>
      <c r="CX108" s="52"/>
      <c r="CY108" s="240">
        <f t="shared" si="48"/>
        <v>10.405735714285726</v>
      </c>
    </row>
    <row r="109" spans="1:103" s="217" customFormat="1" hidden="1" x14ac:dyDescent="0.25">
      <c r="A109" s="47">
        <v>46047</v>
      </c>
      <c r="B109" s="230">
        <v>397.98</v>
      </c>
      <c r="C109" s="231">
        <v>2698.69</v>
      </c>
      <c r="D109" s="230">
        <v>111.75</v>
      </c>
      <c r="E109" s="323"/>
      <c r="F109" s="322"/>
      <c r="G109" s="32">
        <v>9.759999999999998</v>
      </c>
      <c r="H109" s="53"/>
      <c r="I109" s="319"/>
      <c r="J109" s="240">
        <f t="shared" si="41"/>
        <v>121.50999999999999</v>
      </c>
      <c r="L109" s="58">
        <v>5318.92</v>
      </c>
      <c r="M109" s="63">
        <v>4473.71</v>
      </c>
      <c r="N109" s="58">
        <v>55.14</v>
      </c>
      <c r="O109" s="60"/>
      <c r="P109" s="27"/>
      <c r="Q109" s="32">
        <v>7.9200000000000017</v>
      </c>
      <c r="R109" s="32"/>
      <c r="S109" s="42"/>
      <c r="T109" s="44">
        <v>122.65867250000014</v>
      </c>
      <c r="U109" s="240">
        <f t="shared" si="40"/>
        <v>185.71867250000014</v>
      </c>
      <c r="V109" s="228"/>
      <c r="W109" s="58">
        <v>170</v>
      </c>
      <c r="X109" s="63"/>
      <c r="Y109" s="58"/>
      <c r="Z109" s="60"/>
      <c r="AA109" s="27"/>
      <c r="AB109" s="32">
        <v>18.633366781179973</v>
      </c>
      <c r="AC109" s="52"/>
      <c r="AD109" s="52"/>
      <c r="AE109" s="240">
        <f t="shared" si="49"/>
        <v>18.633366781179973</v>
      </c>
      <c r="AG109" s="58">
        <v>2411.0500000000002</v>
      </c>
      <c r="AH109" s="63">
        <v>112.4</v>
      </c>
      <c r="AI109" s="58"/>
      <c r="AJ109" s="60"/>
      <c r="AK109" s="27"/>
      <c r="AL109" s="51"/>
      <c r="AM109" s="52"/>
      <c r="AN109" s="52"/>
      <c r="AO109" s="240">
        <f t="shared" si="42"/>
        <v>0</v>
      </c>
      <c r="AQ109" s="58">
        <v>2781.36</v>
      </c>
      <c r="AR109" s="58">
        <v>1108.6199999999999</v>
      </c>
      <c r="AS109" s="58">
        <v>39.19</v>
      </c>
      <c r="AT109" s="62"/>
      <c r="AU109" s="27"/>
      <c r="AV109" s="32">
        <v>13.929999999999993</v>
      </c>
      <c r="AW109" s="53"/>
      <c r="AX109" s="44"/>
      <c r="AY109" s="240">
        <f t="shared" si="43"/>
        <v>53.11999999999999</v>
      </c>
      <c r="BA109" s="58">
        <v>3307.16</v>
      </c>
      <c r="BB109" s="63"/>
      <c r="BC109" s="58"/>
      <c r="BD109" s="60"/>
      <c r="BE109" s="27"/>
      <c r="BF109" s="32">
        <v>76.171979999999991</v>
      </c>
      <c r="BG109" s="52"/>
      <c r="BH109" s="52"/>
      <c r="BI109" s="240">
        <f t="shared" si="44"/>
        <v>76.171979999999991</v>
      </c>
      <c r="BK109" s="58">
        <v>15238.5</v>
      </c>
      <c r="BL109" s="63">
        <v>2463.4499999999998</v>
      </c>
      <c r="BM109" s="58">
        <v>291.14</v>
      </c>
      <c r="BN109" s="60"/>
      <c r="BO109" s="27"/>
      <c r="BP109" s="32">
        <v>18.156900000000007</v>
      </c>
      <c r="BQ109" s="32"/>
      <c r="BR109" s="42">
        <v>117.47644130571427</v>
      </c>
      <c r="BS109" s="52"/>
      <c r="BT109" s="240">
        <f t="shared" si="45"/>
        <v>426.77334130571427</v>
      </c>
      <c r="BV109" s="58">
        <v>1545.54</v>
      </c>
      <c r="BW109" s="63">
        <v>916.6</v>
      </c>
      <c r="BX109" s="58"/>
      <c r="BY109" s="60"/>
      <c r="BZ109" s="27"/>
      <c r="CA109" s="51"/>
      <c r="CB109" s="52"/>
      <c r="CC109" s="52"/>
      <c r="CD109" s="240">
        <f t="shared" si="46"/>
        <v>0</v>
      </c>
      <c r="CF109" s="58">
        <v>1401.83</v>
      </c>
      <c r="CG109" s="63"/>
      <c r="CH109" s="58">
        <v>56.13</v>
      </c>
      <c r="CI109" s="60"/>
      <c r="CJ109" s="27"/>
      <c r="CK109" s="32"/>
      <c r="CL109" s="42">
        <v>74.04272857142864</v>
      </c>
      <c r="CM109" s="52"/>
      <c r="CN109" s="240">
        <f t="shared" si="47"/>
        <v>130.17272857142865</v>
      </c>
      <c r="CP109" s="58">
        <v>6602.42</v>
      </c>
      <c r="CQ109" s="58">
        <v>2102.85</v>
      </c>
      <c r="CR109" s="63">
        <v>4130.83</v>
      </c>
      <c r="CS109" s="58">
        <v>10.01</v>
      </c>
      <c r="CT109" s="60"/>
      <c r="CU109" s="27"/>
      <c r="CV109" s="51"/>
      <c r="CW109" s="42"/>
      <c r="CX109" s="52"/>
      <c r="CY109" s="240">
        <f t="shared" si="48"/>
        <v>10.01</v>
      </c>
    </row>
    <row r="110" spans="1:103" s="217" customFormat="1" hidden="1" x14ac:dyDescent="0.25">
      <c r="A110" s="47">
        <v>46048</v>
      </c>
      <c r="B110" s="230">
        <v>773.07</v>
      </c>
      <c r="C110" s="231">
        <v>3968.37</v>
      </c>
      <c r="D110" s="230">
        <v>109.79</v>
      </c>
      <c r="E110" s="323">
        <v>23.96</v>
      </c>
      <c r="F110" s="322"/>
      <c r="G110" s="32"/>
      <c r="H110" s="53"/>
      <c r="I110" s="319">
        <v>117.43341120000002</v>
      </c>
      <c r="J110" s="240">
        <f t="shared" si="41"/>
        <v>227.22341120000004</v>
      </c>
      <c r="L110" s="58">
        <v>6073.75</v>
      </c>
      <c r="M110" s="63">
        <v>6079.94</v>
      </c>
      <c r="N110" s="58">
        <v>29.91</v>
      </c>
      <c r="O110" s="60"/>
      <c r="P110" s="27"/>
      <c r="Q110" s="32">
        <v>473.54272000000032</v>
      </c>
      <c r="R110" s="32"/>
      <c r="S110" s="42"/>
      <c r="T110" s="44"/>
      <c r="U110" s="240">
        <f t="shared" si="40"/>
        <v>503.45272000000034</v>
      </c>
      <c r="V110" s="228"/>
      <c r="W110" s="58">
        <v>4207.22</v>
      </c>
      <c r="X110" s="63"/>
      <c r="Y110" s="58"/>
      <c r="Z110" s="60"/>
      <c r="AA110" s="27"/>
      <c r="AB110" s="32">
        <v>3.4424200000000269</v>
      </c>
      <c r="AC110" s="52"/>
      <c r="AD110" s="52"/>
      <c r="AE110" s="240">
        <f t="shared" si="49"/>
        <v>3.4424200000000269</v>
      </c>
      <c r="AG110" s="58">
        <v>5977.59</v>
      </c>
      <c r="AH110" s="63">
        <v>376.84</v>
      </c>
      <c r="AI110" s="58"/>
      <c r="AJ110" s="60"/>
      <c r="AK110" s="27"/>
      <c r="AL110" s="51"/>
      <c r="AM110" s="52"/>
      <c r="AN110" s="52"/>
      <c r="AO110" s="240">
        <f t="shared" si="42"/>
        <v>0</v>
      </c>
      <c r="AQ110" s="58">
        <v>8336.9599999999991</v>
      </c>
      <c r="AR110" s="58">
        <v>1227.23</v>
      </c>
      <c r="AS110" s="58">
        <v>711.9</v>
      </c>
      <c r="AT110" s="62"/>
      <c r="AU110" s="27"/>
      <c r="AV110" s="32">
        <v>214.2063499999999</v>
      </c>
      <c r="AW110" s="53">
        <v>27.032061748571493</v>
      </c>
      <c r="AX110" s="44"/>
      <c r="AY110" s="240">
        <f t="shared" si="43"/>
        <v>953.13841174857134</v>
      </c>
      <c r="BA110" s="58">
        <v>7730.31</v>
      </c>
      <c r="BB110" s="63"/>
      <c r="BC110" s="58">
        <v>26.71</v>
      </c>
      <c r="BD110" s="60"/>
      <c r="BE110" s="27"/>
      <c r="BF110" s="32">
        <v>115.0155000000001</v>
      </c>
      <c r="BG110" s="52"/>
      <c r="BH110" s="52"/>
      <c r="BI110" s="240">
        <f t="shared" si="44"/>
        <v>141.7255000000001</v>
      </c>
      <c r="BK110" s="58">
        <v>9786.5300000000007</v>
      </c>
      <c r="BL110" s="63">
        <v>1017.58</v>
      </c>
      <c r="BM110" s="58">
        <v>282.49</v>
      </c>
      <c r="BN110" s="60"/>
      <c r="BO110" s="27"/>
      <c r="BP110" s="32">
        <v>42.718919999999997</v>
      </c>
      <c r="BQ110" s="32"/>
      <c r="BR110" s="42">
        <v>43.949785714285724</v>
      </c>
      <c r="BS110" s="52"/>
      <c r="BT110" s="240">
        <f t="shared" si="45"/>
        <v>369.15870571428576</v>
      </c>
      <c r="BV110" s="58">
        <v>2162.9299999999998</v>
      </c>
      <c r="BW110" s="63">
        <v>524.86</v>
      </c>
      <c r="BX110" s="58">
        <v>4.3899999999999997</v>
      </c>
      <c r="BY110" s="60"/>
      <c r="BZ110" s="27"/>
      <c r="CA110" s="51"/>
      <c r="CB110" s="52"/>
      <c r="CC110" s="52"/>
      <c r="CD110" s="240">
        <f t="shared" si="46"/>
        <v>4.3899999999999997</v>
      </c>
      <c r="CF110" s="58">
        <v>1366.62</v>
      </c>
      <c r="CG110" s="63"/>
      <c r="CH110" s="58">
        <v>847.58</v>
      </c>
      <c r="CI110" s="60"/>
      <c r="CJ110" s="27"/>
      <c r="CK110" s="32">
        <v>4.0419999999999945</v>
      </c>
      <c r="CL110" s="42"/>
      <c r="CM110" s="52"/>
      <c r="CN110" s="240">
        <f t="shared" si="47"/>
        <v>851.62200000000007</v>
      </c>
      <c r="CP110" s="58">
        <v>4140.37</v>
      </c>
      <c r="CQ110" s="58">
        <v>1038.95</v>
      </c>
      <c r="CR110" s="63">
        <v>4840.37</v>
      </c>
      <c r="CS110" s="58"/>
      <c r="CT110" s="60"/>
      <c r="CU110" s="27"/>
      <c r="CV110" s="51"/>
      <c r="CW110" s="42">
        <v>22.941178671428617</v>
      </c>
      <c r="CX110" s="52"/>
      <c r="CY110" s="240">
        <f t="shared" si="48"/>
        <v>22.941178671428617</v>
      </c>
    </row>
    <row r="111" spans="1:103" s="217" customFormat="1" hidden="1" x14ac:dyDescent="0.25">
      <c r="A111" s="47">
        <v>46049</v>
      </c>
      <c r="B111" s="230">
        <v>3256.58</v>
      </c>
      <c r="C111" s="231">
        <v>2198.9699999999998</v>
      </c>
      <c r="D111" s="230">
        <v>231.59</v>
      </c>
      <c r="E111" s="323">
        <v>2.95</v>
      </c>
      <c r="F111" s="322"/>
      <c r="G111" s="32">
        <v>38.341479999999997</v>
      </c>
      <c r="H111" s="53"/>
      <c r="I111" s="319"/>
      <c r="J111" s="240">
        <f t="shared" si="41"/>
        <v>269.93148000000002</v>
      </c>
      <c r="L111" s="58">
        <v>7072.59</v>
      </c>
      <c r="M111" s="63">
        <v>5881.05</v>
      </c>
      <c r="N111" s="58">
        <v>50.69</v>
      </c>
      <c r="O111" s="60"/>
      <c r="P111" s="27"/>
      <c r="Q111" s="32">
        <v>449.7392000000001</v>
      </c>
      <c r="R111" s="32"/>
      <c r="S111" s="42"/>
      <c r="T111" s="44">
        <v>140.00000000000011</v>
      </c>
      <c r="U111" s="240">
        <f t="shared" si="40"/>
        <v>640.42920000000026</v>
      </c>
      <c r="V111" s="228"/>
      <c r="W111" s="58">
        <v>1426.41</v>
      </c>
      <c r="X111" s="63"/>
      <c r="Y111" s="58"/>
      <c r="Z111" s="60"/>
      <c r="AA111" s="27"/>
      <c r="AB111" s="32"/>
      <c r="AC111" s="52"/>
      <c r="AD111" s="52"/>
      <c r="AE111" s="240">
        <f t="shared" si="49"/>
        <v>0</v>
      </c>
      <c r="AG111" s="58">
        <v>4588.04</v>
      </c>
      <c r="AH111" s="63">
        <v>733.39</v>
      </c>
      <c r="AI111" s="58"/>
      <c r="AJ111" s="60"/>
      <c r="AK111" s="27"/>
      <c r="AL111" s="51"/>
      <c r="AM111" s="52"/>
      <c r="AN111" s="52"/>
      <c r="AO111" s="240">
        <f t="shared" si="42"/>
        <v>0</v>
      </c>
      <c r="AQ111" s="58">
        <v>9452.1200000000008</v>
      </c>
      <c r="AR111" s="58">
        <v>849.71</v>
      </c>
      <c r="AS111" s="58">
        <v>702.51</v>
      </c>
      <c r="AT111" s="62"/>
      <c r="AU111" s="27"/>
      <c r="AV111" s="32">
        <v>181.11123999999995</v>
      </c>
      <c r="AW111" s="53">
        <v>47.792642281904818</v>
      </c>
      <c r="AX111" s="44"/>
      <c r="AY111" s="240">
        <f t="shared" si="43"/>
        <v>931.41388228190476</v>
      </c>
      <c r="BA111" s="58">
        <v>4302.6099999999997</v>
      </c>
      <c r="BB111" s="63"/>
      <c r="BC111" s="58"/>
      <c r="BD111" s="60"/>
      <c r="BE111" s="27"/>
      <c r="BF111" s="32">
        <v>96.606510000000284</v>
      </c>
      <c r="BG111" s="52"/>
      <c r="BH111" s="52"/>
      <c r="BI111" s="240">
        <f t="shared" si="44"/>
        <v>96.606510000000284</v>
      </c>
      <c r="BK111" s="58">
        <v>13432.72</v>
      </c>
      <c r="BL111" s="63">
        <v>1281.8399999999999</v>
      </c>
      <c r="BM111" s="58">
        <v>80.94</v>
      </c>
      <c r="BN111" s="60"/>
      <c r="BO111" s="27"/>
      <c r="BP111" s="32">
        <v>32.597320000000011</v>
      </c>
      <c r="BQ111" s="32"/>
      <c r="BR111" s="42">
        <v>118.61025759428583</v>
      </c>
      <c r="BS111" s="52"/>
      <c r="BT111" s="240">
        <f t="shared" si="45"/>
        <v>232.14757759428585</v>
      </c>
      <c r="BV111" s="58">
        <v>3105.57</v>
      </c>
      <c r="BW111" s="63">
        <v>609.86</v>
      </c>
      <c r="BX111" s="58"/>
      <c r="BY111" s="60"/>
      <c r="BZ111" s="27"/>
      <c r="CA111" s="51"/>
      <c r="CB111" s="52"/>
      <c r="CC111" s="52"/>
      <c r="CD111" s="240">
        <f t="shared" si="46"/>
        <v>0</v>
      </c>
      <c r="CF111" s="58">
        <v>967.00599999999997</v>
      </c>
      <c r="CG111" s="63"/>
      <c r="CH111" s="58">
        <v>54.99</v>
      </c>
      <c r="CI111" s="60"/>
      <c r="CJ111" s="27"/>
      <c r="CK111" s="32"/>
      <c r="CL111" s="42">
        <v>19.648308662857147</v>
      </c>
      <c r="CM111" s="52"/>
      <c r="CN111" s="240">
        <f t="shared" si="47"/>
        <v>74.638308662857156</v>
      </c>
      <c r="CP111" s="58">
        <v>3313.86</v>
      </c>
      <c r="CQ111" s="58">
        <v>768.49</v>
      </c>
      <c r="CR111" s="63">
        <v>2969.34</v>
      </c>
      <c r="CS111" s="58"/>
      <c r="CT111" s="60"/>
      <c r="CU111" s="27"/>
      <c r="CV111" s="51"/>
      <c r="CW111" s="42">
        <v>49.046395219047668</v>
      </c>
      <c r="CX111" s="52"/>
      <c r="CY111" s="240">
        <f t="shared" si="48"/>
        <v>49.046395219047668</v>
      </c>
    </row>
    <row r="112" spans="1:103" s="217" customFormat="1" hidden="1" x14ac:dyDescent="0.25">
      <c r="A112" s="47">
        <v>46050</v>
      </c>
      <c r="B112" s="230">
        <v>4380.13</v>
      </c>
      <c r="C112" s="231">
        <v>3997.27</v>
      </c>
      <c r="D112" s="230">
        <v>116.88</v>
      </c>
      <c r="E112" s="323">
        <v>29.24</v>
      </c>
      <c r="F112" s="322"/>
      <c r="G112" s="32"/>
      <c r="H112" s="53"/>
      <c r="I112" s="319"/>
      <c r="J112" s="240">
        <f t="shared" si="41"/>
        <v>116.88</v>
      </c>
      <c r="L112" s="58">
        <v>7124.93</v>
      </c>
      <c r="M112" s="63">
        <v>5989.55</v>
      </c>
      <c r="N112" s="58">
        <v>10.98</v>
      </c>
      <c r="O112" s="60"/>
      <c r="P112" s="27"/>
      <c r="Q112" s="32">
        <v>567.05727999999999</v>
      </c>
      <c r="R112" s="32"/>
      <c r="S112" s="42"/>
      <c r="T112" s="44">
        <v>74.227200000000124</v>
      </c>
      <c r="U112" s="240">
        <f t="shared" si="40"/>
        <v>652.26448000000016</v>
      </c>
      <c r="V112" s="228"/>
      <c r="W112" s="58">
        <v>3746.07</v>
      </c>
      <c r="X112" s="63"/>
      <c r="Y112" s="58"/>
      <c r="Z112" s="60"/>
      <c r="AA112" s="27"/>
      <c r="AB112" s="32">
        <v>13.67744585511582</v>
      </c>
      <c r="AC112" s="52"/>
      <c r="AD112" s="52"/>
      <c r="AE112" s="240">
        <f t="shared" si="49"/>
        <v>13.67744585511582</v>
      </c>
      <c r="AG112" s="58">
        <v>7035.71</v>
      </c>
      <c r="AH112" s="63">
        <v>646.33000000000004</v>
      </c>
      <c r="AI112" s="58"/>
      <c r="AJ112" s="60"/>
      <c r="AK112" s="27"/>
      <c r="AL112" s="51"/>
      <c r="AM112" s="52"/>
      <c r="AN112" s="52"/>
      <c r="AO112" s="240">
        <f t="shared" si="42"/>
        <v>0</v>
      </c>
      <c r="AQ112" s="58">
        <v>8732.49</v>
      </c>
      <c r="AR112" s="58">
        <v>856.11</v>
      </c>
      <c r="AS112" s="58">
        <v>698.55</v>
      </c>
      <c r="AT112" s="62"/>
      <c r="AU112" s="27"/>
      <c r="AV112" s="32">
        <v>284.91707999999994</v>
      </c>
      <c r="AW112" s="53"/>
      <c r="AX112" s="44">
        <v>12.441135300000013</v>
      </c>
      <c r="AY112" s="240">
        <f t="shared" si="43"/>
        <v>995.90821529999994</v>
      </c>
      <c r="BA112" s="58">
        <v>1999.53</v>
      </c>
      <c r="BB112" s="63"/>
      <c r="BC112" s="58"/>
      <c r="BD112" s="60"/>
      <c r="BE112" s="27"/>
      <c r="BF112" s="32">
        <v>85.198720000000023</v>
      </c>
      <c r="BG112" s="52"/>
      <c r="BH112" s="52"/>
      <c r="BI112" s="240">
        <f t="shared" si="44"/>
        <v>85.198720000000023</v>
      </c>
      <c r="BK112" s="58">
        <v>17713.86</v>
      </c>
      <c r="BL112" s="63">
        <v>1435.72</v>
      </c>
      <c r="BM112" s="58">
        <v>124.58</v>
      </c>
      <c r="BN112" s="60"/>
      <c r="BO112" s="27"/>
      <c r="BP112" s="32">
        <v>119.71799999999999</v>
      </c>
      <c r="BQ112" s="32"/>
      <c r="BR112" s="42">
        <v>287.44383317066661</v>
      </c>
      <c r="BS112" s="52"/>
      <c r="BT112" s="240">
        <f t="shared" si="45"/>
        <v>531.74183317066661</v>
      </c>
      <c r="BV112" s="58">
        <v>2905.36</v>
      </c>
      <c r="BW112" s="63">
        <v>753.44</v>
      </c>
      <c r="BX112" s="58">
        <v>8.76</v>
      </c>
      <c r="BY112" s="60"/>
      <c r="BZ112" s="27"/>
      <c r="CA112" s="51"/>
      <c r="CB112" s="52"/>
      <c r="CC112" s="52"/>
      <c r="CD112" s="240">
        <f t="shared" si="46"/>
        <v>8.76</v>
      </c>
      <c r="CF112" s="58">
        <v>1016.37</v>
      </c>
      <c r="CG112" s="63"/>
      <c r="CH112" s="58">
        <v>127.31</v>
      </c>
      <c r="CI112" s="60"/>
      <c r="CJ112" s="27"/>
      <c r="CK112" s="32"/>
      <c r="CL112" s="42">
        <v>67.325619047619057</v>
      </c>
      <c r="CM112" s="52"/>
      <c r="CN112" s="240">
        <f t="shared" si="47"/>
        <v>194.63561904761906</v>
      </c>
      <c r="CP112" s="58">
        <v>2094.66</v>
      </c>
      <c r="CQ112" s="58">
        <v>1551.53</v>
      </c>
      <c r="CR112" s="63">
        <v>3231.38</v>
      </c>
      <c r="CS112" s="58">
        <v>12.6</v>
      </c>
      <c r="CT112" s="60"/>
      <c r="CU112" s="27"/>
      <c r="CV112" s="51"/>
      <c r="CW112" s="42">
        <v>32.798854826666684</v>
      </c>
      <c r="CX112" s="52"/>
      <c r="CY112" s="240">
        <f t="shared" si="48"/>
        <v>45.398854826666685</v>
      </c>
    </row>
    <row r="113" spans="1:103" s="217" customFormat="1" hidden="1" x14ac:dyDescent="0.25">
      <c r="A113" s="47">
        <v>46051</v>
      </c>
      <c r="B113" s="230">
        <v>3693.58</v>
      </c>
      <c r="C113" s="231">
        <v>4020.12</v>
      </c>
      <c r="D113" s="230">
        <v>326.64</v>
      </c>
      <c r="E113" s="323">
        <v>27.91</v>
      </c>
      <c r="F113" s="322"/>
      <c r="G113" s="32"/>
      <c r="H113" s="53"/>
      <c r="I113" s="319">
        <v>58.295712600000059</v>
      </c>
      <c r="J113" s="240">
        <f t="shared" si="41"/>
        <v>384.93571260000004</v>
      </c>
      <c r="L113" s="58">
        <v>8045.03</v>
      </c>
      <c r="M113" s="63">
        <v>6330.6</v>
      </c>
      <c r="N113" s="58">
        <v>18.440000000000001</v>
      </c>
      <c r="O113" s="60"/>
      <c r="P113" s="27"/>
      <c r="Q113" s="32">
        <v>227.72624000000002</v>
      </c>
      <c r="R113" s="32"/>
      <c r="S113" s="42"/>
      <c r="T113" s="44">
        <v>125.25840000000021</v>
      </c>
      <c r="U113" s="240">
        <f t="shared" si="40"/>
        <v>371.42464000000024</v>
      </c>
      <c r="V113" s="228"/>
      <c r="W113" s="58">
        <v>606.04999999999995</v>
      </c>
      <c r="X113" s="63"/>
      <c r="Y113" s="58"/>
      <c r="Z113" s="60"/>
      <c r="AA113" s="27"/>
      <c r="AB113" s="32"/>
      <c r="AC113" s="52"/>
      <c r="AD113" s="52"/>
      <c r="AE113" s="240">
        <f t="shared" si="49"/>
        <v>0</v>
      </c>
      <c r="AG113" s="58">
        <v>5375.29</v>
      </c>
      <c r="AH113" s="63">
        <v>374.26</v>
      </c>
      <c r="AI113" s="58"/>
      <c r="AJ113" s="60"/>
      <c r="AK113" s="27"/>
      <c r="AL113" s="51"/>
      <c r="AM113" s="52"/>
      <c r="AN113" s="52"/>
      <c r="AO113" s="240">
        <f t="shared" si="42"/>
        <v>0</v>
      </c>
      <c r="AQ113" s="58">
        <v>11608.28</v>
      </c>
      <c r="AR113" s="58">
        <v>937.42</v>
      </c>
      <c r="AS113" s="58">
        <v>1182.83</v>
      </c>
      <c r="AT113" s="62"/>
      <c r="AU113" s="27"/>
      <c r="AV113" s="32">
        <v>277.92421999999993</v>
      </c>
      <c r="AW113" s="53">
        <v>39.520233596190543</v>
      </c>
      <c r="AX113" s="44"/>
      <c r="AY113" s="240">
        <f t="shared" si="43"/>
        <v>1500.2744535961904</v>
      </c>
      <c r="BA113" s="58">
        <v>2971.13</v>
      </c>
      <c r="BB113" s="63"/>
      <c r="BC113" s="58">
        <v>624.99</v>
      </c>
      <c r="BD113" s="60"/>
      <c r="BE113" s="27"/>
      <c r="BF113" s="32">
        <v>35.971650000000068</v>
      </c>
      <c r="BG113" s="52"/>
      <c r="BH113" s="52"/>
      <c r="BI113" s="240">
        <f t="shared" si="44"/>
        <v>660.96165000000008</v>
      </c>
      <c r="BK113" s="58">
        <v>18101.03</v>
      </c>
      <c r="BL113" s="63">
        <v>1645.11</v>
      </c>
      <c r="BM113" s="58">
        <v>221.61</v>
      </c>
      <c r="BN113" s="60"/>
      <c r="BO113" s="27"/>
      <c r="BP113" s="32">
        <v>213.91438000000011</v>
      </c>
      <c r="BQ113" s="32"/>
      <c r="BR113" s="42">
        <v>46.939271963809574</v>
      </c>
      <c r="BS113" s="52"/>
      <c r="BT113" s="240">
        <f t="shared" si="45"/>
        <v>482.4636519638097</v>
      </c>
      <c r="BV113" s="58">
        <v>2045.81</v>
      </c>
      <c r="BW113" s="63">
        <v>868.01</v>
      </c>
      <c r="BX113" s="58">
        <v>0.17</v>
      </c>
      <c r="BY113" s="60"/>
      <c r="BZ113" s="27"/>
      <c r="CA113" s="51"/>
      <c r="CB113" s="52"/>
      <c r="CC113" s="52"/>
      <c r="CD113" s="240">
        <f t="shared" si="46"/>
        <v>0.17</v>
      </c>
      <c r="CF113" s="58">
        <v>2169.73</v>
      </c>
      <c r="CG113" s="63"/>
      <c r="CH113" s="58">
        <v>172.64</v>
      </c>
      <c r="CI113" s="60"/>
      <c r="CJ113" s="27"/>
      <c r="CK113" s="32"/>
      <c r="CL113" s="42"/>
      <c r="CM113" s="52"/>
      <c r="CN113" s="240">
        <f t="shared" si="47"/>
        <v>172.64</v>
      </c>
      <c r="CP113" s="58">
        <v>2563.23</v>
      </c>
      <c r="CQ113" s="58">
        <v>1464.49</v>
      </c>
      <c r="CR113" s="63">
        <v>3977.96</v>
      </c>
      <c r="CS113" s="58"/>
      <c r="CT113" s="60"/>
      <c r="CU113" s="27"/>
      <c r="CV113" s="51"/>
      <c r="CW113" s="42">
        <v>38.432879862857135</v>
      </c>
      <c r="CX113" s="52"/>
      <c r="CY113" s="240">
        <f t="shared" si="48"/>
        <v>38.432879862857135</v>
      </c>
    </row>
    <row r="114" spans="1:103" s="217" customFormat="1" hidden="1" x14ac:dyDescent="0.25">
      <c r="A114" s="47">
        <v>46052</v>
      </c>
      <c r="B114" s="230">
        <v>14057.47</v>
      </c>
      <c r="C114" s="231">
        <v>3157.94</v>
      </c>
      <c r="D114" s="230">
        <v>641.99</v>
      </c>
      <c r="E114" s="323">
        <v>1.83</v>
      </c>
      <c r="F114" s="322"/>
      <c r="G114" s="32"/>
      <c r="H114" s="53"/>
      <c r="I114" s="319"/>
      <c r="J114" s="240">
        <f t="shared" si="41"/>
        <v>641.99</v>
      </c>
      <c r="L114" s="58">
        <v>7333.64</v>
      </c>
      <c r="M114" s="63">
        <v>6656.17</v>
      </c>
      <c r="N114" s="58">
        <v>50.19</v>
      </c>
      <c r="O114" s="60"/>
      <c r="P114" s="27"/>
      <c r="Q114" s="32">
        <v>117.14539000000006</v>
      </c>
      <c r="R114" s="32"/>
      <c r="S114" s="42"/>
      <c r="T114" s="44">
        <v>15.464000000000027</v>
      </c>
      <c r="U114" s="240">
        <f t="shared" si="40"/>
        <v>182.7993900000001</v>
      </c>
      <c r="V114" s="228"/>
      <c r="W114" s="58">
        <v>3445.04</v>
      </c>
      <c r="X114" s="63"/>
      <c r="Y114" s="58"/>
      <c r="Z114" s="60"/>
      <c r="AA114" s="27"/>
      <c r="AB114" s="32">
        <v>14.187130000000025</v>
      </c>
      <c r="AC114" s="52"/>
      <c r="AD114" s="52"/>
      <c r="AE114" s="240">
        <f t="shared" si="49"/>
        <v>14.187130000000025</v>
      </c>
      <c r="AG114" s="58">
        <v>7390.59</v>
      </c>
      <c r="AH114" s="63">
        <v>1025.95</v>
      </c>
      <c r="AI114" s="58"/>
      <c r="AJ114" s="60"/>
      <c r="AK114" s="27"/>
      <c r="AL114" s="51"/>
      <c r="AM114" s="52"/>
      <c r="AN114" s="52"/>
      <c r="AO114" s="240">
        <f t="shared" si="42"/>
        <v>0</v>
      </c>
      <c r="AQ114" s="58">
        <v>7779.84</v>
      </c>
      <c r="AR114" s="58">
        <v>497.02</v>
      </c>
      <c r="AS114" s="58">
        <v>650.49</v>
      </c>
      <c r="AT114" s="62"/>
      <c r="AU114" s="27"/>
      <c r="AV114" s="32">
        <v>93.513099999999952</v>
      </c>
      <c r="AW114" s="53"/>
      <c r="AX114" s="44">
        <v>12.536526000000009</v>
      </c>
      <c r="AY114" s="240">
        <f t="shared" si="43"/>
        <v>756.53962599999988</v>
      </c>
      <c r="BA114" s="58">
        <v>8002.94</v>
      </c>
      <c r="BB114" s="63"/>
      <c r="BC114" s="58"/>
      <c r="BD114" s="60"/>
      <c r="BE114" s="27"/>
      <c r="BF114" s="32">
        <v>67.487100000000069</v>
      </c>
      <c r="BG114" s="52"/>
      <c r="BH114" s="52"/>
      <c r="BI114" s="240">
        <f t="shared" si="44"/>
        <v>67.487100000000069</v>
      </c>
      <c r="BK114" s="58">
        <v>30254.11</v>
      </c>
      <c r="BL114" s="63">
        <v>1922.31</v>
      </c>
      <c r="BM114" s="58">
        <v>107.98</v>
      </c>
      <c r="BN114" s="60"/>
      <c r="BO114" s="27"/>
      <c r="BP114" s="32">
        <v>158.61998999999997</v>
      </c>
      <c r="BQ114" s="32"/>
      <c r="BR114" s="42">
        <v>639.93350471390534</v>
      </c>
      <c r="BS114" s="52"/>
      <c r="BT114" s="240">
        <f t="shared" si="45"/>
        <v>906.53349471390538</v>
      </c>
      <c r="BV114" s="58">
        <v>2784.63</v>
      </c>
      <c r="BW114" s="63">
        <v>1061.8</v>
      </c>
      <c r="BX114" s="58">
        <v>6.86</v>
      </c>
      <c r="BY114" s="60"/>
      <c r="BZ114" s="27"/>
      <c r="CA114" s="51"/>
      <c r="CB114" s="52"/>
      <c r="CC114" s="52"/>
      <c r="CD114" s="240">
        <f t="shared" si="46"/>
        <v>6.86</v>
      </c>
      <c r="CF114" s="58">
        <v>1324.4</v>
      </c>
      <c r="CG114" s="63"/>
      <c r="CH114" s="58">
        <v>517.34</v>
      </c>
      <c r="CI114" s="60"/>
      <c r="CJ114" s="27"/>
      <c r="CK114" s="32">
        <v>10.807000000000002</v>
      </c>
      <c r="CL114" s="42">
        <v>20.772646500952391</v>
      </c>
      <c r="CM114" s="52"/>
      <c r="CN114" s="240">
        <f t="shared" si="47"/>
        <v>548.91964650095247</v>
      </c>
      <c r="CP114" s="58">
        <v>4250.97</v>
      </c>
      <c r="CQ114" s="58">
        <v>1255.1600000000001</v>
      </c>
      <c r="CR114" s="63">
        <v>4298.25</v>
      </c>
      <c r="CS114" s="58"/>
      <c r="CT114" s="60"/>
      <c r="CU114" s="27"/>
      <c r="CV114" s="51"/>
      <c r="CW114" s="42">
        <v>51.98360609904762</v>
      </c>
      <c r="CX114" s="52"/>
      <c r="CY114" s="240">
        <f t="shared" si="48"/>
        <v>51.98360609904762</v>
      </c>
    </row>
    <row r="115" spans="1:103" s="217" customFormat="1" ht="15.75" hidden="1" thickBot="1" x14ac:dyDescent="0.3">
      <c r="A115" s="47">
        <v>46053</v>
      </c>
      <c r="B115" s="230">
        <v>2730.87</v>
      </c>
      <c r="C115" s="231">
        <v>2908.96</v>
      </c>
      <c r="D115" s="230">
        <v>104.52</v>
      </c>
      <c r="E115" s="323">
        <v>1.33</v>
      </c>
      <c r="F115" s="322"/>
      <c r="G115" s="32"/>
      <c r="H115" s="81"/>
      <c r="I115" s="320"/>
      <c r="J115" s="324">
        <f t="shared" si="41"/>
        <v>104.52</v>
      </c>
      <c r="L115" s="58">
        <v>8193.58</v>
      </c>
      <c r="M115" s="63">
        <v>7065.92</v>
      </c>
      <c r="N115" s="58">
        <v>12.71</v>
      </c>
      <c r="O115" s="60"/>
      <c r="P115" s="27"/>
      <c r="Q115" s="32">
        <v>562.11897000000022</v>
      </c>
      <c r="R115" s="32"/>
      <c r="S115" s="42">
        <v>34.120816862857168</v>
      </c>
      <c r="T115" s="82"/>
      <c r="U115" s="324">
        <f t="shared" si="40"/>
        <v>608.94978686285742</v>
      </c>
      <c r="V115" s="228"/>
      <c r="W115" s="58">
        <v>1198.67</v>
      </c>
      <c r="X115" s="63"/>
      <c r="Y115" s="58"/>
      <c r="Z115" s="60"/>
      <c r="AA115" s="27"/>
      <c r="AB115" s="32"/>
      <c r="AC115" s="80"/>
      <c r="AD115" s="80"/>
      <c r="AE115" s="324">
        <f t="shared" si="49"/>
        <v>0</v>
      </c>
      <c r="AG115" s="58">
        <v>3017.1099999999997</v>
      </c>
      <c r="AH115" s="63">
        <v>272.05</v>
      </c>
      <c r="AI115" s="58"/>
      <c r="AJ115" s="60"/>
      <c r="AK115" s="27"/>
      <c r="AL115" s="79"/>
      <c r="AM115" s="80"/>
      <c r="AN115" s="80"/>
      <c r="AO115" s="324">
        <f t="shared" si="42"/>
        <v>0</v>
      </c>
      <c r="AQ115" s="58">
        <v>8490.69</v>
      </c>
      <c r="AR115" s="58">
        <v>814.96</v>
      </c>
      <c r="AS115" s="58">
        <v>425.22</v>
      </c>
      <c r="AT115" s="233"/>
      <c r="AU115" s="27"/>
      <c r="AV115" s="32">
        <v>116.22350000000002</v>
      </c>
      <c r="AW115" s="81"/>
      <c r="AX115" s="82"/>
      <c r="AY115" s="324">
        <f t="shared" si="43"/>
        <v>541.44350000000009</v>
      </c>
      <c r="BA115" s="58">
        <v>4959.92</v>
      </c>
      <c r="BB115" s="63"/>
      <c r="BC115" s="58"/>
      <c r="BD115" s="60"/>
      <c r="BE115" s="27"/>
      <c r="BF115" s="32">
        <v>6.4018500000000245</v>
      </c>
      <c r="BG115" s="80"/>
      <c r="BH115" s="80"/>
      <c r="BI115" s="324">
        <f t="shared" si="44"/>
        <v>6.4018500000000245</v>
      </c>
      <c r="BK115" s="58">
        <v>25557.17</v>
      </c>
      <c r="BL115" s="63">
        <v>2023.2</v>
      </c>
      <c r="BM115" s="58">
        <v>221.66</v>
      </c>
      <c r="BN115" s="60"/>
      <c r="BO115" s="27"/>
      <c r="BP115" s="32">
        <v>249.58700000000005</v>
      </c>
      <c r="BQ115" s="32"/>
      <c r="BR115" s="42">
        <v>322.89152911238125</v>
      </c>
      <c r="BS115" s="80"/>
      <c r="BT115" s="324">
        <f t="shared" si="45"/>
        <v>794.13852911238132</v>
      </c>
      <c r="BV115" s="58">
        <v>2207.02</v>
      </c>
      <c r="BW115" s="63">
        <v>1018.5</v>
      </c>
      <c r="BX115" s="58"/>
      <c r="BY115" s="60"/>
      <c r="BZ115" s="27"/>
      <c r="CA115" s="79"/>
      <c r="CB115" s="80"/>
      <c r="CC115" s="80"/>
      <c r="CD115" s="324">
        <f t="shared" si="46"/>
        <v>0</v>
      </c>
      <c r="CF115" s="58">
        <v>1172.98</v>
      </c>
      <c r="CG115" s="63"/>
      <c r="CH115" s="58">
        <v>55.97</v>
      </c>
      <c r="CI115" s="60"/>
      <c r="CJ115" s="27"/>
      <c r="CK115" s="32"/>
      <c r="CL115" s="42">
        <v>67.325619047619057</v>
      </c>
      <c r="CM115" s="80"/>
      <c r="CN115" s="324">
        <f t="shared" si="47"/>
        <v>123.29561904761906</v>
      </c>
      <c r="CP115" s="58">
        <v>4263.5200000000004</v>
      </c>
      <c r="CQ115" s="234">
        <v>1492.73</v>
      </c>
      <c r="CR115" s="235">
        <v>6522.74</v>
      </c>
      <c r="CS115" s="58">
        <v>26.46</v>
      </c>
      <c r="CT115" s="60"/>
      <c r="CU115" s="27"/>
      <c r="CV115" s="79"/>
      <c r="CW115" s="42"/>
      <c r="CX115" s="80"/>
      <c r="CY115" s="324">
        <f t="shared" si="48"/>
        <v>26.46</v>
      </c>
    </row>
    <row r="116" spans="1:103" s="86" customFormat="1" ht="16.5" hidden="1" thickBot="1" x14ac:dyDescent="0.3">
      <c r="B116" s="236">
        <f>SUM(B85:B115)</f>
        <v>92209.190000000017</v>
      </c>
      <c r="C116" s="236">
        <f>SUM(C85:C115)</f>
        <v>103803.73000000001</v>
      </c>
      <c r="D116" s="237">
        <f>SUM(D85:D115)</f>
        <v>8427.19</v>
      </c>
      <c r="E116" s="236">
        <f>SUM(E85:E115)</f>
        <v>353.29999999999995</v>
      </c>
      <c r="F116" s="83"/>
      <c r="G116" s="84">
        <f t="shared" ref="G116:J116" si="50">SUM(G85:G115)</f>
        <v>326.24687999999998</v>
      </c>
      <c r="H116" s="85">
        <f t="shared" si="50"/>
        <v>36.639776118857142</v>
      </c>
      <c r="I116" s="85">
        <f t="shared" si="50"/>
        <v>764.67209690000004</v>
      </c>
      <c r="J116" s="85">
        <f t="shared" si="50"/>
        <v>9554.7487530188555</v>
      </c>
      <c r="L116" s="236">
        <f>SUM(L85:L115)</f>
        <v>193756.45</v>
      </c>
      <c r="M116" s="237">
        <f>SUM(M85:M115)</f>
        <v>172830.69000000003</v>
      </c>
      <c r="N116" s="237">
        <f>SUM(N85:N115)</f>
        <v>1010.03</v>
      </c>
      <c r="O116" s="238">
        <f>SUM(O85:O115)</f>
        <v>0</v>
      </c>
      <c r="P116" s="83"/>
      <c r="Q116" s="84">
        <f t="shared" ref="Q116:U116" si="51">SUM(Q85:Q115)</f>
        <v>9919.9548000000013</v>
      </c>
      <c r="R116" s="433"/>
      <c r="S116" s="85">
        <f t="shared" si="51"/>
        <v>34.120816862857168</v>
      </c>
      <c r="T116" s="85">
        <f t="shared" si="51"/>
        <v>1857.0580686000019</v>
      </c>
      <c r="U116" s="85">
        <f t="shared" si="51"/>
        <v>12821.163685462863</v>
      </c>
      <c r="W116" s="236">
        <f>SUM(W85:W115)</f>
        <v>62115.920000000006</v>
      </c>
      <c r="X116" s="237">
        <f>SUM(X85:X115)</f>
        <v>0</v>
      </c>
      <c r="Y116" s="237">
        <f>SUM(Y85:Y115)</f>
        <v>0</v>
      </c>
      <c r="Z116" s="238">
        <f>SUM(Z85:Z115)</f>
        <v>0</v>
      </c>
      <c r="AA116" s="83"/>
      <c r="AB116" s="84">
        <f t="shared" ref="AB116:AE116" si="52">SUM(AB85:AB115)</f>
        <v>232.65874790141882</v>
      </c>
      <c r="AC116" s="85">
        <f t="shared" si="52"/>
        <v>0</v>
      </c>
      <c r="AD116" s="85">
        <f t="shared" si="52"/>
        <v>0</v>
      </c>
      <c r="AE116" s="85">
        <f t="shared" si="52"/>
        <v>232.65874790141882</v>
      </c>
      <c r="AG116" s="236">
        <f>SUM(AG85:AG115)</f>
        <v>154147.34999999998</v>
      </c>
      <c r="AH116" s="237">
        <f>SUM(AH85:AH115)</f>
        <v>16385.019999999997</v>
      </c>
      <c r="AI116" s="237">
        <f>SUM(AI85:AI115)</f>
        <v>0</v>
      </c>
      <c r="AJ116" s="238">
        <f>SUM(AJ85:AJ115)</f>
        <v>0</v>
      </c>
      <c r="AK116" s="83"/>
      <c r="AL116" s="84">
        <f t="shared" ref="AL116:AO116" si="53">SUM(AL85:AL115)</f>
        <v>0</v>
      </c>
      <c r="AM116" s="85">
        <f t="shared" si="53"/>
        <v>0</v>
      </c>
      <c r="AN116" s="85">
        <f t="shared" si="53"/>
        <v>0</v>
      </c>
      <c r="AO116" s="85">
        <f t="shared" si="53"/>
        <v>0</v>
      </c>
      <c r="AQ116" s="237">
        <f>SUM(AQ85:AQ115)</f>
        <v>241512.33999999994</v>
      </c>
      <c r="AR116" s="237">
        <f>SUM(AR85:AR115)</f>
        <v>27897.449999999993</v>
      </c>
      <c r="AS116" s="237">
        <f>SUM(AS85:AS115)</f>
        <v>14102.349999999999</v>
      </c>
      <c r="AT116" s="237">
        <f>SUM(AT85:AT115)</f>
        <v>0</v>
      </c>
      <c r="AU116" s="83"/>
      <c r="AV116" s="84">
        <f t="shared" ref="AV116:AY116" si="54">SUM(AV85:AV115)</f>
        <v>4312.490147999999</v>
      </c>
      <c r="AW116" s="85">
        <f t="shared" si="54"/>
        <v>773.32700864476237</v>
      </c>
      <c r="AX116" s="85">
        <f t="shared" si="54"/>
        <v>63.206936800000051</v>
      </c>
      <c r="AY116" s="85">
        <f t="shared" si="54"/>
        <v>19251.374093444767</v>
      </c>
      <c r="BA116" s="236">
        <f>SUM(BA85:BA115)</f>
        <v>171873.88999999998</v>
      </c>
      <c r="BB116" s="237">
        <f>SUM(BB85:BB115)</f>
        <v>0</v>
      </c>
      <c r="BC116" s="237">
        <f>SUM(BC85:BC115)</f>
        <v>756.7</v>
      </c>
      <c r="BD116" s="238">
        <f>SUM(BD85:BD115)</f>
        <v>0</v>
      </c>
      <c r="BE116" s="83"/>
      <c r="BF116" s="84">
        <f t="shared" ref="BF116:BI116" si="55">SUM(BF85:BF115)</f>
        <v>1595.3286299999991</v>
      </c>
      <c r="BG116" s="85">
        <f t="shared" si="55"/>
        <v>0</v>
      </c>
      <c r="BH116" s="85">
        <f t="shared" si="55"/>
        <v>0</v>
      </c>
      <c r="BI116" s="85">
        <f t="shared" si="55"/>
        <v>2352.0286299999993</v>
      </c>
      <c r="BK116" s="236">
        <f>SUM(BK85:BK115)</f>
        <v>605421.14</v>
      </c>
      <c r="BL116" s="237">
        <f>SUM(BL85:BL115)</f>
        <v>49599.199999999997</v>
      </c>
      <c r="BM116" s="237">
        <f>SUM(BM85:BM115)</f>
        <v>13591.820000000002</v>
      </c>
      <c r="BN116" s="238">
        <f>SUM(BN85:BN115)</f>
        <v>0</v>
      </c>
      <c r="BO116" s="83"/>
      <c r="BP116" s="84">
        <f t="shared" ref="BP116:BT116" si="56">SUM(BP85:BP115)</f>
        <v>3649.3137999999981</v>
      </c>
      <c r="BQ116" s="433"/>
      <c r="BR116" s="85">
        <f t="shared" si="56"/>
        <v>4713.6475562310479</v>
      </c>
      <c r="BS116" s="85">
        <f t="shared" si="56"/>
        <v>0</v>
      </c>
      <c r="BT116" s="85">
        <f t="shared" si="56"/>
        <v>21954.781356231044</v>
      </c>
      <c r="BV116" s="236">
        <f>SUM(BV85:BV115)</f>
        <v>69189.34</v>
      </c>
      <c r="BW116" s="237">
        <f>SUM(BW85:BW115)</f>
        <v>21705.839999999997</v>
      </c>
      <c r="BX116" s="237">
        <f>SUM(BX85:BX115)</f>
        <v>99.37</v>
      </c>
      <c r="BY116" s="238">
        <f>SUM(BY85:BY115)</f>
        <v>0</v>
      </c>
      <c r="BZ116" s="83"/>
      <c r="CA116" s="84">
        <f t="shared" ref="CA116:CD116" si="57">SUM(CA85:CA115)</f>
        <v>0</v>
      </c>
      <c r="CB116" s="85">
        <f t="shared" si="57"/>
        <v>0</v>
      </c>
      <c r="CC116" s="85">
        <f t="shared" si="57"/>
        <v>0</v>
      </c>
      <c r="CD116" s="85">
        <f t="shared" si="57"/>
        <v>99.37</v>
      </c>
      <c r="CF116" s="236">
        <f>SUM(CF85:CF115)</f>
        <v>71080.545999999988</v>
      </c>
      <c r="CG116" s="237">
        <f>SUM(CG85:CG115)</f>
        <v>0</v>
      </c>
      <c r="CH116" s="237">
        <f>SUM(CH85:CH115)</f>
        <v>8495.1399999999976</v>
      </c>
      <c r="CI116" s="238">
        <f>SUM(CI85:CI115)</f>
        <v>0</v>
      </c>
      <c r="CJ116" s="83"/>
      <c r="CK116" s="84">
        <f t="shared" ref="CK116:CN116" si="58">SUM(CK85:CK115)</f>
        <v>1134.5024799999994</v>
      </c>
      <c r="CL116" s="85">
        <f t="shared" si="58"/>
        <v>335.87953740190494</v>
      </c>
      <c r="CM116" s="85">
        <f t="shared" si="58"/>
        <v>0</v>
      </c>
      <c r="CN116" s="85">
        <f t="shared" si="58"/>
        <v>9965.522017401905</v>
      </c>
      <c r="CP116" s="236">
        <f>SUM(CP85:CP115)</f>
        <v>109536.37999999999</v>
      </c>
      <c r="CQ116" s="237">
        <f>SUM(CQ85:CQ115)</f>
        <v>36011.850000000013</v>
      </c>
      <c r="CR116" s="237">
        <f>SUM(CR85:CR115)</f>
        <v>134218.91</v>
      </c>
      <c r="CS116" s="237">
        <f>SUM(CS85:CS115)</f>
        <v>111.99000000000001</v>
      </c>
      <c r="CT116" s="238">
        <f>SUM(CT85:CT115)</f>
        <v>0</v>
      </c>
      <c r="CU116" s="83"/>
      <c r="CV116" s="84">
        <f t="shared" ref="CV116:CX116" si="59">SUM(CV85:CV115)</f>
        <v>67.612709999999979</v>
      </c>
      <c r="CW116" s="85">
        <f t="shared" si="59"/>
        <v>902.65279990000067</v>
      </c>
      <c r="CX116" s="85">
        <f t="shared" si="59"/>
        <v>0</v>
      </c>
      <c r="CY116" s="85">
        <f>SUM(CY85:CY115)</f>
        <v>1082.2555099000006</v>
      </c>
    </row>
    <row r="117" spans="1:103" hidden="1" x14ac:dyDescent="0.25"/>
    <row r="118" spans="1:103" hidden="1" x14ac:dyDescent="0.25"/>
    <row r="119" spans="1:103" hidden="1" x14ac:dyDescent="0.25"/>
    <row r="120" spans="1:103" ht="21" hidden="1" x14ac:dyDescent="0.35">
      <c r="B120" s="1" t="s">
        <v>44</v>
      </c>
      <c r="L120" s="1" t="s">
        <v>45</v>
      </c>
      <c r="W120" s="1" t="s">
        <v>46</v>
      </c>
      <c r="AG120" s="1" t="s">
        <v>47</v>
      </c>
      <c r="AQ120" s="1" t="s">
        <v>48</v>
      </c>
      <c r="BA120" s="1" t="s">
        <v>49</v>
      </c>
      <c r="BK120" s="1" t="s">
        <v>50</v>
      </c>
      <c r="BV120" s="1" t="s">
        <v>51</v>
      </c>
      <c r="CF120" s="1" t="s">
        <v>52</v>
      </c>
      <c r="CP120" s="1" t="s">
        <v>53</v>
      </c>
    </row>
    <row r="121" spans="1:103" hidden="1" x14ac:dyDescent="0.25"/>
    <row r="122" spans="1:103" s="217" customFormat="1" ht="12.75" hidden="1" x14ac:dyDescent="0.2">
      <c r="A122" s="213" t="s">
        <v>14</v>
      </c>
      <c r="B122" s="132" t="s">
        <v>15</v>
      </c>
      <c r="C122" s="210" t="s">
        <v>15</v>
      </c>
      <c r="D122" s="214" t="s">
        <v>16</v>
      </c>
      <c r="E122" s="215" t="s">
        <v>16</v>
      </c>
      <c r="F122" s="6"/>
      <c r="G122" s="7" t="s">
        <v>16</v>
      </c>
      <c r="H122" s="8" t="s">
        <v>16</v>
      </c>
      <c r="I122" s="9" t="s">
        <v>16</v>
      </c>
      <c r="J122" s="216" t="s">
        <v>54</v>
      </c>
      <c r="L122" s="132" t="s">
        <v>15</v>
      </c>
      <c r="M122" s="210" t="s">
        <v>15</v>
      </c>
      <c r="N122" s="214" t="s">
        <v>16</v>
      </c>
      <c r="O122" s="215" t="s">
        <v>16</v>
      </c>
      <c r="P122" s="6"/>
      <c r="Q122" s="7" t="s">
        <v>16</v>
      </c>
      <c r="R122" s="7"/>
      <c r="S122" s="8" t="s">
        <v>16</v>
      </c>
      <c r="T122" s="9" t="s">
        <v>16</v>
      </c>
      <c r="U122" s="216" t="s">
        <v>54</v>
      </c>
      <c r="W122" s="132" t="s">
        <v>15</v>
      </c>
      <c r="X122" s="210" t="s">
        <v>15</v>
      </c>
      <c r="Y122" s="214" t="s">
        <v>16</v>
      </c>
      <c r="Z122" s="215" t="s">
        <v>16</v>
      </c>
      <c r="AA122" s="6"/>
      <c r="AB122" s="7" t="s">
        <v>16</v>
      </c>
      <c r="AC122" s="8" t="s">
        <v>16</v>
      </c>
      <c r="AD122" s="9" t="s">
        <v>16</v>
      </c>
      <c r="AE122" s="216" t="s">
        <v>54</v>
      </c>
      <c r="AG122" s="132" t="s">
        <v>15</v>
      </c>
      <c r="AH122" s="210" t="s">
        <v>15</v>
      </c>
      <c r="AI122" s="214" t="s">
        <v>16</v>
      </c>
      <c r="AJ122" s="215" t="s">
        <v>16</v>
      </c>
      <c r="AK122" s="6"/>
      <c r="AL122" s="7" t="s">
        <v>16</v>
      </c>
      <c r="AM122" s="8" t="s">
        <v>16</v>
      </c>
      <c r="AN122" s="9" t="s">
        <v>16</v>
      </c>
      <c r="AO122" s="216" t="s">
        <v>54</v>
      </c>
      <c r="AQ122" s="132" t="s">
        <v>15</v>
      </c>
      <c r="AR122" s="210" t="s">
        <v>15</v>
      </c>
      <c r="AS122" s="214" t="s">
        <v>16</v>
      </c>
      <c r="AT122" s="215" t="s">
        <v>16</v>
      </c>
      <c r="AU122" s="6"/>
      <c r="AV122" s="7" t="s">
        <v>16</v>
      </c>
      <c r="AW122" s="8" t="s">
        <v>16</v>
      </c>
      <c r="AX122" s="9" t="s">
        <v>16</v>
      </c>
      <c r="AY122" s="216" t="s">
        <v>54</v>
      </c>
      <c r="BA122" s="132" t="s">
        <v>15</v>
      </c>
      <c r="BB122" s="210" t="s">
        <v>15</v>
      </c>
      <c r="BC122" s="214" t="s">
        <v>16</v>
      </c>
      <c r="BD122" s="215" t="s">
        <v>16</v>
      </c>
      <c r="BE122" s="6"/>
      <c r="BF122" s="7" t="s">
        <v>16</v>
      </c>
      <c r="BG122" s="8" t="s">
        <v>16</v>
      </c>
      <c r="BH122" s="9" t="s">
        <v>16</v>
      </c>
      <c r="BI122" s="216" t="s">
        <v>54</v>
      </c>
      <c r="BK122" s="132" t="s">
        <v>15</v>
      </c>
      <c r="BL122" s="210" t="s">
        <v>15</v>
      </c>
      <c r="BM122" s="5" t="s">
        <v>16</v>
      </c>
      <c r="BN122" s="215" t="s">
        <v>16</v>
      </c>
      <c r="BO122" s="6"/>
      <c r="BP122" s="7" t="s">
        <v>16</v>
      </c>
      <c r="BQ122" s="7"/>
      <c r="BR122" s="8" t="s">
        <v>16</v>
      </c>
      <c r="BS122" s="9" t="s">
        <v>16</v>
      </c>
      <c r="BT122" s="216" t="s">
        <v>54</v>
      </c>
      <c r="BV122" s="132" t="s">
        <v>15</v>
      </c>
      <c r="BW122" s="210" t="s">
        <v>15</v>
      </c>
      <c r="BX122" s="214" t="s">
        <v>16</v>
      </c>
      <c r="BY122" s="215" t="s">
        <v>16</v>
      </c>
      <c r="BZ122" s="6"/>
      <c r="CA122" s="7" t="s">
        <v>16</v>
      </c>
      <c r="CB122" s="8" t="s">
        <v>16</v>
      </c>
      <c r="CC122" s="9" t="s">
        <v>16</v>
      </c>
      <c r="CD122" s="216" t="s">
        <v>54</v>
      </c>
      <c r="CF122" s="132" t="s">
        <v>15</v>
      </c>
      <c r="CG122" s="210" t="s">
        <v>15</v>
      </c>
      <c r="CH122" s="214" t="s">
        <v>16</v>
      </c>
      <c r="CI122" s="215" t="s">
        <v>16</v>
      </c>
      <c r="CJ122" s="6"/>
      <c r="CK122" s="7" t="s">
        <v>16</v>
      </c>
      <c r="CL122" s="8" t="s">
        <v>16</v>
      </c>
      <c r="CM122" s="9" t="s">
        <v>16</v>
      </c>
      <c r="CN122" s="216" t="s">
        <v>54</v>
      </c>
      <c r="CP122" s="132" t="s">
        <v>15</v>
      </c>
      <c r="CQ122" s="210" t="s">
        <v>15</v>
      </c>
      <c r="CR122" s="210" t="s">
        <v>15</v>
      </c>
      <c r="CS122" s="214" t="s">
        <v>16</v>
      </c>
      <c r="CT122" s="215" t="s">
        <v>16</v>
      </c>
      <c r="CU122" s="6"/>
      <c r="CV122" s="7" t="s">
        <v>16</v>
      </c>
      <c r="CW122" s="8" t="s">
        <v>16</v>
      </c>
      <c r="CX122" s="9" t="s">
        <v>16</v>
      </c>
      <c r="CY122" s="218" t="s">
        <v>54</v>
      </c>
    </row>
    <row r="123" spans="1:103" s="217" customFormat="1" ht="13.5" hidden="1" thickBot="1" x14ac:dyDescent="0.25">
      <c r="A123" s="219"/>
      <c r="B123" s="220" t="s">
        <v>18</v>
      </c>
      <c r="C123" s="221" t="s">
        <v>19</v>
      </c>
      <c r="D123" s="222" t="s">
        <v>25</v>
      </c>
      <c r="E123" s="223" t="s">
        <v>19</v>
      </c>
      <c r="F123" s="6"/>
      <c r="G123" s="16" t="s">
        <v>21</v>
      </c>
      <c r="H123" s="17" t="s">
        <v>22</v>
      </c>
      <c r="I123" s="18" t="s">
        <v>23</v>
      </c>
      <c r="J123" s="19" t="s">
        <v>55</v>
      </c>
      <c r="L123" s="220" t="s">
        <v>18</v>
      </c>
      <c r="M123" s="221" t="s">
        <v>19</v>
      </c>
      <c r="N123" s="222" t="s">
        <v>25</v>
      </c>
      <c r="O123" s="223" t="s">
        <v>19</v>
      </c>
      <c r="P123" s="6"/>
      <c r="Q123" s="16" t="s">
        <v>21</v>
      </c>
      <c r="R123" s="16"/>
      <c r="S123" s="17" t="s">
        <v>22</v>
      </c>
      <c r="T123" s="18" t="s">
        <v>23</v>
      </c>
      <c r="U123" s="19" t="s">
        <v>55</v>
      </c>
      <c r="W123" s="220" t="s">
        <v>18</v>
      </c>
      <c r="X123" s="221" t="s">
        <v>19</v>
      </c>
      <c r="Y123" s="222" t="s">
        <v>19</v>
      </c>
      <c r="Z123" s="223" t="s">
        <v>25</v>
      </c>
      <c r="AA123" s="6"/>
      <c r="AB123" s="16" t="s">
        <v>21</v>
      </c>
      <c r="AC123" s="17" t="s">
        <v>22</v>
      </c>
      <c r="AD123" s="18" t="s">
        <v>23</v>
      </c>
      <c r="AE123" s="19" t="s">
        <v>55</v>
      </c>
      <c r="AG123" s="220" t="s">
        <v>18</v>
      </c>
      <c r="AH123" s="221" t="s">
        <v>19</v>
      </c>
      <c r="AI123" s="222" t="s">
        <v>25</v>
      </c>
      <c r="AJ123" s="223" t="s">
        <v>19</v>
      </c>
      <c r="AK123" s="6"/>
      <c r="AL123" s="16" t="s">
        <v>21</v>
      </c>
      <c r="AM123" s="17" t="s">
        <v>22</v>
      </c>
      <c r="AN123" s="18" t="s">
        <v>23</v>
      </c>
      <c r="AO123" s="19" t="s">
        <v>55</v>
      </c>
      <c r="AQ123" s="220" t="s">
        <v>18</v>
      </c>
      <c r="AR123" s="221" t="s">
        <v>19</v>
      </c>
      <c r="AS123" s="222" t="s">
        <v>25</v>
      </c>
      <c r="AT123" s="223" t="s">
        <v>19</v>
      </c>
      <c r="AU123" s="6"/>
      <c r="AV123" s="16" t="s">
        <v>21</v>
      </c>
      <c r="AW123" s="17" t="s">
        <v>22</v>
      </c>
      <c r="AX123" s="18" t="s">
        <v>23</v>
      </c>
      <c r="AY123" s="19" t="s">
        <v>55</v>
      </c>
      <c r="BA123" s="220" t="s">
        <v>18</v>
      </c>
      <c r="BB123" s="221" t="s">
        <v>19</v>
      </c>
      <c r="BC123" s="222" t="s">
        <v>25</v>
      </c>
      <c r="BD123" s="223" t="s">
        <v>19</v>
      </c>
      <c r="BE123" s="6"/>
      <c r="BF123" s="16" t="s">
        <v>21</v>
      </c>
      <c r="BG123" s="17" t="s">
        <v>22</v>
      </c>
      <c r="BH123" s="18" t="s">
        <v>23</v>
      </c>
      <c r="BI123" s="19" t="s">
        <v>55</v>
      </c>
      <c r="BK123" s="220" t="s">
        <v>18</v>
      </c>
      <c r="BL123" s="221" t="s">
        <v>19</v>
      </c>
      <c r="BM123" s="222" t="s">
        <v>25</v>
      </c>
      <c r="BN123" s="223" t="s">
        <v>19</v>
      </c>
      <c r="BO123" s="6"/>
      <c r="BP123" s="16" t="s">
        <v>21</v>
      </c>
      <c r="BQ123" s="16"/>
      <c r="BR123" s="17" t="s">
        <v>22</v>
      </c>
      <c r="BS123" s="18" t="s">
        <v>23</v>
      </c>
      <c r="BT123" s="19" t="s">
        <v>55</v>
      </c>
      <c r="BV123" s="220" t="s">
        <v>18</v>
      </c>
      <c r="BW123" s="221" t="s">
        <v>19</v>
      </c>
      <c r="BX123" s="222" t="s">
        <v>25</v>
      </c>
      <c r="BY123" s="223" t="s">
        <v>19</v>
      </c>
      <c r="BZ123" s="6"/>
      <c r="CA123" s="16" t="s">
        <v>21</v>
      </c>
      <c r="CB123" s="17" t="s">
        <v>22</v>
      </c>
      <c r="CC123" s="18" t="s">
        <v>23</v>
      </c>
      <c r="CD123" s="19" t="s">
        <v>55</v>
      </c>
      <c r="CF123" s="220" t="s">
        <v>18</v>
      </c>
      <c r="CG123" s="221" t="s">
        <v>19</v>
      </c>
      <c r="CH123" s="222" t="s">
        <v>25</v>
      </c>
      <c r="CI123" s="223" t="s">
        <v>19</v>
      </c>
      <c r="CJ123" s="6"/>
      <c r="CK123" s="16" t="s">
        <v>21</v>
      </c>
      <c r="CL123" s="17" t="s">
        <v>22</v>
      </c>
      <c r="CM123" s="18" t="s">
        <v>23</v>
      </c>
      <c r="CN123" s="19" t="s">
        <v>55</v>
      </c>
      <c r="CP123" s="220" t="s">
        <v>18</v>
      </c>
      <c r="CQ123" s="221" t="s">
        <v>19</v>
      </c>
      <c r="CR123" s="221" t="s">
        <v>20</v>
      </c>
      <c r="CS123" s="222" t="s">
        <v>25</v>
      </c>
      <c r="CT123" s="223" t="s">
        <v>19</v>
      </c>
      <c r="CU123" s="6"/>
      <c r="CV123" s="16" t="s">
        <v>21</v>
      </c>
      <c r="CW123" s="17" t="s">
        <v>22</v>
      </c>
      <c r="CX123" s="18" t="s">
        <v>23</v>
      </c>
      <c r="CY123" s="224" t="s">
        <v>55</v>
      </c>
    </row>
    <row r="124" spans="1:103" s="217" customFormat="1" hidden="1" x14ac:dyDescent="0.25">
      <c r="A124" s="22">
        <v>46054</v>
      </c>
      <c r="B124" s="225">
        <v>1198.29</v>
      </c>
      <c r="C124" s="226">
        <v>2877.25</v>
      </c>
      <c r="D124" s="225">
        <v>17.850000000000001</v>
      </c>
      <c r="E124" s="227"/>
      <c r="F124" s="27"/>
      <c r="G124" s="32"/>
      <c r="H124" s="29"/>
      <c r="I124" s="44"/>
      <c r="J124" s="30">
        <f>SUM(G124:I124,+D124)</f>
        <v>17.850000000000001</v>
      </c>
      <c r="L124" s="36">
        <v>5877.42</v>
      </c>
      <c r="M124" s="43">
        <v>5965.75</v>
      </c>
      <c r="N124" s="36">
        <v>6.66</v>
      </c>
      <c r="O124" s="38"/>
      <c r="P124" s="27"/>
      <c r="Q124" s="32">
        <v>28.713000000000008</v>
      </c>
      <c r="R124" s="32"/>
      <c r="S124" s="42"/>
      <c r="T124" s="44">
        <v>20.884334600000003</v>
      </c>
      <c r="U124" s="30">
        <f t="shared" ref="U124:U151" si="60">SUM(Q124:T124,+N124)</f>
        <v>56.257334600000007</v>
      </c>
      <c r="V124" s="228"/>
      <c r="W124" s="36">
        <v>5339</v>
      </c>
      <c r="X124" s="43"/>
      <c r="Y124" s="36"/>
      <c r="Z124" s="38"/>
      <c r="AA124" s="27"/>
      <c r="AB124" s="32">
        <v>11.206739999999968</v>
      </c>
      <c r="AC124" s="42"/>
      <c r="AD124" s="44"/>
      <c r="AE124" s="30">
        <f>SUM(AB124:AD124,+Y124)</f>
        <v>11.206739999999968</v>
      </c>
      <c r="AG124" s="36">
        <v>7722.8099999999995</v>
      </c>
      <c r="AH124" s="43">
        <v>341.85</v>
      </c>
      <c r="AI124" s="36"/>
      <c r="AJ124" s="38"/>
      <c r="AK124" s="27"/>
      <c r="AL124" s="32"/>
      <c r="AM124" s="42"/>
      <c r="AN124" s="44"/>
      <c r="AO124" s="30">
        <f>SUM(AL124:AN124,+AI124)</f>
        <v>0</v>
      </c>
      <c r="AQ124" s="36">
        <v>3817.22</v>
      </c>
      <c r="AR124" s="36">
        <v>712.82</v>
      </c>
      <c r="AS124" s="36">
        <v>32.75</v>
      </c>
      <c r="AT124" s="41"/>
      <c r="AU124" s="27"/>
      <c r="AV124" s="32">
        <v>34.518640000000062</v>
      </c>
      <c r="AW124" s="42">
        <v>112.19642868999989</v>
      </c>
      <c r="AX124" s="44"/>
      <c r="AY124" s="30">
        <f>SUM(AV124:AX124,+AS124)</f>
        <v>179.46506868999995</v>
      </c>
      <c r="BA124" s="36">
        <v>4072.84</v>
      </c>
      <c r="BB124" s="43"/>
      <c r="BC124" s="36"/>
      <c r="BD124" s="38"/>
      <c r="BE124" s="27"/>
      <c r="BF124" s="32">
        <v>5.6686500000000137</v>
      </c>
      <c r="BG124" s="42"/>
      <c r="BH124" s="44"/>
      <c r="BI124" s="30">
        <f>SUM(BF124:BH124,+BC124)</f>
        <v>5.6686500000000137</v>
      </c>
      <c r="BK124" s="36">
        <v>15133.58</v>
      </c>
      <c r="BL124" s="43">
        <v>1410.68</v>
      </c>
      <c r="BM124" s="36">
        <v>142.12</v>
      </c>
      <c r="BN124" s="38"/>
      <c r="BO124" s="27"/>
      <c r="BP124" s="32">
        <v>16.480349999999987</v>
      </c>
      <c r="BQ124" s="32"/>
      <c r="BR124" s="42">
        <v>55.125071832857145</v>
      </c>
      <c r="BS124" s="44"/>
      <c r="BT124" s="30">
        <f>SUM(BP124:BS124,+BM124)</f>
        <v>213.72542183285714</v>
      </c>
      <c r="BV124" s="36">
        <v>1731.34</v>
      </c>
      <c r="BW124" s="43">
        <v>836.87</v>
      </c>
      <c r="BX124" s="36"/>
      <c r="BY124" s="38"/>
      <c r="BZ124" s="27"/>
      <c r="CA124" s="32"/>
      <c r="CB124" s="42"/>
      <c r="CC124" s="44"/>
      <c r="CD124" s="30">
        <f>SUM(CA124:CC124,+BX124)</f>
        <v>0</v>
      </c>
      <c r="CF124" s="36">
        <v>1573.35</v>
      </c>
      <c r="CG124" s="43"/>
      <c r="CH124" s="36">
        <v>46.81</v>
      </c>
      <c r="CI124" s="38"/>
      <c r="CJ124" s="27"/>
      <c r="CK124" s="32">
        <v>14.533900000000003</v>
      </c>
      <c r="CL124" s="42">
        <v>21.71946747571431</v>
      </c>
      <c r="CM124" s="44"/>
      <c r="CN124" s="30">
        <f>SUM(CK124:CM124,+CH124)</f>
        <v>83.063367475714315</v>
      </c>
      <c r="CP124" s="36">
        <v>9514.75</v>
      </c>
      <c r="CQ124" s="36">
        <v>2159.04</v>
      </c>
      <c r="CR124" s="43">
        <v>3708.84</v>
      </c>
      <c r="CS124" s="36"/>
      <c r="CT124" s="38"/>
      <c r="CU124" s="27"/>
      <c r="CV124" s="32"/>
      <c r="CW124" s="42"/>
      <c r="CX124" s="44"/>
      <c r="CY124" s="229">
        <f>SUM(CV124:CX124,+CS124)</f>
        <v>0</v>
      </c>
    </row>
    <row r="125" spans="1:103" s="217" customFormat="1" hidden="1" x14ac:dyDescent="0.25">
      <c r="A125" s="47">
        <v>46055</v>
      </c>
      <c r="B125" s="230">
        <v>1124</v>
      </c>
      <c r="C125" s="231">
        <v>3494.67</v>
      </c>
      <c r="D125" s="230">
        <v>256.69</v>
      </c>
      <c r="E125" s="232">
        <v>25.08</v>
      </c>
      <c r="F125" s="27"/>
      <c r="G125" s="32">
        <v>10.900000000000006</v>
      </c>
      <c r="H125" s="52"/>
      <c r="I125" s="44"/>
      <c r="J125" s="30">
        <f t="shared" ref="J125:J151" si="61">SUM(G125:I125,+D125)</f>
        <v>267.59000000000003</v>
      </c>
      <c r="L125" s="58">
        <v>6614.64</v>
      </c>
      <c r="M125" s="63">
        <v>5536.42</v>
      </c>
      <c r="N125" s="58">
        <v>27.3</v>
      </c>
      <c r="O125" s="60"/>
      <c r="P125" s="27"/>
      <c r="Q125" s="32">
        <v>162.67532000000011</v>
      </c>
      <c r="R125" s="32"/>
      <c r="S125" s="42"/>
      <c r="T125" s="44">
        <v>68.04160000000013</v>
      </c>
      <c r="U125" s="30">
        <f t="shared" si="60"/>
        <v>258.01692000000025</v>
      </c>
      <c r="V125" s="228"/>
      <c r="W125" s="58">
        <v>2112.9699999999998</v>
      </c>
      <c r="X125" s="63"/>
      <c r="Y125" s="58"/>
      <c r="Z125" s="60"/>
      <c r="AA125" s="27"/>
      <c r="AB125" s="32">
        <v>2.4510000000000218</v>
      </c>
      <c r="AC125" s="42"/>
      <c r="AD125" s="44"/>
      <c r="AE125" s="30">
        <f t="shared" ref="AE125:AE151" si="62">SUM(AB125:AD125,+Y125)</f>
        <v>2.4510000000000218</v>
      </c>
      <c r="AG125" s="58">
        <v>4044.41</v>
      </c>
      <c r="AH125" s="63">
        <v>20</v>
      </c>
      <c r="AI125" s="58"/>
      <c r="AJ125" s="60"/>
      <c r="AK125" s="27"/>
      <c r="AL125" s="32"/>
      <c r="AM125" s="42"/>
      <c r="AN125" s="44"/>
      <c r="AO125" s="30">
        <f t="shared" ref="AO125:AO151" si="63">SUM(AL125:AN125,+AI125)</f>
        <v>0</v>
      </c>
      <c r="AQ125" s="58">
        <v>7939.32</v>
      </c>
      <c r="AR125" s="58">
        <v>651.80999999999995</v>
      </c>
      <c r="AS125" s="58">
        <v>482.31</v>
      </c>
      <c r="AT125" s="62"/>
      <c r="AU125" s="27"/>
      <c r="AV125" s="32">
        <v>144.98704999999995</v>
      </c>
      <c r="AW125" s="42">
        <v>11.753714007619067</v>
      </c>
      <c r="AX125" s="44"/>
      <c r="AY125" s="30">
        <f t="shared" ref="AY125:AY151" si="64">SUM(AV125:AX125,+AS125)</f>
        <v>639.05076400761902</v>
      </c>
      <c r="BA125" s="58">
        <v>4788.75</v>
      </c>
      <c r="BB125" s="63"/>
      <c r="BC125" s="58"/>
      <c r="BD125" s="60"/>
      <c r="BE125" s="27"/>
      <c r="BF125" s="32">
        <v>52.84188000000006</v>
      </c>
      <c r="BG125" s="42"/>
      <c r="BH125" s="44"/>
      <c r="BI125" s="30">
        <f t="shared" ref="BI125:BI151" si="65">SUM(BF125:BH125,+BC125)</f>
        <v>52.84188000000006</v>
      </c>
      <c r="BK125" s="58">
        <v>4844.28</v>
      </c>
      <c r="BL125" s="63">
        <v>695.36</v>
      </c>
      <c r="BM125" s="58">
        <v>228.43</v>
      </c>
      <c r="BN125" s="60"/>
      <c r="BO125" s="27"/>
      <c r="BP125" s="32">
        <v>174.90953999999988</v>
      </c>
      <c r="BQ125" s="32"/>
      <c r="BR125" s="42"/>
      <c r="BS125" s="44"/>
      <c r="BT125" s="30">
        <f>SUM(BP125:BS125,+BM125)</f>
        <v>403.33953999999989</v>
      </c>
      <c r="BV125" s="58">
        <v>1883.34</v>
      </c>
      <c r="BW125" s="63">
        <v>850.91</v>
      </c>
      <c r="BX125" s="58">
        <v>2.08</v>
      </c>
      <c r="BY125" s="60"/>
      <c r="BZ125" s="27"/>
      <c r="CA125" s="32"/>
      <c r="CB125" s="42"/>
      <c r="CC125" s="44"/>
      <c r="CD125" s="30">
        <f t="shared" ref="CD125:CD151" si="66">SUM(CA125:CC125,+BX125)</f>
        <v>2.08</v>
      </c>
      <c r="CF125" s="58">
        <v>1047.43</v>
      </c>
      <c r="CG125" s="63"/>
      <c r="CH125" s="58">
        <v>893.6</v>
      </c>
      <c r="CI125" s="60"/>
      <c r="CJ125" s="27"/>
      <c r="CK125" s="32">
        <v>19.592999999999989</v>
      </c>
      <c r="CL125" s="42"/>
      <c r="CM125" s="44"/>
      <c r="CN125" s="30">
        <f t="shared" ref="CN125:CN151" si="67">SUM(CK125:CM125,+CH125)</f>
        <v>913.19299999999998</v>
      </c>
      <c r="CP125" s="58">
        <v>3762.02</v>
      </c>
      <c r="CQ125" s="58">
        <v>918.86</v>
      </c>
      <c r="CR125" s="63">
        <v>3283.79</v>
      </c>
      <c r="CS125" s="58"/>
      <c r="CT125" s="60"/>
      <c r="CU125" s="27"/>
      <c r="CV125" s="32"/>
      <c r="CW125" s="42">
        <v>38.639402502857138</v>
      </c>
      <c r="CX125" s="44"/>
      <c r="CY125" s="229">
        <f t="shared" ref="CY125:CY151" si="68">SUM(CV125:CX125,+CS125)</f>
        <v>38.639402502857138</v>
      </c>
    </row>
    <row r="126" spans="1:103" s="217" customFormat="1" hidden="1" x14ac:dyDescent="0.25">
      <c r="A126" s="47">
        <v>46056</v>
      </c>
      <c r="B126" s="230">
        <v>4354.92</v>
      </c>
      <c r="C126" s="231">
        <v>3527.39</v>
      </c>
      <c r="D126" s="230">
        <v>305.94</v>
      </c>
      <c r="E126" s="232">
        <v>2.16</v>
      </c>
      <c r="F126" s="27"/>
      <c r="G126" s="32">
        <v>137.89999999999992</v>
      </c>
      <c r="H126" s="52"/>
      <c r="I126" s="44"/>
      <c r="J126" s="30">
        <f t="shared" si="61"/>
        <v>443.83999999999992</v>
      </c>
      <c r="L126" s="58">
        <v>6637.33</v>
      </c>
      <c r="M126" s="63">
        <v>5905.99</v>
      </c>
      <c r="N126" s="58">
        <v>52.48</v>
      </c>
      <c r="O126" s="60"/>
      <c r="P126" s="27"/>
      <c r="Q126" s="32">
        <v>568.36870000000022</v>
      </c>
      <c r="R126" s="32"/>
      <c r="S126" s="42"/>
      <c r="T126" s="44"/>
      <c r="U126" s="30">
        <f t="shared" si="60"/>
        <v>620.84870000000024</v>
      </c>
      <c r="V126" s="228"/>
      <c r="W126" s="58">
        <v>2320.0300000000002</v>
      </c>
      <c r="X126" s="63"/>
      <c r="Y126" s="58"/>
      <c r="Z126" s="60"/>
      <c r="AA126" s="27"/>
      <c r="AB126" s="32">
        <v>20.198680000000053</v>
      </c>
      <c r="AC126" s="42"/>
      <c r="AD126" s="44"/>
      <c r="AE126" s="30">
        <f t="shared" si="62"/>
        <v>20.198680000000053</v>
      </c>
      <c r="AG126" s="58">
        <v>7447.1100000000006</v>
      </c>
      <c r="AH126" s="63">
        <v>626.46</v>
      </c>
      <c r="AI126" s="58"/>
      <c r="AJ126" s="60"/>
      <c r="AK126" s="27"/>
      <c r="AL126" s="32"/>
      <c r="AM126" s="42"/>
      <c r="AN126" s="44"/>
      <c r="AO126" s="30">
        <f t="shared" si="63"/>
        <v>0</v>
      </c>
      <c r="AQ126" s="58">
        <v>8513.57</v>
      </c>
      <c r="AR126" s="58">
        <v>968.17</v>
      </c>
      <c r="AS126" s="58">
        <v>686.82</v>
      </c>
      <c r="AT126" s="62"/>
      <c r="AU126" s="27"/>
      <c r="AV126" s="32">
        <v>167.06642000000008</v>
      </c>
      <c r="AW126" s="42">
        <v>9.3888013828571673</v>
      </c>
      <c r="AX126" s="44">
        <v>13.031530600000025</v>
      </c>
      <c r="AY126" s="30">
        <f t="shared" si="64"/>
        <v>876.30675198285735</v>
      </c>
      <c r="BA126" s="58">
        <v>4699.05</v>
      </c>
      <c r="BB126" s="63"/>
      <c r="BC126" s="58"/>
      <c r="BD126" s="60"/>
      <c r="BE126" s="27"/>
      <c r="BF126" s="32">
        <v>25.790310000000034</v>
      </c>
      <c r="BG126" s="42"/>
      <c r="BH126" s="44"/>
      <c r="BI126" s="30">
        <f t="shared" si="65"/>
        <v>25.790310000000034</v>
      </c>
      <c r="BK126" s="58">
        <v>24099.61</v>
      </c>
      <c r="BL126" s="63">
        <v>811.17</v>
      </c>
      <c r="BM126" s="58">
        <v>445.46</v>
      </c>
      <c r="BN126" s="60"/>
      <c r="BO126" s="27"/>
      <c r="BP126" s="32">
        <v>129.87513000000001</v>
      </c>
      <c r="BQ126" s="32"/>
      <c r="BR126" s="42">
        <v>136.55020871571438</v>
      </c>
      <c r="BS126" s="44"/>
      <c r="BT126" s="30">
        <f t="shared" ref="BT126:BT151" si="69">SUM(BP126:BS126,+BM126)</f>
        <v>711.8853387157144</v>
      </c>
      <c r="BV126" s="58">
        <v>2486.0300000000002</v>
      </c>
      <c r="BW126" s="63">
        <v>1059.8800000000001</v>
      </c>
      <c r="BX126" s="58">
        <v>6.59</v>
      </c>
      <c r="BY126" s="60"/>
      <c r="BZ126" s="27"/>
      <c r="CA126" s="32"/>
      <c r="CB126" s="42"/>
      <c r="CC126" s="44"/>
      <c r="CD126" s="30">
        <f t="shared" si="66"/>
        <v>6.59</v>
      </c>
      <c r="CF126" s="58">
        <v>1605.87</v>
      </c>
      <c r="CG126" s="63"/>
      <c r="CH126" s="58">
        <v>151.6</v>
      </c>
      <c r="CI126" s="60"/>
      <c r="CJ126" s="27"/>
      <c r="CK126" s="32"/>
      <c r="CL126" s="42">
        <v>100.65145478714285</v>
      </c>
      <c r="CM126" s="44"/>
      <c r="CN126" s="30">
        <f t="shared" si="67"/>
        <v>252.25145478714285</v>
      </c>
      <c r="CP126" s="58">
        <v>1917.19</v>
      </c>
      <c r="CQ126" s="58">
        <v>837.67</v>
      </c>
      <c r="CR126" s="63">
        <v>4128.84</v>
      </c>
      <c r="CS126" s="58"/>
      <c r="CT126" s="60"/>
      <c r="CU126" s="27"/>
      <c r="CV126" s="32">
        <v>130.38</v>
      </c>
      <c r="CW126" s="42">
        <v>55.285873594285817</v>
      </c>
      <c r="CX126" s="44"/>
      <c r="CY126" s="229">
        <f t="shared" si="68"/>
        <v>185.66587359428581</v>
      </c>
    </row>
    <row r="127" spans="1:103" s="217" customFormat="1" hidden="1" x14ac:dyDescent="0.25">
      <c r="A127" s="47">
        <v>46057</v>
      </c>
      <c r="B127" s="230">
        <v>1143.71</v>
      </c>
      <c r="C127" s="231">
        <v>3792.42</v>
      </c>
      <c r="D127" s="230">
        <v>126.29</v>
      </c>
      <c r="E127" s="232">
        <v>1.56</v>
      </c>
      <c r="F127" s="27"/>
      <c r="G127" s="32">
        <v>575.69999999999959</v>
      </c>
      <c r="H127" s="52"/>
      <c r="I127" s="44"/>
      <c r="J127" s="30">
        <f t="shared" si="61"/>
        <v>701.98999999999955</v>
      </c>
      <c r="L127" s="58">
        <v>7879.43</v>
      </c>
      <c r="M127" s="63">
        <v>6063.38</v>
      </c>
      <c r="N127" s="58">
        <v>47.02</v>
      </c>
      <c r="O127" s="60"/>
      <c r="P127" s="27"/>
      <c r="Q127" s="32">
        <v>295.06296000000009</v>
      </c>
      <c r="R127" s="32"/>
      <c r="S127" s="42"/>
      <c r="T127" s="44">
        <v>82.309730000000059</v>
      </c>
      <c r="U127" s="30">
        <f t="shared" si="60"/>
        <v>424.39269000000013</v>
      </c>
      <c r="V127" s="228"/>
      <c r="W127" s="58">
        <v>594.88</v>
      </c>
      <c r="X127" s="63"/>
      <c r="Y127" s="58"/>
      <c r="Z127" s="60"/>
      <c r="AA127" s="27"/>
      <c r="AB127" s="32"/>
      <c r="AC127" s="42"/>
      <c r="AD127" s="44"/>
      <c r="AE127" s="30">
        <f t="shared" si="62"/>
        <v>0</v>
      </c>
      <c r="AG127" s="58">
        <v>5801.2999999999993</v>
      </c>
      <c r="AH127" s="63">
        <v>187.39</v>
      </c>
      <c r="AI127" s="58"/>
      <c r="AJ127" s="60"/>
      <c r="AK127" s="27"/>
      <c r="AL127" s="32"/>
      <c r="AM127" s="42"/>
      <c r="AN127" s="44"/>
      <c r="AO127" s="30">
        <f t="shared" si="63"/>
        <v>0</v>
      </c>
      <c r="AQ127" s="58">
        <v>14560.85</v>
      </c>
      <c r="AR127" s="58">
        <v>936.43</v>
      </c>
      <c r="AS127" s="58">
        <v>657.17</v>
      </c>
      <c r="AT127" s="62"/>
      <c r="AU127" s="27"/>
      <c r="AV127" s="32">
        <v>120.43757200000009</v>
      </c>
      <c r="AW127" s="42">
        <v>16.692533920000017</v>
      </c>
      <c r="AX127" s="44"/>
      <c r="AY127" s="30">
        <f t="shared" si="64"/>
        <v>794.30010592000008</v>
      </c>
      <c r="BA127" s="58">
        <v>5494.15</v>
      </c>
      <c r="BB127" s="63"/>
      <c r="BC127" s="58"/>
      <c r="BD127" s="60"/>
      <c r="BE127" s="27"/>
      <c r="BF127" s="32">
        <v>37.54905999999994</v>
      </c>
      <c r="BG127" s="42"/>
      <c r="BH127" s="44"/>
      <c r="BI127" s="30">
        <f t="shared" si="65"/>
        <v>37.54905999999994</v>
      </c>
      <c r="BK127" s="58">
        <v>9956.39</v>
      </c>
      <c r="BL127" s="63">
        <v>1069.93</v>
      </c>
      <c r="BM127" s="58">
        <v>304.23</v>
      </c>
      <c r="BN127" s="60"/>
      <c r="BO127" s="27"/>
      <c r="BP127" s="32">
        <v>190.48124999999999</v>
      </c>
      <c r="BQ127" s="32"/>
      <c r="BR127" s="42">
        <v>199.21553496000013</v>
      </c>
      <c r="BS127" s="44"/>
      <c r="BT127" s="30">
        <f t="shared" si="69"/>
        <v>693.92678496000008</v>
      </c>
      <c r="BV127" s="58">
        <v>2360.6799999999998</v>
      </c>
      <c r="BW127" s="63">
        <v>990.73</v>
      </c>
      <c r="BX127" s="58">
        <v>5.7</v>
      </c>
      <c r="BY127" s="60"/>
      <c r="BZ127" s="27"/>
      <c r="CA127" s="32"/>
      <c r="CB127" s="42"/>
      <c r="CC127" s="44"/>
      <c r="CD127" s="30">
        <f t="shared" si="66"/>
        <v>5.7</v>
      </c>
      <c r="CF127" s="58">
        <v>2662.48</v>
      </c>
      <c r="CG127" s="63"/>
      <c r="CH127" s="58">
        <v>124.72</v>
      </c>
      <c r="CI127" s="60"/>
      <c r="CJ127" s="27"/>
      <c r="CK127" s="32">
        <v>3.4403600000000019</v>
      </c>
      <c r="CL127" s="42"/>
      <c r="CM127" s="44"/>
      <c r="CN127" s="30">
        <f t="shared" si="67"/>
        <v>128.16036</v>
      </c>
      <c r="CP127" s="58">
        <v>1467.05</v>
      </c>
      <c r="CQ127" s="58">
        <v>742.94</v>
      </c>
      <c r="CR127" s="63">
        <v>4812.8</v>
      </c>
      <c r="CS127" s="58"/>
      <c r="CT127" s="60"/>
      <c r="CU127" s="27"/>
      <c r="CV127" s="32">
        <v>122.05655999999998</v>
      </c>
      <c r="CW127" s="42">
        <v>28.724688172714366</v>
      </c>
      <c r="CX127" s="44"/>
      <c r="CY127" s="229">
        <f t="shared" si="68"/>
        <v>150.78124817271436</v>
      </c>
    </row>
    <row r="128" spans="1:103" s="217" customFormat="1" hidden="1" x14ac:dyDescent="0.25">
      <c r="A128" s="47">
        <v>46058</v>
      </c>
      <c r="B128" s="230">
        <v>1793.55</v>
      </c>
      <c r="C128" s="231">
        <v>4327.1499999999996</v>
      </c>
      <c r="D128" s="230">
        <v>324.95</v>
      </c>
      <c r="E128" s="232">
        <v>31.16</v>
      </c>
      <c r="F128" s="27"/>
      <c r="G128" s="32"/>
      <c r="H128" s="52"/>
      <c r="I128" s="44"/>
      <c r="J128" s="30">
        <f t="shared" si="61"/>
        <v>324.95</v>
      </c>
      <c r="L128" s="58">
        <v>6986.04</v>
      </c>
      <c r="M128" s="63">
        <v>5924.59</v>
      </c>
      <c r="N128" s="58">
        <v>27.85</v>
      </c>
      <c r="O128" s="60"/>
      <c r="P128" s="27"/>
      <c r="Q128" s="32">
        <v>143.71149000000003</v>
      </c>
      <c r="R128" s="32"/>
      <c r="S128" s="42"/>
      <c r="T128" s="44">
        <v>17.622787600000009</v>
      </c>
      <c r="U128" s="30">
        <f t="shared" si="60"/>
        <v>189.18427760000003</v>
      </c>
      <c r="V128" s="228"/>
      <c r="W128" s="58">
        <v>1172.7</v>
      </c>
      <c r="X128" s="63"/>
      <c r="Y128" s="58"/>
      <c r="Z128" s="60"/>
      <c r="AA128" s="27"/>
      <c r="AB128" s="32">
        <v>9.4694499999999948</v>
      </c>
      <c r="AC128" s="42"/>
      <c r="AD128" s="44"/>
      <c r="AE128" s="30">
        <f t="shared" si="62"/>
        <v>9.4694499999999948</v>
      </c>
      <c r="AG128" s="58">
        <v>9073.369999999999</v>
      </c>
      <c r="AH128" s="63">
        <v>715.6</v>
      </c>
      <c r="AI128" s="58"/>
      <c r="AJ128" s="60"/>
      <c r="AK128" s="27"/>
      <c r="AL128" s="32"/>
      <c r="AM128" s="42"/>
      <c r="AN128" s="44"/>
      <c r="AO128" s="30">
        <f t="shared" si="63"/>
        <v>0</v>
      </c>
      <c r="AQ128" s="58">
        <v>5293.21</v>
      </c>
      <c r="AR128" s="58">
        <v>707.32</v>
      </c>
      <c r="AS128" s="58">
        <v>537.42999999999995</v>
      </c>
      <c r="AT128" s="62"/>
      <c r="AU128" s="27"/>
      <c r="AV128" s="32">
        <v>93.908399999999972</v>
      </c>
      <c r="AW128" s="42">
        <v>23.571653470476178</v>
      </c>
      <c r="AX128" s="44"/>
      <c r="AY128" s="30">
        <f t="shared" si="64"/>
        <v>654.9100534704761</v>
      </c>
      <c r="BA128" s="58">
        <v>3700.54</v>
      </c>
      <c r="BB128" s="63"/>
      <c r="BC128" s="58"/>
      <c r="BD128" s="60"/>
      <c r="BE128" s="27"/>
      <c r="BF128" s="32">
        <v>50.135039999999947</v>
      </c>
      <c r="BG128" s="42"/>
      <c r="BH128" s="44"/>
      <c r="BI128" s="30">
        <f t="shared" si="65"/>
        <v>50.135039999999947</v>
      </c>
      <c r="BK128" s="58">
        <v>12731.82</v>
      </c>
      <c r="BL128" s="63">
        <v>1386.98</v>
      </c>
      <c r="BM128" s="58">
        <v>454.04</v>
      </c>
      <c r="BN128" s="60"/>
      <c r="BO128" s="27"/>
      <c r="BP128" s="32">
        <v>165.81933000000004</v>
      </c>
      <c r="BQ128" s="32"/>
      <c r="BR128" s="42">
        <v>61.028347728761844</v>
      </c>
      <c r="BS128" s="44"/>
      <c r="BT128" s="30">
        <f t="shared" si="69"/>
        <v>680.8876777287619</v>
      </c>
      <c r="BV128" s="58">
        <v>2392.8200000000002</v>
      </c>
      <c r="BW128" s="63">
        <v>936.23</v>
      </c>
      <c r="BX128" s="58">
        <v>2.4900000000000002</v>
      </c>
      <c r="BY128" s="60"/>
      <c r="BZ128" s="27"/>
      <c r="CA128" s="32"/>
      <c r="CB128" s="42"/>
      <c r="CC128" s="44"/>
      <c r="CD128" s="30">
        <f t="shared" si="66"/>
        <v>2.4900000000000002</v>
      </c>
      <c r="CF128" s="58">
        <v>5874.57</v>
      </c>
      <c r="CG128" s="63"/>
      <c r="CH128" s="58">
        <v>615.32000000000005</v>
      </c>
      <c r="CI128" s="60"/>
      <c r="CJ128" s="27"/>
      <c r="CK128" s="32">
        <v>31.735039999999969</v>
      </c>
      <c r="CL128" s="42">
        <v>18.987451428571433</v>
      </c>
      <c r="CM128" s="44"/>
      <c r="CN128" s="30">
        <f t="shared" si="67"/>
        <v>666.04249142857145</v>
      </c>
      <c r="CP128" s="58">
        <v>3493.29</v>
      </c>
      <c r="CQ128" s="58">
        <v>590.61</v>
      </c>
      <c r="CR128" s="63">
        <v>3927.86</v>
      </c>
      <c r="CS128" s="58"/>
      <c r="CT128" s="60"/>
      <c r="CU128" s="27"/>
      <c r="CV128" s="32">
        <v>104.44392000000005</v>
      </c>
      <c r="CW128" s="42">
        <v>18.603971664761943</v>
      </c>
      <c r="CX128" s="44"/>
      <c r="CY128" s="229">
        <f t="shared" si="68"/>
        <v>123.04789166476199</v>
      </c>
    </row>
    <row r="129" spans="1:103" s="217" customFormat="1" hidden="1" x14ac:dyDescent="0.25">
      <c r="A129" s="47">
        <v>46059</v>
      </c>
      <c r="B129" s="230">
        <v>1415.74</v>
      </c>
      <c r="C129" s="231">
        <v>3873.88</v>
      </c>
      <c r="D129" s="230">
        <v>58.3</v>
      </c>
      <c r="E129" s="232">
        <v>26.2</v>
      </c>
      <c r="F129" s="27"/>
      <c r="G129" s="32">
        <v>15.200000000000003</v>
      </c>
      <c r="H129" s="52"/>
      <c r="I129" s="44"/>
      <c r="J129" s="30">
        <f t="shared" si="61"/>
        <v>73.5</v>
      </c>
      <c r="L129" s="58">
        <v>7199.65</v>
      </c>
      <c r="M129" s="63">
        <v>6864</v>
      </c>
      <c r="N129" s="58">
        <v>69.010000000000005</v>
      </c>
      <c r="O129" s="60"/>
      <c r="P129" s="27"/>
      <c r="Q129" s="32">
        <v>478.81190000000026</v>
      </c>
      <c r="R129" s="32"/>
      <c r="S129" s="42"/>
      <c r="T129" s="44">
        <v>184.73659460000005</v>
      </c>
      <c r="U129" s="30">
        <f t="shared" si="60"/>
        <v>732.55849460000036</v>
      </c>
      <c r="V129" s="228"/>
      <c r="W129" s="58">
        <v>1236.55</v>
      </c>
      <c r="X129" s="63"/>
      <c r="Y129" s="58"/>
      <c r="Z129" s="60"/>
      <c r="AA129" s="27"/>
      <c r="AB129" s="32">
        <v>12.640320000000003</v>
      </c>
      <c r="AC129" s="42"/>
      <c r="AD129" s="44"/>
      <c r="AE129" s="30">
        <f t="shared" si="62"/>
        <v>12.640320000000003</v>
      </c>
      <c r="AG129" s="58">
        <v>6289.51</v>
      </c>
      <c r="AH129" s="63">
        <v>290.04000000000002</v>
      </c>
      <c r="AI129" s="58"/>
      <c r="AJ129" s="60"/>
      <c r="AK129" s="27"/>
      <c r="AL129" s="32"/>
      <c r="AM129" s="42"/>
      <c r="AN129" s="44"/>
      <c r="AO129" s="30">
        <f t="shared" si="63"/>
        <v>0</v>
      </c>
      <c r="AQ129" s="58">
        <v>9352.57</v>
      </c>
      <c r="AR129" s="58">
        <v>1143.51</v>
      </c>
      <c r="AS129" s="58">
        <v>644.91999999999996</v>
      </c>
      <c r="AT129" s="62"/>
      <c r="AU129" s="27"/>
      <c r="AV129" s="32">
        <v>200.94623999999976</v>
      </c>
      <c r="AW129" s="42"/>
      <c r="AX129" s="44"/>
      <c r="AY129" s="30">
        <f t="shared" si="64"/>
        <v>845.86623999999972</v>
      </c>
      <c r="BA129" s="58">
        <v>3862.65</v>
      </c>
      <c r="BB129" s="63"/>
      <c r="BC129" s="58"/>
      <c r="BD129" s="60"/>
      <c r="BE129" s="27"/>
      <c r="BF129" s="32">
        <v>115.30862999999991</v>
      </c>
      <c r="BG129" s="42"/>
      <c r="BH129" s="44"/>
      <c r="BI129" s="30">
        <f t="shared" si="65"/>
        <v>115.30862999999991</v>
      </c>
      <c r="BK129" s="58">
        <v>26322.21</v>
      </c>
      <c r="BL129" s="63">
        <v>1999.85</v>
      </c>
      <c r="BM129" s="58">
        <v>426.63</v>
      </c>
      <c r="BN129" s="60"/>
      <c r="BO129" s="27"/>
      <c r="BP129" s="32">
        <v>28.577019999999962</v>
      </c>
      <c r="BQ129" s="32"/>
      <c r="BR129" s="42">
        <v>155.21660225142864</v>
      </c>
      <c r="BS129" s="44"/>
      <c r="BT129" s="30">
        <f t="shared" si="69"/>
        <v>610.42362225142858</v>
      </c>
      <c r="BV129" s="58">
        <v>2411.14</v>
      </c>
      <c r="BW129" s="63">
        <v>933.61</v>
      </c>
      <c r="BX129" s="58">
        <v>4.2</v>
      </c>
      <c r="BY129" s="60"/>
      <c r="BZ129" s="27"/>
      <c r="CA129" s="32"/>
      <c r="CB129" s="42"/>
      <c r="CC129" s="44"/>
      <c r="CD129" s="30">
        <f t="shared" si="66"/>
        <v>4.2</v>
      </c>
      <c r="CF129" s="58">
        <v>2831.92</v>
      </c>
      <c r="CG129" s="63"/>
      <c r="CH129" s="58">
        <v>67.930000000000007</v>
      </c>
      <c r="CI129" s="60"/>
      <c r="CJ129" s="27"/>
      <c r="CK129" s="32"/>
      <c r="CL129" s="42"/>
      <c r="CM129" s="44"/>
      <c r="CN129" s="30">
        <f t="shared" si="67"/>
        <v>67.930000000000007</v>
      </c>
      <c r="CP129" s="58">
        <v>4656.76</v>
      </c>
      <c r="CQ129" s="58">
        <v>1067.67</v>
      </c>
      <c r="CR129" s="63">
        <v>3282.88</v>
      </c>
      <c r="CS129" s="58"/>
      <c r="CT129" s="60"/>
      <c r="CU129" s="27"/>
      <c r="CV129" s="32">
        <v>99.574020000000019</v>
      </c>
      <c r="CW129" s="42">
        <v>18.259838064761936</v>
      </c>
      <c r="CX129" s="44"/>
      <c r="CY129" s="229">
        <f t="shared" si="68"/>
        <v>117.83385806476196</v>
      </c>
    </row>
    <row r="130" spans="1:103" s="217" customFormat="1" hidden="1" x14ac:dyDescent="0.25">
      <c r="A130" s="47">
        <v>46060</v>
      </c>
      <c r="B130" s="230">
        <v>3086.97</v>
      </c>
      <c r="C130" s="231">
        <v>4050.55</v>
      </c>
      <c r="D130" s="230">
        <v>246.05</v>
      </c>
      <c r="E130" s="232">
        <v>2.08</v>
      </c>
      <c r="F130" s="27"/>
      <c r="G130" s="32"/>
      <c r="H130" s="52"/>
      <c r="I130" s="44"/>
      <c r="J130" s="30">
        <f t="shared" si="61"/>
        <v>246.05</v>
      </c>
      <c r="L130" s="58">
        <v>6528.67</v>
      </c>
      <c r="M130" s="63">
        <v>6672.05</v>
      </c>
      <c r="N130" s="58">
        <v>8.67</v>
      </c>
      <c r="O130" s="60"/>
      <c r="P130" s="27"/>
      <c r="Q130" s="32">
        <v>355.61536999999998</v>
      </c>
      <c r="R130" s="32"/>
      <c r="S130" s="42"/>
      <c r="T130" s="44">
        <v>40.223024700000011</v>
      </c>
      <c r="U130" s="30">
        <f t="shared" si="60"/>
        <v>404.5083947</v>
      </c>
      <c r="V130" s="228"/>
      <c r="W130" s="58">
        <v>3790.69</v>
      </c>
      <c r="X130" s="63"/>
      <c r="Y130" s="58"/>
      <c r="Z130" s="60"/>
      <c r="AA130" s="27"/>
      <c r="AB130" s="32"/>
      <c r="AC130" s="42"/>
      <c r="AD130" s="44"/>
      <c r="AE130" s="30">
        <f t="shared" si="62"/>
        <v>0</v>
      </c>
      <c r="AG130" s="58">
        <v>2850.88</v>
      </c>
      <c r="AH130" s="63">
        <v>980.37</v>
      </c>
      <c r="AI130" s="58"/>
      <c r="AJ130" s="60"/>
      <c r="AK130" s="27"/>
      <c r="AL130" s="32"/>
      <c r="AM130" s="42"/>
      <c r="AN130" s="44"/>
      <c r="AO130" s="30">
        <f t="shared" si="63"/>
        <v>0</v>
      </c>
      <c r="AQ130" s="58">
        <v>7860.82</v>
      </c>
      <c r="AR130" s="58">
        <v>884.44</v>
      </c>
      <c r="AS130" s="58">
        <v>485.18</v>
      </c>
      <c r="AT130" s="62"/>
      <c r="AU130" s="27"/>
      <c r="AV130" s="32">
        <v>89.93877999999998</v>
      </c>
      <c r="AW130" s="42"/>
      <c r="AX130" s="44"/>
      <c r="AY130" s="30">
        <f t="shared" si="64"/>
        <v>575.11878000000002</v>
      </c>
      <c r="BA130" s="58">
        <v>2513.3200000000002</v>
      </c>
      <c r="BB130" s="63"/>
      <c r="BC130" s="58"/>
      <c r="BD130" s="60"/>
      <c r="BE130" s="27"/>
      <c r="BF130" s="32">
        <v>21.742159999999942</v>
      </c>
      <c r="BG130" s="42"/>
      <c r="BH130" s="44"/>
      <c r="BI130" s="30">
        <f t="shared" si="65"/>
        <v>21.742159999999942</v>
      </c>
      <c r="BK130" s="58">
        <v>20494.23</v>
      </c>
      <c r="BL130" s="63">
        <v>2504.88</v>
      </c>
      <c r="BM130" s="58">
        <v>274.18</v>
      </c>
      <c r="BN130" s="60"/>
      <c r="BO130" s="27"/>
      <c r="BP130" s="32">
        <v>58.06780999999998</v>
      </c>
      <c r="BQ130" s="32"/>
      <c r="BR130" s="42"/>
      <c r="BS130" s="44"/>
      <c r="BT130" s="30">
        <f t="shared" si="69"/>
        <v>332.24780999999996</v>
      </c>
      <c r="BV130" s="58">
        <v>2720.54</v>
      </c>
      <c r="BW130" s="63">
        <v>974.16</v>
      </c>
      <c r="BX130" s="58">
        <v>4.9400000000000004</v>
      </c>
      <c r="BY130" s="60"/>
      <c r="BZ130" s="27"/>
      <c r="CA130" s="32"/>
      <c r="CB130" s="42"/>
      <c r="CC130" s="44"/>
      <c r="CD130" s="30">
        <f t="shared" si="66"/>
        <v>4.9400000000000004</v>
      </c>
      <c r="CF130" s="58">
        <v>1731.29</v>
      </c>
      <c r="CG130" s="63"/>
      <c r="CH130" s="58">
        <v>96.63</v>
      </c>
      <c r="CI130" s="60"/>
      <c r="CJ130" s="27"/>
      <c r="CK130" s="32">
        <v>19.513599999999997</v>
      </c>
      <c r="CL130" s="42">
        <v>79.114380952380998</v>
      </c>
      <c r="CM130" s="44"/>
      <c r="CN130" s="30">
        <f t="shared" si="67"/>
        <v>195.25798095238099</v>
      </c>
      <c r="CP130" s="58">
        <v>4841.5</v>
      </c>
      <c r="CQ130" s="58">
        <v>1812.49</v>
      </c>
      <c r="CR130" s="63">
        <v>7071.66</v>
      </c>
      <c r="CS130" s="58"/>
      <c r="CT130" s="60"/>
      <c r="CU130" s="27"/>
      <c r="CV130" s="32"/>
      <c r="CW130" s="42">
        <v>19.461574445714319</v>
      </c>
      <c r="CX130" s="44"/>
      <c r="CY130" s="229">
        <f t="shared" si="68"/>
        <v>19.461574445714319</v>
      </c>
    </row>
    <row r="131" spans="1:103" s="217" customFormat="1" hidden="1" x14ac:dyDescent="0.25">
      <c r="A131" s="47">
        <v>46061</v>
      </c>
      <c r="B131" s="230">
        <v>737.39</v>
      </c>
      <c r="C131" s="231">
        <v>2180.5</v>
      </c>
      <c r="D131" s="230">
        <v>32.08</v>
      </c>
      <c r="E131" s="232">
        <v>0.41</v>
      </c>
      <c r="F131" s="27"/>
      <c r="G131" s="32"/>
      <c r="H131" s="52"/>
      <c r="I131" s="44"/>
      <c r="J131" s="30">
        <f t="shared" si="61"/>
        <v>32.08</v>
      </c>
      <c r="L131" s="58">
        <v>6349.56</v>
      </c>
      <c r="M131" s="63">
        <v>6819.3</v>
      </c>
      <c r="N131" s="58">
        <v>12.42</v>
      </c>
      <c r="O131" s="60"/>
      <c r="P131" s="27"/>
      <c r="Q131" s="32">
        <v>52.135840000000002</v>
      </c>
      <c r="R131" s="32"/>
      <c r="S131" s="42"/>
      <c r="T131" s="44"/>
      <c r="U131" s="30">
        <f t="shared" si="60"/>
        <v>64.555840000000003</v>
      </c>
      <c r="V131" s="228"/>
      <c r="W131" s="58">
        <v>1870.14</v>
      </c>
      <c r="X131" s="63"/>
      <c r="Y131" s="58"/>
      <c r="Z131" s="60"/>
      <c r="AA131" s="27"/>
      <c r="AB131" s="32">
        <v>6.6336000000000297</v>
      </c>
      <c r="AC131" s="42"/>
      <c r="AD131" s="44"/>
      <c r="AE131" s="30">
        <f t="shared" si="62"/>
        <v>6.6336000000000297</v>
      </c>
      <c r="AG131" s="58">
        <v>4801.83</v>
      </c>
      <c r="AH131" s="63">
        <v>577.36</v>
      </c>
      <c r="AI131" s="58"/>
      <c r="AJ131" s="60"/>
      <c r="AK131" s="27"/>
      <c r="AL131" s="32"/>
      <c r="AM131" s="42"/>
      <c r="AN131" s="44"/>
      <c r="AO131" s="30">
        <f t="shared" si="63"/>
        <v>0</v>
      </c>
      <c r="AQ131" s="58">
        <v>5946.8</v>
      </c>
      <c r="AR131" s="58">
        <v>1352.01</v>
      </c>
      <c r="AS131" s="58">
        <v>183.69</v>
      </c>
      <c r="AT131" s="62"/>
      <c r="AU131" s="27"/>
      <c r="AV131" s="32">
        <v>79.551179999999988</v>
      </c>
      <c r="AW131" s="42"/>
      <c r="AX131" s="44"/>
      <c r="AY131" s="30">
        <f t="shared" si="64"/>
        <v>263.24117999999999</v>
      </c>
      <c r="BA131" s="58">
        <v>1293.96</v>
      </c>
      <c r="BB131" s="63"/>
      <c r="BC131" s="58"/>
      <c r="BD131" s="60"/>
      <c r="BE131" s="27"/>
      <c r="BF131" s="32">
        <v>52.31039999999993</v>
      </c>
      <c r="BG131" s="42"/>
      <c r="BH131" s="44"/>
      <c r="BI131" s="30">
        <f t="shared" si="65"/>
        <v>52.31039999999993</v>
      </c>
      <c r="BK131" s="58">
        <v>13427.6</v>
      </c>
      <c r="BL131" s="63">
        <v>1701.08</v>
      </c>
      <c r="BM131" s="58"/>
      <c r="BN131" s="60"/>
      <c r="BO131" s="27"/>
      <c r="BP131" s="32">
        <v>17.643080000000012</v>
      </c>
      <c r="BQ131" s="32"/>
      <c r="BR131" s="42">
        <v>19.936227430095244</v>
      </c>
      <c r="BS131" s="44"/>
      <c r="BT131" s="30">
        <f t="shared" si="69"/>
        <v>37.579307430095255</v>
      </c>
      <c r="BV131" s="58">
        <v>1782.05</v>
      </c>
      <c r="BW131" s="63">
        <v>1183.3900000000001</v>
      </c>
      <c r="BX131" s="58"/>
      <c r="BY131" s="60"/>
      <c r="BZ131" s="27"/>
      <c r="CA131" s="32"/>
      <c r="CB131" s="42"/>
      <c r="CC131" s="44"/>
      <c r="CD131" s="30">
        <f t="shared" si="66"/>
        <v>0</v>
      </c>
      <c r="CF131" s="58">
        <v>673.06</v>
      </c>
      <c r="CG131" s="63"/>
      <c r="CH131" s="58">
        <v>13.88</v>
      </c>
      <c r="CI131" s="60"/>
      <c r="CJ131" s="27"/>
      <c r="CK131" s="32"/>
      <c r="CL131" s="42"/>
      <c r="CM131" s="44"/>
      <c r="CN131" s="30">
        <f t="shared" si="67"/>
        <v>13.88</v>
      </c>
      <c r="CP131" s="58">
        <v>8411.6200000000008</v>
      </c>
      <c r="CQ131" s="58">
        <v>1056.04</v>
      </c>
      <c r="CR131" s="63">
        <v>4132.29</v>
      </c>
      <c r="CS131" s="58"/>
      <c r="CT131" s="60"/>
      <c r="CU131" s="27"/>
      <c r="CV131" s="32"/>
      <c r="CW131" s="42"/>
      <c r="CX131" s="44"/>
      <c r="CY131" s="229">
        <f t="shared" si="68"/>
        <v>0</v>
      </c>
    </row>
    <row r="132" spans="1:103" s="217" customFormat="1" hidden="1" x14ac:dyDescent="0.25">
      <c r="A132" s="47">
        <v>46062</v>
      </c>
      <c r="B132" s="230">
        <v>3728.72</v>
      </c>
      <c r="C132" s="231">
        <v>3776.18</v>
      </c>
      <c r="D132" s="230">
        <v>79.83</v>
      </c>
      <c r="E132" s="232">
        <v>27.2</v>
      </c>
      <c r="F132" s="27"/>
      <c r="G132" s="32">
        <v>5.7199999999999989</v>
      </c>
      <c r="H132" s="52"/>
      <c r="I132" s="44"/>
      <c r="J132" s="30">
        <f t="shared" si="61"/>
        <v>85.55</v>
      </c>
      <c r="L132" s="58">
        <v>9641.32</v>
      </c>
      <c r="M132" s="63">
        <v>7689.42</v>
      </c>
      <c r="N132" s="58">
        <v>77.709999999999994</v>
      </c>
      <c r="O132" s="60"/>
      <c r="P132" s="27"/>
      <c r="Q132" s="32">
        <v>234.12962999999991</v>
      </c>
      <c r="R132" s="32"/>
      <c r="S132" s="42"/>
      <c r="T132" s="44">
        <v>14.67943870000002</v>
      </c>
      <c r="U132" s="30">
        <f t="shared" si="60"/>
        <v>326.51906869999993</v>
      </c>
      <c r="V132" s="228"/>
      <c r="W132" s="58">
        <v>3776.05</v>
      </c>
      <c r="X132" s="63"/>
      <c r="Y132" s="58"/>
      <c r="Z132" s="60"/>
      <c r="AA132" s="27"/>
      <c r="AB132" s="32">
        <v>5.9519999999999982</v>
      </c>
      <c r="AC132" s="42"/>
      <c r="AD132" s="44"/>
      <c r="AE132" s="30">
        <f t="shared" si="62"/>
        <v>5.9519999999999982</v>
      </c>
      <c r="AG132" s="58">
        <v>7391.76</v>
      </c>
      <c r="AH132" s="63">
        <v>582.16</v>
      </c>
      <c r="AI132" s="58"/>
      <c r="AJ132" s="60"/>
      <c r="AK132" s="27"/>
      <c r="AL132" s="32"/>
      <c r="AM132" s="42"/>
      <c r="AN132" s="44"/>
      <c r="AO132" s="30">
        <f t="shared" si="63"/>
        <v>0</v>
      </c>
      <c r="AQ132" s="58">
        <v>11151.27</v>
      </c>
      <c r="AR132" s="58">
        <v>1069.3900000000001</v>
      </c>
      <c r="AS132" s="58">
        <v>674.04</v>
      </c>
      <c r="AT132" s="62"/>
      <c r="AU132" s="27"/>
      <c r="AV132" s="32">
        <v>98.888779999999869</v>
      </c>
      <c r="AW132" s="42">
        <v>19.033809247619047</v>
      </c>
      <c r="AX132" s="44">
        <v>14.865501499999993</v>
      </c>
      <c r="AY132" s="30">
        <f t="shared" si="64"/>
        <v>806.82809074761894</v>
      </c>
      <c r="BA132" s="58">
        <v>7707.18</v>
      </c>
      <c r="BB132" s="63"/>
      <c r="BC132" s="58"/>
      <c r="BD132" s="60"/>
      <c r="BE132" s="27"/>
      <c r="BF132" s="32">
        <v>29.304119999999969</v>
      </c>
      <c r="BG132" s="42"/>
      <c r="BH132" s="44"/>
      <c r="BI132" s="30">
        <f t="shared" si="65"/>
        <v>29.304119999999969</v>
      </c>
      <c r="BK132" s="58">
        <v>15715.82</v>
      </c>
      <c r="BL132" s="63">
        <v>1679.5</v>
      </c>
      <c r="BM132" s="58">
        <v>327.8</v>
      </c>
      <c r="BN132" s="60"/>
      <c r="BO132" s="27"/>
      <c r="BP132" s="32">
        <v>196.79660000000013</v>
      </c>
      <c r="BQ132" s="32"/>
      <c r="BR132" s="42"/>
      <c r="BS132" s="44"/>
      <c r="BT132" s="30">
        <f t="shared" si="69"/>
        <v>524.59660000000008</v>
      </c>
      <c r="BV132" s="58">
        <v>2083.4299999999998</v>
      </c>
      <c r="BW132" s="63">
        <v>1184.19</v>
      </c>
      <c r="BX132" s="58"/>
      <c r="BY132" s="60"/>
      <c r="BZ132" s="27"/>
      <c r="CA132" s="32"/>
      <c r="CB132" s="42"/>
      <c r="CC132" s="44"/>
      <c r="CD132" s="30">
        <f t="shared" si="66"/>
        <v>0</v>
      </c>
      <c r="CF132" s="58">
        <v>1894.97</v>
      </c>
      <c r="CG132" s="63"/>
      <c r="CH132" s="58">
        <v>926.29</v>
      </c>
      <c r="CI132" s="60"/>
      <c r="CJ132" s="27"/>
      <c r="CK132" s="32"/>
      <c r="CL132" s="42"/>
      <c r="CM132" s="44"/>
      <c r="CN132" s="30">
        <f t="shared" si="67"/>
        <v>926.29</v>
      </c>
      <c r="CP132" s="58">
        <v>3680.49</v>
      </c>
      <c r="CQ132" s="58">
        <v>1212.22</v>
      </c>
      <c r="CR132" s="63">
        <v>3478</v>
      </c>
      <c r="CS132" s="58">
        <v>5.25</v>
      </c>
      <c r="CT132" s="60"/>
      <c r="CU132" s="27"/>
      <c r="CV132" s="32"/>
      <c r="CW132" s="42">
        <v>6.5527407390476213</v>
      </c>
      <c r="CX132" s="44"/>
      <c r="CY132" s="229">
        <f t="shared" si="68"/>
        <v>11.802740739047621</v>
      </c>
    </row>
    <row r="133" spans="1:103" s="217" customFormat="1" hidden="1" x14ac:dyDescent="0.25">
      <c r="A133" s="47">
        <v>46063</v>
      </c>
      <c r="B133" s="230">
        <v>3449.8</v>
      </c>
      <c r="C133" s="231">
        <v>3847.75</v>
      </c>
      <c r="D133" s="230">
        <v>273.85000000000002</v>
      </c>
      <c r="E133" s="232">
        <v>3.25</v>
      </c>
      <c r="F133" s="27"/>
      <c r="G133" s="32">
        <v>5.8615700000000004</v>
      </c>
      <c r="H133" s="52"/>
      <c r="I133" s="44">
        <v>176.67707490000009</v>
      </c>
      <c r="J133" s="30">
        <f t="shared" si="61"/>
        <v>456.38864490000014</v>
      </c>
      <c r="L133" s="58">
        <v>8141.08</v>
      </c>
      <c r="M133" s="63">
        <v>6272.03</v>
      </c>
      <c r="N133" s="58">
        <v>35.71</v>
      </c>
      <c r="O133" s="60"/>
      <c r="P133" s="27"/>
      <c r="Q133" s="32">
        <v>94.822540000000004</v>
      </c>
      <c r="R133" s="32"/>
      <c r="S133" s="42"/>
      <c r="T133" s="44">
        <v>134.74239999999998</v>
      </c>
      <c r="U133" s="30">
        <f t="shared" si="60"/>
        <v>265.27493999999996</v>
      </c>
      <c r="V133" s="228"/>
      <c r="W133" s="58">
        <v>5406.14</v>
      </c>
      <c r="X133" s="63"/>
      <c r="Y133" s="58"/>
      <c r="Z133" s="60"/>
      <c r="AA133" s="27"/>
      <c r="AB133" s="32"/>
      <c r="AC133" s="42"/>
      <c r="AD133" s="44"/>
      <c r="AE133" s="30">
        <f t="shared" si="62"/>
        <v>0</v>
      </c>
      <c r="AG133" s="58">
        <v>3426.98</v>
      </c>
      <c r="AH133" s="63">
        <v>576.73</v>
      </c>
      <c r="AI133" s="58"/>
      <c r="AJ133" s="60"/>
      <c r="AK133" s="27"/>
      <c r="AL133" s="32"/>
      <c r="AM133" s="42"/>
      <c r="AN133" s="44"/>
      <c r="AO133" s="30">
        <f t="shared" si="63"/>
        <v>0</v>
      </c>
      <c r="AQ133" s="58">
        <v>7749.16</v>
      </c>
      <c r="AR133" s="58">
        <v>1073.74</v>
      </c>
      <c r="AS133" s="58">
        <v>323.85000000000002</v>
      </c>
      <c r="AT133" s="62"/>
      <c r="AU133" s="27"/>
      <c r="AV133" s="32">
        <v>198.75191999999981</v>
      </c>
      <c r="AW133" s="42">
        <v>13.506865799999957</v>
      </c>
      <c r="AX133" s="44"/>
      <c r="AY133" s="30">
        <f t="shared" si="64"/>
        <v>536.10878579999985</v>
      </c>
      <c r="BA133" s="58">
        <v>3951.49</v>
      </c>
      <c r="BB133" s="63"/>
      <c r="BC133" s="58"/>
      <c r="BD133" s="60"/>
      <c r="BE133" s="27"/>
      <c r="BF133" s="32">
        <v>40.489959999999954</v>
      </c>
      <c r="BG133" s="42"/>
      <c r="BH133" s="44"/>
      <c r="BI133" s="30">
        <f t="shared" si="65"/>
        <v>40.489959999999954</v>
      </c>
      <c r="BK133" s="58">
        <v>10606.77</v>
      </c>
      <c r="BL133" s="63">
        <v>1402.65</v>
      </c>
      <c r="BM133" s="58">
        <v>376.62</v>
      </c>
      <c r="BN133" s="60"/>
      <c r="BO133" s="27"/>
      <c r="BP133" s="32"/>
      <c r="BQ133" s="32"/>
      <c r="BR133" s="42"/>
      <c r="BS133" s="44"/>
      <c r="BT133" s="30">
        <f t="shared" si="69"/>
        <v>376.62</v>
      </c>
      <c r="BV133" s="58">
        <v>2455.81</v>
      </c>
      <c r="BW133" s="63">
        <v>777.98</v>
      </c>
      <c r="BX133" s="58">
        <v>11.37</v>
      </c>
      <c r="BY133" s="60"/>
      <c r="BZ133" s="27"/>
      <c r="CA133" s="32"/>
      <c r="CB133" s="42"/>
      <c r="CC133" s="44"/>
      <c r="CD133" s="30">
        <f t="shared" si="66"/>
        <v>11.37</v>
      </c>
      <c r="CF133" s="58">
        <v>1866.58</v>
      </c>
      <c r="CG133" s="63"/>
      <c r="CH133" s="58">
        <v>1334.46</v>
      </c>
      <c r="CI133" s="60"/>
      <c r="CJ133" s="27"/>
      <c r="CK133" s="32">
        <v>28.600000000000023</v>
      </c>
      <c r="CL133" s="42">
        <v>72.625785714285712</v>
      </c>
      <c r="CM133" s="44"/>
      <c r="CN133" s="30">
        <f t="shared" si="67"/>
        <v>1435.6857857142859</v>
      </c>
      <c r="CP133" s="58">
        <v>3571.36</v>
      </c>
      <c r="CQ133" s="58">
        <v>838.06</v>
      </c>
      <c r="CR133" s="63">
        <v>4178.95</v>
      </c>
      <c r="CS133" s="58">
        <v>7.7</v>
      </c>
      <c r="CT133" s="60"/>
      <c r="CU133" s="27"/>
      <c r="CV133" s="32">
        <v>55.282500000000027</v>
      </c>
      <c r="CW133" s="42">
        <v>24.601237362857177</v>
      </c>
      <c r="CX133" s="44"/>
      <c r="CY133" s="229">
        <f t="shared" si="68"/>
        <v>87.583737362857207</v>
      </c>
    </row>
    <row r="134" spans="1:103" s="217" customFormat="1" hidden="1" x14ac:dyDescent="0.25">
      <c r="A134" s="47">
        <v>46064</v>
      </c>
      <c r="B134" s="230">
        <v>2309.89</v>
      </c>
      <c r="C134" s="231">
        <v>3776.19</v>
      </c>
      <c r="D134" s="230">
        <v>126.54</v>
      </c>
      <c r="E134" s="232">
        <v>24.95</v>
      </c>
      <c r="F134" s="27"/>
      <c r="G134" s="32">
        <v>15.200000000000003</v>
      </c>
      <c r="H134" s="52"/>
      <c r="I134" s="44"/>
      <c r="J134" s="30">
        <f t="shared" si="61"/>
        <v>141.74</v>
      </c>
      <c r="L134" s="58">
        <v>7229.01</v>
      </c>
      <c r="M134" s="63">
        <v>6232.73</v>
      </c>
      <c r="N134" s="58">
        <v>22.96</v>
      </c>
      <c r="O134" s="60"/>
      <c r="P134" s="27"/>
      <c r="Q134" s="32">
        <v>424.42209000000008</v>
      </c>
      <c r="R134" s="32"/>
      <c r="S134" s="42"/>
      <c r="T134" s="44">
        <v>18.226908900000005</v>
      </c>
      <c r="U134" s="30">
        <f t="shared" si="60"/>
        <v>465.60899890000007</v>
      </c>
      <c r="V134" s="228"/>
      <c r="W134" s="58">
        <v>2092.31</v>
      </c>
      <c r="X134" s="63"/>
      <c r="Y134" s="58"/>
      <c r="Z134" s="60"/>
      <c r="AA134" s="27"/>
      <c r="AB134" s="32">
        <v>11.375580000000014</v>
      </c>
      <c r="AC134" s="42"/>
      <c r="AD134" s="44"/>
      <c r="AE134" s="30">
        <f t="shared" si="62"/>
        <v>11.375580000000014</v>
      </c>
      <c r="AG134" s="58">
        <v>2296.1</v>
      </c>
      <c r="AH134" s="63">
        <v>768.73</v>
      </c>
      <c r="AI134" s="58"/>
      <c r="AJ134" s="60"/>
      <c r="AK134" s="27"/>
      <c r="AL134" s="32"/>
      <c r="AM134" s="42"/>
      <c r="AN134" s="44"/>
      <c r="AO134" s="30">
        <f t="shared" si="63"/>
        <v>0</v>
      </c>
      <c r="AQ134" s="58">
        <v>7918.24</v>
      </c>
      <c r="AR134" s="58">
        <v>708.51</v>
      </c>
      <c r="AS134" s="58">
        <v>370.31</v>
      </c>
      <c r="AT134" s="62"/>
      <c r="AU134" s="27"/>
      <c r="AV134" s="32">
        <v>220.36709999999999</v>
      </c>
      <c r="AW134" s="42">
        <v>47.678528181428447</v>
      </c>
      <c r="AX134" s="44"/>
      <c r="AY134" s="30">
        <f t="shared" si="64"/>
        <v>638.35562818142853</v>
      </c>
      <c r="BA134" s="58">
        <v>3962.1</v>
      </c>
      <c r="BB134" s="63"/>
      <c r="BC134" s="58"/>
      <c r="BD134" s="60"/>
      <c r="BE134" s="27"/>
      <c r="BF134" s="32">
        <v>530.04037999999935</v>
      </c>
      <c r="BG134" s="42"/>
      <c r="BH134" s="44"/>
      <c r="BI134" s="30">
        <f t="shared" si="65"/>
        <v>530.04037999999935</v>
      </c>
      <c r="BK134" s="58">
        <v>15036.87</v>
      </c>
      <c r="BL134" s="63">
        <v>1159.73</v>
      </c>
      <c r="BM134" s="58">
        <v>323.20999999999998</v>
      </c>
      <c r="BN134" s="60"/>
      <c r="BO134" s="27"/>
      <c r="BP134" s="32">
        <v>273.48464000000001</v>
      </c>
      <c r="BQ134" s="32"/>
      <c r="BR134" s="42">
        <v>31.279373695714298</v>
      </c>
      <c r="BS134" s="44"/>
      <c r="BT134" s="30">
        <f t="shared" si="69"/>
        <v>627.97401369571435</v>
      </c>
      <c r="BV134" s="58">
        <v>3320.15</v>
      </c>
      <c r="BW134" s="63">
        <v>939.78</v>
      </c>
      <c r="BX134" s="58"/>
      <c r="BY134" s="60"/>
      <c r="BZ134" s="27"/>
      <c r="CA134" s="32"/>
      <c r="CB134" s="42"/>
      <c r="CC134" s="44"/>
      <c r="CD134" s="30">
        <f t="shared" si="66"/>
        <v>0</v>
      </c>
      <c r="CF134" s="58">
        <v>2030.19</v>
      </c>
      <c r="CG134" s="63"/>
      <c r="CH134" s="58">
        <v>1553.74</v>
      </c>
      <c r="CI134" s="60"/>
      <c r="CJ134" s="27"/>
      <c r="CK134" s="32">
        <v>14.688700000000011</v>
      </c>
      <c r="CL134" s="42">
        <v>23.115335077142873</v>
      </c>
      <c r="CM134" s="44"/>
      <c r="CN134" s="30">
        <f t="shared" si="67"/>
        <v>1591.5440350771428</v>
      </c>
      <c r="CP134" s="58">
        <v>2582.12</v>
      </c>
      <c r="CQ134" s="58">
        <v>705.43</v>
      </c>
      <c r="CR134" s="63">
        <v>1972.7</v>
      </c>
      <c r="CS134" s="58"/>
      <c r="CT134" s="60"/>
      <c r="CU134" s="27"/>
      <c r="CV134" s="32">
        <v>149.24000000000012</v>
      </c>
      <c r="CW134" s="42"/>
      <c r="CX134" s="44"/>
      <c r="CY134" s="229">
        <f t="shared" si="68"/>
        <v>149.24000000000012</v>
      </c>
    </row>
    <row r="135" spans="1:103" s="217" customFormat="1" hidden="1" x14ac:dyDescent="0.25">
      <c r="A135" s="47">
        <v>46065</v>
      </c>
      <c r="B135" s="230">
        <v>2898.69</v>
      </c>
      <c r="C135" s="231">
        <v>3682.03</v>
      </c>
      <c r="D135" s="230">
        <v>83.91</v>
      </c>
      <c r="E135" s="232">
        <v>1.92</v>
      </c>
      <c r="F135" s="27"/>
      <c r="G135" s="32">
        <v>13.205790000000007</v>
      </c>
      <c r="H135" s="52"/>
      <c r="I135" s="44"/>
      <c r="J135" s="30">
        <f t="shared" si="61"/>
        <v>97.115790000000004</v>
      </c>
      <c r="L135" s="58">
        <v>8909.4599999999991</v>
      </c>
      <c r="M135" s="63">
        <v>6345.76</v>
      </c>
      <c r="N135" s="58">
        <v>9.91</v>
      </c>
      <c r="O135" s="60"/>
      <c r="P135" s="27"/>
      <c r="Q135" s="32">
        <v>174.40761000000006</v>
      </c>
      <c r="R135" s="32"/>
      <c r="S135" s="42"/>
      <c r="T135" s="44"/>
      <c r="U135" s="30">
        <f t="shared" si="60"/>
        <v>184.31761000000006</v>
      </c>
      <c r="V135" s="228"/>
      <c r="W135" s="58">
        <v>1858.61</v>
      </c>
      <c r="X135" s="63"/>
      <c r="Y135" s="58"/>
      <c r="Z135" s="60"/>
      <c r="AA135" s="27"/>
      <c r="AB135" s="32">
        <v>1.7999999999999972</v>
      </c>
      <c r="AC135" s="42"/>
      <c r="AD135" s="44"/>
      <c r="AE135" s="30">
        <f t="shared" si="62"/>
        <v>1.7999999999999972</v>
      </c>
      <c r="AG135" s="58">
        <v>4505.8899999999994</v>
      </c>
      <c r="AH135" s="63">
        <v>439.83</v>
      </c>
      <c r="AI135" s="58"/>
      <c r="AJ135" s="60"/>
      <c r="AK135" s="27"/>
      <c r="AL135" s="32"/>
      <c r="AM135" s="42"/>
      <c r="AN135" s="44"/>
      <c r="AO135" s="30">
        <f t="shared" si="63"/>
        <v>0</v>
      </c>
      <c r="AQ135" s="58">
        <v>8719.84</v>
      </c>
      <c r="AR135" s="58">
        <v>1073.47</v>
      </c>
      <c r="AS135" s="58">
        <v>515.03</v>
      </c>
      <c r="AT135" s="62"/>
      <c r="AU135" s="27"/>
      <c r="AV135" s="32">
        <v>112.36905000000002</v>
      </c>
      <c r="AW135" s="42">
        <v>97.70172788999983</v>
      </c>
      <c r="AX135" s="44"/>
      <c r="AY135" s="30">
        <f t="shared" si="64"/>
        <v>725.10077788999979</v>
      </c>
      <c r="BA135" s="58">
        <v>2056.56</v>
      </c>
      <c r="BB135" s="63"/>
      <c r="BC135" s="58"/>
      <c r="BD135" s="60"/>
      <c r="BE135" s="27"/>
      <c r="BF135" s="32">
        <v>345.01098999999999</v>
      </c>
      <c r="BG135" s="42"/>
      <c r="BH135" s="44"/>
      <c r="BI135" s="30">
        <f t="shared" si="65"/>
        <v>345.01098999999999</v>
      </c>
      <c r="BK135" s="58">
        <v>13083.91</v>
      </c>
      <c r="BL135" s="63">
        <v>1227.72</v>
      </c>
      <c r="BM135" s="58">
        <v>205.06</v>
      </c>
      <c r="BN135" s="60"/>
      <c r="BO135" s="27"/>
      <c r="BP135" s="32">
        <v>179.15990999999983</v>
      </c>
      <c r="BQ135" s="32"/>
      <c r="BR135" s="42">
        <v>60.932909708571401</v>
      </c>
      <c r="BS135" s="44"/>
      <c r="BT135" s="30">
        <f t="shared" si="69"/>
        <v>445.1528197085712</v>
      </c>
      <c r="BV135" s="58">
        <v>2773.12</v>
      </c>
      <c r="BW135" s="63">
        <v>685.09</v>
      </c>
      <c r="BX135" s="58">
        <v>3.33</v>
      </c>
      <c r="BY135" s="60"/>
      <c r="BZ135" s="27"/>
      <c r="CA135" s="32"/>
      <c r="CB135" s="42"/>
      <c r="CC135" s="44"/>
      <c r="CD135" s="30">
        <f t="shared" si="66"/>
        <v>3.33</v>
      </c>
      <c r="CF135" s="58">
        <v>2266.66</v>
      </c>
      <c r="CG135" s="63"/>
      <c r="CH135" s="58">
        <v>1178.4000000000001</v>
      </c>
      <c r="CI135" s="60"/>
      <c r="CJ135" s="27"/>
      <c r="CK135" s="32">
        <v>39.902330000000021</v>
      </c>
      <c r="CL135" s="42"/>
      <c r="CM135" s="44"/>
      <c r="CN135" s="30">
        <f t="shared" si="67"/>
        <v>1218.3023300000002</v>
      </c>
      <c r="CP135" s="58">
        <v>4753.8999999999996</v>
      </c>
      <c r="CQ135" s="58">
        <v>1009.57</v>
      </c>
      <c r="CR135" s="63">
        <v>4595.1099999999997</v>
      </c>
      <c r="CS135" s="58">
        <v>17.48</v>
      </c>
      <c r="CT135" s="60"/>
      <c r="CU135" s="27"/>
      <c r="CV135" s="32">
        <v>581.23493999999982</v>
      </c>
      <c r="CW135" s="42"/>
      <c r="CX135" s="44"/>
      <c r="CY135" s="229">
        <f t="shared" si="68"/>
        <v>598.71493999999984</v>
      </c>
    </row>
    <row r="136" spans="1:103" s="217" customFormat="1" hidden="1" x14ac:dyDescent="0.25">
      <c r="A136" s="47">
        <v>46066</v>
      </c>
      <c r="B136" s="230">
        <v>7494.84</v>
      </c>
      <c r="C136" s="231">
        <v>3672.17</v>
      </c>
      <c r="D136" s="230">
        <v>482.26</v>
      </c>
      <c r="E136" s="232">
        <v>30.41</v>
      </c>
      <c r="F136" s="27"/>
      <c r="G136" s="32">
        <v>4.68</v>
      </c>
      <c r="H136" s="52"/>
      <c r="I136" s="44">
        <v>82.183858200000032</v>
      </c>
      <c r="J136" s="30">
        <f t="shared" si="61"/>
        <v>569.12385820000009</v>
      </c>
      <c r="L136" s="58">
        <v>10167.450000000001</v>
      </c>
      <c r="M136" s="63">
        <v>7028.09</v>
      </c>
      <c r="N136" s="58">
        <v>29.54</v>
      </c>
      <c r="O136" s="60"/>
      <c r="P136" s="27"/>
      <c r="Q136" s="32">
        <v>435.73086000000018</v>
      </c>
      <c r="R136" s="32"/>
      <c r="S136" s="42"/>
      <c r="T136" s="44">
        <v>199.22207990000001</v>
      </c>
      <c r="U136" s="30">
        <f t="shared" si="60"/>
        <v>664.49293990000012</v>
      </c>
      <c r="V136" s="228"/>
      <c r="W136" s="58">
        <v>3418.77</v>
      </c>
      <c r="X136" s="63"/>
      <c r="Y136" s="58"/>
      <c r="Z136" s="60"/>
      <c r="AA136" s="27"/>
      <c r="AB136" s="32">
        <v>27.329310000000078</v>
      </c>
      <c r="AC136" s="42"/>
      <c r="AD136" s="44"/>
      <c r="AE136" s="30">
        <f t="shared" si="62"/>
        <v>27.329310000000078</v>
      </c>
      <c r="AG136" s="58">
        <v>6318.42</v>
      </c>
      <c r="AH136" s="63">
        <v>934.77</v>
      </c>
      <c r="AI136" s="58"/>
      <c r="AJ136" s="60"/>
      <c r="AK136" s="27"/>
      <c r="AL136" s="32"/>
      <c r="AM136" s="42"/>
      <c r="AN136" s="44"/>
      <c r="AO136" s="30">
        <f t="shared" si="63"/>
        <v>0</v>
      </c>
      <c r="AQ136" s="58">
        <v>6572.33</v>
      </c>
      <c r="AR136" s="58">
        <v>457.55</v>
      </c>
      <c r="AS136" s="58">
        <v>457.55</v>
      </c>
      <c r="AT136" s="62"/>
      <c r="AU136" s="27"/>
      <c r="AV136" s="32">
        <v>105.00529000000003</v>
      </c>
      <c r="AW136" s="42">
        <v>11.688838122857106</v>
      </c>
      <c r="AX136" s="44"/>
      <c r="AY136" s="30">
        <f t="shared" si="64"/>
        <v>574.24412812285709</v>
      </c>
      <c r="BA136" s="58">
        <v>3802.16</v>
      </c>
      <c r="BB136" s="63"/>
      <c r="BC136" s="58"/>
      <c r="BD136" s="60"/>
      <c r="BE136" s="27"/>
      <c r="BF136" s="32">
        <v>130.66549000000009</v>
      </c>
      <c r="BG136" s="42"/>
      <c r="BH136" s="44"/>
      <c r="BI136" s="30">
        <f t="shared" si="65"/>
        <v>130.66549000000009</v>
      </c>
      <c r="BK136" s="58">
        <v>36885.910000000003</v>
      </c>
      <c r="BL136" s="63">
        <v>1946.15</v>
      </c>
      <c r="BM136" s="58">
        <v>265.91000000000003</v>
      </c>
      <c r="BN136" s="60"/>
      <c r="BO136" s="27"/>
      <c r="BP136" s="32">
        <v>362.29466999999988</v>
      </c>
      <c r="BQ136" s="32"/>
      <c r="BR136" s="42"/>
      <c r="BS136" s="44"/>
      <c r="BT136" s="30">
        <f t="shared" si="69"/>
        <v>628.20466999999985</v>
      </c>
      <c r="BV136" s="58">
        <v>2068.48</v>
      </c>
      <c r="BW136" s="63">
        <v>860.74</v>
      </c>
      <c r="BX136" s="58">
        <v>4.83</v>
      </c>
      <c r="BY136" s="60"/>
      <c r="BZ136" s="27"/>
      <c r="CA136" s="32"/>
      <c r="CB136" s="42"/>
      <c r="CC136" s="44"/>
      <c r="CD136" s="30">
        <f t="shared" si="66"/>
        <v>4.83</v>
      </c>
      <c r="CF136" s="58">
        <v>1926.25</v>
      </c>
      <c r="CG136" s="63"/>
      <c r="CH136" s="58">
        <v>1887.9</v>
      </c>
      <c r="CI136" s="60"/>
      <c r="CJ136" s="27"/>
      <c r="CK136" s="32">
        <v>36.8322</v>
      </c>
      <c r="CL136" s="42"/>
      <c r="CM136" s="44"/>
      <c r="CN136" s="30">
        <f t="shared" si="67"/>
        <v>1924.7322000000001</v>
      </c>
      <c r="CP136" s="58">
        <v>15882.42</v>
      </c>
      <c r="CQ136" s="58">
        <v>1037.06</v>
      </c>
      <c r="CR136" s="63">
        <v>5420.63</v>
      </c>
      <c r="CS136" s="58"/>
      <c r="CT136" s="60"/>
      <c r="CU136" s="27"/>
      <c r="CV136" s="32">
        <v>283.75058000000001</v>
      </c>
      <c r="CW136" s="42">
        <v>17.067024182857125</v>
      </c>
      <c r="CX136" s="44"/>
      <c r="CY136" s="229">
        <f t="shared" si="68"/>
        <v>300.81760418285717</v>
      </c>
    </row>
    <row r="137" spans="1:103" s="217" customFormat="1" hidden="1" x14ac:dyDescent="0.25">
      <c r="A137" s="47">
        <v>46067</v>
      </c>
      <c r="B137" s="230">
        <v>1908.3</v>
      </c>
      <c r="C137" s="231">
        <v>4160.66</v>
      </c>
      <c r="D137" s="230">
        <v>168.57</v>
      </c>
      <c r="E137" s="232">
        <v>3.25</v>
      </c>
      <c r="F137" s="27"/>
      <c r="G137" s="32">
        <v>5.8500000000000085</v>
      </c>
      <c r="H137" s="52"/>
      <c r="I137" s="44"/>
      <c r="J137" s="30">
        <f t="shared" si="61"/>
        <v>174.42000000000002</v>
      </c>
      <c r="L137" s="58">
        <v>6051.73</v>
      </c>
      <c r="M137" s="63">
        <v>6696.97</v>
      </c>
      <c r="N137" s="58">
        <v>25.6</v>
      </c>
      <c r="O137" s="60"/>
      <c r="P137" s="27"/>
      <c r="Q137" s="32">
        <v>90.645470000000017</v>
      </c>
      <c r="R137" s="32"/>
      <c r="S137" s="42"/>
      <c r="T137" s="44">
        <v>5.0605000000000047</v>
      </c>
      <c r="U137" s="30">
        <f t="shared" si="60"/>
        <v>121.30597000000003</v>
      </c>
      <c r="V137" s="228"/>
      <c r="W137" s="58">
        <v>1303.5899999999999</v>
      </c>
      <c r="X137" s="63"/>
      <c r="Y137" s="58"/>
      <c r="Z137" s="60"/>
      <c r="AA137" s="27"/>
      <c r="AB137" s="32"/>
      <c r="AC137" s="42"/>
      <c r="AD137" s="44"/>
      <c r="AE137" s="30">
        <f t="shared" si="62"/>
        <v>0</v>
      </c>
      <c r="AG137" s="58">
        <v>4081.16</v>
      </c>
      <c r="AH137" s="63">
        <v>617.80999999999995</v>
      </c>
      <c r="AI137" s="58"/>
      <c r="AJ137" s="60"/>
      <c r="AK137" s="27"/>
      <c r="AL137" s="32"/>
      <c r="AM137" s="42"/>
      <c r="AN137" s="44"/>
      <c r="AO137" s="30">
        <f t="shared" si="63"/>
        <v>0</v>
      </c>
      <c r="AQ137" s="58">
        <v>4223.42</v>
      </c>
      <c r="AR137" s="58">
        <v>1103.42</v>
      </c>
      <c r="AS137" s="58">
        <v>245.42</v>
      </c>
      <c r="AT137" s="62"/>
      <c r="AU137" s="27"/>
      <c r="AV137" s="32">
        <v>101.09410999999994</v>
      </c>
      <c r="AW137" s="42"/>
      <c r="AX137" s="44"/>
      <c r="AY137" s="30">
        <f t="shared" si="64"/>
        <v>346.51410999999996</v>
      </c>
      <c r="BA137" s="58">
        <v>3272.47</v>
      </c>
      <c r="BB137" s="63"/>
      <c r="BC137" s="58"/>
      <c r="BD137" s="60"/>
      <c r="BE137" s="27"/>
      <c r="BF137" s="32">
        <v>115.42312000000005</v>
      </c>
      <c r="BG137" s="42"/>
      <c r="BH137" s="44"/>
      <c r="BI137" s="30">
        <f t="shared" si="65"/>
        <v>115.42312000000005</v>
      </c>
      <c r="BK137" s="58">
        <v>26626.45</v>
      </c>
      <c r="BL137" s="63">
        <v>2294.62</v>
      </c>
      <c r="BM137" s="58">
        <v>197.63</v>
      </c>
      <c r="BN137" s="60"/>
      <c r="BO137" s="27"/>
      <c r="BP137" s="32">
        <v>113.29252999999994</v>
      </c>
      <c r="BQ137" s="32"/>
      <c r="BR137" s="42"/>
      <c r="BS137" s="44"/>
      <c r="BT137" s="30">
        <f t="shared" si="69"/>
        <v>310.92252999999994</v>
      </c>
      <c r="BV137" s="58">
        <v>3069.32</v>
      </c>
      <c r="BW137" s="63">
        <v>900.16</v>
      </c>
      <c r="BX137" s="58">
        <v>8.39</v>
      </c>
      <c r="BY137" s="60"/>
      <c r="BZ137" s="27"/>
      <c r="CA137" s="32"/>
      <c r="CB137" s="42"/>
      <c r="CC137" s="44"/>
      <c r="CD137" s="30">
        <f t="shared" si="66"/>
        <v>8.39</v>
      </c>
      <c r="CF137" s="58">
        <v>1681.64</v>
      </c>
      <c r="CG137" s="63"/>
      <c r="CH137" s="58">
        <v>153.16</v>
      </c>
      <c r="CI137" s="60"/>
      <c r="CJ137" s="27"/>
      <c r="CK137" s="32">
        <v>80.127630000000039</v>
      </c>
      <c r="CL137" s="42">
        <v>83.715964285714279</v>
      </c>
      <c r="CM137" s="44"/>
      <c r="CN137" s="30">
        <f t="shared" si="67"/>
        <v>317.00359428571431</v>
      </c>
      <c r="CP137" s="58">
        <v>4569.32</v>
      </c>
      <c r="CQ137" s="58">
        <v>1890.01</v>
      </c>
      <c r="CR137" s="63">
        <v>6212.44</v>
      </c>
      <c r="CS137" s="58">
        <v>22.95</v>
      </c>
      <c r="CT137" s="60"/>
      <c r="CU137" s="27"/>
      <c r="CV137" s="32">
        <v>282.22999999999996</v>
      </c>
      <c r="CW137" s="42">
        <v>7.7017257142857147</v>
      </c>
      <c r="CX137" s="44"/>
      <c r="CY137" s="229">
        <f t="shared" si="68"/>
        <v>312.88172571428566</v>
      </c>
    </row>
    <row r="138" spans="1:103" s="217" customFormat="1" hidden="1" x14ac:dyDescent="0.25">
      <c r="A138" s="47">
        <v>46068</v>
      </c>
      <c r="B138" s="230">
        <v>2184.62</v>
      </c>
      <c r="C138" s="231">
        <v>2163.79</v>
      </c>
      <c r="D138" s="230">
        <v>153.02000000000001</v>
      </c>
      <c r="E138" s="232">
        <v>0.44</v>
      </c>
      <c r="F138" s="27"/>
      <c r="G138" s="32">
        <v>19.375200000000007</v>
      </c>
      <c r="H138" s="52"/>
      <c r="I138" s="44"/>
      <c r="J138" s="30">
        <f t="shared" si="61"/>
        <v>172.39520000000002</v>
      </c>
      <c r="L138" s="58">
        <v>6609.51</v>
      </c>
      <c r="M138" s="63">
        <v>6020.39</v>
      </c>
      <c r="N138" s="58">
        <v>15.86</v>
      </c>
      <c r="O138" s="60"/>
      <c r="P138" s="27"/>
      <c r="Q138" s="32">
        <v>29.561339999999994</v>
      </c>
      <c r="R138" s="32"/>
      <c r="S138" s="42"/>
      <c r="T138" s="44"/>
      <c r="U138" s="30">
        <f t="shared" si="60"/>
        <v>45.421339999999994</v>
      </c>
      <c r="V138" s="228"/>
      <c r="W138" s="58">
        <v>2429.12</v>
      </c>
      <c r="X138" s="63"/>
      <c r="Y138" s="58"/>
      <c r="Z138" s="60"/>
      <c r="AA138" s="27"/>
      <c r="AB138" s="32">
        <v>0.47825999999998814</v>
      </c>
      <c r="AC138" s="42"/>
      <c r="AD138" s="44"/>
      <c r="AE138" s="30">
        <f t="shared" si="62"/>
        <v>0.47825999999998814</v>
      </c>
      <c r="AG138" s="58">
        <v>5643.55</v>
      </c>
      <c r="AH138" s="63">
        <v>629.84</v>
      </c>
      <c r="AI138" s="58"/>
      <c r="AJ138" s="60"/>
      <c r="AK138" s="27"/>
      <c r="AL138" s="32"/>
      <c r="AM138" s="42"/>
      <c r="AN138" s="44"/>
      <c r="AO138" s="30">
        <f t="shared" si="63"/>
        <v>0</v>
      </c>
      <c r="AQ138" s="58">
        <v>7061.12</v>
      </c>
      <c r="AR138" s="58">
        <v>1208.79</v>
      </c>
      <c r="AS138" s="58">
        <v>391.97</v>
      </c>
      <c r="AT138" s="62"/>
      <c r="AU138" s="27"/>
      <c r="AV138" s="32">
        <v>19.882770000000008</v>
      </c>
      <c r="AW138" s="42"/>
      <c r="AX138" s="44"/>
      <c r="AY138" s="30">
        <f t="shared" si="64"/>
        <v>411.85277000000002</v>
      </c>
      <c r="BA138" s="58">
        <v>3077.73</v>
      </c>
      <c r="BB138" s="63"/>
      <c r="BC138" s="58"/>
      <c r="BD138" s="60"/>
      <c r="BE138" s="27"/>
      <c r="BF138" s="32">
        <v>16.029370000000029</v>
      </c>
      <c r="BG138" s="42"/>
      <c r="BH138" s="44"/>
      <c r="BI138" s="30">
        <f t="shared" si="65"/>
        <v>16.029370000000029</v>
      </c>
      <c r="BK138" s="58">
        <v>15787.71</v>
      </c>
      <c r="BL138" s="63">
        <v>1602.9</v>
      </c>
      <c r="BM138" s="58">
        <v>25.8</v>
      </c>
      <c r="BN138" s="60"/>
      <c r="BO138" s="27"/>
      <c r="BP138" s="32">
        <v>13.232699999999994</v>
      </c>
      <c r="BQ138" s="32"/>
      <c r="BR138" s="42"/>
      <c r="BS138" s="44"/>
      <c r="BT138" s="30">
        <f t="shared" si="69"/>
        <v>39.032699999999991</v>
      </c>
      <c r="BV138" s="58">
        <v>2558.67</v>
      </c>
      <c r="BW138" s="63">
        <v>973.62</v>
      </c>
      <c r="BX138" s="58"/>
      <c r="BY138" s="60"/>
      <c r="BZ138" s="27"/>
      <c r="CA138" s="32"/>
      <c r="CB138" s="42"/>
      <c r="CC138" s="44"/>
      <c r="CD138" s="30">
        <f t="shared" si="66"/>
        <v>0</v>
      </c>
      <c r="CF138" s="58">
        <v>1568.5</v>
      </c>
      <c r="CG138" s="63"/>
      <c r="CH138" s="58">
        <v>167.17</v>
      </c>
      <c r="CI138" s="60"/>
      <c r="CJ138" s="27"/>
      <c r="CK138" s="32"/>
      <c r="CL138" s="42"/>
      <c r="CM138" s="44"/>
      <c r="CN138" s="30">
        <f t="shared" si="67"/>
        <v>167.17</v>
      </c>
      <c r="CP138" s="58">
        <v>13121.72</v>
      </c>
      <c r="CQ138" s="58">
        <v>1121.94</v>
      </c>
      <c r="CR138" s="63">
        <v>3594.32</v>
      </c>
      <c r="CS138" s="58"/>
      <c r="CT138" s="60"/>
      <c r="CU138" s="27"/>
      <c r="CV138" s="32"/>
      <c r="CW138" s="42"/>
      <c r="CX138" s="44"/>
      <c r="CY138" s="229">
        <f t="shared" si="68"/>
        <v>0</v>
      </c>
    </row>
    <row r="139" spans="1:103" s="217" customFormat="1" hidden="1" x14ac:dyDescent="0.25">
      <c r="A139" s="47">
        <v>46069</v>
      </c>
      <c r="B139" s="230">
        <v>2366.38</v>
      </c>
      <c r="C139" s="231">
        <v>3798.25</v>
      </c>
      <c r="D139" s="230">
        <v>434.44</v>
      </c>
      <c r="E139" s="232">
        <v>3.6</v>
      </c>
      <c r="F139" s="27"/>
      <c r="G139" s="32">
        <v>4.6876899999999964</v>
      </c>
      <c r="H139" s="52"/>
      <c r="I139" s="44">
        <v>64.962499500000035</v>
      </c>
      <c r="J139" s="30">
        <f t="shared" si="61"/>
        <v>504.09018950000006</v>
      </c>
      <c r="L139" s="58">
        <v>9824.18</v>
      </c>
      <c r="M139" s="63">
        <v>6575.17</v>
      </c>
      <c r="N139" s="58">
        <v>43.31</v>
      </c>
      <c r="O139" s="60"/>
      <c r="P139" s="27"/>
      <c r="Q139" s="32">
        <v>529.04740000000015</v>
      </c>
      <c r="R139" s="32"/>
      <c r="S139" s="42"/>
      <c r="T139" s="44">
        <v>95.298000000000002</v>
      </c>
      <c r="U139" s="30">
        <f t="shared" si="60"/>
        <v>667.6554000000001</v>
      </c>
      <c r="V139" s="228"/>
      <c r="W139" s="58">
        <v>901.72</v>
      </c>
      <c r="X139" s="63"/>
      <c r="Y139" s="58"/>
      <c r="Z139" s="60"/>
      <c r="AA139" s="27"/>
      <c r="AB139" s="32"/>
      <c r="AC139" s="42"/>
      <c r="AD139" s="44"/>
      <c r="AE139" s="30">
        <f t="shared" si="62"/>
        <v>0</v>
      </c>
      <c r="AG139" s="58">
        <v>4918.26</v>
      </c>
      <c r="AH139" s="63">
        <v>824.16</v>
      </c>
      <c r="AI139" s="58"/>
      <c r="AJ139" s="60"/>
      <c r="AK139" s="27"/>
      <c r="AL139" s="32"/>
      <c r="AM139" s="42"/>
      <c r="AN139" s="44"/>
      <c r="AO139" s="30">
        <f t="shared" si="63"/>
        <v>0</v>
      </c>
      <c r="AQ139" s="58">
        <v>3943.14</v>
      </c>
      <c r="AR139" s="58">
        <v>1005.04</v>
      </c>
      <c r="AS139" s="58">
        <v>380.1</v>
      </c>
      <c r="AT139" s="62"/>
      <c r="AU139" s="27"/>
      <c r="AV139" s="32">
        <v>238.50512000000003</v>
      </c>
      <c r="AW139" s="42"/>
      <c r="AX139" s="44"/>
      <c r="AY139" s="30">
        <f t="shared" si="64"/>
        <v>618.60512000000006</v>
      </c>
      <c r="BA139" s="58">
        <v>2685.2</v>
      </c>
      <c r="BB139" s="63"/>
      <c r="BC139" s="58"/>
      <c r="BD139" s="60"/>
      <c r="BE139" s="27"/>
      <c r="BF139" s="32">
        <v>185.67103000000003</v>
      </c>
      <c r="BG139" s="42"/>
      <c r="BH139" s="44"/>
      <c r="BI139" s="30">
        <f t="shared" si="65"/>
        <v>185.67103000000003</v>
      </c>
      <c r="BK139" s="58">
        <v>18034.13</v>
      </c>
      <c r="BL139" s="63">
        <v>1474.86</v>
      </c>
      <c r="BM139" s="58">
        <v>255.61</v>
      </c>
      <c r="BN139" s="60"/>
      <c r="BO139" s="27"/>
      <c r="BP139" s="32">
        <v>473.91467999999986</v>
      </c>
      <c r="BQ139" s="32"/>
      <c r="BR139" s="42"/>
      <c r="BS139" s="44"/>
      <c r="BT139" s="30">
        <f t="shared" si="69"/>
        <v>729.52467999999988</v>
      </c>
      <c r="BV139" s="58">
        <v>2514.9699999999998</v>
      </c>
      <c r="BW139" s="63">
        <v>694.25</v>
      </c>
      <c r="BX139" s="58"/>
      <c r="BY139" s="60"/>
      <c r="BZ139" s="27"/>
      <c r="CA139" s="32"/>
      <c r="CB139" s="42"/>
      <c r="CC139" s="44"/>
      <c r="CD139" s="30">
        <f t="shared" si="66"/>
        <v>0</v>
      </c>
      <c r="CF139" s="58">
        <v>1522.26</v>
      </c>
      <c r="CG139" s="63"/>
      <c r="CH139" s="58">
        <v>1796.35</v>
      </c>
      <c r="CI139" s="60"/>
      <c r="CJ139" s="27"/>
      <c r="CK139" s="32">
        <v>23.172500000000014</v>
      </c>
      <c r="CL139" s="42"/>
      <c r="CM139" s="44"/>
      <c r="CN139" s="30">
        <f t="shared" si="67"/>
        <v>1819.5225</v>
      </c>
      <c r="CP139" s="58">
        <v>5899.42</v>
      </c>
      <c r="CQ139" s="58">
        <v>667.14</v>
      </c>
      <c r="CR139" s="63">
        <v>2978.22</v>
      </c>
      <c r="CS139" s="58">
        <v>17.82</v>
      </c>
      <c r="CT139" s="60"/>
      <c r="CU139" s="27"/>
      <c r="CV139" s="32">
        <v>1252.20381</v>
      </c>
      <c r="CW139" s="42"/>
      <c r="CX139" s="44"/>
      <c r="CY139" s="229">
        <f t="shared" si="68"/>
        <v>1270.0238099999999</v>
      </c>
    </row>
    <row r="140" spans="1:103" s="217" customFormat="1" hidden="1" x14ac:dyDescent="0.25">
      <c r="A140" s="47">
        <v>46070</v>
      </c>
      <c r="B140" s="230">
        <v>3166.23</v>
      </c>
      <c r="C140" s="231">
        <v>2846.37</v>
      </c>
      <c r="D140" s="230">
        <v>157.36000000000001</v>
      </c>
      <c r="E140" s="232">
        <v>1.46</v>
      </c>
      <c r="F140" s="27"/>
      <c r="G140" s="32">
        <v>4.1865600000000001</v>
      </c>
      <c r="H140" s="52"/>
      <c r="I140" s="44"/>
      <c r="J140" s="30">
        <f t="shared" si="61"/>
        <v>161.54656</v>
      </c>
      <c r="L140" s="58">
        <v>7400.34</v>
      </c>
      <c r="M140" s="63">
        <v>6593.17</v>
      </c>
      <c r="N140" s="58">
        <v>21.92</v>
      </c>
      <c r="O140" s="60"/>
      <c r="P140" s="27"/>
      <c r="Q140" s="32">
        <v>127.17732000000008</v>
      </c>
      <c r="R140" s="32"/>
      <c r="S140" s="42"/>
      <c r="T140" s="44">
        <v>22.762369499999991</v>
      </c>
      <c r="U140" s="30">
        <f t="shared" si="60"/>
        <v>171.85968950000006</v>
      </c>
      <c r="V140" s="228"/>
      <c r="W140" s="58">
        <v>2226.0700000000002</v>
      </c>
      <c r="X140" s="63"/>
      <c r="Y140" s="58"/>
      <c r="Z140" s="60"/>
      <c r="AA140" s="27"/>
      <c r="AB140" s="32">
        <v>17.890110000000014</v>
      </c>
      <c r="AC140" s="42"/>
      <c r="AD140" s="44"/>
      <c r="AE140" s="30">
        <f t="shared" si="62"/>
        <v>17.890110000000014</v>
      </c>
      <c r="AG140" s="58">
        <v>8024.98</v>
      </c>
      <c r="AH140" s="63">
        <v>899.54</v>
      </c>
      <c r="AI140" s="58"/>
      <c r="AJ140" s="60"/>
      <c r="AK140" s="27"/>
      <c r="AL140" s="32"/>
      <c r="AM140" s="42"/>
      <c r="AN140" s="44"/>
      <c r="AO140" s="30">
        <f t="shared" si="63"/>
        <v>0</v>
      </c>
      <c r="AQ140" s="58">
        <v>12386.45</v>
      </c>
      <c r="AR140" s="58">
        <v>760.56</v>
      </c>
      <c r="AS140" s="58">
        <v>866.82</v>
      </c>
      <c r="AT140" s="62"/>
      <c r="AU140" s="27"/>
      <c r="AV140" s="32">
        <v>91.363049999999959</v>
      </c>
      <c r="AW140" s="42">
        <v>18.465772289523755</v>
      </c>
      <c r="AX140" s="44"/>
      <c r="AY140" s="30">
        <f t="shared" si="64"/>
        <v>976.64882228952376</v>
      </c>
      <c r="BA140" s="58">
        <v>6232.15</v>
      </c>
      <c r="BB140" s="63"/>
      <c r="BC140" s="58"/>
      <c r="BD140" s="60"/>
      <c r="BE140" s="27"/>
      <c r="BF140" s="32">
        <v>14.562170000000023</v>
      </c>
      <c r="BG140" s="42"/>
      <c r="BH140" s="44"/>
      <c r="BI140" s="30">
        <f t="shared" si="65"/>
        <v>14.562170000000023</v>
      </c>
      <c r="BK140" s="58">
        <v>12406.7</v>
      </c>
      <c r="BL140" s="63">
        <v>1018.84</v>
      </c>
      <c r="BM140" s="58">
        <v>216.7</v>
      </c>
      <c r="BN140" s="60"/>
      <c r="BO140" s="27"/>
      <c r="BP140" s="32">
        <v>139.17790999999991</v>
      </c>
      <c r="BQ140" s="32"/>
      <c r="BR140" s="42">
        <v>121.76694444190477</v>
      </c>
      <c r="BS140" s="44"/>
      <c r="BT140" s="30">
        <f t="shared" si="69"/>
        <v>477.64485444190467</v>
      </c>
      <c r="BV140" s="58">
        <v>1901.19</v>
      </c>
      <c r="BW140" s="63">
        <v>525.95000000000005</v>
      </c>
      <c r="BX140" s="58">
        <v>5.88</v>
      </c>
      <c r="BY140" s="60"/>
      <c r="BZ140" s="27"/>
      <c r="CA140" s="32"/>
      <c r="CB140" s="42"/>
      <c r="CC140" s="44"/>
      <c r="CD140" s="30">
        <f t="shared" si="66"/>
        <v>5.88</v>
      </c>
      <c r="CF140" s="58">
        <v>1064.81</v>
      </c>
      <c r="CG140" s="63"/>
      <c r="CH140" s="58">
        <v>948.56</v>
      </c>
      <c r="CI140" s="60"/>
      <c r="CJ140" s="27"/>
      <c r="CK140" s="32">
        <v>57.5</v>
      </c>
      <c r="CL140" s="42">
        <v>59.655619047619098</v>
      </c>
      <c r="CM140" s="44"/>
      <c r="CN140" s="30">
        <f t="shared" si="67"/>
        <v>1065.7156190476189</v>
      </c>
      <c r="CP140" s="58">
        <v>6276.46</v>
      </c>
      <c r="CQ140" s="58">
        <v>1117.79</v>
      </c>
      <c r="CR140" s="63">
        <v>3181.73</v>
      </c>
      <c r="CS140" s="58">
        <v>20.25</v>
      </c>
      <c r="CT140" s="60"/>
      <c r="CU140" s="27"/>
      <c r="CV140" s="32">
        <v>440.02192000000002</v>
      </c>
      <c r="CW140" s="42">
        <v>17.700924434285696</v>
      </c>
      <c r="CX140" s="44"/>
      <c r="CY140" s="229">
        <f t="shared" si="68"/>
        <v>477.97284443428572</v>
      </c>
    </row>
    <row r="141" spans="1:103" s="217" customFormat="1" hidden="1" x14ac:dyDescent="0.25">
      <c r="A141" s="47">
        <v>46071</v>
      </c>
      <c r="B141" s="230">
        <v>2602.17</v>
      </c>
      <c r="C141" s="231">
        <v>4888.8</v>
      </c>
      <c r="D141" s="230">
        <v>68.569999999999993</v>
      </c>
      <c r="E141" s="232">
        <v>27.56</v>
      </c>
      <c r="F141" s="27"/>
      <c r="G141" s="32">
        <v>25.049319999999987</v>
      </c>
      <c r="H141" s="52"/>
      <c r="I141" s="44">
        <v>157.51155419999998</v>
      </c>
      <c r="J141" s="30">
        <f t="shared" si="61"/>
        <v>251.13087419999997</v>
      </c>
      <c r="L141" s="58">
        <v>7202.39</v>
      </c>
      <c r="M141" s="63">
        <v>7241.01</v>
      </c>
      <c r="N141" s="58">
        <v>18.12</v>
      </c>
      <c r="O141" s="60"/>
      <c r="P141" s="27"/>
      <c r="Q141" s="32">
        <v>521.84189000000015</v>
      </c>
      <c r="R141" s="32"/>
      <c r="S141" s="42"/>
      <c r="T141" s="44">
        <v>101.98250860000002</v>
      </c>
      <c r="U141" s="30">
        <f t="shared" si="60"/>
        <v>641.94439860000023</v>
      </c>
      <c r="V141" s="228"/>
      <c r="W141" s="58">
        <v>2356.7600000000002</v>
      </c>
      <c r="X141" s="63"/>
      <c r="Y141" s="58"/>
      <c r="Z141" s="60"/>
      <c r="AA141" s="27"/>
      <c r="AB141" s="32">
        <v>19.852560000000068</v>
      </c>
      <c r="AC141" s="42"/>
      <c r="AD141" s="44"/>
      <c r="AE141" s="30">
        <f t="shared" si="62"/>
        <v>19.852560000000068</v>
      </c>
      <c r="AG141" s="58">
        <v>3648.05</v>
      </c>
      <c r="AH141" s="63">
        <v>360.45</v>
      </c>
      <c r="AI141" s="58"/>
      <c r="AJ141" s="60"/>
      <c r="AK141" s="27"/>
      <c r="AL141" s="32"/>
      <c r="AM141" s="42"/>
      <c r="AN141" s="44"/>
      <c r="AO141" s="30">
        <f t="shared" si="63"/>
        <v>0</v>
      </c>
      <c r="AQ141" s="58">
        <v>9336.7999999999993</v>
      </c>
      <c r="AR141" s="58">
        <v>978.03</v>
      </c>
      <c r="AS141" s="58">
        <v>556.88</v>
      </c>
      <c r="AT141" s="62"/>
      <c r="AU141" s="27"/>
      <c r="AV141" s="32">
        <v>87.903899999999922</v>
      </c>
      <c r="AW141" s="42">
        <v>12.439839554285697</v>
      </c>
      <c r="AX141" s="44"/>
      <c r="AY141" s="30">
        <f t="shared" si="64"/>
        <v>657.22373955428566</v>
      </c>
      <c r="BA141" s="58">
        <v>4220.57</v>
      </c>
      <c r="BB141" s="63"/>
      <c r="BC141" s="58"/>
      <c r="BD141" s="60"/>
      <c r="BE141" s="27"/>
      <c r="BF141" s="32">
        <v>123.36434999999989</v>
      </c>
      <c r="BG141" s="42"/>
      <c r="BH141" s="44"/>
      <c r="BI141" s="30">
        <f t="shared" si="65"/>
        <v>123.36434999999989</v>
      </c>
      <c r="BK141" s="58">
        <v>16883.45</v>
      </c>
      <c r="BL141" s="63">
        <v>1075.79</v>
      </c>
      <c r="BM141" s="58">
        <v>398.24</v>
      </c>
      <c r="BN141" s="60"/>
      <c r="BO141" s="27"/>
      <c r="BP141" s="32">
        <v>160.17246999999981</v>
      </c>
      <c r="BQ141" s="32"/>
      <c r="BR141" s="42">
        <v>119.04005290666672</v>
      </c>
      <c r="BS141" s="44"/>
      <c r="BT141" s="30">
        <f t="shared" si="69"/>
        <v>677.45252290666656</v>
      </c>
      <c r="BV141" s="58">
        <v>2448.14</v>
      </c>
      <c r="BW141" s="63">
        <v>631.75</v>
      </c>
      <c r="BX141" s="58"/>
      <c r="BY141" s="60"/>
      <c r="BZ141" s="27"/>
      <c r="CA141" s="32"/>
      <c r="CB141" s="42"/>
      <c r="CC141" s="44"/>
      <c r="CD141" s="30">
        <f t="shared" si="66"/>
        <v>0</v>
      </c>
      <c r="CF141" s="58">
        <v>2453.34</v>
      </c>
      <c r="CG141" s="63"/>
      <c r="CH141" s="58">
        <v>799.05</v>
      </c>
      <c r="CI141" s="60"/>
      <c r="CJ141" s="27"/>
      <c r="CK141" s="32"/>
      <c r="CL141" s="42"/>
      <c r="CM141" s="44"/>
      <c r="CN141" s="30">
        <f t="shared" si="67"/>
        <v>799.05</v>
      </c>
      <c r="CP141" s="58">
        <v>4853.7299999999996</v>
      </c>
      <c r="CQ141" s="58">
        <v>760.32</v>
      </c>
      <c r="CR141" s="63">
        <v>3178.88</v>
      </c>
      <c r="CS141" s="58">
        <v>13.33</v>
      </c>
      <c r="CT141" s="60"/>
      <c r="CU141" s="27"/>
      <c r="CV141" s="32">
        <v>443.55401999999981</v>
      </c>
      <c r="CW141" s="42">
        <v>7.5943474285714103</v>
      </c>
      <c r="CX141" s="44"/>
      <c r="CY141" s="229">
        <f t="shared" si="68"/>
        <v>464.47836742857118</v>
      </c>
    </row>
    <row r="142" spans="1:103" s="217" customFormat="1" hidden="1" x14ac:dyDescent="0.25">
      <c r="A142" s="47">
        <v>46072</v>
      </c>
      <c r="B142" s="230">
        <v>9358.1200000000008</v>
      </c>
      <c r="C142" s="231">
        <v>3788.97</v>
      </c>
      <c r="D142" s="230">
        <v>364.22</v>
      </c>
      <c r="E142" s="232">
        <v>3.69</v>
      </c>
      <c r="F142" s="27"/>
      <c r="G142" s="32">
        <v>19.320599999999999</v>
      </c>
      <c r="H142" s="52"/>
      <c r="I142" s="44"/>
      <c r="J142" s="30">
        <f t="shared" si="61"/>
        <v>383.54060000000004</v>
      </c>
      <c r="L142" s="58">
        <v>8785.8799999999992</v>
      </c>
      <c r="M142" s="63">
        <v>7310.74</v>
      </c>
      <c r="N142" s="58">
        <v>54.03</v>
      </c>
      <c r="O142" s="60"/>
      <c r="P142" s="27"/>
      <c r="Q142" s="32">
        <v>220.01927000000012</v>
      </c>
      <c r="R142" s="32"/>
      <c r="S142" s="42"/>
      <c r="T142" s="44">
        <v>46.705691200000032</v>
      </c>
      <c r="U142" s="30">
        <f t="shared" si="60"/>
        <v>320.75496120000014</v>
      </c>
      <c r="V142" s="228"/>
      <c r="W142" s="58">
        <v>3819.1</v>
      </c>
      <c r="X142" s="63"/>
      <c r="Y142" s="58"/>
      <c r="Z142" s="60"/>
      <c r="AA142" s="27"/>
      <c r="AB142" s="32">
        <v>10.611120000000014</v>
      </c>
      <c r="AC142" s="42"/>
      <c r="AD142" s="44"/>
      <c r="AE142" s="30">
        <f t="shared" si="62"/>
        <v>10.611120000000014</v>
      </c>
      <c r="AG142" s="58">
        <v>6726.68</v>
      </c>
      <c r="AH142" s="63">
        <v>768.68</v>
      </c>
      <c r="AI142" s="58"/>
      <c r="AJ142" s="60"/>
      <c r="AK142" s="27"/>
      <c r="AL142" s="32"/>
      <c r="AM142" s="42"/>
      <c r="AN142" s="44"/>
      <c r="AO142" s="30">
        <f t="shared" si="63"/>
        <v>0</v>
      </c>
      <c r="AQ142" s="58">
        <v>8724.33</v>
      </c>
      <c r="AR142" s="58">
        <v>786.67</v>
      </c>
      <c r="AS142" s="58">
        <v>589.83000000000004</v>
      </c>
      <c r="AT142" s="62"/>
      <c r="AU142" s="27"/>
      <c r="AV142" s="32">
        <v>78.21521999999986</v>
      </c>
      <c r="AW142" s="42">
        <v>7.9332850952380767</v>
      </c>
      <c r="AX142" s="44"/>
      <c r="AY142" s="30">
        <f t="shared" si="64"/>
        <v>675.97850509523801</v>
      </c>
      <c r="BA142" s="58">
        <v>5863.81</v>
      </c>
      <c r="BB142" s="63"/>
      <c r="BC142" s="58"/>
      <c r="BD142" s="60"/>
      <c r="BE142" s="27"/>
      <c r="BF142" s="32">
        <v>59.629999999999995</v>
      </c>
      <c r="BG142" s="42"/>
      <c r="BH142" s="44"/>
      <c r="BI142" s="30">
        <f t="shared" si="65"/>
        <v>59.629999999999995</v>
      </c>
      <c r="BK142" s="58">
        <v>21826.1</v>
      </c>
      <c r="BL142" s="63">
        <v>1153.5999999999999</v>
      </c>
      <c r="BM142" s="58">
        <v>216.78</v>
      </c>
      <c r="BN142" s="60"/>
      <c r="BO142" s="27"/>
      <c r="BP142" s="32">
        <v>170.52916999999997</v>
      </c>
      <c r="BQ142" s="32"/>
      <c r="BR142" s="42">
        <v>128.98521613714291</v>
      </c>
      <c r="BS142" s="44"/>
      <c r="BT142" s="30">
        <f t="shared" si="69"/>
        <v>516.29438613714285</v>
      </c>
      <c r="BV142" s="58">
        <v>2633.7</v>
      </c>
      <c r="BW142" s="63">
        <v>672.28</v>
      </c>
      <c r="BX142" s="58">
        <v>8.0500000000000007</v>
      </c>
      <c r="BY142" s="60"/>
      <c r="BZ142" s="27"/>
      <c r="CA142" s="32"/>
      <c r="CB142" s="42"/>
      <c r="CC142" s="44"/>
      <c r="CD142" s="30">
        <f t="shared" si="66"/>
        <v>8.0500000000000007</v>
      </c>
      <c r="CF142" s="58">
        <v>1533.64</v>
      </c>
      <c r="CG142" s="63"/>
      <c r="CH142" s="58">
        <v>233.79</v>
      </c>
      <c r="CI142" s="60"/>
      <c r="CJ142" s="27"/>
      <c r="CK142" s="32">
        <v>30.378359999999994</v>
      </c>
      <c r="CL142" s="42"/>
      <c r="CM142" s="44"/>
      <c r="CN142" s="30">
        <f t="shared" si="67"/>
        <v>264.16836000000001</v>
      </c>
      <c r="CP142" s="58">
        <v>5558.29</v>
      </c>
      <c r="CQ142" s="58">
        <v>1061.06</v>
      </c>
      <c r="CR142" s="63">
        <v>4527.1499999999996</v>
      </c>
      <c r="CS142" s="58">
        <v>34.21</v>
      </c>
      <c r="CT142" s="60"/>
      <c r="CU142" s="27"/>
      <c r="CV142" s="32">
        <v>382.41657999999984</v>
      </c>
      <c r="CW142" s="42">
        <v>10.327181878095217</v>
      </c>
      <c r="CX142" s="44"/>
      <c r="CY142" s="229">
        <f t="shared" si="68"/>
        <v>426.95376187809501</v>
      </c>
    </row>
    <row r="143" spans="1:103" s="217" customFormat="1" hidden="1" x14ac:dyDescent="0.25">
      <c r="A143" s="47">
        <v>46073</v>
      </c>
      <c r="B143" s="230">
        <v>2948.41</v>
      </c>
      <c r="C143" s="231">
        <v>3899.15</v>
      </c>
      <c r="D143" s="230">
        <v>133.16999999999999</v>
      </c>
      <c r="E143" s="232">
        <v>3.41</v>
      </c>
      <c r="F143" s="27"/>
      <c r="G143" s="32"/>
      <c r="H143" s="52"/>
      <c r="I143" s="44"/>
      <c r="J143" s="30">
        <f t="shared" si="61"/>
        <v>133.16999999999999</v>
      </c>
      <c r="L143" s="58">
        <v>10018.35</v>
      </c>
      <c r="M143" s="63">
        <v>8660.91</v>
      </c>
      <c r="N143" s="58">
        <v>58.18</v>
      </c>
      <c r="O143" s="60"/>
      <c r="P143" s="27"/>
      <c r="Q143" s="32">
        <v>217.95602000000017</v>
      </c>
      <c r="R143" s="32"/>
      <c r="S143" s="42"/>
      <c r="T143" s="44">
        <v>153.15357540000008</v>
      </c>
      <c r="U143" s="30">
        <f t="shared" si="60"/>
        <v>429.28959540000022</v>
      </c>
      <c r="V143" s="228"/>
      <c r="W143" s="58">
        <v>1503.22</v>
      </c>
      <c r="X143" s="63"/>
      <c r="Y143" s="58"/>
      <c r="Z143" s="60"/>
      <c r="AA143" s="27"/>
      <c r="AB143" s="32">
        <v>15.755219999999969</v>
      </c>
      <c r="AC143" s="42"/>
      <c r="AD143" s="44"/>
      <c r="AE143" s="30">
        <f t="shared" si="62"/>
        <v>15.755219999999969</v>
      </c>
      <c r="AG143" s="58">
        <v>5320.92</v>
      </c>
      <c r="AH143" s="63">
        <v>603.84</v>
      </c>
      <c r="AI143" s="58"/>
      <c r="AJ143" s="60"/>
      <c r="AK143" s="27"/>
      <c r="AL143" s="32"/>
      <c r="AM143" s="42"/>
      <c r="AN143" s="44"/>
      <c r="AO143" s="30">
        <f t="shared" si="63"/>
        <v>0</v>
      </c>
      <c r="AQ143" s="58">
        <v>4100.6099999999997</v>
      </c>
      <c r="AR143" s="58">
        <v>943.28</v>
      </c>
      <c r="AS143" s="58">
        <v>54.05</v>
      </c>
      <c r="AT143" s="62"/>
      <c r="AU143" s="27"/>
      <c r="AV143" s="32">
        <v>93.315779999999876</v>
      </c>
      <c r="AW143" s="42">
        <v>76.490313999999898</v>
      </c>
      <c r="AX143" s="44">
        <v>18.509165499999995</v>
      </c>
      <c r="AY143" s="30">
        <f t="shared" si="64"/>
        <v>242.36525949999975</v>
      </c>
      <c r="BA143" s="58">
        <v>5946.87</v>
      </c>
      <c r="BB143" s="63"/>
      <c r="BC143" s="62">
        <v>9.86</v>
      </c>
      <c r="BD143" s="60"/>
      <c r="BE143" s="27"/>
      <c r="BF143" s="32">
        <v>12.552839999999989</v>
      </c>
      <c r="BG143" s="42"/>
      <c r="BH143" s="44"/>
      <c r="BI143" s="30">
        <f t="shared" si="65"/>
        <v>22.412839999999989</v>
      </c>
      <c r="BK143" s="58">
        <v>22889.08</v>
      </c>
      <c r="BL143" s="63">
        <v>2042.41</v>
      </c>
      <c r="BM143" s="58">
        <v>216.66</v>
      </c>
      <c r="BN143" s="60"/>
      <c r="BO143" s="27"/>
      <c r="BP143" s="32">
        <v>414.51715999999954</v>
      </c>
      <c r="BQ143" s="32"/>
      <c r="BR143" s="42">
        <v>25.638000000000005</v>
      </c>
      <c r="BS143" s="44"/>
      <c r="BT143" s="30">
        <f t="shared" si="69"/>
        <v>656.81515999999954</v>
      </c>
      <c r="BV143" s="58">
        <v>2662.19</v>
      </c>
      <c r="BW143" s="63">
        <v>1014.14</v>
      </c>
      <c r="BX143" s="58"/>
      <c r="BY143" s="60"/>
      <c r="BZ143" s="27"/>
      <c r="CA143" s="32"/>
      <c r="CB143" s="42"/>
      <c r="CC143" s="44"/>
      <c r="CD143" s="30">
        <f t="shared" si="66"/>
        <v>0</v>
      </c>
      <c r="CF143" s="58">
        <v>1608.05</v>
      </c>
      <c r="CG143" s="63"/>
      <c r="CH143" s="58">
        <v>112.49</v>
      </c>
      <c r="CI143" s="60"/>
      <c r="CJ143" s="27"/>
      <c r="CK143" s="32"/>
      <c r="CL143" s="42">
        <v>13.384408799999989</v>
      </c>
      <c r="CM143" s="44"/>
      <c r="CN143" s="30">
        <f t="shared" si="67"/>
        <v>125.87440879999998</v>
      </c>
      <c r="CP143" s="58">
        <v>8502.74</v>
      </c>
      <c r="CQ143" s="58">
        <v>1379.53</v>
      </c>
      <c r="CR143" s="63">
        <v>6182.79</v>
      </c>
      <c r="CS143" s="58">
        <v>25.82</v>
      </c>
      <c r="CT143" s="60"/>
      <c r="CU143" s="27"/>
      <c r="CV143" s="32">
        <v>219.7</v>
      </c>
      <c r="CW143" s="42"/>
      <c r="CX143" s="44"/>
      <c r="CY143" s="229">
        <f t="shared" si="68"/>
        <v>245.51999999999998</v>
      </c>
    </row>
    <row r="144" spans="1:103" s="217" customFormat="1" hidden="1" x14ac:dyDescent="0.25">
      <c r="A144" s="47">
        <v>46074</v>
      </c>
      <c r="B144" s="230">
        <v>1699.41</v>
      </c>
      <c r="C144" s="231">
        <v>2999.49</v>
      </c>
      <c r="D144" s="230">
        <v>90.27</v>
      </c>
      <c r="E144" s="232">
        <v>2.15</v>
      </c>
      <c r="F144" s="27"/>
      <c r="G144" s="32">
        <v>18.164999999999978</v>
      </c>
      <c r="H144" s="52"/>
      <c r="I144" s="44"/>
      <c r="J144" s="30">
        <f t="shared" si="61"/>
        <v>108.43499999999997</v>
      </c>
      <c r="L144" s="58">
        <v>9936.4</v>
      </c>
      <c r="M144" s="63">
        <v>7756.49</v>
      </c>
      <c r="N144" s="58">
        <v>22.59</v>
      </c>
      <c r="O144" s="60"/>
      <c r="P144" s="27"/>
      <c r="Q144" s="32">
        <v>388.46235999999988</v>
      </c>
      <c r="R144" s="32"/>
      <c r="S144" s="42"/>
      <c r="T144" s="44">
        <v>37.807222400000029</v>
      </c>
      <c r="U144" s="30">
        <f t="shared" si="60"/>
        <v>448.85958239999985</v>
      </c>
      <c r="V144" s="228"/>
      <c r="W144" s="58">
        <v>1830.04</v>
      </c>
      <c r="X144" s="63"/>
      <c r="Y144" s="58"/>
      <c r="Z144" s="60"/>
      <c r="AA144" s="27"/>
      <c r="AB144" s="32"/>
      <c r="AC144" s="42"/>
      <c r="AD144" s="44"/>
      <c r="AE144" s="30">
        <f t="shared" si="62"/>
        <v>0</v>
      </c>
      <c r="AG144" s="58">
        <v>6802.25</v>
      </c>
      <c r="AH144" s="63">
        <v>876.76</v>
      </c>
      <c r="AI144" s="58"/>
      <c r="AJ144" s="60"/>
      <c r="AK144" s="27"/>
      <c r="AL144" s="32"/>
      <c r="AM144" s="42"/>
      <c r="AN144" s="44"/>
      <c r="AO144" s="30">
        <f t="shared" si="63"/>
        <v>0</v>
      </c>
      <c r="AQ144" s="58">
        <v>7996.44</v>
      </c>
      <c r="AR144" s="58">
        <v>1798.56</v>
      </c>
      <c r="AS144" s="58">
        <v>319.45999999999998</v>
      </c>
      <c r="AT144" s="62"/>
      <c r="AU144" s="27"/>
      <c r="AV144" s="32">
        <v>37.867769999999965</v>
      </c>
      <c r="AW144" s="42"/>
      <c r="AX144" s="44"/>
      <c r="AY144" s="30">
        <f t="shared" si="64"/>
        <v>357.32776999999993</v>
      </c>
      <c r="BA144" s="58">
        <v>5042.75</v>
      </c>
      <c r="BB144" s="63"/>
      <c r="BC144" s="62">
        <v>8</v>
      </c>
      <c r="BD144" s="60"/>
      <c r="BE144" s="27"/>
      <c r="BF144" s="32">
        <v>18.983839999999987</v>
      </c>
      <c r="BG144" s="42"/>
      <c r="BH144" s="44"/>
      <c r="BI144" s="30">
        <f t="shared" si="65"/>
        <v>26.983839999999987</v>
      </c>
      <c r="BK144" s="58">
        <v>24863.56</v>
      </c>
      <c r="BL144" s="63">
        <v>2424.85</v>
      </c>
      <c r="BM144" s="58">
        <v>276.23</v>
      </c>
      <c r="BN144" s="60"/>
      <c r="BO144" s="27"/>
      <c r="BP144" s="32">
        <v>241.98750999999965</v>
      </c>
      <c r="BQ144" s="32"/>
      <c r="BR144" s="42">
        <v>48.857740799999988</v>
      </c>
      <c r="BS144" s="44"/>
      <c r="BT144" s="30">
        <f t="shared" si="69"/>
        <v>567.07525079999959</v>
      </c>
      <c r="BV144" s="58">
        <v>2578.9499999999998</v>
      </c>
      <c r="BW144" s="63">
        <v>1220.5899999999999</v>
      </c>
      <c r="BX144" s="58">
        <v>0.87</v>
      </c>
      <c r="BY144" s="60"/>
      <c r="BZ144" s="27"/>
      <c r="CA144" s="32"/>
      <c r="CB144" s="42"/>
      <c r="CC144" s="44"/>
      <c r="CD144" s="30">
        <f t="shared" si="66"/>
        <v>0.87</v>
      </c>
      <c r="CF144" s="58">
        <v>1090.1400000000001</v>
      </c>
      <c r="CG144" s="63"/>
      <c r="CH144" s="58">
        <v>191.92</v>
      </c>
      <c r="CI144" s="60"/>
      <c r="CJ144" s="27"/>
      <c r="CK144" s="32">
        <v>71.018749999999955</v>
      </c>
      <c r="CL144" s="42"/>
      <c r="CM144" s="44"/>
      <c r="CN144" s="30">
        <f t="shared" si="67"/>
        <v>262.93874999999991</v>
      </c>
      <c r="CP144" s="58">
        <v>12763.45</v>
      </c>
      <c r="CQ144" s="58">
        <v>2158.92</v>
      </c>
      <c r="CR144" s="63">
        <v>6747.97</v>
      </c>
      <c r="CS144" s="58"/>
      <c r="CT144" s="60"/>
      <c r="CU144" s="27"/>
      <c r="CV144" s="32">
        <v>230.56669999999994</v>
      </c>
      <c r="CW144" s="42">
        <v>28.03399899999998</v>
      </c>
      <c r="CX144" s="44"/>
      <c r="CY144" s="229">
        <f t="shared" si="68"/>
        <v>258.60069899999991</v>
      </c>
    </row>
    <row r="145" spans="1:103" s="217" customFormat="1" hidden="1" x14ac:dyDescent="0.25">
      <c r="A145" s="47">
        <v>46075</v>
      </c>
      <c r="B145" s="230">
        <v>2219.4499999999998</v>
      </c>
      <c r="C145" s="231">
        <v>2510.8200000000002</v>
      </c>
      <c r="D145" s="230">
        <v>23</v>
      </c>
      <c r="E145" s="232">
        <v>2.4300000000000002</v>
      </c>
      <c r="F145" s="27"/>
      <c r="G145" s="32"/>
      <c r="H145" s="52"/>
      <c r="I145" s="44"/>
      <c r="J145" s="30">
        <f>SUM(G145:I145,+D145)</f>
        <v>23</v>
      </c>
      <c r="L145" s="58">
        <v>9226.92</v>
      </c>
      <c r="M145" s="63">
        <v>6235.2</v>
      </c>
      <c r="N145" s="58">
        <v>3.94</v>
      </c>
      <c r="O145" s="60"/>
      <c r="P145" s="27"/>
      <c r="Q145" s="32">
        <v>70.040630000000078</v>
      </c>
      <c r="R145" s="32"/>
      <c r="S145" s="42"/>
      <c r="T145" s="44"/>
      <c r="U145" s="30">
        <f t="shared" si="60"/>
        <v>73.980630000000076</v>
      </c>
      <c r="V145" s="228"/>
      <c r="W145" s="58">
        <v>997.94</v>
      </c>
      <c r="X145" s="63"/>
      <c r="Y145" s="58"/>
      <c r="Z145" s="60"/>
      <c r="AA145" s="27"/>
      <c r="AB145" s="32">
        <v>19.746719999999982</v>
      </c>
      <c r="AC145" s="42"/>
      <c r="AD145" s="44"/>
      <c r="AE145" s="30">
        <f t="shared" si="62"/>
        <v>19.746719999999982</v>
      </c>
      <c r="AG145" s="58">
        <v>5872.3200000000006</v>
      </c>
      <c r="AH145" s="63">
        <v>95.02</v>
      </c>
      <c r="AI145" s="58"/>
      <c r="AJ145" s="60"/>
      <c r="AK145" s="27"/>
      <c r="AL145" s="32"/>
      <c r="AM145" s="42"/>
      <c r="AN145" s="44"/>
      <c r="AO145" s="30">
        <f t="shared" si="63"/>
        <v>0</v>
      </c>
      <c r="AQ145" s="58">
        <v>5774.07</v>
      </c>
      <c r="AR145" s="58">
        <v>1711.34</v>
      </c>
      <c r="AS145" s="58">
        <v>143.11000000000001</v>
      </c>
      <c r="AT145" s="62"/>
      <c r="AU145" s="27"/>
      <c r="AV145" s="32">
        <v>38.736629999999913</v>
      </c>
      <c r="AW145" s="42"/>
      <c r="AX145" s="44"/>
      <c r="AY145" s="30">
        <f t="shared" si="64"/>
        <v>181.84662999999992</v>
      </c>
      <c r="BA145" s="58">
        <v>3351.98</v>
      </c>
      <c r="BB145" s="63"/>
      <c r="BC145" s="62"/>
      <c r="BD145" s="60"/>
      <c r="BE145" s="27"/>
      <c r="BF145" s="32">
        <v>11.864899999999977</v>
      </c>
      <c r="BG145" s="42"/>
      <c r="BH145" s="44"/>
      <c r="BI145" s="30">
        <f t="shared" si="65"/>
        <v>11.864899999999977</v>
      </c>
      <c r="BK145" s="58">
        <v>13657.45</v>
      </c>
      <c r="BL145" s="63">
        <v>2461.56</v>
      </c>
      <c r="BM145" s="58">
        <v>27.76</v>
      </c>
      <c r="BN145" s="60"/>
      <c r="BO145" s="27"/>
      <c r="BP145" s="32"/>
      <c r="BQ145" s="32"/>
      <c r="BR145" s="42">
        <v>15.334578399999998</v>
      </c>
      <c r="BS145" s="44"/>
      <c r="BT145" s="30">
        <f t="shared" si="69"/>
        <v>43.094578400000003</v>
      </c>
      <c r="BV145" s="58">
        <v>1840.36</v>
      </c>
      <c r="BW145" s="63">
        <v>1040.01</v>
      </c>
      <c r="BX145" s="58">
        <v>0.25</v>
      </c>
      <c r="BY145" s="60"/>
      <c r="BZ145" s="27"/>
      <c r="CA145" s="32"/>
      <c r="CB145" s="42"/>
      <c r="CC145" s="44"/>
      <c r="CD145" s="30">
        <f t="shared" si="66"/>
        <v>0.25</v>
      </c>
      <c r="CF145" s="58">
        <v>1016.59</v>
      </c>
      <c r="CG145" s="63"/>
      <c r="CH145" s="58">
        <v>15.31</v>
      </c>
      <c r="CI145" s="60"/>
      <c r="CJ145" s="27"/>
      <c r="CK145" s="32">
        <v>17.225999999999999</v>
      </c>
      <c r="CL145" s="42">
        <v>119.27999999999997</v>
      </c>
      <c r="CM145" s="44"/>
      <c r="CN145" s="30">
        <f t="shared" si="67"/>
        <v>151.81599999999997</v>
      </c>
      <c r="CP145" s="58">
        <v>11437.97</v>
      </c>
      <c r="CQ145" s="58">
        <v>1299.06</v>
      </c>
      <c r="CR145" s="63">
        <v>4148.84</v>
      </c>
      <c r="CS145" s="58">
        <v>12.3</v>
      </c>
      <c r="CT145" s="60"/>
      <c r="CU145" s="27"/>
      <c r="CV145" s="32">
        <v>138.58000000000004</v>
      </c>
      <c r="CW145" s="42">
        <v>1.1740300000000019</v>
      </c>
      <c r="CX145" s="44"/>
      <c r="CY145" s="229">
        <f t="shared" si="68"/>
        <v>152.05403000000007</v>
      </c>
    </row>
    <row r="146" spans="1:103" s="217" customFormat="1" hidden="1" x14ac:dyDescent="0.25">
      <c r="A146" s="47">
        <v>46076</v>
      </c>
      <c r="B146" s="230">
        <v>1593.06</v>
      </c>
      <c r="C146" s="231">
        <v>3872.91</v>
      </c>
      <c r="D146" s="230">
        <v>317.3</v>
      </c>
      <c r="E146" s="232">
        <v>3.47</v>
      </c>
      <c r="F146" s="27"/>
      <c r="G146" s="32">
        <v>23.054999999999978</v>
      </c>
      <c r="H146" s="52"/>
      <c r="I146" s="44"/>
      <c r="J146" s="30">
        <f t="shared" si="61"/>
        <v>340.35500000000002</v>
      </c>
      <c r="L146" s="58">
        <v>9991.2900000000009</v>
      </c>
      <c r="M146" s="63">
        <v>7452.1</v>
      </c>
      <c r="N146" s="58">
        <v>43.39</v>
      </c>
      <c r="O146" s="60"/>
      <c r="P146" s="27"/>
      <c r="Q146" s="32">
        <v>243.99556000000015</v>
      </c>
      <c r="R146" s="32"/>
      <c r="S146" s="42"/>
      <c r="T146" s="44">
        <v>152.46936960000011</v>
      </c>
      <c r="U146" s="30">
        <f t="shared" si="60"/>
        <v>439.85492960000022</v>
      </c>
      <c r="V146" s="228"/>
      <c r="W146" s="58">
        <v>2774.83</v>
      </c>
      <c r="X146" s="63"/>
      <c r="Y146" s="58"/>
      <c r="Z146" s="60"/>
      <c r="AA146" s="27"/>
      <c r="AB146" s="32"/>
      <c r="AC146" s="42"/>
      <c r="AD146" s="44"/>
      <c r="AE146" s="30">
        <f>SUM(AB146:AD146,+Y146)</f>
        <v>0</v>
      </c>
      <c r="AG146" s="58">
        <v>7588.94</v>
      </c>
      <c r="AH146" s="63">
        <v>717.14</v>
      </c>
      <c r="AI146" s="58"/>
      <c r="AJ146" s="60"/>
      <c r="AK146" s="27"/>
      <c r="AL146" s="32"/>
      <c r="AM146" s="42"/>
      <c r="AN146" s="44"/>
      <c r="AO146" s="30">
        <f>SUM(AL146:AN146,+AI146)</f>
        <v>0</v>
      </c>
      <c r="AQ146" s="58">
        <v>5454.98</v>
      </c>
      <c r="AR146" s="58">
        <v>846.33</v>
      </c>
      <c r="AS146" s="58">
        <v>521.70000000000005</v>
      </c>
      <c r="AT146" s="62"/>
      <c r="AU146" s="27"/>
      <c r="AV146" s="32">
        <v>140.31359999999989</v>
      </c>
      <c r="AW146" s="42">
        <v>19.92857570571428</v>
      </c>
      <c r="AX146" s="44"/>
      <c r="AY146" s="30">
        <f>SUM(AV146:AX146,+AS146)</f>
        <v>681.94217570571425</v>
      </c>
      <c r="BA146" s="58">
        <v>7210.47</v>
      </c>
      <c r="BB146" s="63"/>
      <c r="BC146" s="62"/>
      <c r="BD146" s="60"/>
      <c r="BE146" s="27"/>
      <c r="BF146" s="32">
        <v>68.257689999999982</v>
      </c>
      <c r="BG146" s="42"/>
      <c r="BH146" s="44"/>
      <c r="BI146" s="30">
        <f>SUM(BF146:BH146,+BC146)</f>
        <v>68.257689999999982</v>
      </c>
      <c r="BK146" s="58">
        <v>10262.24</v>
      </c>
      <c r="BL146" s="63">
        <v>1009.14</v>
      </c>
      <c r="BM146" s="58">
        <v>244.39</v>
      </c>
      <c r="BN146" s="60"/>
      <c r="BO146" s="27"/>
      <c r="BP146" s="32">
        <v>265.27732999999978</v>
      </c>
      <c r="BQ146" s="32"/>
      <c r="BR146" s="42"/>
      <c r="BS146" s="44"/>
      <c r="BT146" s="30">
        <f>SUM(BP146:BS146,+BM146)</f>
        <v>509.66732999999977</v>
      </c>
      <c r="BV146" s="58">
        <v>2780.03</v>
      </c>
      <c r="BW146" s="63">
        <v>829.28</v>
      </c>
      <c r="BX146" s="58">
        <v>1.69</v>
      </c>
      <c r="BY146" s="60"/>
      <c r="BZ146" s="27"/>
      <c r="CA146" s="32"/>
      <c r="CB146" s="42"/>
      <c r="CC146" s="44"/>
      <c r="CD146" s="30">
        <f>SUM(CA146:CC146,+BX146)</f>
        <v>1.69</v>
      </c>
      <c r="CF146" s="58">
        <v>2405.7800000000002</v>
      </c>
      <c r="CG146" s="63"/>
      <c r="CH146" s="58">
        <v>202.31</v>
      </c>
      <c r="CI146" s="60"/>
      <c r="CJ146" s="27"/>
      <c r="CK146" s="32">
        <v>20.365000000000009</v>
      </c>
      <c r="CL146" s="42"/>
      <c r="CM146" s="44"/>
      <c r="CN146" s="30">
        <f t="shared" si="67"/>
        <v>222.67500000000001</v>
      </c>
      <c r="CP146" s="58">
        <v>5341.77</v>
      </c>
      <c r="CQ146" s="58">
        <v>799.89</v>
      </c>
      <c r="CR146" s="63">
        <v>3181.1</v>
      </c>
      <c r="CS146" s="58"/>
      <c r="CT146" s="60"/>
      <c r="CU146" s="27"/>
      <c r="CV146" s="32">
        <v>650.91194999999993</v>
      </c>
      <c r="CW146" s="42">
        <v>38.934952405714299</v>
      </c>
      <c r="CX146" s="44"/>
      <c r="CY146" s="229">
        <f t="shared" si="68"/>
        <v>689.84690240571422</v>
      </c>
    </row>
    <row r="147" spans="1:103" s="217" customFormat="1" hidden="1" x14ac:dyDescent="0.25">
      <c r="A147" s="47">
        <v>46077</v>
      </c>
      <c r="B147" s="230">
        <v>2930.43</v>
      </c>
      <c r="C147" s="231">
        <v>3772.47</v>
      </c>
      <c r="D147" s="230">
        <v>236.32</v>
      </c>
      <c r="E147" s="232">
        <v>3.72</v>
      </c>
      <c r="F147" s="27"/>
      <c r="G147" s="32">
        <v>12.499999999999986</v>
      </c>
      <c r="H147" s="52"/>
      <c r="I147" s="44"/>
      <c r="J147" s="30">
        <f t="shared" si="61"/>
        <v>248.82</v>
      </c>
      <c r="L147" s="58">
        <v>9264.4500000000007</v>
      </c>
      <c r="M147" s="63">
        <v>7649.03</v>
      </c>
      <c r="N147" s="58">
        <v>9.8699999999999992</v>
      </c>
      <c r="O147" s="60"/>
      <c r="P147" s="27"/>
      <c r="Q147" s="32">
        <v>591.47177000000022</v>
      </c>
      <c r="R147" s="32"/>
      <c r="S147" s="42"/>
      <c r="T147" s="44">
        <v>14.636412800000016</v>
      </c>
      <c r="U147" s="30">
        <f t="shared" si="60"/>
        <v>615.97818280000024</v>
      </c>
      <c r="V147" s="228"/>
      <c r="W147" s="58">
        <v>1976.86</v>
      </c>
      <c r="X147" s="63"/>
      <c r="Y147" s="58"/>
      <c r="Z147" s="60"/>
      <c r="AA147" s="27"/>
      <c r="AB147" s="32">
        <v>10.472110000000015</v>
      </c>
      <c r="AC147" s="42"/>
      <c r="AD147" s="44"/>
      <c r="AE147" s="30">
        <f t="shared" si="62"/>
        <v>10.472110000000015</v>
      </c>
      <c r="AG147" s="58">
        <v>7400.8799999999992</v>
      </c>
      <c r="AH147" s="63"/>
      <c r="AI147" s="58"/>
      <c r="AJ147" s="60"/>
      <c r="AK147" s="27"/>
      <c r="AL147" s="32"/>
      <c r="AM147" s="42"/>
      <c r="AN147" s="44"/>
      <c r="AO147" s="30">
        <f t="shared" si="63"/>
        <v>0</v>
      </c>
      <c r="AQ147" s="58">
        <v>8603.44</v>
      </c>
      <c r="AR147" s="58">
        <v>879.84</v>
      </c>
      <c r="AS147" s="58">
        <v>575.89</v>
      </c>
      <c r="AT147" s="62"/>
      <c r="AU147" s="27"/>
      <c r="AV147" s="32">
        <v>109.99583999999982</v>
      </c>
      <c r="AW147" s="42">
        <v>37.519466536190464</v>
      </c>
      <c r="AX147" s="44"/>
      <c r="AY147" s="30">
        <f t="shared" si="64"/>
        <v>723.40530653619021</v>
      </c>
      <c r="BA147" s="58">
        <v>3745.31</v>
      </c>
      <c r="BB147" s="63"/>
      <c r="BC147" s="62"/>
      <c r="BD147" s="60"/>
      <c r="BE147" s="27"/>
      <c r="BF147" s="32">
        <v>48.064270000000008</v>
      </c>
      <c r="BG147" s="42"/>
      <c r="BH147" s="44"/>
      <c r="BI147" s="30">
        <f t="shared" si="65"/>
        <v>48.064270000000008</v>
      </c>
      <c r="BK147" s="58">
        <v>21478.09</v>
      </c>
      <c r="BL147" s="63">
        <v>1354.49</v>
      </c>
      <c r="BM147" s="58">
        <v>230.56</v>
      </c>
      <c r="BN147" s="60"/>
      <c r="BO147" s="27"/>
      <c r="BP147" s="32">
        <v>156.43481999999997</v>
      </c>
      <c r="BQ147" s="32"/>
      <c r="BR147" s="42"/>
      <c r="BS147" s="44"/>
      <c r="BT147" s="30">
        <f t="shared" si="69"/>
        <v>386.99482</v>
      </c>
      <c r="BV147" s="58">
        <v>2922.4</v>
      </c>
      <c r="BW147" s="63">
        <v>966.91</v>
      </c>
      <c r="BX147" s="58">
        <v>8.75</v>
      </c>
      <c r="BY147" s="60"/>
      <c r="BZ147" s="27"/>
      <c r="CA147" s="32"/>
      <c r="CB147" s="42"/>
      <c r="CC147" s="44"/>
      <c r="CD147" s="30">
        <f t="shared" si="66"/>
        <v>8.75</v>
      </c>
      <c r="CF147" s="58">
        <v>1066.47</v>
      </c>
      <c r="CG147" s="63"/>
      <c r="CH147" s="58">
        <v>78.77</v>
      </c>
      <c r="CI147" s="60"/>
      <c r="CJ147" s="27"/>
      <c r="CK147" s="32">
        <v>60.227939999999975</v>
      </c>
      <c r="CL147" s="42"/>
      <c r="CM147" s="44"/>
      <c r="CN147" s="30">
        <f>SUM(CK147:CM147,+CH147)</f>
        <v>138.99793999999997</v>
      </c>
      <c r="CP147" s="58">
        <v>3372.3</v>
      </c>
      <c r="CQ147" s="58">
        <v>472.26</v>
      </c>
      <c r="CR147" s="63">
        <v>4034.86</v>
      </c>
      <c r="CS147" s="58">
        <v>15.87</v>
      </c>
      <c r="CT147" s="60"/>
      <c r="CU147" s="27"/>
      <c r="CV147" s="32">
        <v>506.75326000000001</v>
      </c>
      <c r="CW147" s="42">
        <v>28.678107849523826</v>
      </c>
      <c r="CX147" s="44"/>
      <c r="CY147" s="229">
        <f t="shared" si="68"/>
        <v>551.3013678495239</v>
      </c>
    </row>
    <row r="148" spans="1:103" s="217" customFormat="1" hidden="1" x14ac:dyDescent="0.25">
      <c r="A148" s="47">
        <v>46078</v>
      </c>
      <c r="B148" s="230">
        <v>3853.66</v>
      </c>
      <c r="C148" s="231">
        <v>3468.1</v>
      </c>
      <c r="D148" s="230">
        <v>221.64</v>
      </c>
      <c r="E148" s="232">
        <v>4.22</v>
      </c>
      <c r="F148" s="27"/>
      <c r="G148" s="32">
        <v>14.114999999999991</v>
      </c>
      <c r="H148" s="52"/>
      <c r="I148" s="44"/>
      <c r="J148" s="30">
        <f t="shared" si="61"/>
        <v>235.75499999999997</v>
      </c>
      <c r="L148" s="58">
        <v>10264.049999999999</v>
      </c>
      <c r="M148" s="63">
        <v>7908.57</v>
      </c>
      <c r="N148" s="58">
        <v>44.99</v>
      </c>
      <c r="O148" s="60"/>
      <c r="P148" s="27"/>
      <c r="Q148" s="32">
        <v>214.11025000000001</v>
      </c>
      <c r="R148" s="32"/>
      <c r="S148" s="42"/>
      <c r="T148" s="44">
        <v>114.36800000000005</v>
      </c>
      <c r="U148" s="30">
        <f t="shared" si="60"/>
        <v>373.46825000000007</v>
      </c>
      <c r="V148" s="228"/>
      <c r="W148" s="58">
        <v>3718.92</v>
      </c>
      <c r="X148" s="63"/>
      <c r="Y148" s="58"/>
      <c r="Z148" s="60"/>
      <c r="AA148" s="27"/>
      <c r="AB148" s="32">
        <v>2.6380000000000052</v>
      </c>
      <c r="AC148" s="42"/>
      <c r="AD148" s="44"/>
      <c r="AE148" s="30">
        <f t="shared" si="62"/>
        <v>2.6380000000000052</v>
      </c>
      <c r="AG148" s="58">
        <v>8411.380000000001</v>
      </c>
      <c r="AH148" s="63">
        <v>830.81</v>
      </c>
      <c r="AI148" s="58"/>
      <c r="AJ148" s="60"/>
      <c r="AK148" s="27"/>
      <c r="AL148" s="32"/>
      <c r="AM148" s="42"/>
      <c r="AN148" s="44"/>
      <c r="AO148" s="30">
        <f t="shared" si="63"/>
        <v>0</v>
      </c>
      <c r="AQ148" s="58">
        <v>11616.72</v>
      </c>
      <c r="AR148" s="58">
        <v>918.89</v>
      </c>
      <c r="AS148" s="58">
        <v>708.93</v>
      </c>
      <c r="AT148" s="62"/>
      <c r="AU148" s="27"/>
      <c r="AV148" s="32">
        <v>106.89776000000001</v>
      </c>
      <c r="AW148" s="42">
        <v>33.505296004761902</v>
      </c>
      <c r="AX148" s="44">
        <v>17.542322100000035</v>
      </c>
      <c r="AY148" s="30">
        <f t="shared" si="64"/>
        <v>866.87537810476192</v>
      </c>
      <c r="BA148" s="58">
        <v>3084.2</v>
      </c>
      <c r="BB148" s="63"/>
      <c r="BC148" s="62">
        <v>20</v>
      </c>
      <c r="BD148" s="60"/>
      <c r="BE148" s="27"/>
      <c r="BF148" s="32">
        <v>118.86674999999991</v>
      </c>
      <c r="BG148" s="42"/>
      <c r="BH148" s="44"/>
      <c r="BI148" s="30">
        <f t="shared" si="65"/>
        <v>138.86674999999991</v>
      </c>
      <c r="BK148" s="58">
        <v>16090.24</v>
      </c>
      <c r="BL148" s="63">
        <v>1227.29</v>
      </c>
      <c r="BM148" s="58">
        <v>142.57</v>
      </c>
      <c r="BN148" s="60"/>
      <c r="BO148" s="27"/>
      <c r="BP148" s="32">
        <v>71.788749999999965</v>
      </c>
      <c r="BQ148" s="32"/>
      <c r="BR148" s="42">
        <v>49.6408697190476</v>
      </c>
      <c r="BS148" s="44"/>
      <c r="BT148" s="30">
        <f t="shared" si="69"/>
        <v>263.99961971904759</v>
      </c>
      <c r="BV148" s="58">
        <v>3010.33</v>
      </c>
      <c r="BW148" s="63">
        <v>939.82</v>
      </c>
      <c r="BX148" s="58">
        <v>0.71</v>
      </c>
      <c r="BY148" s="60"/>
      <c r="BZ148" s="27"/>
      <c r="CA148" s="32"/>
      <c r="CB148" s="42"/>
      <c r="CC148" s="44"/>
      <c r="CD148" s="30">
        <f t="shared" si="66"/>
        <v>0.71</v>
      </c>
      <c r="CF148" s="58">
        <v>1702.37</v>
      </c>
      <c r="CG148" s="63"/>
      <c r="CH148" s="58">
        <v>119.38</v>
      </c>
      <c r="CI148" s="60"/>
      <c r="CJ148" s="27"/>
      <c r="CK148" s="32"/>
      <c r="CL148" s="42"/>
      <c r="CM148" s="44"/>
      <c r="CN148" s="30">
        <f t="shared" si="67"/>
        <v>119.38</v>
      </c>
      <c r="CP148" s="58">
        <v>5527.95</v>
      </c>
      <c r="CQ148" s="58">
        <v>427.05</v>
      </c>
      <c r="CR148" s="63">
        <v>4092.37</v>
      </c>
      <c r="CS148" s="58">
        <v>21.38</v>
      </c>
      <c r="CT148" s="60"/>
      <c r="CU148" s="27"/>
      <c r="CV148" s="32">
        <v>423.21355000000017</v>
      </c>
      <c r="CW148" s="42"/>
      <c r="CX148" s="44"/>
      <c r="CY148" s="229">
        <f>SUM(CV148:CX148,+CS148)</f>
        <v>444.59355000000016</v>
      </c>
    </row>
    <row r="149" spans="1:103" s="217" customFormat="1" hidden="1" x14ac:dyDescent="0.25">
      <c r="A149" s="47">
        <v>46079</v>
      </c>
      <c r="B149" s="230">
        <v>2438.75</v>
      </c>
      <c r="C149" s="231">
        <v>3787.65</v>
      </c>
      <c r="D149" s="230">
        <v>124.03</v>
      </c>
      <c r="E149" s="232">
        <v>4.16</v>
      </c>
      <c r="F149" s="27"/>
      <c r="G149" s="32">
        <v>19.999999999999986</v>
      </c>
      <c r="H149" s="52"/>
      <c r="I149" s="44"/>
      <c r="J149" s="30">
        <f t="shared" si="61"/>
        <v>144.02999999999997</v>
      </c>
      <c r="L149" s="58">
        <v>10775.21</v>
      </c>
      <c r="M149" s="63">
        <v>7587.64</v>
      </c>
      <c r="N149" s="58">
        <v>27.28</v>
      </c>
      <c r="O149" s="60"/>
      <c r="P149" s="27"/>
      <c r="Q149" s="32">
        <v>244.74009999999996</v>
      </c>
      <c r="R149" s="32"/>
      <c r="S149" s="42"/>
      <c r="T149" s="44">
        <v>38.02906449999999</v>
      </c>
      <c r="U149" s="30">
        <f t="shared" si="60"/>
        <v>310.04916449999996</v>
      </c>
      <c r="V149" s="228"/>
      <c r="W149" s="58">
        <v>2442.19</v>
      </c>
      <c r="X149" s="63"/>
      <c r="Y149" s="58"/>
      <c r="Z149" s="60"/>
      <c r="AA149" s="27"/>
      <c r="AB149" s="32"/>
      <c r="AC149" s="42"/>
      <c r="AD149" s="44"/>
      <c r="AE149" s="30">
        <f t="shared" si="62"/>
        <v>0</v>
      </c>
      <c r="AG149" s="58">
        <v>6538.58</v>
      </c>
      <c r="AH149" s="63">
        <v>587.25</v>
      </c>
      <c r="AI149" s="58"/>
      <c r="AJ149" s="60"/>
      <c r="AK149" s="27"/>
      <c r="AL149" s="32"/>
      <c r="AM149" s="42"/>
      <c r="AN149" s="44"/>
      <c r="AO149" s="30">
        <f t="shared" si="63"/>
        <v>0</v>
      </c>
      <c r="AQ149" s="58">
        <v>8175.96</v>
      </c>
      <c r="AR149" s="58">
        <v>597.95000000000005</v>
      </c>
      <c r="AS149" s="58">
        <v>481.45</v>
      </c>
      <c r="AT149" s="62"/>
      <c r="AU149" s="27"/>
      <c r="AV149" s="32">
        <v>135.93752000000003</v>
      </c>
      <c r="AW149" s="42">
        <v>19.10012474190475</v>
      </c>
      <c r="AX149" s="44"/>
      <c r="AY149" s="30">
        <f t="shared" si="64"/>
        <v>636.48764474190477</v>
      </c>
      <c r="BA149" s="58">
        <v>4563.3999999999996</v>
      </c>
      <c r="BB149" s="63"/>
      <c r="BC149" s="58"/>
      <c r="BD149" s="60"/>
      <c r="BE149" s="27"/>
      <c r="BF149" s="32">
        <v>36.482849999999971</v>
      </c>
      <c r="BG149" s="42"/>
      <c r="BH149" s="44"/>
      <c r="BI149" s="30">
        <f t="shared" si="65"/>
        <v>36.482849999999971</v>
      </c>
      <c r="BK149" s="58">
        <v>17553.41</v>
      </c>
      <c r="BL149" s="63">
        <v>1322.65</v>
      </c>
      <c r="BM149" s="58">
        <v>145.84</v>
      </c>
      <c r="BN149" s="60"/>
      <c r="BO149" s="27"/>
      <c r="BP149" s="32">
        <v>284.65405000000015</v>
      </c>
      <c r="BQ149" s="32"/>
      <c r="BR149" s="42">
        <v>66.255213662857187</v>
      </c>
      <c r="BS149" s="44"/>
      <c r="BT149" s="30">
        <f t="shared" si="69"/>
        <v>496.7492636628574</v>
      </c>
      <c r="BV149" s="58">
        <v>3852.82</v>
      </c>
      <c r="BW149" s="63">
        <v>1376.99</v>
      </c>
      <c r="BX149" s="58">
        <v>12.4</v>
      </c>
      <c r="BY149" s="60"/>
      <c r="BZ149" s="27"/>
      <c r="CA149" s="32"/>
      <c r="CB149" s="42"/>
      <c r="CC149" s="44"/>
      <c r="CD149" s="30">
        <f t="shared" si="66"/>
        <v>12.4</v>
      </c>
      <c r="CF149" s="58">
        <v>1685.76</v>
      </c>
      <c r="CG149" s="63"/>
      <c r="CH149" s="58">
        <v>84.31</v>
      </c>
      <c r="CI149" s="60"/>
      <c r="CJ149" s="27"/>
      <c r="CK149" s="32">
        <v>55.944000000000074</v>
      </c>
      <c r="CL149" s="42"/>
      <c r="CM149" s="44"/>
      <c r="CN149" s="30">
        <f t="shared" si="67"/>
        <v>140.25400000000008</v>
      </c>
      <c r="CP149" s="58">
        <v>5888.06</v>
      </c>
      <c r="CQ149" s="58">
        <v>967.99</v>
      </c>
      <c r="CR149" s="63">
        <v>5959.32</v>
      </c>
      <c r="CS149" s="58">
        <v>15.27</v>
      </c>
      <c r="CT149" s="60"/>
      <c r="CU149" s="27"/>
      <c r="CV149" s="32">
        <v>355.88465000000019</v>
      </c>
      <c r="CW149" s="42">
        <v>58.035079964761906</v>
      </c>
      <c r="CX149" s="44"/>
      <c r="CY149" s="229">
        <f t="shared" si="68"/>
        <v>429.18972996476208</v>
      </c>
    </row>
    <row r="150" spans="1:103" s="217" customFormat="1" hidden="1" x14ac:dyDescent="0.25">
      <c r="A150" s="47">
        <v>46080</v>
      </c>
      <c r="B150" s="230">
        <v>2289.5300000000002</v>
      </c>
      <c r="C150" s="231">
        <v>4946.4399999999996</v>
      </c>
      <c r="D150" s="230">
        <v>72.73</v>
      </c>
      <c r="E150" s="232">
        <v>26.37</v>
      </c>
      <c r="F150" s="27"/>
      <c r="G150" s="32"/>
      <c r="H150" s="52"/>
      <c r="I150" s="44"/>
      <c r="J150" s="30">
        <f t="shared" si="61"/>
        <v>72.73</v>
      </c>
      <c r="L150" s="58">
        <v>11887.55</v>
      </c>
      <c r="M150" s="63">
        <v>7922.16</v>
      </c>
      <c r="N150" s="58">
        <v>43.55</v>
      </c>
      <c r="O150" s="60"/>
      <c r="P150" s="27"/>
      <c r="Q150" s="32">
        <v>392.99771999999996</v>
      </c>
      <c r="R150" s="32"/>
      <c r="S150" s="42"/>
      <c r="T150" s="44">
        <v>126.22027249999994</v>
      </c>
      <c r="U150" s="30">
        <f t="shared" si="60"/>
        <v>562.76799249999988</v>
      </c>
      <c r="V150" s="228"/>
      <c r="W150" s="58">
        <v>3186.83</v>
      </c>
      <c r="X150" s="63"/>
      <c r="Y150" s="58"/>
      <c r="Z150" s="60"/>
      <c r="AA150" s="27"/>
      <c r="AB150" s="32">
        <v>23.251750000000015</v>
      </c>
      <c r="AC150" s="42"/>
      <c r="AD150" s="44"/>
      <c r="AE150" s="30">
        <f t="shared" si="62"/>
        <v>23.251750000000015</v>
      </c>
      <c r="AG150" s="58">
        <v>5195.6499999999996</v>
      </c>
      <c r="AH150" s="63">
        <v>782.68</v>
      </c>
      <c r="AI150" s="58"/>
      <c r="AJ150" s="60"/>
      <c r="AK150" s="27"/>
      <c r="AL150" s="32"/>
      <c r="AM150" s="42"/>
      <c r="AN150" s="44"/>
      <c r="AO150" s="30">
        <f t="shared" si="63"/>
        <v>0</v>
      </c>
      <c r="AQ150" s="58">
        <v>11912.57</v>
      </c>
      <c r="AR150" s="58">
        <v>788.59</v>
      </c>
      <c r="AS150" s="58">
        <v>665.28</v>
      </c>
      <c r="AT150" s="62"/>
      <c r="AU150" s="27"/>
      <c r="AV150" s="32">
        <v>243.86916000000002</v>
      </c>
      <c r="AW150" s="42"/>
      <c r="AX150" s="44"/>
      <c r="AY150" s="30">
        <f t="shared" si="64"/>
        <v>909.14915999999994</v>
      </c>
      <c r="BA150" s="58">
        <v>6370.65</v>
      </c>
      <c r="BB150" s="63"/>
      <c r="BC150" s="58"/>
      <c r="BD150" s="60"/>
      <c r="BE150" s="27"/>
      <c r="BF150" s="32">
        <v>52.685649999999953</v>
      </c>
      <c r="BG150" s="42"/>
      <c r="BH150" s="44"/>
      <c r="BI150" s="30">
        <f t="shared" si="65"/>
        <v>52.685649999999953</v>
      </c>
      <c r="BK150" s="58">
        <v>32123.65</v>
      </c>
      <c r="BL150" s="63">
        <v>2004.52</v>
      </c>
      <c r="BM150" s="58">
        <v>148.09</v>
      </c>
      <c r="BN150" s="60"/>
      <c r="BO150" s="27"/>
      <c r="BP150" s="32">
        <v>283.3069999999999</v>
      </c>
      <c r="BQ150" s="32"/>
      <c r="BR150" s="42">
        <v>24.335518095238115</v>
      </c>
      <c r="BS150" s="44"/>
      <c r="BT150" s="30">
        <f t="shared" si="69"/>
        <v>455.73251809523799</v>
      </c>
      <c r="BV150" s="58">
        <v>3235.5</v>
      </c>
      <c r="BW150" s="63">
        <v>682.67</v>
      </c>
      <c r="BX150" s="58">
        <v>4.1500000000000004</v>
      </c>
      <c r="BY150" s="60"/>
      <c r="BZ150" s="27"/>
      <c r="CA150" s="32"/>
      <c r="CB150" s="42"/>
      <c r="CC150" s="44"/>
      <c r="CD150" s="30">
        <f t="shared" si="66"/>
        <v>4.1500000000000004</v>
      </c>
      <c r="CF150" s="58">
        <v>2106.44</v>
      </c>
      <c r="CG150" s="63"/>
      <c r="CH150" s="58">
        <v>68.64</v>
      </c>
      <c r="CI150" s="60"/>
      <c r="CJ150" s="27"/>
      <c r="CK150" s="32">
        <v>4.2999999999999972</v>
      </c>
      <c r="CL150" s="42"/>
      <c r="CM150" s="44"/>
      <c r="CN150" s="30">
        <f t="shared" si="67"/>
        <v>72.94</v>
      </c>
      <c r="CP150" s="58">
        <v>13309.19</v>
      </c>
      <c r="CQ150" s="58">
        <v>1126.8</v>
      </c>
      <c r="CR150" s="63">
        <v>6173.14</v>
      </c>
      <c r="CS150" s="58">
        <v>4.29</v>
      </c>
      <c r="CT150" s="60"/>
      <c r="CU150" s="27"/>
      <c r="CV150" s="32">
        <v>93.170500000000033</v>
      </c>
      <c r="CW150" s="42"/>
      <c r="CX150" s="44"/>
      <c r="CY150" s="229">
        <f t="shared" si="68"/>
        <v>97.460500000000039</v>
      </c>
    </row>
    <row r="151" spans="1:103" s="217" customFormat="1" hidden="1" x14ac:dyDescent="0.25">
      <c r="A151" s="47">
        <v>46081</v>
      </c>
      <c r="B151" s="230">
        <v>2178.58</v>
      </c>
      <c r="C151" s="231">
        <v>3348.98</v>
      </c>
      <c r="D151" s="230">
        <v>145.31</v>
      </c>
      <c r="E151" s="232">
        <v>2.09</v>
      </c>
      <c r="F151" s="27"/>
      <c r="G151" s="32"/>
      <c r="H151" s="52"/>
      <c r="I151" s="44"/>
      <c r="J151" s="30">
        <f t="shared" si="61"/>
        <v>145.31</v>
      </c>
      <c r="L151" s="58">
        <v>12112.03</v>
      </c>
      <c r="M151" s="63">
        <v>8007.83</v>
      </c>
      <c r="N151" s="58">
        <v>49.72</v>
      </c>
      <c r="O151" s="60"/>
      <c r="P151" s="27"/>
      <c r="Q151" s="32">
        <v>150.65874999999994</v>
      </c>
      <c r="R151" s="32"/>
      <c r="S151" s="42"/>
      <c r="T151" s="44"/>
      <c r="U151" s="30">
        <f t="shared" si="60"/>
        <v>200.37874999999994</v>
      </c>
      <c r="V151" s="228"/>
      <c r="W151" s="58">
        <v>1197.51</v>
      </c>
      <c r="X151" s="63"/>
      <c r="Y151" s="58"/>
      <c r="Z151" s="60"/>
      <c r="AA151" s="27"/>
      <c r="AB151" s="32">
        <v>3.8858399999999875</v>
      </c>
      <c r="AC151" s="42"/>
      <c r="AD151" s="44"/>
      <c r="AE151" s="30">
        <f t="shared" si="62"/>
        <v>3.8858399999999875</v>
      </c>
      <c r="AG151" s="58">
        <v>4213.04</v>
      </c>
      <c r="AH151" s="63">
        <v>720.1</v>
      </c>
      <c r="AI151" s="58"/>
      <c r="AJ151" s="60"/>
      <c r="AK151" s="27"/>
      <c r="AL151" s="32"/>
      <c r="AM151" s="42"/>
      <c r="AN151" s="44"/>
      <c r="AO151" s="30">
        <f t="shared" si="63"/>
        <v>0</v>
      </c>
      <c r="AQ151" s="58">
        <v>8321.69</v>
      </c>
      <c r="AR151" s="58">
        <v>998.81</v>
      </c>
      <c r="AS151" s="58">
        <v>519.66999999999996</v>
      </c>
      <c r="AT151" s="62"/>
      <c r="AU151" s="27"/>
      <c r="AV151" s="32">
        <v>120.27739999999999</v>
      </c>
      <c r="AW151" s="42"/>
      <c r="AX151" s="44"/>
      <c r="AY151" s="30">
        <f t="shared" si="64"/>
        <v>639.9473999999999</v>
      </c>
      <c r="BA151" s="58">
        <v>3473.38</v>
      </c>
      <c r="BB151" s="63"/>
      <c r="BC151" s="58"/>
      <c r="BD151" s="60"/>
      <c r="BE151" s="27"/>
      <c r="BF151" s="32">
        <v>9.8765999999999998</v>
      </c>
      <c r="BG151" s="42"/>
      <c r="BH151" s="44"/>
      <c r="BI151" s="30">
        <f t="shared" si="65"/>
        <v>9.8765999999999998</v>
      </c>
      <c r="BK151" s="58">
        <v>20738.87</v>
      </c>
      <c r="BL151" s="63">
        <v>3197.81</v>
      </c>
      <c r="BM151" s="58">
        <v>119.04</v>
      </c>
      <c r="BN151" s="60"/>
      <c r="BO151" s="27"/>
      <c r="BP151" s="32">
        <v>129.78750000000002</v>
      </c>
      <c r="BQ151" s="32"/>
      <c r="BR151" s="42">
        <v>76.241691878095253</v>
      </c>
      <c r="BS151" s="44"/>
      <c r="BT151" s="30">
        <f t="shared" si="69"/>
        <v>325.0691918780953</v>
      </c>
      <c r="BV151" s="58">
        <v>4706.2</v>
      </c>
      <c r="BW151" s="63">
        <v>940.55</v>
      </c>
      <c r="BX151" s="58">
        <v>1.1399999999999999</v>
      </c>
      <c r="BY151" s="60"/>
      <c r="BZ151" s="27"/>
      <c r="CA151" s="32"/>
      <c r="CB151" s="42"/>
      <c r="CC151" s="44"/>
      <c r="CD151" s="30">
        <f t="shared" si="66"/>
        <v>1.1399999999999999</v>
      </c>
      <c r="CF151" s="58">
        <v>1992.85</v>
      </c>
      <c r="CG151" s="63"/>
      <c r="CH151" s="58">
        <v>20.94</v>
      </c>
      <c r="CI151" s="60"/>
      <c r="CJ151" s="27"/>
      <c r="CK151" s="32">
        <v>60.106499999999983</v>
      </c>
      <c r="CL151" s="42"/>
      <c r="CM151" s="44"/>
      <c r="CN151" s="30">
        <f t="shared" si="67"/>
        <v>81.04649999999998</v>
      </c>
      <c r="CP151" s="58">
        <v>11814.89</v>
      </c>
      <c r="CQ151" s="58">
        <v>2593.9699999999998</v>
      </c>
      <c r="CR151" s="63">
        <v>5253.54</v>
      </c>
      <c r="CS151" s="58">
        <v>83.67</v>
      </c>
      <c r="CT151" s="60"/>
      <c r="CU151" s="27"/>
      <c r="CV151" s="32">
        <v>349.70480000000009</v>
      </c>
      <c r="CW151" s="42"/>
      <c r="CX151" s="44"/>
      <c r="CY151" s="229">
        <f t="shared" si="68"/>
        <v>433.37480000000011</v>
      </c>
    </row>
    <row r="152" spans="1:103" s="86" customFormat="1" ht="16.5" hidden="1" thickBot="1" x14ac:dyDescent="0.3">
      <c r="B152" s="236">
        <f>SUM(B124:B151)</f>
        <v>78473.61</v>
      </c>
      <c r="C152" s="236">
        <f>SUM(C124:C151)</f>
        <v>101130.98000000001</v>
      </c>
      <c r="D152" s="237">
        <f>SUM(D124:D151)</f>
        <v>5124.49</v>
      </c>
      <c r="E152" s="236">
        <f>SUM(E124:E151)</f>
        <v>268.39999999999992</v>
      </c>
      <c r="F152" s="83"/>
      <c r="G152" s="84">
        <f>SUM(G124:G151)</f>
        <v>950.67172999999946</v>
      </c>
      <c r="H152" s="85">
        <f>SUM(H124:H151)</f>
        <v>0</v>
      </c>
      <c r="I152" s="85">
        <f>SUM(I124:I151)</f>
        <v>481.33498680000014</v>
      </c>
      <c r="J152" s="85">
        <f>SUM(J124:J151)</f>
        <v>6556.4967167999994</v>
      </c>
      <c r="L152" s="236">
        <f>SUM(L124:L151)</f>
        <v>237511.34</v>
      </c>
      <c r="M152" s="237">
        <f>SUM(M124:M151)</f>
        <v>192936.89</v>
      </c>
      <c r="N152" s="237">
        <f>SUM(N124:N151)</f>
        <v>909.58999999999992</v>
      </c>
      <c r="O152" s="238">
        <f>SUM(O124:O151)</f>
        <v>0</v>
      </c>
      <c r="P152" s="83"/>
      <c r="Q152" s="84">
        <f>SUM(Q124:Q151)</f>
        <v>7481.333160000001</v>
      </c>
      <c r="R152" s="433"/>
      <c r="S152" s="85">
        <f>SUM(S124:S151)</f>
        <v>0</v>
      </c>
      <c r="T152" s="85">
        <f>SUM(T124:T151)</f>
        <v>1689.1818855000008</v>
      </c>
      <c r="U152" s="85">
        <f>SUM(U124:U151)</f>
        <v>10080.105045500002</v>
      </c>
      <c r="W152" s="236">
        <f>SUM(W124:W151)</f>
        <v>67653.539999999994</v>
      </c>
      <c r="X152" s="237">
        <f>SUM(X124:X151)</f>
        <v>0</v>
      </c>
      <c r="Y152" s="237">
        <f>SUM(Y124:Y151)</f>
        <v>0</v>
      </c>
      <c r="Z152" s="238">
        <f>SUM(Z124:Z151)</f>
        <v>0</v>
      </c>
      <c r="AA152" s="83"/>
      <c r="AB152" s="84">
        <f>SUM(AB124:AB151)</f>
        <v>233.63837000000024</v>
      </c>
      <c r="AC152" s="85">
        <f>SUM(AC124:AC151)</f>
        <v>0</v>
      </c>
      <c r="AD152" s="85">
        <f>SUM(AD124:AD151)</f>
        <v>0</v>
      </c>
      <c r="AE152" s="85">
        <f>SUM(AE124:AE151)</f>
        <v>233.63837000000024</v>
      </c>
      <c r="AG152" s="236">
        <f>SUM(AG124:AG151)</f>
        <v>162357.01</v>
      </c>
      <c r="AH152" s="237">
        <f>SUM(AH124:AH151)</f>
        <v>16355.37</v>
      </c>
      <c r="AI152" s="237">
        <f>SUM(AI124:AI151)</f>
        <v>0</v>
      </c>
      <c r="AJ152" s="238">
        <f>SUM(AJ124:AJ151)</f>
        <v>0</v>
      </c>
      <c r="AK152" s="83"/>
      <c r="AL152" s="84">
        <f>SUM(AL124:AL151)</f>
        <v>0</v>
      </c>
      <c r="AM152" s="85">
        <f>SUM(AM124:AM151)</f>
        <v>0</v>
      </c>
      <c r="AN152" s="85">
        <f>SUM(AN124:AN151)</f>
        <v>0</v>
      </c>
      <c r="AO152" s="85">
        <f>SUM(AO124:AO151)</f>
        <v>0</v>
      </c>
      <c r="AQ152" s="237">
        <f>SUM(AQ124:AQ151)</f>
        <v>223026.94</v>
      </c>
      <c r="AR152" s="237">
        <f>SUM(AR124:AR151)</f>
        <v>27065.27</v>
      </c>
      <c r="AS152" s="237">
        <f>SUM(AS124:AS151)</f>
        <v>13071.61</v>
      </c>
      <c r="AT152" s="237">
        <f>SUM(AT124:AT151)</f>
        <v>0</v>
      </c>
      <c r="AU152" s="83"/>
      <c r="AV152" s="84">
        <f>SUM(AV124:AV151)</f>
        <v>3310.9120519999983</v>
      </c>
      <c r="AW152" s="85">
        <f>SUM(AW124:AW151)</f>
        <v>588.59557464047555</v>
      </c>
      <c r="AX152" s="85">
        <f>SUM(AX124:AX151)</f>
        <v>63.948519700000048</v>
      </c>
      <c r="AY152" s="85">
        <f>SUM(AY124:AY151)</f>
        <v>17035.066146340476</v>
      </c>
      <c r="BA152" s="236">
        <f>SUM(BA124:BA151)</f>
        <v>120045.68999999997</v>
      </c>
      <c r="BB152" s="237">
        <f>SUM(BB124:BB151)</f>
        <v>0</v>
      </c>
      <c r="BC152" s="237">
        <f>SUM(BC124:BC151)</f>
        <v>37.86</v>
      </c>
      <c r="BD152" s="238">
        <f>SUM(BD124:BD151)</f>
        <v>0</v>
      </c>
      <c r="BE152" s="83"/>
      <c r="BF152" s="84">
        <f>SUM(BF124:BF151)</f>
        <v>2329.1724999999983</v>
      </c>
      <c r="BG152" s="85">
        <f>SUM(BG124:BG151)</f>
        <v>0</v>
      </c>
      <c r="BH152" s="85">
        <f>SUM(BH124:BH151)</f>
        <v>0</v>
      </c>
      <c r="BI152" s="85">
        <f>SUM(BI124:BI151)</f>
        <v>2367.032499999998</v>
      </c>
      <c r="BK152" s="236">
        <f>SUM(BK124:BK151)</f>
        <v>509560.13</v>
      </c>
      <c r="BL152" s="237">
        <f>SUM(BL124:BL151)</f>
        <v>44661.009999999995</v>
      </c>
      <c r="BM152" s="237">
        <f>SUM(BM124:BM151)</f>
        <v>6635.5899999999992</v>
      </c>
      <c r="BN152" s="238">
        <f>SUM(BN124:BN151)</f>
        <v>0</v>
      </c>
      <c r="BO152" s="83"/>
      <c r="BP152" s="84">
        <f>SUM(BP124:BP151)</f>
        <v>4711.6629099999991</v>
      </c>
      <c r="BQ152" s="433"/>
      <c r="BR152" s="85">
        <f>SUM(BR124:BR151)</f>
        <v>1395.3801023640954</v>
      </c>
      <c r="BS152" s="85">
        <f>SUM(BS124:BS151)</f>
        <v>0</v>
      </c>
      <c r="BT152" s="85">
        <f>SUM(BT124:BT151)</f>
        <v>12742.633012364093</v>
      </c>
      <c r="BV152" s="236">
        <f>SUM(BV124:BV151)</f>
        <v>73183.7</v>
      </c>
      <c r="BW152" s="237">
        <f>SUM(BW124:BW151)</f>
        <v>25622.529999999995</v>
      </c>
      <c r="BX152" s="237">
        <f>SUM(BX124:BX151)</f>
        <v>97.81</v>
      </c>
      <c r="BY152" s="238">
        <f>SUM(BY124:BY151)</f>
        <v>0</v>
      </c>
      <c r="BZ152" s="83"/>
      <c r="CA152" s="84">
        <f>SUM(CA124:CA151)</f>
        <v>0</v>
      </c>
      <c r="CB152" s="85">
        <f>SUM(CB124:CB151)</f>
        <v>0</v>
      </c>
      <c r="CC152" s="85">
        <f>SUM(CC124:CC151)</f>
        <v>0</v>
      </c>
      <c r="CD152" s="85">
        <f>SUM(CD124:CD151)</f>
        <v>97.81</v>
      </c>
      <c r="CF152" s="236">
        <f>SUM(CF124:CF151)</f>
        <v>52483.26</v>
      </c>
      <c r="CG152" s="237">
        <f>SUM(CG124:CG151)</f>
        <v>0</v>
      </c>
      <c r="CH152" s="237">
        <f>SUM(CH124:CH151)</f>
        <v>13883.429999999997</v>
      </c>
      <c r="CI152" s="238">
        <f>SUM(CI124:CI151)</f>
        <v>0</v>
      </c>
      <c r="CJ152" s="83"/>
      <c r="CK152" s="84">
        <f>SUM(CK124:CK151)</f>
        <v>689.20580999999993</v>
      </c>
      <c r="CL152" s="85">
        <f>SUM(CL124:CL151)</f>
        <v>592.24986756857152</v>
      </c>
      <c r="CM152" s="85">
        <f>SUM(CM124:CM151)</f>
        <v>0</v>
      </c>
      <c r="CN152" s="85">
        <f>SUM(CN124:CN151)</f>
        <v>15164.885677568571</v>
      </c>
      <c r="CP152" s="236">
        <f>SUM(CP124:CP151)</f>
        <v>186771.72999999998</v>
      </c>
      <c r="CQ152" s="237">
        <f>SUM(CQ124:CQ151)</f>
        <v>31831.389999999996</v>
      </c>
      <c r="CR152" s="237">
        <f>SUM(CR124:CR151)</f>
        <v>123441.01999999996</v>
      </c>
      <c r="CS152" s="237">
        <f>SUM(CS124:CS151)</f>
        <v>317.58999999999997</v>
      </c>
      <c r="CT152" s="238">
        <f>SUM(CT124:CT151)</f>
        <v>0</v>
      </c>
      <c r="CU152" s="83"/>
      <c r="CV152" s="84">
        <f>SUM(CV124:CV151)</f>
        <v>7294.8742600000014</v>
      </c>
      <c r="CW152" s="85">
        <f>SUM(CW124:CW151)</f>
        <v>425.37669940509551</v>
      </c>
      <c r="CX152" s="85">
        <f>SUM(CX124:CX151)</f>
        <v>0</v>
      </c>
      <c r="CY152" s="85">
        <f>SUM(CY124:CY151)</f>
        <v>8037.8409594050963</v>
      </c>
    </row>
    <row r="153" spans="1:103" hidden="1" x14ac:dyDescent="0.25"/>
    <row r="154" spans="1:103" hidden="1" x14ac:dyDescent="0.25"/>
    <row r="156" spans="1:103" ht="21" x14ac:dyDescent="0.35">
      <c r="B156" s="1" t="s">
        <v>44</v>
      </c>
      <c r="L156" s="1" t="s">
        <v>45</v>
      </c>
      <c r="W156" s="1" t="s">
        <v>46</v>
      </c>
      <c r="AG156" s="1" t="s">
        <v>47</v>
      </c>
      <c r="AQ156" s="1" t="s">
        <v>48</v>
      </c>
      <c r="BA156" s="1" t="s">
        <v>49</v>
      </c>
      <c r="BK156" s="1" t="s">
        <v>50</v>
      </c>
      <c r="BV156" s="1" t="s">
        <v>51</v>
      </c>
      <c r="CF156" s="1" t="s">
        <v>52</v>
      </c>
      <c r="CP156" s="1" t="s">
        <v>53</v>
      </c>
    </row>
    <row r="157" spans="1:103" ht="15.75" thickBot="1" x14ac:dyDescent="0.3"/>
    <row r="158" spans="1:103" s="217" customFormat="1" ht="12.75" x14ac:dyDescent="0.2">
      <c r="A158" s="213" t="s">
        <v>14</v>
      </c>
      <c r="B158" s="132" t="s">
        <v>15</v>
      </c>
      <c r="C158" s="210" t="s">
        <v>15</v>
      </c>
      <c r="D158" s="214" t="s">
        <v>16</v>
      </c>
      <c r="E158" s="215" t="s">
        <v>16</v>
      </c>
      <c r="F158" s="6"/>
      <c r="G158" s="7" t="s">
        <v>16</v>
      </c>
      <c r="H158" s="8" t="s">
        <v>16</v>
      </c>
      <c r="I158" s="9" t="s">
        <v>16</v>
      </c>
      <c r="J158" s="216" t="s">
        <v>54</v>
      </c>
      <c r="L158" s="132" t="s">
        <v>15</v>
      </c>
      <c r="M158" s="210" t="s">
        <v>15</v>
      </c>
      <c r="N158" s="214" t="s">
        <v>16</v>
      </c>
      <c r="O158" s="215" t="s">
        <v>16</v>
      </c>
      <c r="P158" s="6"/>
      <c r="Q158" s="7" t="s">
        <v>16</v>
      </c>
      <c r="R158" s="7" t="s">
        <v>83</v>
      </c>
      <c r="S158" s="8" t="s">
        <v>16</v>
      </c>
      <c r="T158" s="9" t="s">
        <v>16</v>
      </c>
      <c r="U158" s="216" t="s">
        <v>54</v>
      </c>
      <c r="W158" s="132" t="s">
        <v>15</v>
      </c>
      <c r="X158" s="210" t="s">
        <v>15</v>
      </c>
      <c r="Y158" s="214" t="s">
        <v>16</v>
      </c>
      <c r="Z158" s="215" t="s">
        <v>16</v>
      </c>
      <c r="AA158" s="6"/>
      <c r="AB158" s="7" t="s">
        <v>16</v>
      </c>
      <c r="AC158" s="8" t="s">
        <v>16</v>
      </c>
      <c r="AD158" s="9" t="s">
        <v>16</v>
      </c>
      <c r="AE158" s="216" t="s">
        <v>54</v>
      </c>
      <c r="AG158" s="132" t="s">
        <v>15</v>
      </c>
      <c r="AH158" s="210" t="s">
        <v>15</v>
      </c>
      <c r="AI158" s="214" t="s">
        <v>16</v>
      </c>
      <c r="AJ158" s="215" t="s">
        <v>16</v>
      </c>
      <c r="AK158" s="6"/>
      <c r="AL158" s="7" t="s">
        <v>16</v>
      </c>
      <c r="AM158" s="8" t="s">
        <v>16</v>
      </c>
      <c r="AN158" s="9" t="s">
        <v>16</v>
      </c>
      <c r="AO158" s="216" t="s">
        <v>54</v>
      </c>
      <c r="AQ158" s="132" t="s">
        <v>15</v>
      </c>
      <c r="AR158" s="210" t="s">
        <v>15</v>
      </c>
      <c r="AS158" s="214" t="s">
        <v>16</v>
      </c>
      <c r="AT158" s="215" t="s">
        <v>16</v>
      </c>
      <c r="AU158" s="6"/>
      <c r="AV158" s="7" t="s">
        <v>16</v>
      </c>
      <c r="AW158" s="8" t="s">
        <v>16</v>
      </c>
      <c r="AX158" s="9" t="s">
        <v>16</v>
      </c>
      <c r="AY158" s="216" t="s">
        <v>54</v>
      </c>
      <c r="BA158" s="132" t="s">
        <v>15</v>
      </c>
      <c r="BB158" s="210" t="s">
        <v>15</v>
      </c>
      <c r="BC158" s="214" t="s">
        <v>16</v>
      </c>
      <c r="BD158" s="215" t="s">
        <v>16</v>
      </c>
      <c r="BE158" s="6"/>
      <c r="BF158" s="7" t="s">
        <v>16</v>
      </c>
      <c r="BG158" s="8" t="s">
        <v>16</v>
      </c>
      <c r="BH158" s="9" t="s">
        <v>16</v>
      </c>
      <c r="BI158" s="216" t="s">
        <v>54</v>
      </c>
      <c r="BK158" s="132" t="s">
        <v>15</v>
      </c>
      <c r="BL158" s="210" t="s">
        <v>15</v>
      </c>
      <c r="BM158" s="5" t="s">
        <v>16</v>
      </c>
      <c r="BN158" s="215" t="s">
        <v>16</v>
      </c>
      <c r="BO158" s="6"/>
      <c r="BP158" s="7" t="s">
        <v>16</v>
      </c>
      <c r="BQ158" s="7" t="s">
        <v>83</v>
      </c>
      <c r="BR158" s="8" t="s">
        <v>16</v>
      </c>
      <c r="BS158" s="9" t="s">
        <v>16</v>
      </c>
      <c r="BT158" s="216" t="s">
        <v>54</v>
      </c>
      <c r="BV158" s="132" t="s">
        <v>15</v>
      </c>
      <c r="BW158" s="210" t="s">
        <v>15</v>
      </c>
      <c r="BX158" s="214" t="s">
        <v>16</v>
      </c>
      <c r="BY158" s="215" t="s">
        <v>16</v>
      </c>
      <c r="BZ158" s="6"/>
      <c r="CA158" s="7" t="s">
        <v>16</v>
      </c>
      <c r="CB158" s="8" t="s">
        <v>16</v>
      </c>
      <c r="CC158" s="9" t="s">
        <v>16</v>
      </c>
      <c r="CD158" s="216" t="s">
        <v>54</v>
      </c>
      <c r="CF158" s="132" t="s">
        <v>15</v>
      </c>
      <c r="CG158" s="210" t="s">
        <v>15</v>
      </c>
      <c r="CH158" s="214" t="s">
        <v>16</v>
      </c>
      <c r="CI158" s="215" t="s">
        <v>16</v>
      </c>
      <c r="CJ158" s="6"/>
      <c r="CK158" s="7" t="s">
        <v>16</v>
      </c>
      <c r="CL158" s="8" t="s">
        <v>16</v>
      </c>
      <c r="CM158" s="9" t="s">
        <v>16</v>
      </c>
      <c r="CN158" s="216" t="s">
        <v>54</v>
      </c>
      <c r="CP158" s="132" t="s">
        <v>15</v>
      </c>
      <c r="CQ158" s="210" t="s">
        <v>15</v>
      </c>
      <c r="CR158" s="210" t="s">
        <v>15</v>
      </c>
      <c r="CS158" s="214" t="s">
        <v>16</v>
      </c>
      <c r="CT158" s="215" t="s">
        <v>16</v>
      </c>
      <c r="CU158" s="6"/>
      <c r="CV158" s="7" t="s">
        <v>16</v>
      </c>
      <c r="CW158" s="8" t="s">
        <v>16</v>
      </c>
      <c r="CX158" s="9" t="s">
        <v>16</v>
      </c>
      <c r="CY158" s="218" t="s">
        <v>54</v>
      </c>
    </row>
    <row r="159" spans="1:103" s="217" customFormat="1" ht="13.5" thickBot="1" x14ac:dyDescent="0.25">
      <c r="A159" s="219"/>
      <c r="B159" s="220" t="s">
        <v>18</v>
      </c>
      <c r="C159" s="221" t="s">
        <v>19</v>
      </c>
      <c r="D159" s="222" t="s">
        <v>25</v>
      </c>
      <c r="E159" s="223" t="s">
        <v>19</v>
      </c>
      <c r="F159" s="6"/>
      <c r="G159" s="403" t="s">
        <v>21</v>
      </c>
      <c r="H159" s="404" t="s">
        <v>22</v>
      </c>
      <c r="I159" s="405" t="s">
        <v>23</v>
      </c>
      <c r="J159" s="19" t="s">
        <v>55</v>
      </c>
      <c r="L159" s="220" t="s">
        <v>18</v>
      </c>
      <c r="M159" s="221" t="s">
        <v>19</v>
      </c>
      <c r="N159" s="222" t="s">
        <v>25</v>
      </c>
      <c r="O159" s="223" t="s">
        <v>19</v>
      </c>
      <c r="P159" s="6"/>
      <c r="Q159" s="16" t="s">
        <v>21</v>
      </c>
      <c r="R159" s="16" t="s">
        <v>21</v>
      </c>
      <c r="S159" s="17" t="s">
        <v>22</v>
      </c>
      <c r="T159" s="18" t="s">
        <v>23</v>
      </c>
      <c r="U159" s="19" t="s">
        <v>55</v>
      </c>
      <c r="W159" s="220" t="s">
        <v>18</v>
      </c>
      <c r="X159" s="221" t="s">
        <v>19</v>
      </c>
      <c r="Y159" s="222" t="s">
        <v>19</v>
      </c>
      <c r="Z159" s="223" t="s">
        <v>25</v>
      </c>
      <c r="AA159" s="6"/>
      <c r="AB159" s="16" t="s">
        <v>21</v>
      </c>
      <c r="AC159" s="17" t="s">
        <v>22</v>
      </c>
      <c r="AD159" s="18" t="s">
        <v>23</v>
      </c>
      <c r="AE159" s="19" t="s">
        <v>55</v>
      </c>
      <c r="AG159" s="220" t="s">
        <v>18</v>
      </c>
      <c r="AH159" s="221" t="s">
        <v>19</v>
      </c>
      <c r="AI159" s="222" t="s">
        <v>25</v>
      </c>
      <c r="AJ159" s="223" t="s">
        <v>19</v>
      </c>
      <c r="AK159" s="6"/>
      <c r="AL159" s="16" t="s">
        <v>21</v>
      </c>
      <c r="AM159" s="17" t="s">
        <v>22</v>
      </c>
      <c r="AN159" s="18" t="s">
        <v>23</v>
      </c>
      <c r="AO159" s="19" t="s">
        <v>55</v>
      </c>
      <c r="AQ159" s="220" t="s">
        <v>18</v>
      </c>
      <c r="AR159" s="221" t="s">
        <v>19</v>
      </c>
      <c r="AS159" s="222" t="s">
        <v>25</v>
      </c>
      <c r="AT159" s="223" t="s">
        <v>19</v>
      </c>
      <c r="AU159" s="6"/>
      <c r="AV159" s="16" t="s">
        <v>21</v>
      </c>
      <c r="AW159" s="17" t="s">
        <v>22</v>
      </c>
      <c r="AX159" s="18" t="s">
        <v>23</v>
      </c>
      <c r="AY159" s="19" t="s">
        <v>55</v>
      </c>
      <c r="BA159" s="220" t="s">
        <v>18</v>
      </c>
      <c r="BB159" s="221" t="s">
        <v>19</v>
      </c>
      <c r="BC159" s="222" t="s">
        <v>25</v>
      </c>
      <c r="BD159" s="223" t="s">
        <v>19</v>
      </c>
      <c r="BE159" s="6"/>
      <c r="BF159" s="16" t="s">
        <v>21</v>
      </c>
      <c r="BG159" s="17" t="s">
        <v>22</v>
      </c>
      <c r="BH159" s="18" t="s">
        <v>23</v>
      </c>
      <c r="BI159" s="19" t="s">
        <v>55</v>
      </c>
      <c r="BK159" s="220" t="s">
        <v>18</v>
      </c>
      <c r="BL159" s="221" t="s">
        <v>19</v>
      </c>
      <c r="BM159" s="222" t="s">
        <v>25</v>
      </c>
      <c r="BN159" s="223" t="s">
        <v>19</v>
      </c>
      <c r="BO159" s="6"/>
      <c r="BP159" s="16" t="s">
        <v>21</v>
      </c>
      <c r="BQ159" s="16" t="s">
        <v>21</v>
      </c>
      <c r="BR159" s="17" t="s">
        <v>22</v>
      </c>
      <c r="BS159" s="18" t="s">
        <v>23</v>
      </c>
      <c r="BT159" s="19" t="s">
        <v>55</v>
      </c>
      <c r="BV159" s="220" t="s">
        <v>18</v>
      </c>
      <c r="BW159" s="221" t="s">
        <v>19</v>
      </c>
      <c r="BX159" s="222" t="s">
        <v>25</v>
      </c>
      <c r="BY159" s="223" t="s">
        <v>19</v>
      </c>
      <c r="BZ159" s="6"/>
      <c r="CA159" s="16" t="s">
        <v>21</v>
      </c>
      <c r="CB159" s="17" t="s">
        <v>22</v>
      </c>
      <c r="CC159" s="18" t="s">
        <v>23</v>
      </c>
      <c r="CD159" s="19" t="s">
        <v>55</v>
      </c>
      <c r="CF159" s="220" t="s">
        <v>18</v>
      </c>
      <c r="CG159" s="221" t="s">
        <v>19</v>
      </c>
      <c r="CH159" s="222" t="s">
        <v>25</v>
      </c>
      <c r="CI159" s="223" t="s">
        <v>19</v>
      </c>
      <c r="CJ159" s="6"/>
      <c r="CK159" s="16" t="s">
        <v>21</v>
      </c>
      <c r="CL159" s="17" t="s">
        <v>22</v>
      </c>
      <c r="CM159" s="18" t="s">
        <v>23</v>
      </c>
      <c r="CN159" s="19" t="s">
        <v>55</v>
      </c>
      <c r="CP159" s="220" t="s">
        <v>18</v>
      </c>
      <c r="CQ159" s="221" t="s">
        <v>19</v>
      </c>
      <c r="CR159" s="221" t="s">
        <v>20</v>
      </c>
      <c r="CS159" s="222" t="s">
        <v>25</v>
      </c>
      <c r="CT159" s="223" t="s">
        <v>19</v>
      </c>
      <c r="CU159" s="6"/>
      <c r="CV159" s="16" t="s">
        <v>21</v>
      </c>
      <c r="CW159" s="17" t="s">
        <v>22</v>
      </c>
      <c r="CX159" s="18" t="s">
        <v>23</v>
      </c>
      <c r="CY159" s="224" t="s">
        <v>55</v>
      </c>
    </row>
    <row r="160" spans="1:103" s="217" customFormat="1" ht="15.75" thickBot="1" x14ac:dyDescent="0.3">
      <c r="A160" s="22">
        <v>46082</v>
      </c>
      <c r="B160" s="225">
        <v>2787.23</v>
      </c>
      <c r="C160" s="226">
        <v>3326.88</v>
      </c>
      <c r="D160" s="225">
        <v>215.68</v>
      </c>
      <c r="E160" s="227">
        <v>3.22</v>
      </c>
      <c r="F160" s="27"/>
      <c r="G160" s="406">
        <v>9.9999999999999929</v>
      </c>
      <c r="H160" s="412"/>
      <c r="I160" s="407">
        <v>65.456491799999981</v>
      </c>
      <c r="J160" s="402">
        <f>SUM(G160:I160,+D160)</f>
        <v>291.13649179999999</v>
      </c>
      <c r="L160" s="36">
        <v>8892.51</v>
      </c>
      <c r="M160" s="43">
        <v>6804.83</v>
      </c>
      <c r="N160" s="36">
        <v>4.97</v>
      </c>
      <c r="O160" s="38"/>
      <c r="P160" s="27"/>
      <c r="Q160" s="406">
        <v>461.23877999999968</v>
      </c>
      <c r="R160" s="406">
        <v>167.51741935483872</v>
      </c>
      <c r="S160" s="412"/>
      <c r="T160" s="407">
        <v>23.744233499999979</v>
      </c>
      <c r="U160" s="30">
        <f t="shared" ref="U160:U190" si="70">SUM(Q160:T160,+N160)</f>
        <v>657.47043285483835</v>
      </c>
      <c r="V160" s="228"/>
      <c r="W160" s="36">
        <v>6245.9</v>
      </c>
      <c r="X160" s="43"/>
      <c r="Y160" s="36"/>
      <c r="Z160" s="38"/>
      <c r="AA160" s="27"/>
      <c r="AB160" s="406"/>
      <c r="AC160" s="412"/>
      <c r="AD160" s="407"/>
      <c r="AE160" s="30">
        <f>SUM(AB160:AD160,+Y160)</f>
        <v>0</v>
      </c>
      <c r="AG160" s="36">
        <v>7330.58</v>
      </c>
      <c r="AH160" s="43">
        <v>798.52</v>
      </c>
      <c r="AI160" s="36"/>
      <c r="AJ160" s="38"/>
      <c r="AK160" s="27"/>
      <c r="AL160" s="28"/>
      <c r="AM160" s="29"/>
      <c r="AN160" s="29"/>
      <c r="AO160" s="30">
        <f>SUM(AL160:AN160,+AI160)</f>
        <v>0</v>
      </c>
      <c r="AQ160" s="36">
        <v>3666.18</v>
      </c>
      <c r="AR160" s="36">
        <v>968.55</v>
      </c>
      <c r="AS160" s="36">
        <v>215.96</v>
      </c>
      <c r="AT160" s="41"/>
      <c r="AU160" s="27"/>
      <c r="AV160" s="406">
        <v>9.104629999999986</v>
      </c>
      <c r="AW160" s="412"/>
      <c r="AX160" s="407"/>
      <c r="AY160" s="30">
        <f>SUM(AV160:AX160,+AS160)</f>
        <v>225.06462999999999</v>
      </c>
      <c r="BA160" s="36">
        <v>3760.81</v>
      </c>
      <c r="BB160" s="43"/>
      <c r="BC160" s="36"/>
      <c r="BD160" s="38"/>
      <c r="BE160" s="27"/>
      <c r="BF160" s="406">
        <v>28.08269999999996</v>
      </c>
      <c r="BG160" s="412"/>
      <c r="BH160" s="407"/>
      <c r="BI160" s="30">
        <f>SUM(BF160:BH160,+BC160)</f>
        <v>28.08269999999996</v>
      </c>
      <c r="BK160" s="36">
        <v>14997.91</v>
      </c>
      <c r="BL160" s="43">
        <v>2309.6999999999998</v>
      </c>
      <c r="BM160" s="36">
        <v>167.46</v>
      </c>
      <c r="BN160" s="38"/>
      <c r="BO160" s="27"/>
      <c r="BP160" s="406">
        <v>38.797949999999986</v>
      </c>
      <c r="BQ160" s="406">
        <v>315.16270967741934</v>
      </c>
      <c r="BR160" s="438">
        <v>-35.567500000000003</v>
      </c>
      <c r="BS160" s="407"/>
      <c r="BT160" s="30">
        <f>SUM(BP160:BS160,+BM160)</f>
        <v>485.8531596774194</v>
      </c>
      <c r="BV160" s="36">
        <v>2439.54</v>
      </c>
      <c r="BW160" s="43">
        <v>1169.8900000000001</v>
      </c>
      <c r="BX160" s="36"/>
      <c r="BY160" s="38"/>
      <c r="BZ160" s="27"/>
      <c r="CA160" s="406"/>
      <c r="CB160" s="412"/>
      <c r="CC160" s="407"/>
      <c r="CD160" s="30">
        <f>SUM(CA160:CC160,+BX160)</f>
        <v>0</v>
      </c>
      <c r="CF160" s="36">
        <v>1044.97</v>
      </c>
      <c r="CG160" s="43"/>
      <c r="CH160" s="36">
        <v>68.33</v>
      </c>
      <c r="CI160" s="38"/>
      <c r="CJ160" s="27"/>
      <c r="CK160" s="406"/>
      <c r="CL160" s="412">
        <v>119.56512608190505</v>
      </c>
      <c r="CM160" s="407"/>
      <c r="CN160" s="30">
        <f>SUM(CK160:CM160,+CH160)</f>
        <v>187.89512608190506</v>
      </c>
      <c r="CP160" s="36">
        <v>13694.03</v>
      </c>
      <c r="CQ160" s="36">
        <v>1132.9000000000001</v>
      </c>
      <c r="CR160" s="43">
        <v>5212.1000000000004</v>
      </c>
      <c r="CS160" s="36">
        <v>25.73</v>
      </c>
      <c r="CT160" s="38"/>
      <c r="CU160" s="27"/>
      <c r="CV160" s="406"/>
      <c r="CW160" s="412"/>
      <c r="CX160" s="407"/>
      <c r="CY160" s="229">
        <f>SUM(CV160:CX160,+CS160)</f>
        <v>25.73</v>
      </c>
    </row>
    <row r="161" spans="1:103" s="217" customFormat="1" ht="15.75" thickBot="1" x14ac:dyDescent="0.3">
      <c r="A161" s="47">
        <v>46083</v>
      </c>
      <c r="B161" s="230">
        <v>3696.85</v>
      </c>
      <c r="C161" s="231">
        <v>4352.92</v>
      </c>
      <c r="D161" s="230">
        <v>3.39</v>
      </c>
      <c r="E161" s="232">
        <v>2.14</v>
      </c>
      <c r="F161" s="27"/>
      <c r="G161" s="408">
        <v>40.23223999999999</v>
      </c>
      <c r="H161" s="413"/>
      <c r="I161" s="409"/>
      <c r="J161" s="402">
        <f t="shared" ref="J161:J190" si="71">SUM(G161:I161,+D161)</f>
        <v>43.622239999999991</v>
      </c>
      <c r="L161" s="58">
        <v>15755.9</v>
      </c>
      <c r="M161" s="63">
        <v>10683.75</v>
      </c>
      <c r="N161" s="58">
        <v>34.64</v>
      </c>
      <c r="O161" s="60"/>
      <c r="P161" s="27"/>
      <c r="Q161" s="408">
        <v>321.06749999999982</v>
      </c>
      <c r="R161" s="408">
        <v>167.51741935483872</v>
      </c>
      <c r="S161" s="413"/>
      <c r="T161" s="409">
        <v>128.58684649999992</v>
      </c>
      <c r="U161" s="30">
        <f t="shared" si="70"/>
        <v>651.81176585483843</v>
      </c>
      <c r="V161" s="228"/>
      <c r="W161" s="58">
        <v>3335.45</v>
      </c>
      <c r="X161" s="63"/>
      <c r="Y161" s="58"/>
      <c r="Z161" s="60"/>
      <c r="AA161" s="27"/>
      <c r="AB161" s="408"/>
      <c r="AC161" s="413"/>
      <c r="AD161" s="409"/>
      <c r="AE161" s="30">
        <f t="shared" ref="AE161:AE190" si="72">SUM(AB161:AD161,+Y161)</f>
        <v>0</v>
      </c>
      <c r="AG161" s="58">
        <v>4828.07</v>
      </c>
      <c r="AH161" s="63">
        <v>377.97</v>
      </c>
      <c r="AI161" s="58"/>
      <c r="AJ161" s="60"/>
      <c r="AK161" s="27"/>
      <c r="AL161" s="51"/>
      <c r="AM161" s="52"/>
      <c r="AN161" s="52"/>
      <c r="AO161" s="30">
        <f t="shared" ref="AO161:AO190" si="73">SUM(AL161:AN161,+AI161)</f>
        <v>0</v>
      </c>
      <c r="AQ161" s="58">
        <v>7072.74</v>
      </c>
      <c r="AR161" s="58">
        <v>1007.74</v>
      </c>
      <c r="AS161" s="58">
        <v>333.59</v>
      </c>
      <c r="AT161" s="62"/>
      <c r="AU161" s="27"/>
      <c r="AV161" s="408">
        <v>98.298259999999971</v>
      </c>
      <c r="AW161" s="413"/>
      <c r="AX161" s="409"/>
      <c r="AY161" s="30">
        <f t="shared" ref="AY161:AY190" si="74">SUM(AV161:AX161,+AS161)</f>
        <v>431.88825999999995</v>
      </c>
      <c r="BA161" s="58">
        <v>5870.02</v>
      </c>
      <c r="BB161" s="63"/>
      <c r="BC161" s="58"/>
      <c r="BD161" s="60"/>
      <c r="BE161" s="27"/>
      <c r="BF161" s="408">
        <v>261.87300000000005</v>
      </c>
      <c r="BG161" s="413"/>
      <c r="BH161" s="409"/>
      <c r="BI161" s="30">
        <f t="shared" ref="BI161:BI190" si="75">SUM(BF161:BH161,+BC161)</f>
        <v>261.87300000000005</v>
      </c>
      <c r="BK161" s="58">
        <v>12397.34</v>
      </c>
      <c r="BL161" s="63">
        <v>1363.13</v>
      </c>
      <c r="BM161" s="58">
        <v>136.78</v>
      </c>
      <c r="BN161" s="60"/>
      <c r="BO161" s="27"/>
      <c r="BP161" s="408">
        <v>267.83107999999993</v>
      </c>
      <c r="BQ161" s="408">
        <v>315.16270967741934</v>
      </c>
      <c r="BR161" s="439">
        <v>-35.567500000000003</v>
      </c>
      <c r="BS161" s="409">
        <v>23.171999999999997</v>
      </c>
      <c r="BT161" s="30">
        <f>SUM(BP161:BS161,+BM161)</f>
        <v>707.37828967741927</v>
      </c>
      <c r="BV161" s="58">
        <v>4040.6</v>
      </c>
      <c r="BW161" s="63">
        <v>1349.18</v>
      </c>
      <c r="BX161" s="58">
        <v>2.69</v>
      </c>
      <c r="BY161" s="60"/>
      <c r="BZ161" s="27"/>
      <c r="CA161" s="408"/>
      <c r="CB161" s="413"/>
      <c r="CC161" s="409"/>
      <c r="CD161" s="30">
        <f t="shared" ref="CD161:CD190" si="76">SUM(CA161:CC161,+BX161)</f>
        <v>2.69</v>
      </c>
      <c r="CF161" s="58">
        <v>3317.24</v>
      </c>
      <c r="CG161" s="63"/>
      <c r="CH161" s="58">
        <v>18.32</v>
      </c>
      <c r="CI161" s="60"/>
      <c r="CJ161" s="27"/>
      <c r="CK161" s="408">
        <v>7.1739999999999995</v>
      </c>
      <c r="CL161" s="413"/>
      <c r="CM161" s="409"/>
      <c r="CN161" s="30">
        <f t="shared" ref="CN161:CN190" si="77">SUM(CK161:CM161,+CH161)</f>
        <v>25.494</v>
      </c>
      <c r="CP161" s="58">
        <v>4914.4799999999996</v>
      </c>
      <c r="CQ161" s="58">
        <v>710.31</v>
      </c>
      <c r="CR161" s="63">
        <v>6669.9</v>
      </c>
      <c r="CS161" s="58"/>
      <c r="CT161" s="60"/>
      <c r="CU161" s="27"/>
      <c r="CV161" s="408">
        <v>804.8313000000004</v>
      </c>
      <c r="CW161" s="413">
        <v>34.692750107619077</v>
      </c>
      <c r="CX161" s="409"/>
      <c r="CY161" s="229">
        <f t="shared" ref="CY161:CY190" si="78">SUM(CV161:CX161,+CS161)</f>
        <v>839.52405010761947</v>
      </c>
    </row>
    <row r="162" spans="1:103" s="217" customFormat="1" ht="15.75" thickBot="1" x14ac:dyDescent="0.3">
      <c r="A162" s="47">
        <v>46084</v>
      </c>
      <c r="B162" s="230">
        <v>8036.22</v>
      </c>
      <c r="C162" s="231">
        <v>6138.52</v>
      </c>
      <c r="D162" s="230">
        <v>11.39</v>
      </c>
      <c r="E162" s="232">
        <v>3.11</v>
      </c>
      <c r="F162" s="27"/>
      <c r="G162" s="408">
        <v>33.004999999999995</v>
      </c>
      <c r="H162" s="413"/>
      <c r="I162" s="409">
        <v>60.381262500000048</v>
      </c>
      <c r="J162" s="402">
        <f t="shared" si="71"/>
        <v>104.77626250000004</v>
      </c>
      <c r="L162" s="58">
        <v>20994.9</v>
      </c>
      <c r="M162" s="63">
        <v>7903.91</v>
      </c>
      <c r="N162" s="58">
        <v>38.81</v>
      </c>
      <c r="O162" s="60"/>
      <c r="P162" s="27"/>
      <c r="Q162" s="408">
        <v>190.45654999999988</v>
      </c>
      <c r="R162" s="408">
        <v>167.51741935483872</v>
      </c>
      <c r="S162" s="413"/>
      <c r="T162" s="409">
        <v>159.88621610000001</v>
      </c>
      <c r="U162" s="30">
        <f t="shared" si="70"/>
        <v>556.67018545483847</v>
      </c>
      <c r="V162" s="228"/>
      <c r="W162" s="58">
        <v>4659.3999999999996</v>
      </c>
      <c r="X162" s="63"/>
      <c r="Y162" s="58"/>
      <c r="Z162" s="60"/>
      <c r="AA162" s="27"/>
      <c r="AB162" s="408">
        <v>1.8867500000000064</v>
      </c>
      <c r="AC162" s="413"/>
      <c r="AD162" s="409"/>
      <c r="AE162" s="30">
        <f t="shared" si="72"/>
        <v>1.8867500000000064</v>
      </c>
      <c r="AG162" s="58">
        <v>11205.91</v>
      </c>
      <c r="AH162" s="63">
        <v>846.22</v>
      </c>
      <c r="AI162" s="58"/>
      <c r="AJ162" s="60"/>
      <c r="AK162" s="27"/>
      <c r="AL162" s="51"/>
      <c r="AM162" s="52"/>
      <c r="AN162" s="52"/>
      <c r="AO162" s="30">
        <f t="shared" si="73"/>
        <v>0</v>
      </c>
      <c r="AQ162" s="58">
        <v>10032.16</v>
      </c>
      <c r="AR162" s="58">
        <v>790.58</v>
      </c>
      <c r="AS162" s="58">
        <v>706.71</v>
      </c>
      <c r="AT162" s="62"/>
      <c r="AU162" s="27"/>
      <c r="AV162" s="408">
        <v>114.64977</v>
      </c>
      <c r="AW162" s="413">
        <v>15.765414015238179</v>
      </c>
      <c r="AX162" s="409"/>
      <c r="AY162" s="30">
        <f t="shared" si="74"/>
        <v>837.12518401523823</v>
      </c>
      <c r="BA162" s="58">
        <v>11271.38</v>
      </c>
      <c r="BB162" s="63"/>
      <c r="BC162" s="58">
        <v>140</v>
      </c>
      <c r="BD162" s="60"/>
      <c r="BE162" s="27"/>
      <c r="BF162" s="408">
        <v>33.876449999999963</v>
      </c>
      <c r="BG162" s="413"/>
      <c r="BH162" s="409"/>
      <c r="BI162" s="30">
        <f t="shared" si="75"/>
        <v>173.87644999999998</v>
      </c>
      <c r="BK162" s="58">
        <v>18189.28</v>
      </c>
      <c r="BL162" s="63">
        <v>1405.78</v>
      </c>
      <c r="BM162" s="58">
        <v>133.63</v>
      </c>
      <c r="BN162" s="60"/>
      <c r="BO162" s="27"/>
      <c r="BP162" s="408">
        <v>329.52024000000006</v>
      </c>
      <c r="BQ162" s="408">
        <v>315.16270967741934</v>
      </c>
      <c r="BR162" s="439">
        <v>-27.657462676190455</v>
      </c>
      <c r="BS162" s="409"/>
      <c r="BT162" s="30">
        <f t="shared" ref="BT162:BT190" si="79">SUM(BP162:BS162,+BM162)</f>
        <v>750.65548700122895</v>
      </c>
      <c r="BV162" s="58">
        <v>6676.6</v>
      </c>
      <c r="BW162" s="63">
        <v>1587.42</v>
      </c>
      <c r="BX162" s="58">
        <v>1.56</v>
      </c>
      <c r="BY162" s="60"/>
      <c r="BZ162" s="27"/>
      <c r="CA162" s="408"/>
      <c r="CB162" s="413"/>
      <c r="CC162" s="409"/>
      <c r="CD162" s="30">
        <f t="shared" si="76"/>
        <v>1.56</v>
      </c>
      <c r="CF162" s="58">
        <v>4438.8</v>
      </c>
      <c r="CG162" s="63"/>
      <c r="CH162" s="58">
        <v>200.27</v>
      </c>
      <c r="CI162" s="60"/>
      <c r="CJ162" s="27"/>
      <c r="CK162" s="408">
        <v>28.273979999999966</v>
      </c>
      <c r="CL162" s="413"/>
      <c r="CM162" s="409"/>
      <c r="CN162" s="30">
        <f t="shared" si="77"/>
        <v>228.54397999999998</v>
      </c>
      <c r="CP162" s="58">
        <v>3536.86</v>
      </c>
      <c r="CQ162" s="58">
        <v>592.96</v>
      </c>
      <c r="CR162" s="63">
        <v>7166.56</v>
      </c>
      <c r="CS162" s="58">
        <v>4.29</v>
      </c>
      <c r="CT162" s="60"/>
      <c r="CU162" s="27"/>
      <c r="CV162" s="408">
        <v>569.13055000000043</v>
      </c>
      <c r="CW162" s="413"/>
      <c r="CX162" s="409"/>
      <c r="CY162" s="229">
        <f t="shared" si="78"/>
        <v>573.42055000000039</v>
      </c>
    </row>
    <row r="163" spans="1:103" s="217" customFormat="1" ht="15.75" thickBot="1" x14ac:dyDescent="0.3">
      <c r="A163" s="47">
        <v>46085</v>
      </c>
      <c r="B163" s="230">
        <v>13135.73</v>
      </c>
      <c r="C163" s="231">
        <v>4146.1400000000003</v>
      </c>
      <c r="D163" s="230">
        <v>269.88</v>
      </c>
      <c r="E163" s="232">
        <v>4.9800000000000004</v>
      </c>
      <c r="F163" s="27"/>
      <c r="G163" s="408">
        <v>8.5000000000000071</v>
      </c>
      <c r="H163" s="413"/>
      <c r="I163" s="409">
        <v>47.989939199999981</v>
      </c>
      <c r="J163" s="402">
        <f t="shared" si="71"/>
        <v>326.36993919999998</v>
      </c>
      <c r="L163" s="58">
        <v>18924.16</v>
      </c>
      <c r="M163" s="63"/>
      <c r="N163" s="58">
        <v>36.409999999999997</v>
      </c>
      <c r="O163" s="60"/>
      <c r="P163" s="27"/>
      <c r="Q163" s="408">
        <v>215.9830399999999</v>
      </c>
      <c r="R163" s="408">
        <v>167.51741935483872</v>
      </c>
      <c r="S163" s="413"/>
      <c r="T163" s="409">
        <v>76.177500000000009</v>
      </c>
      <c r="U163" s="30">
        <f t="shared" si="70"/>
        <v>496.08795935483863</v>
      </c>
      <c r="V163" s="228"/>
      <c r="W163" s="58">
        <v>2001.98</v>
      </c>
      <c r="X163" s="63"/>
      <c r="Y163" s="58"/>
      <c r="Z163" s="60"/>
      <c r="AA163" s="27"/>
      <c r="AB163" s="408">
        <v>7.7360400000000027</v>
      </c>
      <c r="AC163" s="413"/>
      <c r="AD163" s="409"/>
      <c r="AE163" s="30">
        <f t="shared" si="72"/>
        <v>7.7360400000000027</v>
      </c>
      <c r="AG163" s="58">
        <v>13020.3</v>
      </c>
      <c r="AH163" s="63">
        <v>650.87</v>
      </c>
      <c r="AI163" s="58"/>
      <c r="AJ163" s="60"/>
      <c r="AK163" s="27"/>
      <c r="AL163" s="51"/>
      <c r="AM163" s="52"/>
      <c r="AN163" s="52"/>
      <c r="AO163" s="30">
        <f t="shared" si="73"/>
        <v>0</v>
      </c>
      <c r="AQ163" s="58">
        <v>6264.59</v>
      </c>
      <c r="AR163" s="58">
        <v>877.01</v>
      </c>
      <c r="AS163" s="58">
        <v>475.96</v>
      </c>
      <c r="AT163" s="62"/>
      <c r="AU163" s="27"/>
      <c r="AV163" s="408">
        <v>141.81084999999985</v>
      </c>
      <c r="AW163" s="413">
        <v>32.259349100952505</v>
      </c>
      <c r="AX163" s="409">
        <v>4.7220059999999933</v>
      </c>
      <c r="AY163" s="30">
        <f t="shared" si="74"/>
        <v>654.75220510095232</v>
      </c>
      <c r="BA163" s="58">
        <v>6808.14</v>
      </c>
      <c r="BB163" s="63"/>
      <c r="BC163" s="58"/>
      <c r="BD163" s="60"/>
      <c r="BE163" s="27"/>
      <c r="BF163" s="408">
        <v>13.218979999999959</v>
      </c>
      <c r="BG163" s="413"/>
      <c r="BH163" s="409"/>
      <c r="BI163" s="30">
        <f t="shared" si="75"/>
        <v>13.218979999999959</v>
      </c>
      <c r="BK163" s="58">
        <v>14636.83</v>
      </c>
      <c r="BL163" s="63">
        <v>2142.92</v>
      </c>
      <c r="BM163" s="58">
        <v>40.5</v>
      </c>
      <c r="BN163" s="60"/>
      <c r="BO163" s="27"/>
      <c r="BP163" s="408">
        <v>204.90192000000019</v>
      </c>
      <c r="BQ163" s="408">
        <v>315.16270967741934</v>
      </c>
      <c r="BR163" s="439">
        <v>45.533720779047705</v>
      </c>
      <c r="BS163" s="409"/>
      <c r="BT163" s="30">
        <f t="shared" si="79"/>
        <v>606.0983504564673</v>
      </c>
      <c r="BV163" s="58">
        <v>4235.24</v>
      </c>
      <c r="BW163" s="63">
        <v>424.81</v>
      </c>
      <c r="BX163" s="58">
        <v>7.6</v>
      </c>
      <c r="BY163" s="60"/>
      <c r="BZ163" s="27"/>
      <c r="CA163" s="408"/>
      <c r="CB163" s="413"/>
      <c r="CC163" s="409"/>
      <c r="CD163" s="30">
        <f t="shared" si="76"/>
        <v>7.6</v>
      </c>
      <c r="CF163" s="58">
        <v>1560.45</v>
      </c>
      <c r="CG163" s="63"/>
      <c r="CH163" s="58">
        <v>52.75</v>
      </c>
      <c r="CI163" s="60"/>
      <c r="CJ163" s="27"/>
      <c r="CK163" s="408"/>
      <c r="CL163" s="413"/>
      <c r="CM163" s="409"/>
      <c r="CN163" s="30">
        <f t="shared" si="77"/>
        <v>52.75</v>
      </c>
      <c r="CP163" s="58">
        <v>3706.47</v>
      </c>
      <c r="CQ163" s="58">
        <v>1301.48</v>
      </c>
      <c r="CR163" s="63">
        <v>0</v>
      </c>
      <c r="CS163" s="58">
        <v>23.15</v>
      </c>
      <c r="CT163" s="60"/>
      <c r="CU163" s="27"/>
      <c r="CV163" s="408">
        <v>127.02240000000006</v>
      </c>
      <c r="CW163" s="413"/>
      <c r="CX163" s="409">
        <v>9.5193845999999951</v>
      </c>
      <c r="CY163" s="229">
        <f t="shared" si="78"/>
        <v>159.69178460000006</v>
      </c>
    </row>
    <row r="164" spans="1:103" s="217" customFormat="1" ht="15.75" thickBot="1" x14ac:dyDescent="0.3">
      <c r="A164" s="47">
        <v>46086</v>
      </c>
      <c r="B164" s="230">
        <v>5760.69</v>
      </c>
      <c r="C164" s="231">
        <v>13087.48</v>
      </c>
      <c r="D164" s="230">
        <v>32.83</v>
      </c>
      <c r="E164" s="232"/>
      <c r="F164" s="27"/>
      <c r="G164" s="408">
        <v>171.14790000000016</v>
      </c>
      <c r="H164" s="413"/>
      <c r="I164" s="409">
        <v>279.54672239999991</v>
      </c>
      <c r="J164" s="402">
        <f t="shared" si="71"/>
        <v>483.52462240000006</v>
      </c>
      <c r="L164" s="58">
        <v>28311.52</v>
      </c>
      <c r="M164" s="63">
        <v>15636.73</v>
      </c>
      <c r="N164" s="58">
        <v>22.35</v>
      </c>
      <c r="O164" s="60"/>
      <c r="P164" s="27"/>
      <c r="Q164" s="408">
        <v>152.63165000000006</v>
      </c>
      <c r="R164" s="408">
        <v>167.51741935483872</v>
      </c>
      <c r="S164" s="413"/>
      <c r="T164" s="409">
        <v>502.60958639999978</v>
      </c>
      <c r="U164" s="30">
        <f t="shared" si="70"/>
        <v>845.10865575483865</v>
      </c>
      <c r="V164" s="228"/>
      <c r="W164" s="58">
        <v>8908.0400000000009</v>
      </c>
      <c r="X164" s="63"/>
      <c r="Y164" s="58"/>
      <c r="Z164" s="60"/>
      <c r="AA164" s="27"/>
      <c r="AB164" s="408"/>
      <c r="AC164" s="413"/>
      <c r="AD164" s="409"/>
      <c r="AE164" s="30">
        <f t="shared" si="72"/>
        <v>0</v>
      </c>
      <c r="AG164" s="58">
        <v>14669.35</v>
      </c>
      <c r="AH164" s="63">
        <v>352.88</v>
      </c>
      <c r="AI164" s="58"/>
      <c r="AJ164" s="60"/>
      <c r="AK164" s="27"/>
      <c r="AL164" s="51"/>
      <c r="AM164" s="52"/>
      <c r="AN164" s="52"/>
      <c r="AO164" s="30">
        <f t="shared" si="73"/>
        <v>0</v>
      </c>
      <c r="AQ164" s="58">
        <v>16099.82</v>
      </c>
      <c r="AR164" s="58">
        <v>872.65</v>
      </c>
      <c r="AS164" s="58">
        <v>784.54</v>
      </c>
      <c r="AT164" s="62"/>
      <c r="AU164" s="27"/>
      <c r="AV164" s="408">
        <v>-148.54112000000009</v>
      </c>
      <c r="AW164" s="413">
        <v>-64.995329237142812</v>
      </c>
      <c r="AX164" s="409">
        <v>5.7160379999999975</v>
      </c>
      <c r="AY164" s="30">
        <f t="shared" si="74"/>
        <v>576.71958876285703</v>
      </c>
      <c r="BA164" s="58">
        <v>19104.37</v>
      </c>
      <c r="BB164" s="63"/>
      <c r="BC164" s="58">
        <v>250</v>
      </c>
      <c r="BD164" s="60"/>
      <c r="BE164" s="27"/>
      <c r="BF164" s="408">
        <v>-60.17553999999997</v>
      </c>
      <c r="BG164" s="413"/>
      <c r="BH164" s="409"/>
      <c r="BI164" s="30">
        <f t="shared" si="75"/>
        <v>189.82446000000004</v>
      </c>
      <c r="BK164" s="58">
        <v>24153.08</v>
      </c>
      <c r="BL164" s="63">
        <v>1765.44</v>
      </c>
      <c r="BM164" s="58">
        <v>227.49</v>
      </c>
      <c r="BN164" s="60"/>
      <c r="BO164" s="27"/>
      <c r="BP164" s="408">
        <v>111.32817000000014</v>
      </c>
      <c r="BQ164" s="408">
        <v>315.16270967741934</v>
      </c>
      <c r="BR164" s="439">
        <v>-7.1867533548571387</v>
      </c>
      <c r="BS164" s="409"/>
      <c r="BT164" s="30">
        <f t="shared" si="79"/>
        <v>646.79412632256231</v>
      </c>
      <c r="BV164" s="58">
        <v>7061.52</v>
      </c>
      <c r="BW164" s="63">
        <v>2407.85</v>
      </c>
      <c r="BX164" s="58">
        <v>9.9499999999999993</v>
      </c>
      <c r="BY164" s="60"/>
      <c r="BZ164" s="27"/>
      <c r="CA164" s="408"/>
      <c r="CB164" s="413"/>
      <c r="CC164" s="409"/>
      <c r="CD164" s="30">
        <f t="shared" si="76"/>
        <v>9.9499999999999993</v>
      </c>
      <c r="CF164" s="58">
        <v>6934.47</v>
      </c>
      <c r="CG164" s="63"/>
      <c r="CH164" s="58">
        <v>769.82</v>
      </c>
      <c r="CI164" s="60"/>
      <c r="CJ164" s="27"/>
      <c r="CK164" s="408"/>
      <c r="CL164" s="413">
        <v>-15.017053462857149</v>
      </c>
      <c r="CM164" s="409"/>
      <c r="CN164" s="30">
        <f t="shared" si="77"/>
        <v>754.80294653714293</v>
      </c>
      <c r="CP164" s="58">
        <v>4166.79</v>
      </c>
      <c r="CQ164" s="58">
        <v>5017.47</v>
      </c>
      <c r="CR164" s="63">
        <v>0</v>
      </c>
      <c r="CS164" s="58">
        <v>16.32</v>
      </c>
      <c r="CT164" s="60"/>
      <c r="CU164" s="27"/>
      <c r="CV164" s="408">
        <v>-226.59000000000003</v>
      </c>
      <c r="CW164" s="413">
        <v>9.770869771428579</v>
      </c>
      <c r="CX164" s="409"/>
      <c r="CY164" s="229">
        <f t="shared" si="78"/>
        <v>-200.49913022857146</v>
      </c>
    </row>
    <row r="165" spans="1:103" s="217" customFormat="1" ht="15.75" thickBot="1" x14ac:dyDescent="0.3">
      <c r="A165" s="47">
        <v>46087</v>
      </c>
      <c r="B165" s="230">
        <v>10901.74</v>
      </c>
      <c r="C165" s="231">
        <v>3356.92</v>
      </c>
      <c r="D165" s="230">
        <v>99.11</v>
      </c>
      <c r="E165" s="232"/>
      <c r="F165" s="27"/>
      <c r="G165" s="408"/>
      <c r="H165" s="413"/>
      <c r="I165" s="409"/>
      <c r="J165" s="402">
        <f t="shared" si="71"/>
        <v>99.11</v>
      </c>
      <c r="L165" s="58">
        <v>25960.59</v>
      </c>
      <c r="M165" s="63">
        <v>3535.4</v>
      </c>
      <c r="N165" s="58">
        <v>76</v>
      </c>
      <c r="O165" s="60"/>
      <c r="P165" s="27"/>
      <c r="Q165" s="408">
        <v>520.0029599999998</v>
      </c>
      <c r="R165" s="408">
        <v>167.51741935483872</v>
      </c>
      <c r="S165" s="413"/>
      <c r="T165" s="409">
        <v>100.5583297</v>
      </c>
      <c r="U165" s="30">
        <f t="shared" si="70"/>
        <v>864.07870905483855</v>
      </c>
      <c r="V165" s="228"/>
      <c r="W165" s="58">
        <v>4712.49</v>
      </c>
      <c r="X165" s="63"/>
      <c r="Y165" s="58"/>
      <c r="Z165" s="60"/>
      <c r="AA165" s="27"/>
      <c r="AB165" s="408">
        <v>43.655519999999939</v>
      </c>
      <c r="AC165" s="413"/>
      <c r="AD165" s="409"/>
      <c r="AE165" s="30">
        <f t="shared" si="72"/>
        <v>43.655519999999939</v>
      </c>
      <c r="AG165" s="58">
        <v>7794.42</v>
      </c>
      <c r="AH165" s="63"/>
      <c r="AI165" s="58">
        <v>6478.5</v>
      </c>
      <c r="AJ165" s="60"/>
      <c r="AK165" s="27"/>
      <c r="AL165" s="51"/>
      <c r="AM165" s="52"/>
      <c r="AN165" s="52"/>
      <c r="AO165" s="30">
        <f t="shared" si="73"/>
        <v>6478.5</v>
      </c>
      <c r="AQ165" s="58">
        <v>13044.89</v>
      </c>
      <c r="AR165" s="58">
        <v>927.27</v>
      </c>
      <c r="AS165" s="58">
        <v>591.58000000000004</v>
      </c>
      <c r="AT165" s="62"/>
      <c r="AU165" s="27"/>
      <c r="AV165" s="408">
        <v>-122.59074999999996</v>
      </c>
      <c r="AW165" s="413">
        <v>19.582009691428539</v>
      </c>
      <c r="AX165" s="409"/>
      <c r="AY165" s="30">
        <f t="shared" si="74"/>
        <v>488.57125969142862</v>
      </c>
      <c r="BA165" s="58">
        <v>8077.96</v>
      </c>
      <c r="BB165" s="63"/>
      <c r="BC165" s="58"/>
      <c r="BD165" s="60"/>
      <c r="BE165" s="27"/>
      <c r="BF165" s="408">
        <v>-46.773440000000051</v>
      </c>
      <c r="BG165" s="413"/>
      <c r="BH165" s="409"/>
      <c r="BI165" s="30">
        <f t="shared" si="75"/>
        <v>-46.773440000000051</v>
      </c>
      <c r="BK165" s="58">
        <v>42537.120000000003</v>
      </c>
      <c r="BL165" s="63"/>
      <c r="BM165" s="58">
        <v>201.53</v>
      </c>
      <c r="BN165" s="60"/>
      <c r="BO165" s="27"/>
      <c r="BP165" s="408">
        <v>632.14780999999971</v>
      </c>
      <c r="BQ165" s="408">
        <v>315.16270967741934</v>
      </c>
      <c r="BR165" s="439">
        <v>97.112615417142877</v>
      </c>
      <c r="BS165" s="409"/>
      <c r="BT165" s="30">
        <f t="shared" si="79"/>
        <v>1245.953135094562</v>
      </c>
      <c r="BV165" s="58">
        <v>4677.53</v>
      </c>
      <c r="BW165" s="63">
        <v>620.05999999999995</v>
      </c>
      <c r="BX165" s="58">
        <v>0.9</v>
      </c>
      <c r="BY165" s="60"/>
      <c r="BZ165" s="27"/>
      <c r="CA165" s="408"/>
      <c r="CB165" s="413"/>
      <c r="CC165" s="409"/>
      <c r="CD165" s="30">
        <f t="shared" si="76"/>
        <v>0.9</v>
      </c>
      <c r="CF165" s="58">
        <v>7562.21</v>
      </c>
      <c r="CG165" s="63"/>
      <c r="CH165" s="58">
        <v>164.38</v>
      </c>
      <c r="CI165" s="60"/>
      <c r="CJ165" s="27"/>
      <c r="CK165" s="408"/>
      <c r="CL165" s="413"/>
      <c r="CM165" s="409"/>
      <c r="CN165" s="30">
        <f t="shared" si="77"/>
        <v>164.38</v>
      </c>
      <c r="CP165" s="58">
        <v>7491.65</v>
      </c>
      <c r="CQ165" s="58">
        <v>87.51</v>
      </c>
      <c r="CR165" s="63">
        <v>0</v>
      </c>
      <c r="CS165" s="58">
        <v>36.630000000000003</v>
      </c>
      <c r="CT165" s="60"/>
      <c r="CU165" s="27"/>
      <c r="CV165" s="408">
        <v>223.41129000000012</v>
      </c>
      <c r="CW165" s="413">
        <v>31.532205348571452</v>
      </c>
      <c r="CX165" s="409"/>
      <c r="CY165" s="229">
        <f t="shared" si="78"/>
        <v>291.57349534857156</v>
      </c>
    </row>
    <row r="166" spans="1:103" s="217" customFormat="1" ht="15.75" thickBot="1" x14ac:dyDescent="0.3">
      <c r="A166" s="47">
        <v>46088</v>
      </c>
      <c r="B166" s="230">
        <v>25962.84</v>
      </c>
      <c r="C166" s="231">
        <v>14736.85</v>
      </c>
      <c r="D166" s="230">
        <v>205.88</v>
      </c>
      <c r="E166" s="232"/>
      <c r="F166" s="27"/>
      <c r="G166" s="408"/>
      <c r="H166" s="413"/>
      <c r="I166" s="409"/>
      <c r="J166" s="402">
        <f t="shared" si="71"/>
        <v>205.88</v>
      </c>
      <c r="L166" s="58">
        <v>22265.599999999999</v>
      </c>
      <c r="M166" s="63">
        <v>17908.25</v>
      </c>
      <c r="N166" s="58">
        <v>46.74</v>
      </c>
      <c r="O166" s="60"/>
      <c r="P166" s="27"/>
      <c r="Q166" s="408">
        <v>315.98080999999979</v>
      </c>
      <c r="R166" s="408">
        <v>167.51741935483872</v>
      </c>
      <c r="S166" s="413"/>
      <c r="T166" s="409"/>
      <c r="U166" s="30">
        <f t="shared" si="70"/>
        <v>530.2382293548385</v>
      </c>
      <c r="V166" s="228"/>
      <c r="W166" s="58">
        <v>4884.88</v>
      </c>
      <c r="X166" s="63"/>
      <c r="Y166" s="58"/>
      <c r="Z166" s="60"/>
      <c r="AA166" s="27"/>
      <c r="AB166" s="408">
        <v>70.607119999999952</v>
      </c>
      <c r="AC166" s="413"/>
      <c r="AD166" s="409"/>
      <c r="AE166" s="30">
        <f t="shared" si="72"/>
        <v>70.607119999999952</v>
      </c>
      <c r="AG166" s="58">
        <v>8716.98</v>
      </c>
      <c r="AH166" s="63"/>
      <c r="AI166" s="58">
        <v>11.34</v>
      </c>
      <c r="AJ166" s="60"/>
      <c r="AK166" s="27"/>
      <c r="AL166" s="51"/>
      <c r="AM166" s="52"/>
      <c r="AN166" s="52"/>
      <c r="AO166" s="30">
        <f t="shared" si="73"/>
        <v>11.34</v>
      </c>
      <c r="AQ166" s="58">
        <v>4807.4399999999996</v>
      </c>
      <c r="AR166" s="58">
        <v>1016.12</v>
      </c>
      <c r="AS166" s="58">
        <v>96.29</v>
      </c>
      <c r="AT166" s="62"/>
      <c r="AU166" s="27"/>
      <c r="AV166" s="408">
        <v>245.24559999999994</v>
      </c>
      <c r="AW166" s="413"/>
      <c r="AX166" s="409"/>
      <c r="AY166" s="30">
        <f t="shared" si="74"/>
        <v>341.53559999999993</v>
      </c>
      <c r="BA166" s="58">
        <v>4629.16</v>
      </c>
      <c r="BB166" s="63"/>
      <c r="BC166" s="58"/>
      <c r="BD166" s="60"/>
      <c r="BE166" s="27"/>
      <c r="BF166" s="408">
        <v>176.02775999999986</v>
      </c>
      <c r="BG166" s="413"/>
      <c r="BH166" s="409"/>
      <c r="BI166" s="30">
        <f t="shared" si="75"/>
        <v>176.02775999999986</v>
      </c>
      <c r="BK166" s="58">
        <v>32489.7</v>
      </c>
      <c r="BL166" s="63"/>
      <c r="BM166" s="58">
        <v>173.87</v>
      </c>
      <c r="BN166" s="60"/>
      <c r="BO166" s="27"/>
      <c r="BP166" s="408">
        <v>626.35987999999963</v>
      </c>
      <c r="BQ166" s="408">
        <v>315.16270967741934</v>
      </c>
      <c r="BR166" s="439">
        <v>110.32068571999997</v>
      </c>
      <c r="BS166" s="409"/>
      <c r="BT166" s="30">
        <f t="shared" si="79"/>
        <v>1225.7132753974188</v>
      </c>
      <c r="BV166" s="58">
        <v>3892.74</v>
      </c>
      <c r="BW166" s="63"/>
      <c r="BX166" s="58">
        <v>16.2</v>
      </c>
      <c r="BY166" s="60"/>
      <c r="BZ166" s="27"/>
      <c r="CA166" s="408"/>
      <c r="CB166" s="413"/>
      <c r="CC166" s="409"/>
      <c r="CD166" s="30">
        <f t="shared" si="76"/>
        <v>16.2</v>
      </c>
      <c r="CF166" s="58">
        <v>2864.89</v>
      </c>
      <c r="CG166" s="63"/>
      <c r="CH166" s="58">
        <v>213.25</v>
      </c>
      <c r="CI166" s="60"/>
      <c r="CJ166" s="27"/>
      <c r="CK166" s="408">
        <v>8.519999999999996</v>
      </c>
      <c r="CL166" s="413"/>
      <c r="CM166" s="409"/>
      <c r="CN166" s="30">
        <f t="shared" si="77"/>
        <v>221.76999999999998</v>
      </c>
      <c r="CP166" s="58">
        <v>6709.03</v>
      </c>
      <c r="CQ166" s="58">
        <v>0</v>
      </c>
      <c r="CR166" s="63">
        <v>0</v>
      </c>
      <c r="CS166" s="58"/>
      <c r="CT166" s="60"/>
      <c r="CU166" s="27"/>
      <c r="CV166" s="408">
        <v>337.45992999999959</v>
      </c>
      <c r="CW166" s="413">
        <v>4.7982313714285567</v>
      </c>
      <c r="CX166" s="409"/>
      <c r="CY166" s="229">
        <f t="shared" si="78"/>
        <v>342.25816137142817</v>
      </c>
    </row>
    <row r="167" spans="1:103" s="217" customFormat="1" ht="15.75" thickBot="1" x14ac:dyDescent="0.3">
      <c r="A167" s="47">
        <v>46089</v>
      </c>
      <c r="B167" s="230">
        <v>6381.8</v>
      </c>
      <c r="C167" s="231">
        <v>8397.4</v>
      </c>
      <c r="D167" s="230"/>
      <c r="E167" s="232"/>
      <c r="F167" s="27"/>
      <c r="G167" s="408">
        <v>12.950439999999993</v>
      </c>
      <c r="H167" s="413"/>
      <c r="I167" s="409"/>
      <c r="J167" s="402">
        <f t="shared" si="71"/>
        <v>12.950439999999993</v>
      </c>
      <c r="L167" s="58">
        <v>38789.980000000003</v>
      </c>
      <c r="M167" s="63"/>
      <c r="N167" s="58">
        <v>28.59</v>
      </c>
      <c r="O167" s="60"/>
      <c r="P167" s="27"/>
      <c r="Q167" s="408">
        <v>164.69965999999994</v>
      </c>
      <c r="R167" s="408">
        <v>167.51741935483872</v>
      </c>
      <c r="S167" s="413"/>
      <c r="T167" s="409">
        <v>42.902523299999999</v>
      </c>
      <c r="U167" s="30">
        <f t="shared" si="70"/>
        <v>403.70960265483865</v>
      </c>
      <c r="V167" s="228"/>
      <c r="W167" s="58">
        <v>2169.2800000000002</v>
      </c>
      <c r="X167" s="63"/>
      <c r="Y167" s="58"/>
      <c r="Z167" s="60"/>
      <c r="AA167" s="27"/>
      <c r="AB167" s="408">
        <v>42.292319999999989</v>
      </c>
      <c r="AC167" s="413"/>
      <c r="AD167" s="409"/>
      <c r="AE167" s="30">
        <f t="shared" si="72"/>
        <v>42.292319999999989</v>
      </c>
      <c r="AG167" s="58">
        <v>2156.06</v>
      </c>
      <c r="AH167" s="63"/>
      <c r="AI167" s="58"/>
      <c r="AJ167" s="60"/>
      <c r="AK167" s="27"/>
      <c r="AL167" s="51"/>
      <c r="AM167" s="52"/>
      <c r="AN167" s="52"/>
      <c r="AO167" s="30">
        <f t="shared" si="73"/>
        <v>0</v>
      </c>
      <c r="AQ167" s="58">
        <v>4400.4799999999996</v>
      </c>
      <c r="AR167" s="58">
        <v>882.64</v>
      </c>
      <c r="AS167" s="58">
        <v>139.96</v>
      </c>
      <c r="AT167" s="62"/>
      <c r="AU167" s="27"/>
      <c r="AV167" s="408">
        <v>101.77470999999993</v>
      </c>
      <c r="AW167" s="413">
        <v>185.09534736000001</v>
      </c>
      <c r="AX167" s="409"/>
      <c r="AY167" s="30">
        <f t="shared" si="74"/>
        <v>426.83005735999996</v>
      </c>
      <c r="BA167" s="58">
        <v>4830.51</v>
      </c>
      <c r="BB167" s="63"/>
      <c r="BC167" s="58"/>
      <c r="BD167" s="60"/>
      <c r="BE167" s="27"/>
      <c r="BF167" s="408">
        <v>46.119799999999941</v>
      </c>
      <c r="BG167" s="413"/>
      <c r="BH167" s="409"/>
      <c r="BI167" s="30">
        <f t="shared" si="75"/>
        <v>46.119799999999941</v>
      </c>
      <c r="BK167" s="58">
        <v>12503.97</v>
      </c>
      <c r="BL167" s="63">
        <v>1666.28</v>
      </c>
      <c r="BM167" s="58">
        <v>142.69</v>
      </c>
      <c r="BN167" s="60"/>
      <c r="BO167" s="27"/>
      <c r="BP167" s="408">
        <v>65.399999999999977</v>
      </c>
      <c r="BQ167" s="408">
        <v>315.16270967741934</v>
      </c>
      <c r="BR167" s="439">
        <v>-35.567500000000003</v>
      </c>
      <c r="BS167" s="409"/>
      <c r="BT167" s="30">
        <f t="shared" si="79"/>
        <v>487.68520967741932</v>
      </c>
      <c r="BV167" s="58">
        <v>2693.54</v>
      </c>
      <c r="BW167" s="63"/>
      <c r="BX167" s="58"/>
      <c r="BY167" s="60"/>
      <c r="BZ167" s="27"/>
      <c r="CA167" s="408"/>
      <c r="CB167" s="413"/>
      <c r="CC167" s="409"/>
      <c r="CD167" s="30">
        <f t="shared" si="76"/>
        <v>0</v>
      </c>
      <c r="CF167" s="58">
        <v>2318.59</v>
      </c>
      <c r="CG167" s="63"/>
      <c r="CH167" s="58">
        <v>85.26</v>
      </c>
      <c r="CI167" s="60"/>
      <c r="CJ167" s="27"/>
      <c r="CK167" s="408"/>
      <c r="CL167" s="413"/>
      <c r="CM167" s="409"/>
      <c r="CN167" s="30">
        <f t="shared" si="77"/>
        <v>85.26</v>
      </c>
      <c r="CP167" s="58">
        <v>13503.35</v>
      </c>
      <c r="CQ167" s="58">
        <v>3936.14</v>
      </c>
      <c r="CR167" s="63">
        <v>0</v>
      </c>
      <c r="CS167" s="58"/>
      <c r="CT167" s="60"/>
      <c r="CU167" s="27"/>
      <c r="CV167" s="408"/>
      <c r="CW167" s="413"/>
      <c r="CX167" s="409"/>
      <c r="CY167" s="229">
        <f t="shared" si="78"/>
        <v>0</v>
      </c>
    </row>
    <row r="168" spans="1:103" s="217" customFormat="1" ht="15.75" thickBot="1" x14ac:dyDescent="0.3">
      <c r="A168" s="47">
        <v>46090</v>
      </c>
      <c r="B168" s="230">
        <v>3025.81</v>
      </c>
      <c r="C168" s="231">
        <v>50</v>
      </c>
      <c r="D168" s="230">
        <v>86.07</v>
      </c>
      <c r="E168" s="232"/>
      <c r="F168" s="27"/>
      <c r="G168" s="408"/>
      <c r="H168" s="413"/>
      <c r="I168" s="409">
        <v>223.3790328</v>
      </c>
      <c r="J168" s="402">
        <f t="shared" si="71"/>
        <v>309.4490328</v>
      </c>
      <c r="L168" s="58">
        <v>22500.46</v>
      </c>
      <c r="M168" s="63">
        <v>8692.7800000000007</v>
      </c>
      <c r="N168" s="58">
        <v>34.07</v>
      </c>
      <c r="O168" s="60"/>
      <c r="P168" s="27"/>
      <c r="Q168" s="408">
        <v>749.95946999999956</v>
      </c>
      <c r="R168" s="408">
        <v>167.51741935483872</v>
      </c>
      <c r="S168" s="413"/>
      <c r="T168" s="409">
        <v>1068.4325662999997</v>
      </c>
      <c r="U168" s="30">
        <f t="shared" si="70"/>
        <v>2019.9794556548379</v>
      </c>
      <c r="V168" s="228"/>
      <c r="W168" s="58">
        <v>3327.67</v>
      </c>
      <c r="X168" s="63"/>
      <c r="Y168" s="58">
        <v>1874.21</v>
      </c>
      <c r="Z168" s="60"/>
      <c r="AA168" s="27"/>
      <c r="AB168" s="408">
        <v>99.223279999999903</v>
      </c>
      <c r="AC168" s="413"/>
      <c r="AD168" s="409"/>
      <c r="AE168" s="30">
        <f t="shared" si="72"/>
        <v>1973.43328</v>
      </c>
      <c r="AG168" s="58">
        <v>7180.16</v>
      </c>
      <c r="AH168" s="63"/>
      <c r="AI168" s="58"/>
      <c r="AJ168" s="60"/>
      <c r="AK168" s="27"/>
      <c r="AL168" s="51"/>
      <c r="AM168" s="52"/>
      <c r="AN168" s="52"/>
      <c r="AO168" s="30">
        <f t="shared" si="73"/>
        <v>0</v>
      </c>
      <c r="AQ168" s="58">
        <v>5141.07</v>
      </c>
      <c r="AR168" s="58">
        <v>961.16</v>
      </c>
      <c r="AS168" s="58">
        <v>36.94</v>
      </c>
      <c r="AT168" s="62"/>
      <c r="AU168" s="27"/>
      <c r="AV168" s="408">
        <v>387.02377999999976</v>
      </c>
      <c r="AW168" s="413">
        <v>72.531482879999999</v>
      </c>
      <c r="AX168" s="409"/>
      <c r="AY168" s="30">
        <f t="shared" si="74"/>
        <v>496.49526287999976</v>
      </c>
      <c r="BA168" s="58">
        <v>4714.54</v>
      </c>
      <c r="BB168" s="63"/>
      <c r="BC168" s="58"/>
      <c r="BD168" s="60"/>
      <c r="BE168" s="27"/>
      <c r="BF168" s="408">
        <v>54.631759999999957</v>
      </c>
      <c r="BG168" s="413"/>
      <c r="BH168" s="409"/>
      <c r="BI168" s="30">
        <f t="shared" si="75"/>
        <v>54.631759999999957</v>
      </c>
      <c r="BK168" s="58">
        <v>19078.919999999998</v>
      </c>
      <c r="BL168" s="63"/>
      <c r="BM168" s="58">
        <v>123.95</v>
      </c>
      <c r="BN168" s="60"/>
      <c r="BO168" s="27"/>
      <c r="BP168" s="408">
        <v>840.61985999999933</v>
      </c>
      <c r="BQ168" s="408">
        <v>315.16270967741934</v>
      </c>
      <c r="BR168" s="413">
        <v>107.65247204571426</v>
      </c>
      <c r="BS168" s="409">
        <v>33.933499999999995</v>
      </c>
      <c r="BT168" s="30">
        <f t="shared" si="79"/>
        <v>1421.3185417231332</v>
      </c>
      <c r="BV168" s="58">
        <v>846.89</v>
      </c>
      <c r="BW168" s="63"/>
      <c r="BX168" s="58">
        <v>1.23</v>
      </c>
      <c r="BY168" s="60"/>
      <c r="BZ168" s="27"/>
      <c r="CA168" s="408"/>
      <c r="CB168" s="413"/>
      <c r="CC168" s="409"/>
      <c r="CD168" s="30">
        <f t="shared" si="76"/>
        <v>1.23</v>
      </c>
      <c r="CF168" s="58">
        <v>2539.3200000000002</v>
      </c>
      <c r="CG168" s="63"/>
      <c r="CH168" s="58">
        <v>41.6</v>
      </c>
      <c r="CI168" s="60"/>
      <c r="CJ168" s="27"/>
      <c r="CK168" s="408"/>
      <c r="CL168" s="413">
        <v>212.57771428571414</v>
      </c>
      <c r="CM168" s="409"/>
      <c r="CN168" s="30">
        <f t="shared" si="77"/>
        <v>254.17771428571413</v>
      </c>
      <c r="CP168" s="58">
        <v>6179.85</v>
      </c>
      <c r="CQ168" s="58">
        <v>685.49</v>
      </c>
      <c r="CR168" s="63">
        <v>0</v>
      </c>
      <c r="CS168" s="58"/>
      <c r="CT168" s="60"/>
      <c r="CU168" s="27"/>
      <c r="CV168" s="408">
        <v>1043.9125799999997</v>
      </c>
      <c r="CW168" s="413">
        <v>124.50381077714263</v>
      </c>
      <c r="CX168" s="409"/>
      <c r="CY168" s="229">
        <f t="shared" si="78"/>
        <v>1168.4163907771424</v>
      </c>
    </row>
    <row r="169" spans="1:103" s="217" customFormat="1" ht="15.75" thickBot="1" x14ac:dyDescent="0.3">
      <c r="A169" s="47">
        <v>46091</v>
      </c>
      <c r="B169" s="230">
        <v>26455.9</v>
      </c>
      <c r="C169" s="231">
        <v>8888.34</v>
      </c>
      <c r="D169" s="230"/>
      <c r="E169" s="232"/>
      <c r="F169" s="27"/>
      <c r="G169" s="408"/>
      <c r="H169" s="413">
        <v>22.637222677999972</v>
      </c>
      <c r="I169" s="409"/>
      <c r="J169" s="402">
        <f t="shared" si="71"/>
        <v>22.637222677999972</v>
      </c>
      <c r="L169" s="58">
        <v>4446.22</v>
      </c>
      <c r="M169" s="63"/>
      <c r="N169" s="58">
        <v>30.04</v>
      </c>
      <c r="O169" s="60"/>
      <c r="P169" s="27"/>
      <c r="Q169" s="408">
        <v>443.50847999999968</v>
      </c>
      <c r="R169" s="408">
        <v>167.51741935483872</v>
      </c>
      <c r="S169" s="413"/>
      <c r="T169" s="409"/>
      <c r="U169" s="30">
        <f t="shared" si="70"/>
        <v>641.06589935483839</v>
      </c>
      <c r="V169" s="228"/>
      <c r="W169" s="58">
        <v>1516.42</v>
      </c>
      <c r="X169" s="63"/>
      <c r="Y169" s="58">
        <v>476.71</v>
      </c>
      <c r="Z169" s="60"/>
      <c r="AA169" s="27"/>
      <c r="AB169" s="408">
        <v>213.89863999999983</v>
      </c>
      <c r="AC169" s="413"/>
      <c r="AD169" s="409"/>
      <c r="AE169" s="30">
        <f t="shared" si="72"/>
        <v>690.60863999999981</v>
      </c>
      <c r="AG169" s="58">
        <v>3489.12</v>
      </c>
      <c r="AH169" s="63"/>
      <c r="AI169" s="58"/>
      <c r="AJ169" s="60"/>
      <c r="AK169" s="27"/>
      <c r="AL169" s="51"/>
      <c r="AM169" s="52"/>
      <c r="AN169" s="52"/>
      <c r="AO169" s="30">
        <f t="shared" si="73"/>
        <v>0</v>
      </c>
      <c r="AQ169" s="58">
        <v>4365.74</v>
      </c>
      <c r="AR169" s="58">
        <v>789.09</v>
      </c>
      <c r="AS169" s="58">
        <v>54.9</v>
      </c>
      <c r="AT169" s="62"/>
      <c r="AU169" s="27"/>
      <c r="AV169" s="408">
        <v>400.99157000000002</v>
      </c>
      <c r="AW169" s="413">
        <v>71.820009529999908</v>
      </c>
      <c r="AX169" s="409">
        <v>36.033838939999981</v>
      </c>
      <c r="AY169" s="30">
        <f t="shared" si="74"/>
        <v>563.74541846999989</v>
      </c>
      <c r="BA169" s="58">
        <v>8809.2199999999993</v>
      </c>
      <c r="BB169" s="63"/>
      <c r="BC169" s="58">
        <v>6</v>
      </c>
      <c r="BD169" s="60"/>
      <c r="BE169" s="27"/>
      <c r="BF169" s="408">
        <v>339.20035999999948</v>
      </c>
      <c r="BG169" s="413"/>
      <c r="BH169" s="409"/>
      <c r="BI169" s="30">
        <f t="shared" si="75"/>
        <v>345.20035999999948</v>
      </c>
      <c r="BK169" s="58">
        <v>29066.3</v>
      </c>
      <c r="BL169" s="63"/>
      <c r="BM169" s="58">
        <v>130.81</v>
      </c>
      <c r="BN169" s="60"/>
      <c r="BO169" s="27"/>
      <c r="BP169" s="408">
        <v>1390.3550399999995</v>
      </c>
      <c r="BQ169" s="408">
        <v>315.16270967741934</v>
      </c>
      <c r="BR169" s="413">
        <v>42.916655837999969</v>
      </c>
      <c r="BS169" s="409"/>
      <c r="BT169" s="30">
        <f t="shared" si="79"/>
        <v>1879.2444055154187</v>
      </c>
      <c r="BV169" s="58">
        <v>4853.93</v>
      </c>
      <c r="BW169" s="63"/>
      <c r="BX169" s="58"/>
      <c r="BY169" s="60"/>
      <c r="BZ169" s="27"/>
      <c r="CA169" s="408"/>
      <c r="CB169" s="413"/>
      <c r="CC169" s="409"/>
      <c r="CD169" s="30">
        <f t="shared" si="76"/>
        <v>0</v>
      </c>
      <c r="CF169" s="58">
        <v>2425.44</v>
      </c>
      <c r="CG169" s="63"/>
      <c r="CH169" s="58">
        <v>85.36</v>
      </c>
      <c r="CI169" s="60"/>
      <c r="CJ169" s="27"/>
      <c r="CK169" s="408">
        <v>116.81966</v>
      </c>
      <c r="CL169" s="413">
        <v>20.674378196666652</v>
      </c>
      <c r="CM169" s="409"/>
      <c r="CN169" s="30">
        <f t="shared" si="77"/>
        <v>222.85403819666664</v>
      </c>
      <c r="CP169" s="58">
        <v>6994.24</v>
      </c>
      <c r="CQ169" s="58"/>
      <c r="CR169" s="63">
        <v>0</v>
      </c>
      <c r="CS169" s="58">
        <v>5.56</v>
      </c>
      <c r="CT169" s="60"/>
      <c r="CU169" s="27"/>
      <c r="CV169" s="408">
        <v>717.74000999999964</v>
      </c>
      <c r="CW169" s="413">
        <v>57.827557183333283</v>
      </c>
      <c r="CX169" s="409"/>
      <c r="CY169" s="229">
        <f t="shared" si="78"/>
        <v>781.12756718333287</v>
      </c>
    </row>
    <row r="170" spans="1:103" s="217" customFormat="1" ht="15.75" thickBot="1" x14ac:dyDescent="0.3">
      <c r="A170" s="47">
        <v>46092</v>
      </c>
      <c r="B170" s="230">
        <v>13088.48</v>
      </c>
      <c r="C170" s="231">
        <v>16821.14</v>
      </c>
      <c r="D170" s="230">
        <v>24.74</v>
      </c>
      <c r="E170" s="232"/>
      <c r="F170" s="27"/>
      <c r="G170" s="408">
        <v>41.299999999999983</v>
      </c>
      <c r="H170" s="413">
        <v>45.283491240666649</v>
      </c>
      <c r="I170" s="409"/>
      <c r="J170" s="402">
        <f t="shared" si="71"/>
        <v>111.32349124066663</v>
      </c>
      <c r="L170" s="58">
        <v>7242.42</v>
      </c>
      <c r="M170" s="63">
        <v>22700.42</v>
      </c>
      <c r="N170" s="58">
        <v>27.02</v>
      </c>
      <c r="O170" s="60"/>
      <c r="P170" s="27"/>
      <c r="Q170" s="408">
        <v>399.96417999999989</v>
      </c>
      <c r="R170" s="408">
        <v>167.51741935483872</v>
      </c>
      <c r="S170" s="413"/>
      <c r="T170" s="409">
        <v>1020.5185220000002</v>
      </c>
      <c r="U170" s="30">
        <f t="shared" si="70"/>
        <v>1615.0201213548389</v>
      </c>
      <c r="V170" s="228"/>
      <c r="W170" s="58">
        <v>8467.52</v>
      </c>
      <c r="X170" s="63"/>
      <c r="Y170" s="58">
        <v>677.66</v>
      </c>
      <c r="Z170" s="60"/>
      <c r="AA170" s="27"/>
      <c r="AB170" s="408">
        <v>54.57983999999999</v>
      </c>
      <c r="AC170" s="413"/>
      <c r="AD170" s="409"/>
      <c r="AE170" s="30">
        <f t="shared" si="72"/>
        <v>732.23983999999996</v>
      </c>
      <c r="AG170" s="58">
        <v>10548.94</v>
      </c>
      <c r="AH170" s="63">
        <v>1295.4100000000001</v>
      </c>
      <c r="AI170" s="58"/>
      <c r="AJ170" s="60"/>
      <c r="AK170" s="27"/>
      <c r="AL170" s="51"/>
      <c r="AM170" s="52"/>
      <c r="AN170" s="52"/>
      <c r="AO170" s="30">
        <f t="shared" si="73"/>
        <v>0</v>
      </c>
      <c r="AQ170" s="58">
        <v>4459.3</v>
      </c>
      <c r="AR170" s="58"/>
      <c r="AS170" s="58">
        <v>227.78</v>
      </c>
      <c r="AT170" s="62"/>
      <c r="AU170" s="27"/>
      <c r="AV170" s="408">
        <v>342.75187999999969</v>
      </c>
      <c r="AW170" s="413">
        <v>70.7936436166666</v>
      </c>
      <c r="AX170" s="409"/>
      <c r="AY170" s="30">
        <f t="shared" si="74"/>
        <v>641.32552361666626</v>
      </c>
      <c r="BA170" s="58">
        <v>10685.65</v>
      </c>
      <c r="BB170" s="63"/>
      <c r="BC170" s="58">
        <v>600</v>
      </c>
      <c r="BD170" s="60"/>
      <c r="BE170" s="27"/>
      <c r="BF170" s="408">
        <v>73.147899999999908</v>
      </c>
      <c r="BG170" s="413"/>
      <c r="BH170" s="409"/>
      <c r="BI170" s="30">
        <f t="shared" si="75"/>
        <v>673.14789999999994</v>
      </c>
      <c r="BK170" s="58">
        <v>21461.8</v>
      </c>
      <c r="BL170" s="63"/>
      <c r="BM170" s="58">
        <v>51.02</v>
      </c>
      <c r="BN170" s="60"/>
      <c r="BO170" s="27"/>
      <c r="BP170" s="408">
        <v>1038.0037499999996</v>
      </c>
      <c r="BQ170" s="408">
        <v>315.16270967741934</v>
      </c>
      <c r="BR170" s="413">
        <v>429.37688560666697</v>
      </c>
      <c r="BS170" s="409"/>
      <c r="BT170" s="30">
        <f t="shared" si="79"/>
        <v>1833.5633452840859</v>
      </c>
      <c r="BV170" s="58">
        <v>3220.71</v>
      </c>
      <c r="BW170" s="63"/>
      <c r="BX170" s="58">
        <v>6.5</v>
      </c>
      <c r="BY170" s="60"/>
      <c r="BZ170" s="27"/>
      <c r="CA170" s="408"/>
      <c r="CB170" s="413"/>
      <c r="CC170" s="409"/>
      <c r="CD170" s="30">
        <f t="shared" si="76"/>
        <v>6.5</v>
      </c>
      <c r="CF170" s="58">
        <v>510.42</v>
      </c>
      <c r="CG170" s="63"/>
      <c r="CH170" s="58">
        <v>124.23</v>
      </c>
      <c r="CI170" s="60"/>
      <c r="CJ170" s="27"/>
      <c r="CK170" s="408">
        <v>85.82539999999986</v>
      </c>
      <c r="CL170" s="413"/>
      <c r="CM170" s="409"/>
      <c r="CN170" s="30">
        <f t="shared" si="77"/>
        <v>210.05539999999985</v>
      </c>
      <c r="CP170" s="58">
        <v>8532.9599999999991</v>
      </c>
      <c r="CQ170" s="58"/>
      <c r="CR170" s="63">
        <v>0</v>
      </c>
      <c r="CS170" s="58"/>
      <c r="CT170" s="60"/>
      <c r="CU170" s="27"/>
      <c r="CV170" s="408">
        <v>1446.6156900000001</v>
      </c>
      <c r="CW170" s="413">
        <v>43.11155386999998</v>
      </c>
      <c r="CX170" s="409"/>
      <c r="CY170" s="229">
        <f t="shared" si="78"/>
        <v>1489.7272438700002</v>
      </c>
    </row>
    <row r="171" spans="1:103" s="217" customFormat="1" ht="15.75" thickBot="1" x14ac:dyDescent="0.3">
      <c r="A171" s="47">
        <v>46093</v>
      </c>
      <c r="B171" s="230">
        <v>6106.65</v>
      </c>
      <c r="C171" s="231">
        <v>7648.86</v>
      </c>
      <c r="D171" s="230">
        <v>51.4</v>
      </c>
      <c r="E171" s="232"/>
      <c r="F171" s="27"/>
      <c r="G171" s="408">
        <v>107.09207999999992</v>
      </c>
      <c r="H171" s="413"/>
      <c r="I171" s="409">
        <v>186.75269160000005</v>
      </c>
      <c r="J171" s="402">
        <f t="shared" si="71"/>
        <v>345.24477159999992</v>
      </c>
      <c r="L171" s="58">
        <v>20162.12</v>
      </c>
      <c r="M171" s="63">
        <v>0</v>
      </c>
      <c r="N171" s="58">
        <v>11.01</v>
      </c>
      <c r="O171" s="60"/>
      <c r="P171" s="27"/>
      <c r="Q171" s="408">
        <v>816.2511300000001</v>
      </c>
      <c r="R171" s="408">
        <v>167.51741935483872</v>
      </c>
      <c r="S171" s="413">
        <v>45.112951961600004</v>
      </c>
      <c r="T171" s="409">
        <v>730.0979486</v>
      </c>
      <c r="U171" s="30">
        <f t="shared" si="70"/>
        <v>1769.9894499164386</v>
      </c>
      <c r="V171" s="228"/>
      <c r="W171" s="58">
        <v>1110</v>
      </c>
      <c r="X171" s="63"/>
      <c r="Y171" s="58">
        <v>304.88</v>
      </c>
      <c r="Z171" s="60"/>
      <c r="AA171" s="27"/>
      <c r="AB171" s="408">
        <v>199.02743999999996</v>
      </c>
      <c r="AC171" s="413"/>
      <c r="AD171" s="409"/>
      <c r="AE171" s="30">
        <f t="shared" si="72"/>
        <v>503.90743999999995</v>
      </c>
      <c r="AG171" s="58">
        <v>3443.62</v>
      </c>
      <c r="AH171" s="63">
        <v>349.48</v>
      </c>
      <c r="AI171" s="58"/>
      <c r="AJ171" s="60"/>
      <c r="AK171" s="27"/>
      <c r="AL171" s="51"/>
      <c r="AM171" s="52"/>
      <c r="AN171" s="52"/>
      <c r="AO171" s="30">
        <f t="shared" si="73"/>
        <v>0</v>
      </c>
      <c r="AQ171" s="58">
        <v>4760.4399999999996</v>
      </c>
      <c r="AR171" s="58">
        <v>360.07</v>
      </c>
      <c r="AS171" s="58">
        <v>9.11</v>
      </c>
      <c r="AT171" s="62"/>
      <c r="AU171" s="27"/>
      <c r="AV171" s="408">
        <v>321.19289999999961</v>
      </c>
      <c r="AW171" s="413">
        <v>22.526324663333327</v>
      </c>
      <c r="AX171" s="409"/>
      <c r="AY171" s="30">
        <f t="shared" si="74"/>
        <v>352.82922466333298</v>
      </c>
      <c r="BA171" s="58">
        <v>49191.622000000003</v>
      </c>
      <c r="BB171" s="63"/>
      <c r="BC171" s="58">
        <v>14.8</v>
      </c>
      <c r="BD171" s="60"/>
      <c r="BE171" s="27"/>
      <c r="BF171" s="408">
        <v>276.84703999999988</v>
      </c>
      <c r="BG171" s="413"/>
      <c r="BH171" s="409"/>
      <c r="BI171" s="30">
        <f t="shared" si="75"/>
        <v>291.64703999999989</v>
      </c>
      <c r="BK171" s="58">
        <v>18269.87</v>
      </c>
      <c r="BL171" s="63"/>
      <c r="BM171" s="58">
        <v>51.27</v>
      </c>
      <c r="BN171" s="60"/>
      <c r="BO171" s="27"/>
      <c r="BP171" s="408">
        <v>2213.9137599999995</v>
      </c>
      <c r="BQ171" s="408">
        <v>315.16270967741934</v>
      </c>
      <c r="BR171" s="413"/>
      <c r="BS171" s="409"/>
      <c r="BT171" s="30">
        <f t="shared" si="79"/>
        <v>2580.3464696774186</v>
      </c>
      <c r="BV171" s="58">
        <v>4977.7</v>
      </c>
      <c r="BW171" s="63"/>
      <c r="BX171" s="58">
        <v>8.09</v>
      </c>
      <c r="BY171" s="60"/>
      <c r="BZ171" s="27"/>
      <c r="CA171" s="408"/>
      <c r="CB171" s="413"/>
      <c r="CC171" s="409"/>
      <c r="CD171" s="30">
        <f t="shared" si="76"/>
        <v>8.09</v>
      </c>
      <c r="CF171" s="58">
        <v>1539.06</v>
      </c>
      <c r="CG171" s="63"/>
      <c r="CH171" s="58">
        <v>121</v>
      </c>
      <c r="CI171" s="60"/>
      <c r="CJ171" s="27"/>
      <c r="CK171" s="408">
        <v>157.98403999999999</v>
      </c>
      <c r="CL171" s="413"/>
      <c r="CM171" s="409"/>
      <c r="CN171" s="30">
        <f t="shared" si="77"/>
        <v>278.98403999999999</v>
      </c>
      <c r="CP171" s="58">
        <v>2988.18</v>
      </c>
      <c r="CQ171" s="58"/>
      <c r="CR171" s="63">
        <v>0</v>
      </c>
      <c r="CS171" s="58">
        <v>10.31</v>
      </c>
      <c r="CT171" s="60"/>
      <c r="CU171" s="27"/>
      <c r="CV171" s="408">
        <v>880.29043000000001</v>
      </c>
      <c r="CW171" s="413">
        <v>30.711237686666635</v>
      </c>
      <c r="CX171" s="409"/>
      <c r="CY171" s="229">
        <f t="shared" si="78"/>
        <v>921.31166768666662</v>
      </c>
    </row>
    <row r="172" spans="1:103" s="217" customFormat="1" ht="15.75" thickBot="1" x14ac:dyDescent="0.3">
      <c r="A172" s="47">
        <v>46094</v>
      </c>
      <c r="B172" s="230">
        <v>1616.01</v>
      </c>
      <c r="C172" s="231">
        <v>17398.71</v>
      </c>
      <c r="D172" s="230"/>
      <c r="E172" s="232"/>
      <c r="F172" s="27"/>
      <c r="G172" s="408">
        <v>12.006499999999996</v>
      </c>
      <c r="H172" s="413"/>
      <c r="I172" s="409"/>
      <c r="J172" s="402">
        <f t="shared" si="71"/>
        <v>12.006499999999996</v>
      </c>
      <c r="L172" s="58">
        <v>11932.34</v>
      </c>
      <c r="M172" s="63">
        <v>13029.96</v>
      </c>
      <c r="N172" s="58">
        <v>24.66</v>
      </c>
      <c r="O172" s="60"/>
      <c r="P172" s="27"/>
      <c r="Q172" s="408">
        <v>1312.7970399999997</v>
      </c>
      <c r="R172" s="408">
        <v>167.51741935483872</v>
      </c>
      <c r="S172" s="413">
        <f>377.338197960667-62.88</f>
        <v>314.45819796066701</v>
      </c>
      <c r="T172" s="409">
        <v>1269.0040618</v>
      </c>
      <c r="U172" s="30">
        <f t="shared" si="70"/>
        <v>3088.4367191155052</v>
      </c>
      <c r="V172" s="228"/>
      <c r="W172" s="58">
        <v>5016.3900000000003</v>
      </c>
      <c r="X172" s="63"/>
      <c r="Y172" s="58">
        <v>863.4</v>
      </c>
      <c r="Z172" s="60"/>
      <c r="AA172" s="27"/>
      <c r="AB172" s="408">
        <v>374.4440399999998</v>
      </c>
      <c r="AC172" s="413"/>
      <c r="AD172" s="409"/>
      <c r="AE172" s="30">
        <f t="shared" si="72"/>
        <v>1237.8440399999997</v>
      </c>
      <c r="AG172" s="58">
        <v>7260.88</v>
      </c>
      <c r="AH172" s="63"/>
      <c r="AI172" s="58"/>
      <c r="AJ172" s="60"/>
      <c r="AK172" s="27"/>
      <c r="AL172" s="51"/>
      <c r="AM172" s="52"/>
      <c r="AN172" s="52"/>
      <c r="AO172" s="30">
        <f t="shared" si="73"/>
        <v>0</v>
      </c>
      <c r="AQ172" s="58">
        <v>3318.06</v>
      </c>
      <c r="AR172" s="58">
        <v>1266.97</v>
      </c>
      <c r="AS172" s="58">
        <v>2.64</v>
      </c>
      <c r="AT172" s="62"/>
      <c r="AU172" s="27"/>
      <c r="AV172" s="408">
        <v>278.0946099999997</v>
      </c>
      <c r="AW172" s="413">
        <v>412.64791900333307</v>
      </c>
      <c r="AX172" s="409"/>
      <c r="AY172" s="30">
        <f t="shared" si="74"/>
        <v>693.38252900333271</v>
      </c>
      <c r="BA172" s="58">
        <v>9567.85</v>
      </c>
      <c r="BB172" s="63"/>
      <c r="BC172" s="58"/>
      <c r="BD172" s="60"/>
      <c r="BE172" s="27"/>
      <c r="BF172" s="408">
        <v>262.51821999999993</v>
      </c>
      <c r="BG172" s="413"/>
      <c r="BH172" s="409"/>
      <c r="BI172" s="30">
        <f t="shared" si="75"/>
        <v>262.51821999999993</v>
      </c>
      <c r="BK172" s="58">
        <v>17795.2</v>
      </c>
      <c r="BL172" s="63">
        <v>1556.96</v>
      </c>
      <c r="BM172" s="58">
        <v>70.459999999999994</v>
      </c>
      <c r="BN172" s="60"/>
      <c r="BO172" s="27"/>
      <c r="BP172" s="408">
        <v>2693.4550999999997</v>
      </c>
      <c r="BQ172" s="408">
        <v>315.16270967741934</v>
      </c>
      <c r="BR172" s="413">
        <v>29.5241832166667</v>
      </c>
      <c r="BS172" s="409"/>
      <c r="BT172" s="30">
        <f t="shared" si="79"/>
        <v>3108.6019928940859</v>
      </c>
      <c r="BV172" s="58">
        <v>3350.03</v>
      </c>
      <c r="BW172" s="63"/>
      <c r="BX172" s="58">
        <v>3.81</v>
      </c>
      <c r="BY172" s="60"/>
      <c r="BZ172" s="27"/>
      <c r="CA172" s="408"/>
      <c r="CB172" s="413"/>
      <c r="CC172" s="409"/>
      <c r="CD172" s="30">
        <f t="shared" si="76"/>
        <v>3.81</v>
      </c>
      <c r="CF172" s="58">
        <v>4106.1400000000003</v>
      </c>
      <c r="CG172" s="63"/>
      <c r="CH172" s="58">
        <v>148.29</v>
      </c>
      <c r="CI172" s="60"/>
      <c r="CJ172" s="27"/>
      <c r="CK172" s="408"/>
      <c r="CL172" s="413"/>
      <c r="CM172" s="409"/>
      <c r="CN172" s="30">
        <f t="shared" si="77"/>
        <v>148.29</v>
      </c>
      <c r="CP172" s="58">
        <v>6995.48</v>
      </c>
      <c r="CQ172" s="58">
        <v>1489.5</v>
      </c>
      <c r="CR172" s="63">
        <v>2738.7200000000003</v>
      </c>
      <c r="CS172" s="58">
        <v>6.12</v>
      </c>
      <c r="CT172" s="60"/>
      <c r="CU172" s="27"/>
      <c r="CV172" s="408">
        <v>1714.8409299999994</v>
      </c>
      <c r="CW172" s="413">
        <v>210.80416732666674</v>
      </c>
      <c r="CX172" s="409"/>
      <c r="CY172" s="229">
        <f t="shared" si="78"/>
        <v>1931.7650973266659</v>
      </c>
    </row>
    <row r="173" spans="1:103" s="217" customFormat="1" ht="15.75" thickBot="1" x14ac:dyDescent="0.3">
      <c r="A173" s="47">
        <v>46095</v>
      </c>
      <c r="B173" s="230">
        <v>3717.38</v>
      </c>
      <c r="C173" s="231">
        <v>21897.89</v>
      </c>
      <c r="D173" s="230"/>
      <c r="E173" s="232"/>
      <c r="F173" s="27"/>
      <c r="G173" s="408"/>
      <c r="H173" s="413"/>
      <c r="I173" s="409"/>
      <c r="J173" s="402">
        <f t="shared" si="71"/>
        <v>0</v>
      </c>
      <c r="L173" s="58">
        <v>11533.88</v>
      </c>
      <c r="M173" s="63">
        <v>7762.61</v>
      </c>
      <c r="N173" s="58">
        <v>8.01</v>
      </c>
      <c r="O173" s="60"/>
      <c r="P173" s="27"/>
      <c r="Q173" s="408">
        <v>1601.6946999999996</v>
      </c>
      <c r="R173" s="408">
        <v>167.51741935483872</v>
      </c>
      <c r="S173" s="413"/>
      <c r="T173" s="409">
        <v>175.3037559</v>
      </c>
      <c r="U173" s="30">
        <f t="shared" si="70"/>
        <v>1952.5258752548382</v>
      </c>
      <c r="V173" s="228"/>
      <c r="W173" s="58">
        <v>2686.43</v>
      </c>
      <c r="X173" s="63"/>
      <c r="Y173" s="58"/>
      <c r="Z173" s="60"/>
      <c r="AA173" s="27"/>
      <c r="AB173" s="408"/>
      <c r="AC173" s="413"/>
      <c r="AD173" s="409"/>
      <c r="AE173" s="30">
        <f t="shared" si="72"/>
        <v>0</v>
      </c>
      <c r="AG173" s="58">
        <v>5037.6499999999996</v>
      </c>
      <c r="AH173" s="63"/>
      <c r="AI173" s="58"/>
      <c r="AJ173" s="60"/>
      <c r="AK173" s="27"/>
      <c r="AL173" s="51"/>
      <c r="AM173" s="52"/>
      <c r="AN173" s="52"/>
      <c r="AO173" s="30">
        <f t="shared" si="73"/>
        <v>0</v>
      </c>
      <c r="AQ173" s="58">
        <v>3946.23</v>
      </c>
      <c r="AR173" s="58">
        <v>1023.97</v>
      </c>
      <c r="AS173" s="58">
        <v>2.41</v>
      </c>
      <c r="AT173" s="62"/>
      <c r="AU173" s="27"/>
      <c r="AV173" s="408">
        <v>221.94687999999982</v>
      </c>
      <c r="AW173" s="413">
        <v>84.413012663333291</v>
      </c>
      <c r="AX173" s="409">
        <v>21.133999999999986</v>
      </c>
      <c r="AY173" s="30">
        <f t="shared" si="74"/>
        <v>329.90389266333312</v>
      </c>
      <c r="BA173" s="58">
        <v>43991.45</v>
      </c>
      <c r="BB173" s="63"/>
      <c r="BC173" s="58"/>
      <c r="BD173" s="60"/>
      <c r="BE173" s="27"/>
      <c r="BF173" s="408">
        <v>66.79504</v>
      </c>
      <c r="BG173" s="413"/>
      <c r="BH173" s="409"/>
      <c r="BI173" s="30">
        <f t="shared" si="75"/>
        <v>66.79504</v>
      </c>
      <c r="BK173" s="58">
        <v>26702.05</v>
      </c>
      <c r="BL173" s="63">
        <v>8270.8700000000008</v>
      </c>
      <c r="BM173" s="58">
        <v>67.39</v>
      </c>
      <c r="BN173" s="60"/>
      <c r="BO173" s="27"/>
      <c r="BP173" s="408">
        <v>725.02263999999991</v>
      </c>
      <c r="BQ173" s="408">
        <v>315.16270967741934</v>
      </c>
      <c r="BR173" s="413">
        <v>249.48430778133346</v>
      </c>
      <c r="BS173" s="409"/>
      <c r="BT173" s="30">
        <f t="shared" si="79"/>
        <v>1357.0596574587528</v>
      </c>
      <c r="BV173" s="58">
        <v>4127.71</v>
      </c>
      <c r="BW173" s="63"/>
      <c r="BX173" s="58"/>
      <c r="BY173" s="60"/>
      <c r="BZ173" s="27"/>
      <c r="CA173" s="408"/>
      <c r="CB173" s="413"/>
      <c r="CC173" s="409"/>
      <c r="CD173" s="30">
        <f t="shared" si="76"/>
        <v>0</v>
      </c>
      <c r="CF173" s="58">
        <v>3049.69</v>
      </c>
      <c r="CG173" s="63"/>
      <c r="CH173" s="58">
        <v>76.06</v>
      </c>
      <c r="CI173" s="60"/>
      <c r="CJ173" s="27"/>
      <c r="CK173" s="408">
        <v>63.813359999999932</v>
      </c>
      <c r="CL173" s="413">
        <v>127.21355094999993</v>
      </c>
      <c r="CM173" s="409"/>
      <c r="CN173" s="30">
        <f t="shared" si="77"/>
        <v>267.08691094999983</v>
      </c>
      <c r="CP173" s="58">
        <v>4602.09</v>
      </c>
      <c r="CQ173" s="58">
        <v>3937.28</v>
      </c>
      <c r="CR173" s="63">
        <v>2863.9599999999996</v>
      </c>
      <c r="CS173" s="58"/>
      <c r="CT173" s="60"/>
      <c r="CU173" s="27"/>
      <c r="CV173" s="408">
        <v>612.03090000000009</v>
      </c>
      <c r="CW173" s="413"/>
      <c r="CX173" s="409"/>
      <c r="CY173" s="229">
        <f t="shared" si="78"/>
        <v>612.03090000000009</v>
      </c>
    </row>
    <row r="174" spans="1:103" s="217" customFormat="1" ht="15.75" thickBot="1" x14ac:dyDescent="0.3">
      <c r="A174" s="47">
        <v>46096</v>
      </c>
      <c r="B174" s="230">
        <v>1627.85</v>
      </c>
      <c r="C174" s="231">
        <v>15785.36</v>
      </c>
      <c r="D174" s="230"/>
      <c r="E174" s="232"/>
      <c r="F174" s="27"/>
      <c r="G174" s="408">
        <v>21.43262</v>
      </c>
      <c r="H174" s="413"/>
      <c r="I174" s="409"/>
      <c r="J174" s="402">
        <f t="shared" si="71"/>
        <v>21.43262</v>
      </c>
      <c r="L174" s="58">
        <v>9565.0300000000007</v>
      </c>
      <c r="M174" s="63">
        <v>15687.4</v>
      </c>
      <c r="N174" s="58">
        <v>16.82</v>
      </c>
      <c r="O174" s="60"/>
      <c r="P174" s="27"/>
      <c r="Q174" s="408">
        <v>254.31338999999991</v>
      </c>
      <c r="R174" s="408">
        <v>167.51741935483872</v>
      </c>
      <c r="S174" s="413"/>
      <c r="T174" s="409">
        <v>148.43382840000001</v>
      </c>
      <c r="U174" s="30">
        <f t="shared" si="70"/>
        <v>587.0846377548387</v>
      </c>
      <c r="V174" s="228"/>
      <c r="W174" s="58">
        <v>2239.79</v>
      </c>
      <c r="X174" s="63"/>
      <c r="Y174" s="58"/>
      <c r="Z174" s="60"/>
      <c r="AA174" s="27"/>
      <c r="AB174" s="408"/>
      <c r="AC174" s="413"/>
      <c r="AD174" s="409"/>
      <c r="AE174" s="30">
        <f t="shared" si="72"/>
        <v>0</v>
      </c>
      <c r="AG174" s="58">
        <v>3586.42</v>
      </c>
      <c r="AH174" s="63"/>
      <c r="AI174" s="58"/>
      <c r="AJ174" s="60"/>
      <c r="AK174" s="27"/>
      <c r="AL174" s="51"/>
      <c r="AM174" s="52"/>
      <c r="AN174" s="52"/>
      <c r="AO174" s="30">
        <f t="shared" si="73"/>
        <v>0</v>
      </c>
      <c r="AQ174" s="58">
        <v>4260.59</v>
      </c>
      <c r="AR174" s="58">
        <v>673.96</v>
      </c>
      <c r="AS174" s="58">
        <v>16.920000000000002</v>
      </c>
      <c r="AT174" s="62"/>
      <c r="AU174" s="27"/>
      <c r="AV174" s="408">
        <v>56.887669999999943</v>
      </c>
      <c r="AW174" s="413"/>
      <c r="AX174" s="409"/>
      <c r="AY174" s="30">
        <f t="shared" si="74"/>
        <v>73.807669999999945</v>
      </c>
      <c r="BA174" s="58">
        <v>2069.8000000000002</v>
      </c>
      <c r="BB174" s="63"/>
      <c r="BC174" s="58"/>
      <c r="BD174" s="60"/>
      <c r="BE174" s="27"/>
      <c r="BF174" s="408">
        <v>80.786720000000003</v>
      </c>
      <c r="BG174" s="413"/>
      <c r="BH174" s="409"/>
      <c r="BI174" s="30">
        <f t="shared" si="75"/>
        <v>80.786720000000003</v>
      </c>
      <c r="BK174" s="58">
        <v>10700.86</v>
      </c>
      <c r="BL174" s="63">
        <v>1484.07</v>
      </c>
      <c r="BM174" s="58">
        <v>59.21</v>
      </c>
      <c r="BN174" s="60"/>
      <c r="BO174" s="27"/>
      <c r="BP174" s="408">
        <v>1101.5862400000001</v>
      </c>
      <c r="BQ174" s="408">
        <v>315.16270967741934</v>
      </c>
      <c r="BR174" s="413">
        <v>46.192487436666653</v>
      </c>
      <c r="BS174" s="409"/>
      <c r="BT174" s="30">
        <f t="shared" si="79"/>
        <v>1522.1514371140861</v>
      </c>
      <c r="BV174" s="58">
        <v>3068.66</v>
      </c>
      <c r="BW174" s="63"/>
      <c r="BX174" s="58"/>
      <c r="BY174" s="60"/>
      <c r="BZ174" s="27"/>
      <c r="CA174" s="408"/>
      <c r="CB174" s="413"/>
      <c r="CC174" s="409"/>
      <c r="CD174" s="30">
        <f t="shared" si="76"/>
        <v>0</v>
      </c>
      <c r="CF174" s="58">
        <v>1778.54</v>
      </c>
      <c r="CG174" s="63"/>
      <c r="CH174" s="58">
        <v>285.66000000000003</v>
      </c>
      <c r="CI174" s="60"/>
      <c r="CJ174" s="27"/>
      <c r="CK174" s="408">
        <v>164.87289999999996</v>
      </c>
      <c r="CL174" s="413"/>
      <c r="CM174" s="409"/>
      <c r="CN174" s="30">
        <f t="shared" si="77"/>
        <v>450.53289999999998</v>
      </c>
      <c r="CP174" s="58">
        <v>5398.94</v>
      </c>
      <c r="CQ174" s="58">
        <v>2082.75</v>
      </c>
      <c r="CR174" s="63">
        <v>2330.1099999999997</v>
      </c>
      <c r="CS174" s="58"/>
      <c r="CT174" s="60"/>
      <c r="CU174" s="27"/>
      <c r="CV174" s="408">
        <v>595.14452999999969</v>
      </c>
      <c r="CW174" s="413"/>
      <c r="CX174" s="409"/>
      <c r="CY174" s="229">
        <f t="shared" si="78"/>
        <v>595.14452999999969</v>
      </c>
    </row>
    <row r="175" spans="1:103" s="217" customFormat="1" ht="15.75" thickBot="1" x14ac:dyDescent="0.3">
      <c r="A175" s="47">
        <v>46097</v>
      </c>
      <c r="B175" s="230">
        <v>3253.88</v>
      </c>
      <c r="C175" s="231">
        <v>17995</v>
      </c>
      <c r="D175" s="230">
        <v>360.71</v>
      </c>
      <c r="E175" s="232"/>
      <c r="F175" s="27"/>
      <c r="G175" s="408"/>
      <c r="H175" s="413"/>
      <c r="I175" s="409"/>
      <c r="J175" s="402">
        <f t="shared" si="71"/>
        <v>360.71</v>
      </c>
      <c r="L175" s="58">
        <v>11273.08</v>
      </c>
      <c r="M175" s="63">
        <v>12604.17</v>
      </c>
      <c r="N175" s="58">
        <v>48.83</v>
      </c>
      <c r="O175" s="60"/>
      <c r="P175" s="27"/>
      <c r="Q175" s="408">
        <v>905.48898999999972</v>
      </c>
      <c r="R175" s="408">
        <v>167.51741935483872</v>
      </c>
      <c r="S175" s="413"/>
      <c r="T175" s="409">
        <v>517.2916725</v>
      </c>
      <c r="U175" s="30">
        <f t="shared" si="70"/>
        <v>1639.1280818548385</v>
      </c>
      <c r="V175" s="228"/>
      <c r="W175" s="58">
        <v>1165.0999999999999</v>
      </c>
      <c r="X175" s="63"/>
      <c r="Y175" s="58"/>
      <c r="Z175" s="60"/>
      <c r="AA175" s="27"/>
      <c r="AB175" s="408">
        <v>88.83791999999994</v>
      </c>
      <c r="AC175" s="413"/>
      <c r="AD175" s="409"/>
      <c r="AE175" s="30">
        <f t="shared" si="72"/>
        <v>88.83791999999994</v>
      </c>
      <c r="AG175" s="58">
        <v>6669.3</v>
      </c>
      <c r="AH175" s="63"/>
      <c r="AI175" s="58"/>
      <c r="AJ175" s="60"/>
      <c r="AK175" s="27"/>
      <c r="AL175" s="51"/>
      <c r="AM175" s="52"/>
      <c r="AN175" s="52"/>
      <c r="AO175" s="30">
        <f t="shared" si="73"/>
        <v>0</v>
      </c>
      <c r="AQ175" s="58">
        <v>4430.16</v>
      </c>
      <c r="AR175" s="58">
        <v>1435.74</v>
      </c>
      <c r="AS175" s="58">
        <v>38.4</v>
      </c>
      <c r="AT175" s="62"/>
      <c r="AU175" s="27"/>
      <c r="AV175" s="408">
        <v>174.13973999999982</v>
      </c>
      <c r="AW175" s="413">
        <v>55.722681599999945</v>
      </c>
      <c r="AX175" s="409"/>
      <c r="AY175" s="30">
        <f t="shared" si="74"/>
        <v>268.26242159999975</v>
      </c>
      <c r="BA175" s="58">
        <v>12448.41</v>
      </c>
      <c r="BB175" s="63"/>
      <c r="BC175" s="58"/>
      <c r="BD175" s="60"/>
      <c r="BE175" s="27"/>
      <c r="BF175" s="408">
        <v>238.42703999999983</v>
      </c>
      <c r="BG175" s="413"/>
      <c r="BH175" s="409"/>
      <c r="BI175" s="30">
        <f t="shared" si="75"/>
        <v>238.42703999999983</v>
      </c>
      <c r="BK175" s="58">
        <v>24143.1</v>
      </c>
      <c r="BL175" s="63"/>
      <c r="BM175" s="58">
        <v>27.57</v>
      </c>
      <c r="BN175" s="60"/>
      <c r="BO175" s="27"/>
      <c r="BP175" s="408">
        <v>1056.5307099999998</v>
      </c>
      <c r="BQ175" s="408">
        <v>315.16270967741934</v>
      </c>
      <c r="BR175" s="413">
        <v>40.628091599999976</v>
      </c>
      <c r="BS175" s="409">
        <v>23.174062700000007</v>
      </c>
      <c r="BT175" s="30">
        <f t="shared" si="79"/>
        <v>1463.065573977419</v>
      </c>
      <c r="BV175" s="58">
        <v>5265.38</v>
      </c>
      <c r="BW175" s="63">
        <v>2471.4899999999998</v>
      </c>
      <c r="BX175" s="58">
        <v>5.66</v>
      </c>
      <c r="BY175" s="60"/>
      <c r="BZ175" s="27"/>
      <c r="CA175" s="408"/>
      <c r="CB175" s="413"/>
      <c r="CC175" s="409"/>
      <c r="CD175" s="30">
        <f t="shared" si="76"/>
        <v>5.66</v>
      </c>
      <c r="CF175" s="58">
        <v>1192.92</v>
      </c>
      <c r="CG175" s="63"/>
      <c r="CH175" s="58">
        <v>42.54</v>
      </c>
      <c r="CI175" s="60"/>
      <c r="CJ175" s="27"/>
      <c r="CK175" s="408"/>
      <c r="CL175" s="413">
        <v>49.988399999999956</v>
      </c>
      <c r="CM175" s="409"/>
      <c r="CN175" s="30">
        <f t="shared" si="77"/>
        <v>92.528399999999948</v>
      </c>
      <c r="CP175" s="58">
        <v>5088.87</v>
      </c>
      <c r="CQ175" s="58">
        <v>962.65</v>
      </c>
      <c r="CR175" s="63">
        <v>1323.98</v>
      </c>
      <c r="CS175" s="58"/>
      <c r="CT175" s="60"/>
      <c r="CU175" s="27"/>
      <c r="CV175" s="408">
        <v>647.73509999999999</v>
      </c>
      <c r="CW175" s="413">
        <v>168.03925599999977</v>
      </c>
      <c r="CX175" s="409"/>
      <c r="CY175" s="229">
        <f t="shared" si="78"/>
        <v>815.77435599999978</v>
      </c>
    </row>
    <row r="176" spans="1:103" s="217" customFormat="1" ht="15.75" thickBot="1" x14ac:dyDescent="0.3">
      <c r="A176" s="47">
        <v>46098</v>
      </c>
      <c r="B176" s="230">
        <v>6699.23</v>
      </c>
      <c r="C176" s="231">
        <v>20526.150000000001</v>
      </c>
      <c r="D176" s="230">
        <v>231.47</v>
      </c>
      <c r="E176" s="232"/>
      <c r="F176" s="27"/>
      <c r="G176" s="408">
        <v>25.34999999999998</v>
      </c>
      <c r="H176" s="413"/>
      <c r="I176" s="409">
        <v>731.08981659999972</v>
      </c>
      <c r="J176" s="402">
        <f t="shared" si="71"/>
        <v>987.90981659999977</v>
      </c>
      <c r="L176" s="58">
        <v>11789.74</v>
      </c>
      <c r="M176" s="63">
        <v>14011.77</v>
      </c>
      <c r="N176" s="58">
        <v>51.14</v>
      </c>
      <c r="O176" s="60"/>
      <c r="P176" s="27"/>
      <c r="Q176" s="408">
        <v>954.18818999999974</v>
      </c>
      <c r="R176" s="408">
        <v>167.51741935483872</v>
      </c>
      <c r="S176" s="413"/>
      <c r="T176" s="409">
        <v>235.16745419999995</v>
      </c>
      <c r="U176" s="30">
        <f t="shared" si="70"/>
        <v>1408.0130635548387</v>
      </c>
      <c r="V176" s="228"/>
      <c r="W176" s="58">
        <v>5456.16</v>
      </c>
      <c r="X176" s="63"/>
      <c r="Y176" s="58">
        <v>273</v>
      </c>
      <c r="Z176" s="60"/>
      <c r="AA176" s="27"/>
      <c r="AB176" s="408"/>
      <c r="AC176" s="413"/>
      <c r="AD176" s="409"/>
      <c r="AE176" s="30">
        <f t="shared" si="72"/>
        <v>273</v>
      </c>
      <c r="AG176" s="58">
        <v>6723.57</v>
      </c>
      <c r="AH176" s="63"/>
      <c r="AI176" s="58">
        <v>1166</v>
      </c>
      <c r="AJ176" s="60"/>
      <c r="AK176" s="27"/>
      <c r="AL176" s="51"/>
      <c r="AM176" s="52"/>
      <c r="AN176" s="52"/>
      <c r="AO176" s="30">
        <f t="shared" si="73"/>
        <v>1166</v>
      </c>
      <c r="AQ176" s="58">
        <v>5998.87</v>
      </c>
      <c r="AR176" s="58">
        <v>921.14</v>
      </c>
      <c r="AS176" s="58">
        <v>83.52</v>
      </c>
      <c r="AT176" s="62"/>
      <c r="AU176" s="27"/>
      <c r="AV176" s="408">
        <v>541.01026999999954</v>
      </c>
      <c r="AW176" s="413">
        <v>-36.584367599999979</v>
      </c>
      <c r="AX176" s="409"/>
      <c r="AY176" s="30">
        <f t="shared" si="74"/>
        <v>587.94590239999957</v>
      </c>
      <c r="BA176" s="58">
        <v>22078.44</v>
      </c>
      <c r="BB176" s="63"/>
      <c r="BC176" s="58">
        <v>73.88</v>
      </c>
      <c r="BD176" s="60"/>
      <c r="BE176" s="27"/>
      <c r="BF176" s="408">
        <v>88.266719999999935</v>
      </c>
      <c r="BG176" s="413"/>
      <c r="BH176" s="409"/>
      <c r="BI176" s="30">
        <f t="shared" si="75"/>
        <v>162.14671999999993</v>
      </c>
      <c r="BK176" s="58">
        <v>35100.910000000003</v>
      </c>
      <c r="BL176" s="63"/>
      <c r="BM176" s="58">
        <v>187.27</v>
      </c>
      <c r="BN176" s="60"/>
      <c r="BO176" s="27"/>
      <c r="BP176" s="408">
        <v>1395.37365</v>
      </c>
      <c r="BQ176" s="408">
        <v>315.16270967741934</v>
      </c>
      <c r="BR176" s="413">
        <v>21.10732680000001</v>
      </c>
      <c r="BS176" s="409"/>
      <c r="BT176" s="30">
        <f t="shared" si="79"/>
        <v>1918.9136864774193</v>
      </c>
      <c r="BV176" s="58">
        <v>3926.71</v>
      </c>
      <c r="BW176" s="63">
        <v>1815.34</v>
      </c>
      <c r="BX176" s="58">
        <v>6.67</v>
      </c>
      <c r="BY176" s="60"/>
      <c r="BZ176" s="27"/>
      <c r="CA176" s="408"/>
      <c r="CB176" s="413"/>
      <c r="CC176" s="409"/>
      <c r="CD176" s="30">
        <f t="shared" si="76"/>
        <v>6.67</v>
      </c>
      <c r="CF176" s="58">
        <v>6045.15</v>
      </c>
      <c r="CG176" s="63"/>
      <c r="CH176" s="58">
        <v>419.77</v>
      </c>
      <c r="CI176" s="60"/>
      <c r="CJ176" s="27"/>
      <c r="CK176" s="408">
        <v>36.19999999999996</v>
      </c>
      <c r="CL176" s="413"/>
      <c r="CM176" s="409"/>
      <c r="CN176" s="30">
        <f t="shared" si="77"/>
        <v>455.96999999999991</v>
      </c>
      <c r="CP176" s="58">
        <v>6062.46</v>
      </c>
      <c r="CQ176" s="58">
        <v>1495.92</v>
      </c>
      <c r="CR176" s="63">
        <v>2677.09</v>
      </c>
      <c r="CS176" s="58"/>
      <c r="CT176" s="60"/>
      <c r="CU176" s="27"/>
      <c r="CV176" s="408">
        <v>962.61423999999965</v>
      </c>
      <c r="CW176" s="413">
        <v>25.341528699999941</v>
      </c>
      <c r="CX176" s="409"/>
      <c r="CY176" s="229">
        <f t="shared" si="78"/>
        <v>987.95576869999957</v>
      </c>
    </row>
    <row r="177" spans="1:103" s="217" customFormat="1" ht="15.75" thickBot="1" x14ac:dyDescent="0.3">
      <c r="A177" s="47">
        <v>46099</v>
      </c>
      <c r="B177" s="230">
        <v>4925.4799999999996</v>
      </c>
      <c r="C177" s="231">
        <v>14141.6</v>
      </c>
      <c r="D177" s="230">
        <v>293.27</v>
      </c>
      <c r="E177" s="232"/>
      <c r="F177" s="27"/>
      <c r="G177" s="408"/>
      <c r="H177" s="413"/>
      <c r="I177" s="409">
        <v>7.2624383999998372</v>
      </c>
      <c r="J177" s="402">
        <f t="shared" si="71"/>
        <v>300.53243839999982</v>
      </c>
      <c r="L177" s="58">
        <v>12208.07</v>
      </c>
      <c r="M177" s="63">
        <v>10409.870000000001</v>
      </c>
      <c r="N177" s="58">
        <v>14.63</v>
      </c>
      <c r="O177" s="60"/>
      <c r="P177" s="27"/>
      <c r="Q177" s="408">
        <v>718.5498199999995</v>
      </c>
      <c r="R177" s="408">
        <v>167.51741935483872</v>
      </c>
      <c r="S177" s="413"/>
      <c r="T177" s="409">
        <v>332.88877839999998</v>
      </c>
      <c r="U177" s="30">
        <f t="shared" si="70"/>
        <v>1233.5860177548384</v>
      </c>
      <c r="V177" s="228"/>
      <c r="W177" s="58">
        <v>11058.85</v>
      </c>
      <c r="X177" s="63"/>
      <c r="Y177" s="58"/>
      <c r="Z177" s="60"/>
      <c r="AA177" s="27"/>
      <c r="AB177" s="408">
        <v>63.749709999999936</v>
      </c>
      <c r="AC177" s="413"/>
      <c r="AD177" s="409"/>
      <c r="AE177" s="30">
        <f t="shared" si="72"/>
        <v>63.749709999999936</v>
      </c>
      <c r="AG177" s="58">
        <v>5759.89</v>
      </c>
      <c r="AH177" s="63"/>
      <c r="AI177" s="58"/>
      <c r="AJ177" s="60"/>
      <c r="AK177" s="27"/>
      <c r="AL177" s="51"/>
      <c r="AM177" s="52"/>
      <c r="AN177" s="52"/>
      <c r="AO177" s="30">
        <f t="shared" si="73"/>
        <v>0</v>
      </c>
      <c r="AQ177" s="58">
        <v>5121.53</v>
      </c>
      <c r="AR177" s="58">
        <v>1028.2</v>
      </c>
      <c r="AS177" s="58">
        <v>172.74</v>
      </c>
      <c r="AT177" s="62"/>
      <c r="AU177" s="27"/>
      <c r="AV177" s="408">
        <v>276.22030999999947</v>
      </c>
      <c r="AW177" s="413">
        <v>72.270865800000024</v>
      </c>
      <c r="AX177" s="409"/>
      <c r="AY177" s="30">
        <f t="shared" si="74"/>
        <v>521.23117579999951</v>
      </c>
      <c r="BA177" s="58">
        <v>4856.6099999999997</v>
      </c>
      <c r="BB177" s="63"/>
      <c r="BC177" s="58">
        <v>6715.64</v>
      </c>
      <c r="BD177" s="60"/>
      <c r="BE177" s="27"/>
      <c r="BF177" s="408">
        <v>46.000899999999973</v>
      </c>
      <c r="BG177" s="413"/>
      <c r="BH177" s="409"/>
      <c r="BI177" s="30">
        <f t="shared" si="75"/>
        <v>6761.6409000000003</v>
      </c>
      <c r="BK177" s="58">
        <v>35093.65</v>
      </c>
      <c r="BL177" s="63"/>
      <c r="BM177" s="58">
        <v>94.17</v>
      </c>
      <c r="BN177" s="60"/>
      <c r="BO177" s="27"/>
      <c r="BP177" s="408">
        <v>-219.54009000000036</v>
      </c>
      <c r="BQ177" s="408">
        <v>315.16270967741934</v>
      </c>
      <c r="BR177" s="413">
        <v>60.78242799999984</v>
      </c>
      <c r="BS177" s="409"/>
      <c r="BT177" s="30">
        <f t="shared" si="79"/>
        <v>250.57504767741881</v>
      </c>
      <c r="BV177" s="58">
        <v>3016.33</v>
      </c>
      <c r="BW177" s="63">
        <v>2132.27</v>
      </c>
      <c r="BX177" s="58">
        <v>4.8899999999999997</v>
      </c>
      <c r="BY177" s="60"/>
      <c r="BZ177" s="27"/>
      <c r="CA177" s="408"/>
      <c r="CB177" s="413"/>
      <c r="CC177" s="409"/>
      <c r="CD177" s="30">
        <f t="shared" si="76"/>
        <v>4.8899999999999997</v>
      </c>
      <c r="CF177" s="58">
        <v>6421.72</v>
      </c>
      <c r="CG177" s="63"/>
      <c r="CH177" s="58">
        <v>57.41</v>
      </c>
      <c r="CI177" s="60"/>
      <c r="CJ177" s="27"/>
      <c r="CK177" s="408"/>
      <c r="CL177" s="413"/>
      <c r="CM177" s="409"/>
      <c r="CN177" s="30">
        <f t="shared" si="77"/>
        <v>57.41</v>
      </c>
      <c r="CP177" s="58">
        <v>5820.52</v>
      </c>
      <c r="CQ177" s="58">
        <v>655.05999999999995</v>
      </c>
      <c r="CR177" s="63">
        <v>3436.48</v>
      </c>
      <c r="CS177" s="58"/>
      <c r="CT177" s="60"/>
      <c r="CU177" s="27"/>
      <c r="CV177" s="408">
        <v>29.246579999999653</v>
      </c>
      <c r="CW177" s="413">
        <v>4.3188000000000102</v>
      </c>
      <c r="CX177" s="409"/>
      <c r="CY177" s="229">
        <f t="shared" si="78"/>
        <v>33.565379999999664</v>
      </c>
    </row>
    <row r="178" spans="1:103" s="217" customFormat="1" ht="15.75" thickBot="1" x14ac:dyDescent="0.3">
      <c r="A178" s="47">
        <v>46100</v>
      </c>
      <c r="B178" s="230">
        <v>4680.71</v>
      </c>
      <c r="C178" s="231">
        <v>17677.439999999999</v>
      </c>
      <c r="D178" s="230">
        <v>113.1</v>
      </c>
      <c r="E178" s="232"/>
      <c r="F178" s="27"/>
      <c r="G178" s="408">
        <v>16.896799999999963</v>
      </c>
      <c r="H178" s="413"/>
      <c r="I178" s="409">
        <v>10.301951999999801</v>
      </c>
      <c r="J178" s="402">
        <f t="shared" si="71"/>
        <v>140.29875199999975</v>
      </c>
      <c r="L178" s="58">
        <v>12129.94</v>
      </c>
      <c r="M178" s="63">
        <v>10589.28</v>
      </c>
      <c r="N178" s="58">
        <v>22.24</v>
      </c>
      <c r="O178" s="60"/>
      <c r="P178" s="27"/>
      <c r="Q178" s="408">
        <v>325.10623999999984</v>
      </c>
      <c r="R178" s="408">
        <v>167.51741935483872</v>
      </c>
      <c r="S178" s="413"/>
      <c r="T178" s="409">
        <v>99.952200799999943</v>
      </c>
      <c r="U178" s="30">
        <f t="shared" si="70"/>
        <v>614.81586015483845</v>
      </c>
      <c r="V178" s="228"/>
      <c r="W178" s="58">
        <v>2360.11</v>
      </c>
      <c r="X178" s="63"/>
      <c r="Y178" s="58"/>
      <c r="Z178" s="60"/>
      <c r="AA178" s="27"/>
      <c r="AB178" s="408">
        <v>118.93200000000002</v>
      </c>
      <c r="AC178" s="413"/>
      <c r="AD178" s="409"/>
      <c r="AE178" s="30">
        <f t="shared" si="72"/>
        <v>118.93200000000002</v>
      </c>
      <c r="AG178" s="58">
        <v>7779.91</v>
      </c>
      <c r="AH178" s="63">
        <v>2554.2600000000002</v>
      </c>
      <c r="AI178" s="58"/>
      <c r="AJ178" s="60"/>
      <c r="AK178" s="27"/>
      <c r="AL178" s="51"/>
      <c r="AM178" s="52"/>
      <c r="AN178" s="52"/>
      <c r="AO178" s="30">
        <f t="shared" si="73"/>
        <v>0</v>
      </c>
      <c r="AQ178" s="58">
        <v>5705.7</v>
      </c>
      <c r="AR178" s="58">
        <v>977.78</v>
      </c>
      <c r="AS178" s="58">
        <v>63.81</v>
      </c>
      <c r="AT178" s="62"/>
      <c r="AU178" s="27"/>
      <c r="AV178" s="408">
        <v>201.37415999999968</v>
      </c>
      <c r="AW178" s="413">
        <v>139.0138666</v>
      </c>
      <c r="AX178" s="409">
        <v>50.896367999999939</v>
      </c>
      <c r="AY178" s="30">
        <f t="shared" si="74"/>
        <v>455.09439459999959</v>
      </c>
      <c r="BA178" s="58">
        <v>10764</v>
      </c>
      <c r="BB178" s="63"/>
      <c r="BC178" s="58"/>
      <c r="BD178" s="60"/>
      <c r="BE178" s="27"/>
      <c r="BF178" s="408">
        <v>240.61409999999987</v>
      </c>
      <c r="BG178" s="413"/>
      <c r="BH178" s="409"/>
      <c r="BI178" s="30">
        <f t="shared" si="75"/>
        <v>240.61409999999987</v>
      </c>
      <c r="BK178" s="58">
        <v>22752.62</v>
      </c>
      <c r="BL178" s="63">
        <v>2073.63</v>
      </c>
      <c r="BM178" s="58">
        <v>1191.54</v>
      </c>
      <c r="BN178" s="60"/>
      <c r="BO178" s="27"/>
      <c r="BP178" s="408">
        <v>-277.71324000000027</v>
      </c>
      <c r="BQ178" s="408">
        <v>315.16270967741934</v>
      </c>
      <c r="BR178" s="413">
        <v>75.182672799999949</v>
      </c>
      <c r="BS178" s="409"/>
      <c r="BT178" s="30">
        <f t="shared" si="79"/>
        <v>1304.1721424774189</v>
      </c>
      <c r="BV178" s="58">
        <v>4695.1899999999996</v>
      </c>
      <c r="BW178" s="63">
        <v>1402.88</v>
      </c>
      <c r="BX178" s="58">
        <v>2.74</v>
      </c>
      <c r="BY178" s="60"/>
      <c r="BZ178" s="27"/>
      <c r="CA178" s="408"/>
      <c r="CB178" s="413"/>
      <c r="CC178" s="409"/>
      <c r="CD178" s="30">
        <f t="shared" si="76"/>
        <v>2.74</v>
      </c>
      <c r="CF178" s="58">
        <v>1518.24</v>
      </c>
      <c r="CG178" s="63"/>
      <c r="CH178" s="58">
        <v>220.42</v>
      </c>
      <c r="CI178" s="60"/>
      <c r="CJ178" s="27"/>
      <c r="CK178" s="408"/>
      <c r="CL178" s="413"/>
      <c r="CM178" s="409"/>
      <c r="CN178" s="30">
        <f t="shared" si="77"/>
        <v>220.42</v>
      </c>
      <c r="CP178" s="58">
        <v>8128.48</v>
      </c>
      <c r="CQ178" s="58">
        <v>965.38</v>
      </c>
      <c r="CR178" s="63">
        <v>3256.7299999999996</v>
      </c>
      <c r="CS178" s="58">
        <v>15.17</v>
      </c>
      <c r="CT178" s="60"/>
      <c r="CU178" s="27"/>
      <c r="CV178" s="408">
        <v>343.69599000000028</v>
      </c>
      <c r="CW178" s="413">
        <v>31.672483999999926</v>
      </c>
      <c r="CX178" s="409"/>
      <c r="CY178" s="229">
        <f t="shared" si="78"/>
        <v>390.53847400000024</v>
      </c>
    </row>
    <row r="179" spans="1:103" s="217" customFormat="1" ht="15.75" thickBot="1" x14ac:dyDescent="0.3">
      <c r="A179" s="47">
        <v>46101</v>
      </c>
      <c r="B179" s="230">
        <v>3754.61</v>
      </c>
      <c r="C179" s="231">
        <v>22813.14</v>
      </c>
      <c r="D179" s="230">
        <v>167.77</v>
      </c>
      <c r="E179" s="232"/>
      <c r="F179" s="27"/>
      <c r="G179" s="408">
        <v>2.5782300000000191</v>
      </c>
      <c r="H179" s="413"/>
      <c r="I179" s="409"/>
      <c r="J179" s="402">
        <f t="shared" si="71"/>
        <v>170.34823000000003</v>
      </c>
      <c r="L179" s="58">
        <v>11513.01</v>
      </c>
      <c r="M179" s="63">
        <v>10482.280000000001</v>
      </c>
      <c r="N179" s="58">
        <v>44.49</v>
      </c>
      <c r="O179" s="60"/>
      <c r="P179" s="27"/>
      <c r="Q179" s="408">
        <v>146.95305999999982</v>
      </c>
      <c r="R179" s="408">
        <v>167.51741935483872</v>
      </c>
      <c r="S179" s="413"/>
      <c r="T179" s="409">
        <v>636.22344639999994</v>
      </c>
      <c r="U179" s="30">
        <f t="shared" si="70"/>
        <v>995.18392575483847</v>
      </c>
      <c r="V179" s="228"/>
      <c r="W179" s="58">
        <v>3072.78</v>
      </c>
      <c r="X179" s="63"/>
      <c r="Y179" s="58"/>
      <c r="Z179" s="60"/>
      <c r="AA179" s="27"/>
      <c r="AB179" s="408">
        <v>23.862719999999968</v>
      </c>
      <c r="AC179" s="413"/>
      <c r="AD179" s="409"/>
      <c r="AE179" s="30">
        <f t="shared" si="72"/>
        <v>23.862719999999968</v>
      </c>
      <c r="AG179" s="58">
        <v>10153.459999999999</v>
      </c>
      <c r="AH179" s="63"/>
      <c r="AI179" s="58"/>
      <c r="AJ179" s="60"/>
      <c r="AK179" s="27"/>
      <c r="AL179" s="51"/>
      <c r="AM179" s="52"/>
      <c r="AN179" s="52"/>
      <c r="AO179" s="30">
        <f t="shared" si="73"/>
        <v>0</v>
      </c>
      <c r="AQ179" s="58">
        <v>5302.14</v>
      </c>
      <c r="AR179" s="58">
        <v>928.9</v>
      </c>
      <c r="AS179" s="58">
        <v>14.87</v>
      </c>
      <c r="AT179" s="62"/>
      <c r="AU179" s="27"/>
      <c r="AV179" s="408">
        <v>191.64251999999971</v>
      </c>
      <c r="AW179" s="413"/>
      <c r="AX179" s="409"/>
      <c r="AY179" s="30">
        <f t="shared" si="74"/>
        <v>206.51251999999971</v>
      </c>
      <c r="BA179" s="58">
        <v>5904.8</v>
      </c>
      <c r="BB179" s="63"/>
      <c r="BC179" s="58">
        <v>46.66</v>
      </c>
      <c r="BD179" s="60"/>
      <c r="BE179" s="27"/>
      <c r="BF179" s="408">
        <v>1093.2091599999997</v>
      </c>
      <c r="BG179" s="413"/>
      <c r="BH179" s="409"/>
      <c r="BI179" s="30">
        <f t="shared" si="75"/>
        <v>1139.8691599999997</v>
      </c>
      <c r="BK179" s="58">
        <v>45676.57</v>
      </c>
      <c r="BL179" s="63">
        <v>5501.54</v>
      </c>
      <c r="BM179" s="58">
        <v>881.23</v>
      </c>
      <c r="BN179" s="60"/>
      <c r="BO179" s="27"/>
      <c r="BP179" s="408">
        <v>-25.30755999999991</v>
      </c>
      <c r="BQ179" s="408">
        <v>315.16270967741934</v>
      </c>
      <c r="BR179" s="413">
        <v>34.945819699999987</v>
      </c>
      <c r="BS179" s="409"/>
      <c r="BT179" s="30">
        <f t="shared" si="79"/>
        <v>1206.0309693774193</v>
      </c>
      <c r="BV179" s="58">
        <v>6790.53</v>
      </c>
      <c r="BW179" s="63">
        <v>1365.66</v>
      </c>
      <c r="BX179" s="58">
        <v>4.91</v>
      </c>
      <c r="BY179" s="60"/>
      <c r="BZ179" s="27"/>
      <c r="CA179" s="408"/>
      <c r="CB179" s="413"/>
      <c r="CC179" s="409"/>
      <c r="CD179" s="30">
        <f t="shared" si="76"/>
        <v>4.91</v>
      </c>
      <c r="CF179" s="58">
        <v>4636.5</v>
      </c>
      <c r="CG179" s="63"/>
      <c r="CH179" s="58">
        <v>305.98</v>
      </c>
      <c r="CI179" s="60"/>
      <c r="CJ179" s="27"/>
      <c r="CK179" s="408">
        <v>85.489789999999999</v>
      </c>
      <c r="CL179" s="413"/>
      <c r="CM179" s="409"/>
      <c r="CN179" s="30">
        <f t="shared" si="77"/>
        <v>391.46978999999999</v>
      </c>
      <c r="CP179" s="58">
        <v>7930.7</v>
      </c>
      <c r="CQ179" s="58">
        <v>1163.93</v>
      </c>
      <c r="CR179" s="63">
        <v>3466.03</v>
      </c>
      <c r="CS179" s="58">
        <v>34.71</v>
      </c>
      <c r="CT179" s="60"/>
      <c r="CU179" s="27"/>
      <c r="CV179" s="408">
        <v>454.10082000000011</v>
      </c>
      <c r="CW179" s="413"/>
      <c r="CX179" s="409"/>
      <c r="CY179" s="229">
        <f t="shared" si="78"/>
        <v>488.81082000000009</v>
      </c>
    </row>
    <row r="180" spans="1:103" s="217" customFormat="1" ht="15.75" thickBot="1" x14ac:dyDescent="0.3">
      <c r="A180" s="47">
        <v>46102</v>
      </c>
      <c r="B180" s="230">
        <v>2579.88</v>
      </c>
      <c r="C180" s="231">
        <v>22965.41</v>
      </c>
      <c r="D180" s="230">
        <v>335.11</v>
      </c>
      <c r="E180" s="232">
        <v>3.4</v>
      </c>
      <c r="F180" s="27"/>
      <c r="G180" s="408">
        <v>16.673949999999984</v>
      </c>
      <c r="H180" s="413"/>
      <c r="I180" s="409"/>
      <c r="J180" s="402">
        <f t="shared" si="71"/>
        <v>351.78395</v>
      </c>
      <c r="L180" s="58">
        <v>11776.51</v>
      </c>
      <c r="M180" s="63">
        <v>19860.07</v>
      </c>
      <c r="N180" s="58">
        <v>40.409999999999997</v>
      </c>
      <c r="O180" s="60"/>
      <c r="P180" s="27"/>
      <c r="Q180" s="408">
        <v>582.94484999999952</v>
      </c>
      <c r="R180" s="408">
        <v>167.51741935483872</v>
      </c>
      <c r="S180" s="413"/>
      <c r="T180" s="409">
        <v>68.09245839999997</v>
      </c>
      <c r="U180" s="30">
        <f t="shared" si="70"/>
        <v>858.96472775483812</v>
      </c>
      <c r="V180" s="228"/>
      <c r="W180" s="58">
        <v>6561.78</v>
      </c>
      <c r="X180" s="63"/>
      <c r="Y180" s="58"/>
      <c r="Z180" s="60"/>
      <c r="AA180" s="27"/>
      <c r="AB180" s="408">
        <v>39.513440000000003</v>
      </c>
      <c r="AC180" s="413"/>
      <c r="AD180" s="409"/>
      <c r="AE180" s="30">
        <f t="shared" si="72"/>
        <v>39.513440000000003</v>
      </c>
      <c r="AG180" s="58">
        <v>8146.75</v>
      </c>
      <c r="AH180" s="63">
        <v>673.04</v>
      </c>
      <c r="AI180" s="58"/>
      <c r="AJ180" s="60"/>
      <c r="AK180" s="27"/>
      <c r="AL180" s="51"/>
      <c r="AM180" s="52"/>
      <c r="AN180" s="52"/>
      <c r="AO180" s="30">
        <f t="shared" si="73"/>
        <v>0</v>
      </c>
      <c r="AQ180" s="58">
        <v>4589.75</v>
      </c>
      <c r="AR180" s="58">
        <v>778.37</v>
      </c>
      <c r="AS180" s="58">
        <v>20.149999999999999</v>
      </c>
      <c r="AT180" s="62"/>
      <c r="AU180" s="27"/>
      <c r="AV180" s="408">
        <v>95.284839999999917</v>
      </c>
      <c r="AW180" s="413"/>
      <c r="AX180" s="409"/>
      <c r="AY180" s="30">
        <f t="shared" si="74"/>
        <v>115.43483999999992</v>
      </c>
      <c r="BA180" s="58">
        <v>5194.09</v>
      </c>
      <c r="BB180" s="63"/>
      <c r="BC180" s="58"/>
      <c r="BD180" s="60"/>
      <c r="BE180" s="27"/>
      <c r="BF180" s="408">
        <v>961.75339999999994</v>
      </c>
      <c r="BG180" s="413"/>
      <c r="BH180" s="409"/>
      <c r="BI180" s="30">
        <f t="shared" si="75"/>
        <v>961.75339999999994</v>
      </c>
      <c r="BK180" s="58">
        <v>24853.46</v>
      </c>
      <c r="BL180" s="63">
        <v>7124.06</v>
      </c>
      <c r="BM180" s="58">
        <v>691.69</v>
      </c>
      <c r="BN180" s="60"/>
      <c r="BO180" s="27"/>
      <c r="BP180" s="408">
        <v>-233.40402000000043</v>
      </c>
      <c r="BQ180" s="408">
        <v>315.16270967741934</v>
      </c>
      <c r="BR180" s="413">
        <v>198.01693999999975</v>
      </c>
      <c r="BS180" s="409"/>
      <c r="BT180" s="30">
        <f t="shared" si="79"/>
        <v>971.46562967741875</v>
      </c>
      <c r="BV180" s="58">
        <v>3663.66</v>
      </c>
      <c r="BW180" s="63">
        <v>1385.69</v>
      </c>
      <c r="BX180" s="58">
        <v>6.42</v>
      </c>
      <c r="BY180" s="60"/>
      <c r="BZ180" s="27"/>
      <c r="CA180" s="408"/>
      <c r="CB180" s="413"/>
      <c r="CC180" s="409"/>
      <c r="CD180" s="30">
        <f t="shared" si="76"/>
        <v>6.42</v>
      </c>
      <c r="CF180" s="58">
        <v>2712.13</v>
      </c>
      <c r="CG180" s="63"/>
      <c r="CH180" s="58">
        <v>42.23</v>
      </c>
      <c r="CI180" s="60"/>
      <c r="CJ180" s="27"/>
      <c r="CK180" s="408"/>
      <c r="CL180" s="413">
        <v>89.624999999999915</v>
      </c>
      <c r="CM180" s="409"/>
      <c r="CN180" s="30">
        <f t="shared" si="77"/>
        <v>131.8549999999999</v>
      </c>
      <c r="CP180" s="58">
        <v>5076.87</v>
      </c>
      <c r="CQ180" s="58">
        <v>1646.68</v>
      </c>
      <c r="CR180" s="63">
        <v>2851.86</v>
      </c>
      <c r="CS180" s="58"/>
      <c r="CT180" s="60"/>
      <c r="CU180" s="27"/>
      <c r="CV180" s="408">
        <v>82.476480000000038</v>
      </c>
      <c r="CW180" s="413">
        <v>39.715122699999938</v>
      </c>
      <c r="CX180" s="409"/>
      <c r="CY180" s="229">
        <f t="shared" si="78"/>
        <v>122.19160269999998</v>
      </c>
    </row>
    <row r="181" spans="1:103" s="217" customFormat="1" ht="15.75" thickBot="1" x14ac:dyDescent="0.3">
      <c r="A181" s="47">
        <v>46103</v>
      </c>
      <c r="B181" s="230">
        <v>4023.5</v>
      </c>
      <c r="C181" s="231">
        <v>17909.919999999998</v>
      </c>
      <c r="D181" s="230">
        <v>507</v>
      </c>
      <c r="E181" s="232"/>
      <c r="F181" s="27"/>
      <c r="G181" s="408"/>
      <c r="H181" s="413"/>
      <c r="I181" s="409"/>
      <c r="J181" s="402">
        <f t="shared" si="71"/>
        <v>507</v>
      </c>
      <c r="L181" s="58">
        <v>9949.9599999999991</v>
      </c>
      <c r="M181" s="63">
        <v>22379.58</v>
      </c>
      <c r="N181" s="58"/>
      <c r="O181" s="60"/>
      <c r="P181" s="27"/>
      <c r="Q181" s="408">
        <v>138.55182999999997</v>
      </c>
      <c r="R181" s="408">
        <v>167.51741935483872</v>
      </c>
      <c r="S181" s="413"/>
      <c r="T181" s="409">
        <v>36.454524799999973</v>
      </c>
      <c r="U181" s="30">
        <f t="shared" si="70"/>
        <v>342.52377415483863</v>
      </c>
      <c r="V181" s="228"/>
      <c r="W181" s="58">
        <v>1097.76</v>
      </c>
      <c r="X181" s="63"/>
      <c r="Y181" s="58"/>
      <c r="Z181" s="60"/>
      <c r="AA181" s="27"/>
      <c r="AB181" s="408">
        <v>23.949600000000004</v>
      </c>
      <c r="AC181" s="413"/>
      <c r="AD181" s="409"/>
      <c r="AE181" s="30">
        <f t="shared" si="72"/>
        <v>23.949600000000004</v>
      </c>
      <c r="AG181" s="58">
        <v>7374.65</v>
      </c>
      <c r="AH181" s="63"/>
      <c r="AI181" s="58"/>
      <c r="AJ181" s="60"/>
      <c r="AK181" s="27"/>
      <c r="AL181" s="51"/>
      <c r="AM181" s="52"/>
      <c r="AN181" s="52"/>
      <c r="AO181" s="30">
        <f t="shared" si="73"/>
        <v>0</v>
      </c>
      <c r="AQ181" s="58">
        <v>2847.44</v>
      </c>
      <c r="AR181" s="58">
        <v>1122.24</v>
      </c>
      <c r="AS181" s="58">
        <v>37.14</v>
      </c>
      <c r="AT181" s="62"/>
      <c r="AU181" s="27"/>
      <c r="AV181" s="408">
        <v>49.184799999999967</v>
      </c>
      <c r="AW181" s="413">
        <v>40.52012579999996</v>
      </c>
      <c r="AX181" s="409"/>
      <c r="AY181" s="30">
        <f t="shared" si="74"/>
        <v>126.84492579999993</v>
      </c>
      <c r="BA181" s="58">
        <v>6665.79</v>
      </c>
      <c r="BB181" s="63"/>
      <c r="BC181" s="58"/>
      <c r="BD181" s="60"/>
      <c r="BE181" s="27"/>
      <c r="BF181" s="408">
        <v>42.565699999999993</v>
      </c>
      <c r="BG181" s="413"/>
      <c r="BH181" s="409"/>
      <c r="BI181" s="30">
        <f t="shared" si="75"/>
        <v>42.565699999999993</v>
      </c>
      <c r="BK181" s="58">
        <v>18673.87</v>
      </c>
      <c r="BL181" s="63">
        <v>4452</v>
      </c>
      <c r="BM181" s="58">
        <v>206.68</v>
      </c>
      <c r="BN181" s="60"/>
      <c r="BO181" s="27"/>
      <c r="BP181" s="408">
        <v>-203.86717000000021</v>
      </c>
      <c r="BQ181" s="408">
        <v>315.16270967741934</v>
      </c>
      <c r="BR181" s="413">
        <v>51.155173599999898</v>
      </c>
      <c r="BS181" s="409"/>
      <c r="BT181" s="30">
        <f t="shared" si="79"/>
        <v>369.13071327741903</v>
      </c>
      <c r="BV181" s="58">
        <v>2431.0100000000002</v>
      </c>
      <c r="BW181" s="63">
        <v>1087.4000000000001</v>
      </c>
      <c r="BX181" s="58">
        <v>1.31</v>
      </c>
      <c r="BY181" s="60"/>
      <c r="BZ181" s="27"/>
      <c r="CA181" s="408"/>
      <c r="CB181" s="413"/>
      <c r="CC181" s="409"/>
      <c r="CD181" s="30">
        <f t="shared" si="76"/>
        <v>1.31</v>
      </c>
      <c r="CF181" s="58">
        <v>2652.11</v>
      </c>
      <c r="CG181" s="63"/>
      <c r="CH181" s="58">
        <v>6.14</v>
      </c>
      <c r="CI181" s="60"/>
      <c r="CJ181" s="27"/>
      <c r="CK181" s="408">
        <v>34.830399999999997</v>
      </c>
      <c r="CL181" s="413"/>
      <c r="CM181" s="409"/>
      <c r="CN181" s="30">
        <f t="shared" si="77"/>
        <v>40.970399999999998</v>
      </c>
      <c r="CP181" s="58">
        <v>7456.83</v>
      </c>
      <c r="CQ181" s="58">
        <v>1153.43</v>
      </c>
      <c r="CR181" s="63">
        <v>2065.65</v>
      </c>
      <c r="CS181" s="58"/>
      <c r="CT181" s="60"/>
      <c r="CU181" s="27"/>
      <c r="CV181" s="408">
        <v>249.63000000000011</v>
      </c>
      <c r="CW181" s="413">
        <v>35.77239119999993</v>
      </c>
      <c r="CX181" s="409"/>
      <c r="CY181" s="229">
        <f t="shared" si="78"/>
        <v>285.40239120000001</v>
      </c>
    </row>
    <row r="182" spans="1:103" s="217" customFormat="1" ht="15.75" thickBot="1" x14ac:dyDescent="0.3">
      <c r="A182" s="47">
        <v>46104</v>
      </c>
      <c r="B182" s="425">
        <v>3703.34</v>
      </c>
      <c r="C182" s="424">
        <v>14771.44</v>
      </c>
      <c r="D182" s="230">
        <v>231.19</v>
      </c>
      <c r="E182" s="232"/>
      <c r="F182" s="27"/>
      <c r="G182" s="408"/>
      <c r="H182" s="413"/>
      <c r="I182" s="409"/>
      <c r="J182" s="402">
        <f t="shared" si="71"/>
        <v>231.19</v>
      </c>
      <c r="L182" s="58">
        <v>11400.98</v>
      </c>
      <c r="M182" s="63">
        <v>12794.14</v>
      </c>
      <c r="N182" s="58">
        <v>27.43</v>
      </c>
      <c r="O182" s="60"/>
      <c r="P182" s="27"/>
      <c r="Q182" s="408">
        <v>895.39166999999964</v>
      </c>
      <c r="R182" s="408">
        <v>167.51741935483872</v>
      </c>
      <c r="S182" s="413"/>
      <c r="T182" s="409">
        <v>516.35079999999994</v>
      </c>
      <c r="U182" s="30">
        <f t="shared" si="70"/>
        <v>1606.6898893548384</v>
      </c>
      <c r="V182" s="228"/>
      <c r="W182" s="58">
        <v>2815.45</v>
      </c>
      <c r="X182" s="63"/>
      <c r="Y182" s="58"/>
      <c r="Z182" s="60"/>
      <c r="AA182" s="27"/>
      <c r="AB182" s="408">
        <v>175.09079999999994</v>
      </c>
      <c r="AC182" s="413"/>
      <c r="AD182" s="409"/>
      <c r="AE182" s="30">
        <f t="shared" si="72"/>
        <v>175.09079999999994</v>
      </c>
      <c r="AG182" s="58">
        <v>11887.34</v>
      </c>
      <c r="AH182" s="63">
        <v>1243.28</v>
      </c>
      <c r="AI182" s="58">
        <v>154</v>
      </c>
      <c r="AJ182" s="60"/>
      <c r="AK182" s="27"/>
      <c r="AL182" s="51"/>
      <c r="AM182" s="52"/>
      <c r="AN182" s="52"/>
      <c r="AO182" s="30">
        <f t="shared" si="73"/>
        <v>154</v>
      </c>
      <c r="AQ182" s="58">
        <v>4872.2</v>
      </c>
      <c r="AR182" s="58">
        <v>1400.72</v>
      </c>
      <c r="AS182" s="58">
        <v>50.23</v>
      </c>
      <c r="AT182" s="62"/>
      <c r="AU182" s="27"/>
      <c r="AV182" s="408">
        <v>89.509849999999901</v>
      </c>
      <c r="AW182" s="413">
        <v>90.578247567142881</v>
      </c>
      <c r="AX182" s="409"/>
      <c r="AY182" s="30">
        <f t="shared" si="74"/>
        <v>230.31809756714276</v>
      </c>
      <c r="BA182" s="58">
        <v>7965.96</v>
      </c>
      <c r="BB182" s="63"/>
      <c r="BC182" s="58">
        <v>186.8</v>
      </c>
      <c r="BD182" s="60"/>
      <c r="BE182" s="27"/>
      <c r="BF182" s="408">
        <v>370.19789999999989</v>
      </c>
      <c r="BG182" s="413"/>
      <c r="BH182" s="409"/>
      <c r="BI182" s="30">
        <f t="shared" si="75"/>
        <v>556.99789999999985</v>
      </c>
      <c r="BK182" s="58">
        <v>18509.59</v>
      </c>
      <c r="BL182" s="63">
        <v>1628.36</v>
      </c>
      <c r="BM182" s="58">
        <v>357.22</v>
      </c>
      <c r="BN182" s="60"/>
      <c r="BO182" s="27"/>
      <c r="BP182" s="408">
        <v>854.9998199999992</v>
      </c>
      <c r="BQ182" s="408">
        <v>315.16270967741934</v>
      </c>
      <c r="BR182" s="413">
        <v>20.361723521523771</v>
      </c>
      <c r="BS182" s="409"/>
      <c r="BT182" s="30">
        <f t="shared" si="79"/>
        <v>1547.7442531989425</v>
      </c>
      <c r="BV182" s="58">
        <v>11021.33</v>
      </c>
      <c r="BW182" s="63">
        <v>1296.67</v>
      </c>
      <c r="BX182" s="58"/>
      <c r="BY182" s="60"/>
      <c r="BZ182" s="27"/>
      <c r="CA182" s="408"/>
      <c r="CB182" s="413"/>
      <c r="CC182" s="409"/>
      <c r="CD182" s="30">
        <f t="shared" si="76"/>
        <v>0</v>
      </c>
      <c r="CF182" s="58">
        <v>3990.49</v>
      </c>
      <c r="CG182" s="63"/>
      <c r="CH182" s="58">
        <v>35.71</v>
      </c>
      <c r="CI182" s="60"/>
      <c r="CJ182" s="27"/>
      <c r="CK182" s="408">
        <v>7.0399999999999991</v>
      </c>
      <c r="CL182" s="413"/>
      <c r="CM182" s="409"/>
      <c r="CN182" s="30">
        <f t="shared" si="77"/>
        <v>42.75</v>
      </c>
      <c r="CP182" s="58">
        <v>2637.43</v>
      </c>
      <c r="CQ182" s="58">
        <v>701.22</v>
      </c>
      <c r="CR182" s="63">
        <v>1852.23</v>
      </c>
      <c r="CS182" s="58">
        <v>6.16</v>
      </c>
      <c r="CT182" s="60"/>
      <c r="CU182" s="27"/>
      <c r="CV182" s="408">
        <v>510.28138799999931</v>
      </c>
      <c r="CW182" s="413">
        <v>75.052899999999937</v>
      </c>
      <c r="CX182" s="409"/>
      <c r="CY182" s="229">
        <f t="shared" si="78"/>
        <v>591.49428799999919</v>
      </c>
    </row>
    <row r="183" spans="1:103" s="217" customFormat="1" ht="15.75" thickBot="1" x14ac:dyDescent="0.3">
      <c r="A183" s="47">
        <v>46105</v>
      </c>
      <c r="B183" s="230">
        <v>6358.16</v>
      </c>
      <c r="C183" s="231">
        <v>13413.89</v>
      </c>
      <c r="D183" s="230">
        <v>526.72</v>
      </c>
      <c r="E183" s="232"/>
      <c r="F183" s="27"/>
      <c r="G183" s="408">
        <v>6.6653999999999911</v>
      </c>
      <c r="H183" s="413"/>
      <c r="I183" s="409"/>
      <c r="J183" s="402">
        <f t="shared" si="71"/>
        <v>533.3854</v>
      </c>
      <c r="L183" s="58">
        <v>12082.33</v>
      </c>
      <c r="M183" s="63">
        <v>8269.26</v>
      </c>
      <c r="N183" s="58">
        <v>29.84</v>
      </c>
      <c r="O183" s="60"/>
      <c r="P183" s="27"/>
      <c r="Q183" s="408">
        <v>367.04519000000005</v>
      </c>
      <c r="R183" s="408">
        <v>167.51741935483872</v>
      </c>
      <c r="S183" s="413"/>
      <c r="T183" s="409">
        <v>257.6752679999999</v>
      </c>
      <c r="U183" s="30">
        <f t="shared" si="70"/>
        <v>822.07787735483873</v>
      </c>
      <c r="V183" s="228"/>
      <c r="W183" s="58">
        <v>4418</v>
      </c>
      <c r="X183" s="63"/>
      <c r="Y183" s="58"/>
      <c r="Z183" s="60"/>
      <c r="AA183" s="27"/>
      <c r="AB183" s="408">
        <v>9.36</v>
      </c>
      <c r="AC183" s="413"/>
      <c r="AD183" s="409"/>
      <c r="AE183" s="30">
        <f t="shared" si="72"/>
        <v>9.36</v>
      </c>
      <c r="AG183" s="58">
        <v>10975.45</v>
      </c>
      <c r="AH183" s="63"/>
      <c r="AI183" s="58"/>
      <c r="AJ183" s="60"/>
      <c r="AK183" s="27"/>
      <c r="AL183" s="51"/>
      <c r="AM183" s="52"/>
      <c r="AN183" s="52"/>
      <c r="AO183" s="30">
        <f t="shared" si="73"/>
        <v>0</v>
      </c>
      <c r="AQ183" s="58">
        <v>5189.03</v>
      </c>
      <c r="AR183" s="58">
        <v>1035.6500000000001</v>
      </c>
      <c r="AS183" s="58">
        <v>44.75</v>
      </c>
      <c r="AT183" s="62"/>
      <c r="AU183" s="27"/>
      <c r="AV183" s="408">
        <v>161.35287999999986</v>
      </c>
      <c r="AW183" s="413">
        <v>4.6044512857143616</v>
      </c>
      <c r="AX183" s="409"/>
      <c r="AY183" s="30">
        <f t="shared" si="74"/>
        <v>210.70733128571422</v>
      </c>
      <c r="BA183" s="58">
        <v>10603.37</v>
      </c>
      <c r="BB183" s="63"/>
      <c r="BC183" s="58">
        <v>3000</v>
      </c>
      <c r="BD183" s="60"/>
      <c r="BE183" s="27"/>
      <c r="BF183" s="408">
        <v>147.80191999999997</v>
      </c>
      <c r="BG183" s="413"/>
      <c r="BH183" s="409"/>
      <c r="BI183" s="30">
        <f t="shared" si="75"/>
        <v>3147.8019199999999</v>
      </c>
      <c r="BK183" s="58">
        <v>37931.699999999997</v>
      </c>
      <c r="BL183" s="63">
        <v>1170.97</v>
      </c>
      <c r="BM183" s="58">
        <v>1010.77</v>
      </c>
      <c r="BN183" s="60"/>
      <c r="BO183" s="27"/>
      <c r="BP183" s="408">
        <v>457.79136999999935</v>
      </c>
      <c r="BQ183" s="408">
        <v>315.16270967741934</v>
      </c>
      <c r="BR183" s="413">
        <v>-20.315820678856937</v>
      </c>
      <c r="BS183" s="409"/>
      <c r="BT183" s="30">
        <f t="shared" si="79"/>
        <v>1763.4082589985617</v>
      </c>
      <c r="BV183" s="58">
        <v>4170.2</v>
      </c>
      <c r="BW183" s="63">
        <v>959.35</v>
      </c>
      <c r="BX183" s="58">
        <v>5.15</v>
      </c>
      <c r="BY183" s="60"/>
      <c r="BZ183" s="27"/>
      <c r="CA183" s="408"/>
      <c r="CB183" s="413"/>
      <c r="CC183" s="409"/>
      <c r="CD183" s="30">
        <f t="shared" si="76"/>
        <v>5.15</v>
      </c>
      <c r="CF183" s="58">
        <v>4206.37</v>
      </c>
      <c r="CG183" s="63"/>
      <c r="CH183" s="58">
        <v>1643.76</v>
      </c>
      <c r="CI183" s="60"/>
      <c r="CJ183" s="27"/>
      <c r="CK183" s="408">
        <v>35.913420000000002</v>
      </c>
      <c r="CL183" s="413"/>
      <c r="CM183" s="409"/>
      <c r="CN183" s="30">
        <f t="shared" si="77"/>
        <v>1679.6734200000001</v>
      </c>
      <c r="CP183" s="58">
        <v>1754.8</v>
      </c>
      <c r="CQ183" s="58">
        <v>336.58</v>
      </c>
      <c r="CR183" s="63">
        <v>3103.96</v>
      </c>
      <c r="CS183" s="58">
        <v>2.63</v>
      </c>
      <c r="CT183" s="60"/>
      <c r="CU183" s="27"/>
      <c r="CV183" s="408">
        <v>669.64505999999915</v>
      </c>
      <c r="CW183" s="413">
        <v>-0.14105620000009367</v>
      </c>
      <c r="CX183" s="409"/>
      <c r="CY183" s="229">
        <f t="shared" si="78"/>
        <v>672.13400379999905</v>
      </c>
    </row>
    <row r="184" spans="1:103" s="217" customFormat="1" ht="15.75" thickBot="1" x14ac:dyDescent="0.3">
      <c r="A184" s="47">
        <v>46106</v>
      </c>
      <c r="B184" s="230">
        <v>4090.22</v>
      </c>
      <c r="C184" s="231">
        <v>10167.19</v>
      </c>
      <c r="D184" s="230">
        <v>550.39</v>
      </c>
      <c r="E184" s="232"/>
      <c r="F184" s="27"/>
      <c r="G184" s="408">
        <v>11.199999999999989</v>
      </c>
      <c r="H184" s="413"/>
      <c r="I184" s="409"/>
      <c r="J184" s="402">
        <f t="shared" si="71"/>
        <v>561.58999999999992</v>
      </c>
      <c r="L184" s="58">
        <v>12540.23</v>
      </c>
      <c r="M184" s="63">
        <v>8858.18</v>
      </c>
      <c r="N184" s="58">
        <v>28.17</v>
      </c>
      <c r="O184" s="60"/>
      <c r="P184" s="27"/>
      <c r="Q184" s="408">
        <v>91.961319999999446</v>
      </c>
      <c r="R184" s="408">
        <v>167.51741935483872</v>
      </c>
      <c r="S184" s="413"/>
      <c r="T184" s="409">
        <v>472.73586550000005</v>
      </c>
      <c r="U184" s="30">
        <f t="shared" si="70"/>
        <v>760.38460485483813</v>
      </c>
      <c r="V184" s="228"/>
      <c r="W184" s="58">
        <v>5677.13</v>
      </c>
      <c r="X184" s="63"/>
      <c r="Y184" s="58"/>
      <c r="Z184" s="60"/>
      <c r="AA184" s="27"/>
      <c r="AB184" s="408">
        <v>20.76891999999998</v>
      </c>
      <c r="AC184" s="413"/>
      <c r="AD184" s="409"/>
      <c r="AE184" s="30">
        <f t="shared" si="72"/>
        <v>20.76891999999998</v>
      </c>
      <c r="AG184" s="58">
        <v>26330.19</v>
      </c>
      <c r="AH184" s="63"/>
      <c r="AI184" s="58"/>
      <c r="AJ184" s="60"/>
      <c r="AK184" s="27"/>
      <c r="AL184" s="51"/>
      <c r="AM184" s="52"/>
      <c r="AN184" s="52"/>
      <c r="AO184" s="30">
        <f t="shared" si="73"/>
        <v>0</v>
      </c>
      <c r="AQ184" s="58">
        <v>19536.59</v>
      </c>
      <c r="AR184" s="58">
        <v>1114.26</v>
      </c>
      <c r="AS184" s="58">
        <v>952.97</v>
      </c>
      <c r="AT184" s="62"/>
      <c r="AU184" s="27"/>
      <c r="AV184" s="408">
        <v>11.966659999999507</v>
      </c>
      <c r="AW184" s="413">
        <v>0.18177746857143262</v>
      </c>
      <c r="AX184" s="409"/>
      <c r="AY184" s="30">
        <f t="shared" si="74"/>
        <v>965.11843746857096</v>
      </c>
      <c r="BA184" s="58">
        <v>13065.17</v>
      </c>
      <c r="BB184" s="63"/>
      <c r="BC184" s="58">
        <v>1500</v>
      </c>
      <c r="BD184" s="60"/>
      <c r="BE184" s="27"/>
      <c r="BF184" s="408">
        <v>3.409780000000012</v>
      </c>
      <c r="BG184" s="413"/>
      <c r="BH184" s="409"/>
      <c r="BI184" s="30">
        <f t="shared" si="75"/>
        <v>1503.40978</v>
      </c>
      <c r="BK184" s="58">
        <v>31679.66</v>
      </c>
      <c r="BL184" s="63">
        <v>1139.8399999999999</v>
      </c>
      <c r="BM184" s="58">
        <v>489</v>
      </c>
      <c r="BN184" s="60"/>
      <c r="BO184" s="27"/>
      <c r="BP184" s="408">
        <v>71.512079999999173</v>
      </c>
      <c r="BQ184" s="408">
        <v>315.16270967741934</v>
      </c>
      <c r="BR184" s="413"/>
      <c r="BS184" s="409"/>
      <c r="BT184" s="30">
        <f t="shared" si="79"/>
        <v>875.67478967741852</v>
      </c>
      <c r="BV184" s="58">
        <v>1833.31</v>
      </c>
      <c r="BW184" s="63">
        <v>1250.08</v>
      </c>
      <c r="BX184" s="58"/>
      <c r="BY184" s="60"/>
      <c r="BZ184" s="27"/>
      <c r="CA184" s="408"/>
      <c r="CB184" s="413"/>
      <c r="CC184" s="409"/>
      <c r="CD184" s="30">
        <f t="shared" si="76"/>
        <v>0</v>
      </c>
      <c r="CF184" s="58">
        <v>6234.48</v>
      </c>
      <c r="CG184" s="63"/>
      <c r="CH184" s="58">
        <v>399.98</v>
      </c>
      <c r="CI184" s="60"/>
      <c r="CJ184" s="27"/>
      <c r="CK184" s="408"/>
      <c r="CL184" s="413">
        <v>14.637258788571501</v>
      </c>
      <c r="CM184" s="409"/>
      <c r="CN184" s="30">
        <f t="shared" si="77"/>
        <v>414.61725878857152</v>
      </c>
      <c r="CP184" s="58">
        <v>6036.27</v>
      </c>
      <c r="CQ184" s="58">
        <v>457.02</v>
      </c>
      <c r="CR184" s="63">
        <v>1919.67</v>
      </c>
      <c r="CS184" s="58"/>
      <c r="CT184" s="60"/>
      <c r="CU184" s="27"/>
      <c r="CV184" s="408">
        <v>126.44341999999938</v>
      </c>
      <c r="CW184" s="413">
        <v>10.859504999999899</v>
      </c>
      <c r="CX184" s="409"/>
      <c r="CY184" s="229">
        <f t="shared" si="78"/>
        <v>137.30292499999928</v>
      </c>
    </row>
    <row r="185" spans="1:103" s="217" customFormat="1" ht="15.75" thickBot="1" x14ac:dyDescent="0.3">
      <c r="A185" s="47">
        <v>46107</v>
      </c>
      <c r="B185" s="230">
        <v>3887.69</v>
      </c>
      <c r="C185" s="231">
        <v>7721.32</v>
      </c>
      <c r="D185" s="230">
        <v>224.39</v>
      </c>
      <c r="E185" s="232"/>
      <c r="F185" s="27"/>
      <c r="G185" s="408">
        <v>23.57999999999997</v>
      </c>
      <c r="H185" s="413"/>
      <c r="I185" s="409"/>
      <c r="J185" s="402">
        <f t="shared" si="71"/>
        <v>247.96999999999997</v>
      </c>
      <c r="L185" s="58">
        <v>9461.81</v>
      </c>
      <c r="M185" s="63">
        <v>7974.14</v>
      </c>
      <c r="N185" s="58">
        <v>8.39</v>
      </c>
      <c r="O185" s="60"/>
      <c r="P185" s="27"/>
      <c r="Q185" s="408">
        <v>755.97681999999918</v>
      </c>
      <c r="R185" s="408">
        <v>167.51741935483872</v>
      </c>
      <c r="S185" s="413"/>
      <c r="T185" s="409">
        <v>60.303165499999949</v>
      </c>
      <c r="U185" s="30">
        <f t="shared" si="70"/>
        <v>992.18740485483784</v>
      </c>
      <c r="V185" s="228"/>
      <c r="W185" s="58">
        <v>2216.0700000000002</v>
      </c>
      <c r="X185" s="63"/>
      <c r="Y185" s="58"/>
      <c r="Z185" s="60"/>
      <c r="AA185" s="27"/>
      <c r="AB185" s="408">
        <v>101.85020999999986</v>
      </c>
      <c r="AC185" s="413"/>
      <c r="AD185" s="409"/>
      <c r="AE185" s="30">
        <f t="shared" si="72"/>
        <v>101.85020999999986</v>
      </c>
      <c r="AG185" s="58">
        <v>14821.03</v>
      </c>
      <c r="AH185" s="63"/>
      <c r="AI185" s="58"/>
      <c r="AJ185" s="60"/>
      <c r="AK185" s="27"/>
      <c r="AL185" s="51"/>
      <c r="AM185" s="52"/>
      <c r="AN185" s="52"/>
      <c r="AO185" s="30">
        <f t="shared" si="73"/>
        <v>0</v>
      </c>
      <c r="AQ185" s="58">
        <v>7039.85</v>
      </c>
      <c r="AR185" s="58">
        <v>861.97</v>
      </c>
      <c r="AS185" s="58">
        <v>77.400000000000006</v>
      </c>
      <c r="AT185" s="62"/>
      <c r="AU185" s="27"/>
      <c r="AV185" s="408">
        <v>81.27413999999979</v>
      </c>
      <c r="AW185" s="413">
        <v>56.259140691428684</v>
      </c>
      <c r="AX185" s="409">
        <v>17.666819999999973</v>
      </c>
      <c r="AY185" s="30">
        <f t="shared" si="74"/>
        <v>232.60010069142845</v>
      </c>
      <c r="BA185" s="58">
        <v>8623.9699999999993</v>
      </c>
      <c r="BB185" s="63"/>
      <c r="BC185" s="58">
        <v>1680</v>
      </c>
      <c r="BD185" s="60"/>
      <c r="BE185" s="27"/>
      <c r="BF185" s="408">
        <v>142.45235999999977</v>
      </c>
      <c r="BG185" s="413"/>
      <c r="BH185" s="409"/>
      <c r="BI185" s="30">
        <f t="shared" si="75"/>
        <v>1822.4523599999998</v>
      </c>
      <c r="BK185" s="58">
        <v>26002.04</v>
      </c>
      <c r="BL185" s="63">
        <v>249.43</v>
      </c>
      <c r="BM185" s="58">
        <v>399.42</v>
      </c>
      <c r="BN185" s="60"/>
      <c r="BO185" s="27"/>
      <c r="BP185" s="408">
        <v>23.646319999999903</v>
      </c>
      <c r="BQ185" s="408">
        <v>315.16270967741934</v>
      </c>
      <c r="BR185" s="413">
        <v>6.639238187657142</v>
      </c>
      <c r="BS185" s="409"/>
      <c r="BT185" s="30">
        <f t="shared" si="79"/>
        <v>744.8682678650764</v>
      </c>
      <c r="BV185" s="58">
        <v>3107.47</v>
      </c>
      <c r="BW185" s="63">
        <v>1127.82</v>
      </c>
      <c r="BX185" s="58"/>
      <c r="BY185" s="60"/>
      <c r="BZ185" s="27"/>
      <c r="CA185" s="408"/>
      <c r="CB185" s="413"/>
      <c r="CC185" s="409"/>
      <c r="CD185" s="30">
        <f t="shared" si="76"/>
        <v>0</v>
      </c>
      <c r="CF185" s="58">
        <v>6709.89</v>
      </c>
      <c r="CG185" s="63"/>
      <c r="CH185" s="58">
        <v>76.7</v>
      </c>
      <c r="CI185" s="60"/>
      <c r="CJ185" s="27"/>
      <c r="CK185" s="408">
        <v>81.749909999999915</v>
      </c>
      <c r="CL185" s="413">
        <v>52.758285714285876</v>
      </c>
      <c r="CM185" s="409"/>
      <c r="CN185" s="30">
        <f t="shared" si="77"/>
        <v>211.20819571428581</v>
      </c>
      <c r="CP185" s="58">
        <v>6495.34</v>
      </c>
      <c r="CQ185" s="58">
        <v>840.21</v>
      </c>
      <c r="CR185" s="63">
        <v>2177.3200000000002</v>
      </c>
      <c r="CS185" s="58">
        <v>18.440000000000001</v>
      </c>
      <c r="CT185" s="60"/>
      <c r="CU185" s="27"/>
      <c r="CV185" s="408">
        <v>111.69671999999969</v>
      </c>
      <c r="CW185" s="413">
        <v>-17.123140000000035</v>
      </c>
      <c r="CX185" s="409"/>
      <c r="CY185" s="229">
        <f t="shared" si="78"/>
        <v>113.01357999999965</v>
      </c>
    </row>
    <row r="186" spans="1:103" s="217" customFormat="1" ht="15.75" thickBot="1" x14ac:dyDescent="0.3">
      <c r="A186" s="47">
        <v>46108</v>
      </c>
      <c r="B186" s="230">
        <v>7076.47</v>
      </c>
      <c r="C186" s="231">
        <v>8413.5499999999993</v>
      </c>
      <c r="D186" s="230">
        <v>160</v>
      </c>
      <c r="E186" s="232"/>
      <c r="F186" s="27"/>
      <c r="G186" s="408"/>
      <c r="H186" s="413">
        <v>24.582401213333355</v>
      </c>
      <c r="I186" s="409"/>
      <c r="J186" s="402">
        <f t="shared" si="71"/>
        <v>184.58240121333336</v>
      </c>
      <c r="L186" s="58">
        <v>12415.14</v>
      </c>
      <c r="M186" s="63">
        <v>7912.67</v>
      </c>
      <c r="N186" s="58">
        <v>23.74</v>
      </c>
      <c r="O186" s="60"/>
      <c r="P186" s="27"/>
      <c r="Q186" s="408">
        <v>340.38543999999945</v>
      </c>
      <c r="R186" s="408">
        <v>167.51741935483872</v>
      </c>
      <c r="S186" s="413">
        <v>49.037199671428539</v>
      </c>
      <c r="T186" s="409">
        <v>451.73331850000022</v>
      </c>
      <c r="U186" s="30">
        <f t="shared" si="70"/>
        <v>1032.4133775262669</v>
      </c>
      <c r="V186" s="228"/>
      <c r="W186" s="58">
        <v>2435.12</v>
      </c>
      <c r="X186" s="63"/>
      <c r="Y186" s="58">
        <v>58.85</v>
      </c>
      <c r="Z186" s="60"/>
      <c r="AA186" s="27"/>
      <c r="AB186" s="408">
        <v>155.17423999999968</v>
      </c>
      <c r="AC186" s="413"/>
      <c r="AD186" s="409"/>
      <c r="AE186" s="30">
        <f t="shared" si="72"/>
        <v>214.02423999999968</v>
      </c>
      <c r="AG186" s="58">
        <v>14307.14</v>
      </c>
      <c r="AH186" s="63"/>
      <c r="AI186" s="58"/>
      <c r="AJ186" s="60"/>
      <c r="AK186" s="27"/>
      <c r="AL186" s="51"/>
      <c r="AM186" s="52"/>
      <c r="AN186" s="52"/>
      <c r="AO186" s="30">
        <f t="shared" si="73"/>
        <v>0</v>
      </c>
      <c r="AQ186" s="58">
        <v>4917.59</v>
      </c>
      <c r="AR186" s="58">
        <v>1130.6400000000001</v>
      </c>
      <c r="AS186" s="58">
        <v>53.09</v>
      </c>
      <c r="AT186" s="62"/>
      <c r="AU186" s="27"/>
      <c r="AV186" s="408">
        <v>221.04038999999977</v>
      </c>
      <c r="AW186" s="413"/>
      <c r="AX186" s="409"/>
      <c r="AY186" s="30">
        <f t="shared" si="74"/>
        <v>274.13038999999981</v>
      </c>
      <c r="BA186" s="58">
        <v>18893.990000000002</v>
      </c>
      <c r="BB186" s="63"/>
      <c r="BC186" s="58">
        <v>205.71</v>
      </c>
      <c r="BD186" s="60"/>
      <c r="BE186" s="27"/>
      <c r="BF186" s="408">
        <v>239.79693999999998</v>
      </c>
      <c r="BG186" s="413"/>
      <c r="BH186" s="409"/>
      <c r="BI186" s="30">
        <f t="shared" si="75"/>
        <v>445.50693999999999</v>
      </c>
      <c r="BK186" s="58">
        <v>24861.83</v>
      </c>
      <c r="BL186" s="63">
        <v>1643.28</v>
      </c>
      <c r="BM186" s="58">
        <v>380.18</v>
      </c>
      <c r="BN186" s="60"/>
      <c r="BO186" s="27"/>
      <c r="BP186" s="408">
        <v>436.85409999999956</v>
      </c>
      <c r="BQ186" s="408">
        <v>315.16270967741934</v>
      </c>
      <c r="BR186" s="413">
        <v>80.3486275590476</v>
      </c>
      <c r="BS186" s="409"/>
      <c r="BT186" s="30">
        <f t="shared" si="79"/>
        <v>1212.5454372364666</v>
      </c>
      <c r="BV186" s="58">
        <v>6258.38</v>
      </c>
      <c r="BW186" s="63">
        <v>1031.93</v>
      </c>
      <c r="BX186" s="58">
        <v>7.33</v>
      </c>
      <c r="BY186" s="60"/>
      <c r="BZ186" s="27"/>
      <c r="CA186" s="408"/>
      <c r="CB186" s="413"/>
      <c r="CC186" s="409"/>
      <c r="CD186" s="30">
        <f t="shared" si="76"/>
        <v>7.33</v>
      </c>
      <c r="CF186" s="58">
        <v>4195.83</v>
      </c>
      <c r="CG186" s="63"/>
      <c r="CH186" s="58">
        <v>24.51</v>
      </c>
      <c r="CI186" s="60"/>
      <c r="CJ186" s="27"/>
      <c r="CK186" s="408"/>
      <c r="CL186" s="413"/>
      <c r="CM186" s="409"/>
      <c r="CN186" s="30">
        <f t="shared" si="77"/>
        <v>24.51</v>
      </c>
      <c r="CP186" s="58">
        <v>4138.8599999999997</v>
      </c>
      <c r="CQ186" s="58">
        <v>685.25</v>
      </c>
      <c r="CR186" s="63">
        <v>2836.0699999999997</v>
      </c>
      <c r="CS186" s="58">
        <v>22.99</v>
      </c>
      <c r="CT186" s="60"/>
      <c r="CU186" s="27"/>
      <c r="CV186" s="408">
        <v>216.38169999999957</v>
      </c>
      <c r="CW186" s="413">
        <v>6.8284999999999627</v>
      </c>
      <c r="CX186" s="409"/>
      <c r="CY186" s="229">
        <f t="shared" si="78"/>
        <v>246.20019999999954</v>
      </c>
    </row>
    <row r="187" spans="1:103" s="217" customFormat="1" ht="15.75" thickBot="1" x14ac:dyDescent="0.3">
      <c r="A187" s="47">
        <v>46109</v>
      </c>
      <c r="B187" s="230">
        <v>3275.17</v>
      </c>
      <c r="C187" s="231">
        <v>6504.93</v>
      </c>
      <c r="D187" s="230">
        <v>183.49</v>
      </c>
      <c r="E187" s="232"/>
      <c r="F187" s="27"/>
      <c r="G187" s="408"/>
      <c r="H187" s="413"/>
      <c r="I187" s="409"/>
      <c r="J187" s="402">
        <f t="shared" si="71"/>
        <v>183.49</v>
      </c>
      <c r="L187" s="58">
        <v>9629.67</v>
      </c>
      <c r="M187" s="63">
        <v>6154.41</v>
      </c>
      <c r="N187" s="58">
        <v>99.54</v>
      </c>
      <c r="O187" s="60"/>
      <c r="P187" s="27"/>
      <c r="Q187" s="408">
        <v>261.83971999999966</v>
      </c>
      <c r="R187" s="408">
        <v>167.51741935483872</v>
      </c>
      <c r="S187" s="413"/>
      <c r="T187" s="409">
        <v>46.303881600000011</v>
      </c>
      <c r="U187" s="30">
        <f t="shared" si="70"/>
        <v>575.20102095483844</v>
      </c>
      <c r="V187" s="228"/>
      <c r="W187" s="58">
        <v>5195.49</v>
      </c>
      <c r="X187" s="63"/>
      <c r="Y187" s="58">
        <v>138.65</v>
      </c>
      <c r="Z187" s="60"/>
      <c r="AA187" s="27"/>
      <c r="AB187" s="408">
        <v>72.160519999999906</v>
      </c>
      <c r="AC187" s="413"/>
      <c r="AD187" s="409"/>
      <c r="AE187" s="30">
        <f t="shared" si="72"/>
        <v>210.81051999999991</v>
      </c>
      <c r="AG187" s="58">
        <v>11538.67</v>
      </c>
      <c r="AH187" s="63"/>
      <c r="AI187" s="58"/>
      <c r="AJ187" s="60"/>
      <c r="AK187" s="27"/>
      <c r="AL187" s="51"/>
      <c r="AM187" s="52"/>
      <c r="AN187" s="52"/>
      <c r="AO187" s="30">
        <f t="shared" si="73"/>
        <v>0</v>
      </c>
      <c r="AQ187" s="58">
        <v>5774.71</v>
      </c>
      <c r="AR187" s="58">
        <v>1137.75</v>
      </c>
      <c r="AS187" s="58">
        <v>66.849999999999994</v>
      </c>
      <c r="AT187" s="62"/>
      <c r="AU187" s="27"/>
      <c r="AV187" s="408">
        <v>70.939879999999874</v>
      </c>
      <c r="AW187" s="413">
        <v>32.432736787619092</v>
      </c>
      <c r="AX187" s="409"/>
      <c r="AY187" s="30">
        <f t="shared" si="74"/>
        <v>170.22261678761896</v>
      </c>
      <c r="BA187" s="58">
        <v>7452.3</v>
      </c>
      <c r="BB187" s="63"/>
      <c r="BC187" s="58"/>
      <c r="BD187" s="60"/>
      <c r="BE187" s="27"/>
      <c r="BF187" s="408">
        <v>150.14285999999993</v>
      </c>
      <c r="BG187" s="413"/>
      <c r="BH187" s="409"/>
      <c r="BI187" s="30">
        <f t="shared" si="75"/>
        <v>150.14285999999993</v>
      </c>
      <c r="BK187" s="58">
        <v>32811.47</v>
      </c>
      <c r="BL187" s="63">
        <v>1174.21</v>
      </c>
      <c r="BM187" s="58">
        <v>167.75</v>
      </c>
      <c r="BN187" s="60"/>
      <c r="BO187" s="27"/>
      <c r="BP187" s="408">
        <v>154.95241999999985</v>
      </c>
      <c r="BQ187" s="408">
        <v>315.16270967741934</v>
      </c>
      <c r="BR187" s="413">
        <v>62.552141326285692</v>
      </c>
      <c r="BS187" s="409"/>
      <c r="BT187" s="30">
        <f t="shared" si="79"/>
        <v>700.41727100370485</v>
      </c>
      <c r="BV187" s="58">
        <v>3474.42</v>
      </c>
      <c r="BW187" s="63">
        <v>800.11</v>
      </c>
      <c r="BX187" s="58">
        <v>0.65</v>
      </c>
      <c r="BY187" s="60"/>
      <c r="BZ187" s="27"/>
      <c r="CA187" s="408"/>
      <c r="CB187" s="413"/>
      <c r="CC187" s="409"/>
      <c r="CD187" s="30">
        <f t="shared" si="76"/>
        <v>0.65</v>
      </c>
      <c r="CF187" s="58">
        <v>3506.16</v>
      </c>
      <c r="CG187" s="63"/>
      <c r="CH187" s="58">
        <v>3.57</v>
      </c>
      <c r="CI187" s="60"/>
      <c r="CJ187" s="27"/>
      <c r="CK187" s="408">
        <v>47.937539999999757</v>
      </c>
      <c r="CL187" s="413"/>
      <c r="CM187" s="409"/>
      <c r="CN187" s="30">
        <f t="shared" si="77"/>
        <v>51.507539999999757</v>
      </c>
      <c r="CP187" s="58">
        <v>3039.32</v>
      </c>
      <c r="CQ187" s="58">
        <v>921.15</v>
      </c>
      <c r="CR187" s="63">
        <v>4589.41</v>
      </c>
      <c r="CS187" s="58"/>
      <c r="CT187" s="60"/>
      <c r="CU187" s="27"/>
      <c r="CV187" s="408">
        <v>3.6379199999999798</v>
      </c>
      <c r="CW187" s="413">
        <v>110.16599999999994</v>
      </c>
      <c r="CX187" s="409"/>
      <c r="CY187" s="229">
        <f t="shared" si="78"/>
        <v>113.80391999999992</v>
      </c>
    </row>
    <row r="188" spans="1:103" s="217" customFormat="1" ht="15.75" thickBot="1" x14ac:dyDescent="0.3">
      <c r="A188" s="47">
        <v>46110</v>
      </c>
      <c r="B188" s="230">
        <v>1548.91</v>
      </c>
      <c r="C188" s="231">
        <v>4615.5</v>
      </c>
      <c r="D188" s="230">
        <v>236.95</v>
      </c>
      <c r="E188" s="232"/>
      <c r="F188" s="27"/>
      <c r="G188" s="408">
        <v>3.8775999999999939</v>
      </c>
      <c r="H188" s="413"/>
      <c r="I188" s="409"/>
      <c r="J188" s="402">
        <f t="shared" si="71"/>
        <v>240.82759999999999</v>
      </c>
      <c r="L188" s="58">
        <v>8359.48</v>
      </c>
      <c r="M188" s="63">
        <v>4977.22</v>
      </c>
      <c r="N188" s="58"/>
      <c r="O188" s="60"/>
      <c r="P188" s="27"/>
      <c r="Q188" s="408">
        <v>65.518599999999907</v>
      </c>
      <c r="R188" s="408">
        <v>167.51741935483872</v>
      </c>
      <c r="S188" s="413"/>
      <c r="T188" s="409">
        <v>33.096479999999985</v>
      </c>
      <c r="U188" s="30">
        <f t="shared" si="70"/>
        <v>266.13249935483861</v>
      </c>
      <c r="V188" s="228"/>
      <c r="W188" s="58">
        <v>2230.13</v>
      </c>
      <c r="X188" s="63"/>
      <c r="Y188" s="58"/>
      <c r="Z188" s="60"/>
      <c r="AA188" s="27"/>
      <c r="AB188" s="408">
        <v>22.977570000000014</v>
      </c>
      <c r="AC188" s="413"/>
      <c r="AD188" s="409"/>
      <c r="AE188" s="30">
        <f t="shared" si="72"/>
        <v>22.977570000000014</v>
      </c>
      <c r="AG188" s="58">
        <v>10361.76</v>
      </c>
      <c r="AH188" s="63"/>
      <c r="AI188" s="58"/>
      <c r="AJ188" s="60"/>
      <c r="AK188" s="27"/>
      <c r="AL188" s="51"/>
      <c r="AM188" s="52"/>
      <c r="AN188" s="52"/>
      <c r="AO188" s="30">
        <f t="shared" si="73"/>
        <v>0</v>
      </c>
      <c r="AQ188" s="58">
        <v>3827.06</v>
      </c>
      <c r="AR188" s="58">
        <v>1040.18</v>
      </c>
      <c r="AS188" s="58">
        <v>2.74</v>
      </c>
      <c r="AT188" s="62"/>
      <c r="AU188" s="27"/>
      <c r="AV188" s="408">
        <v>39.104859999999917</v>
      </c>
      <c r="AW188" s="413"/>
      <c r="AX188" s="409"/>
      <c r="AY188" s="30">
        <f t="shared" si="74"/>
        <v>41.844859999999919</v>
      </c>
      <c r="BA188" s="58">
        <v>5140.8900000000003</v>
      </c>
      <c r="BB188" s="63"/>
      <c r="BC188" s="58"/>
      <c r="BD188" s="60"/>
      <c r="BE188" s="27"/>
      <c r="BF188" s="408">
        <v>52.73330999999996</v>
      </c>
      <c r="BG188" s="413"/>
      <c r="BH188" s="409"/>
      <c r="BI188" s="30">
        <f t="shared" si="75"/>
        <v>52.73330999999996</v>
      </c>
      <c r="BK188" s="58">
        <v>22827.56</v>
      </c>
      <c r="BL188" s="63">
        <v>952.54</v>
      </c>
      <c r="BM188" s="58">
        <v>62.54</v>
      </c>
      <c r="BN188" s="60"/>
      <c r="BO188" s="27"/>
      <c r="BP188" s="408">
        <v>75.599999999999909</v>
      </c>
      <c r="BQ188" s="408">
        <v>315.16270967741934</v>
      </c>
      <c r="BR188" s="413"/>
      <c r="BS188" s="409"/>
      <c r="BT188" s="30">
        <f t="shared" si="79"/>
        <v>453.30270967741927</v>
      </c>
      <c r="BV188" s="58">
        <v>2704.21</v>
      </c>
      <c r="BW188" s="63">
        <v>235</v>
      </c>
      <c r="BX188" s="58"/>
      <c r="BY188" s="60"/>
      <c r="BZ188" s="27"/>
      <c r="CA188" s="408"/>
      <c r="CB188" s="413"/>
      <c r="CC188" s="409"/>
      <c r="CD188" s="30">
        <f t="shared" si="76"/>
        <v>0</v>
      </c>
      <c r="CF188" s="58">
        <v>4206.57</v>
      </c>
      <c r="CG188" s="63"/>
      <c r="CH188" s="58">
        <v>23.3</v>
      </c>
      <c r="CI188" s="60"/>
      <c r="CJ188" s="27"/>
      <c r="CK188" s="408">
        <v>11.094240000000013</v>
      </c>
      <c r="CL188" s="413"/>
      <c r="CM188" s="409"/>
      <c r="CN188" s="30">
        <f t="shared" si="77"/>
        <v>34.394240000000011</v>
      </c>
      <c r="CP188" s="58">
        <v>6408.14</v>
      </c>
      <c r="CQ188" s="58">
        <v>1138.5</v>
      </c>
      <c r="CR188" s="63">
        <v>2070.0800000000004</v>
      </c>
      <c r="CS188" s="58"/>
      <c r="CT188" s="60"/>
      <c r="CU188" s="27"/>
      <c r="CV188" s="408">
        <v>521.27429999999913</v>
      </c>
      <c r="CW188" s="413"/>
      <c r="CX188" s="409"/>
      <c r="CY188" s="229">
        <f t="shared" si="78"/>
        <v>521.27429999999913</v>
      </c>
    </row>
    <row r="189" spans="1:103" s="217" customFormat="1" ht="15.75" thickBot="1" x14ac:dyDescent="0.3">
      <c r="A189" s="47">
        <v>46111</v>
      </c>
      <c r="B189" s="230">
        <v>3761.65</v>
      </c>
      <c r="C189" s="231">
        <v>6981.36</v>
      </c>
      <c r="D189" s="230">
        <v>949.01</v>
      </c>
      <c r="E189" s="232"/>
      <c r="F189" s="27"/>
      <c r="G189" s="408"/>
      <c r="H189" s="413"/>
      <c r="I189" s="409">
        <v>55.704782000000023</v>
      </c>
      <c r="J189" s="402">
        <f t="shared" si="71"/>
        <v>1004.714782</v>
      </c>
      <c r="L189" s="58">
        <v>13266.33</v>
      </c>
      <c r="M189" s="63">
        <v>5370.75</v>
      </c>
      <c r="N189" s="58">
        <v>30.7</v>
      </c>
      <c r="O189" s="60"/>
      <c r="P189" s="27"/>
      <c r="Q189" s="408">
        <v>283.74129999999963</v>
      </c>
      <c r="R189" s="408">
        <v>167.51741935483872</v>
      </c>
      <c r="S189" s="413"/>
      <c r="T189" s="409">
        <v>519.84351119999997</v>
      </c>
      <c r="U189" s="30">
        <f t="shared" si="70"/>
        <v>1001.8022305548384</v>
      </c>
      <c r="V189" s="228"/>
      <c r="W189" s="58">
        <v>2570.4699999999998</v>
      </c>
      <c r="X189" s="63"/>
      <c r="Y189" s="58"/>
      <c r="Z189" s="60"/>
      <c r="AA189" s="27"/>
      <c r="AB189" s="408">
        <v>202.91879999999986</v>
      </c>
      <c r="AC189" s="413"/>
      <c r="AD189" s="409"/>
      <c r="AE189" s="30">
        <f t="shared" si="72"/>
        <v>202.91879999999986</v>
      </c>
      <c r="AG189" s="58">
        <v>8266.11</v>
      </c>
      <c r="AH189" s="63"/>
      <c r="AI189" s="58">
        <v>220</v>
      </c>
      <c r="AJ189" s="60"/>
      <c r="AK189" s="27"/>
      <c r="AL189" s="51"/>
      <c r="AM189" s="52"/>
      <c r="AN189" s="52"/>
      <c r="AO189" s="30">
        <f t="shared" si="73"/>
        <v>220</v>
      </c>
      <c r="AQ189" s="58">
        <v>6158.63</v>
      </c>
      <c r="AR189" s="58">
        <v>843.34</v>
      </c>
      <c r="AS189" s="58">
        <v>32.36</v>
      </c>
      <c r="AT189" s="62"/>
      <c r="AU189" s="27"/>
      <c r="AV189" s="408">
        <v>188.00776999999977</v>
      </c>
      <c r="AW189" s="413">
        <v>54.63405019999999</v>
      </c>
      <c r="AX189" s="409"/>
      <c r="AY189" s="30">
        <f t="shared" si="74"/>
        <v>275.00182019999977</v>
      </c>
      <c r="BA189" s="58">
        <v>4741.7299999999996</v>
      </c>
      <c r="BB189" s="63"/>
      <c r="BC189" s="58">
        <v>4254</v>
      </c>
      <c r="BD189" s="60"/>
      <c r="BE189" s="27"/>
      <c r="BF189" s="408">
        <v>115.09805999999992</v>
      </c>
      <c r="BG189" s="413"/>
      <c r="BH189" s="409"/>
      <c r="BI189" s="30">
        <f t="shared" si="75"/>
        <v>4369.0980600000003</v>
      </c>
      <c r="BK189" s="58">
        <v>21994.03</v>
      </c>
      <c r="BL189" s="63">
        <v>914.69</v>
      </c>
      <c r="BM189" s="58">
        <v>74.41</v>
      </c>
      <c r="BN189" s="60"/>
      <c r="BO189" s="27"/>
      <c r="BP189" s="408">
        <v>1230.8513599999978</v>
      </c>
      <c r="BQ189" s="408">
        <v>315.16270967741934</v>
      </c>
      <c r="BR189" s="413">
        <v>36.853435051428555</v>
      </c>
      <c r="BS189" s="409">
        <v>8.0622656000000035</v>
      </c>
      <c r="BT189" s="30">
        <f t="shared" si="79"/>
        <v>1665.3397703288458</v>
      </c>
      <c r="BV189" s="58">
        <v>4570.92</v>
      </c>
      <c r="BW189" s="63">
        <v>558.36</v>
      </c>
      <c r="BX189" s="58">
        <v>7.45</v>
      </c>
      <c r="BY189" s="60"/>
      <c r="BZ189" s="27"/>
      <c r="CA189" s="408"/>
      <c r="CB189" s="413"/>
      <c r="CC189" s="409"/>
      <c r="CD189" s="30">
        <f t="shared" si="76"/>
        <v>7.45</v>
      </c>
      <c r="CF189" s="58">
        <v>8103.41</v>
      </c>
      <c r="CG189" s="63"/>
      <c r="CH189" s="58">
        <v>171.95</v>
      </c>
      <c r="CI189" s="60"/>
      <c r="CJ189" s="27"/>
      <c r="CK189" s="408">
        <v>4.5239999999999867</v>
      </c>
      <c r="CL189" s="413"/>
      <c r="CM189" s="409"/>
      <c r="CN189" s="30">
        <f t="shared" si="77"/>
        <v>176.47399999999999</v>
      </c>
      <c r="CP189" s="58">
        <v>7561.91</v>
      </c>
      <c r="CQ189" s="58">
        <v>831.02</v>
      </c>
      <c r="CR189" s="63">
        <v>4014.92</v>
      </c>
      <c r="CS189" s="58">
        <v>14.29</v>
      </c>
      <c r="CT189" s="60"/>
      <c r="CU189" s="27"/>
      <c r="CV189" s="408">
        <v>855.28259999999921</v>
      </c>
      <c r="CW189" s="413"/>
      <c r="CX189" s="409"/>
      <c r="CY189" s="229">
        <f t="shared" si="78"/>
        <v>869.57259999999917</v>
      </c>
    </row>
    <row r="190" spans="1:103" s="217" customFormat="1" ht="15.75" thickBot="1" x14ac:dyDescent="0.3">
      <c r="A190" s="75">
        <v>46112</v>
      </c>
      <c r="B190" s="230">
        <v>4754.71</v>
      </c>
      <c r="C190" s="231">
        <v>4871.8899999999994</v>
      </c>
      <c r="D190" s="230">
        <v>308.75</v>
      </c>
      <c r="E190" s="232"/>
      <c r="F190" s="27"/>
      <c r="G190" s="410">
        <v>13.050239999999988</v>
      </c>
      <c r="H190" s="414"/>
      <c r="I190" s="411">
        <v>75.875651199999993</v>
      </c>
      <c r="J190" s="402">
        <f t="shared" si="71"/>
        <v>397.67589119999997</v>
      </c>
      <c r="L190" s="58">
        <v>11134.09</v>
      </c>
      <c r="M190" s="63">
        <v>5509.58</v>
      </c>
      <c r="N190" s="58">
        <v>69.22</v>
      </c>
      <c r="O190" s="60"/>
      <c r="P190" s="27"/>
      <c r="Q190" s="410">
        <v>212.47247999999945</v>
      </c>
      <c r="R190" s="410">
        <v>167.51741935483872</v>
      </c>
      <c r="S190" s="414"/>
      <c r="T190" s="411">
        <v>213.86564159999986</v>
      </c>
      <c r="U190" s="30">
        <f t="shared" si="70"/>
        <v>663.07554095483806</v>
      </c>
      <c r="V190" s="228"/>
      <c r="W190" s="58">
        <v>2854.89</v>
      </c>
      <c r="X190" s="63"/>
      <c r="Y190" s="58">
        <v>130.87</v>
      </c>
      <c r="Z190" s="60"/>
      <c r="AA190" s="27"/>
      <c r="AB190" s="410">
        <v>22.882109999999955</v>
      </c>
      <c r="AC190" s="414"/>
      <c r="AD190" s="411"/>
      <c r="AE190" s="30">
        <f t="shared" si="72"/>
        <v>153.75210999999996</v>
      </c>
      <c r="AG190" s="58">
        <v>13489.52</v>
      </c>
      <c r="AH190" s="63">
        <v>856</v>
      </c>
      <c r="AI190" s="58"/>
      <c r="AJ190" s="60"/>
      <c r="AK190" s="27"/>
      <c r="AL190" s="79"/>
      <c r="AM190" s="80"/>
      <c r="AN190" s="80"/>
      <c r="AO190" s="30">
        <f t="shared" si="73"/>
        <v>0</v>
      </c>
      <c r="AQ190" s="58">
        <v>5304.27</v>
      </c>
      <c r="AR190" s="58">
        <v>672.79</v>
      </c>
      <c r="AS190" s="58">
        <v>11.79</v>
      </c>
      <c r="AT190" s="233"/>
      <c r="AU190" s="27"/>
      <c r="AV190" s="410">
        <v>122.75301999999962</v>
      </c>
      <c r="AW190" s="414">
        <v>32.633856635714324</v>
      </c>
      <c r="AX190" s="411"/>
      <c r="AY190" s="30">
        <f t="shared" si="74"/>
        <v>167.17687663571394</v>
      </c>
      <c r="BA190" s="58">
        <v>6357.43</v>
      </c>
      <c r="BB190" s="63"/>
      <c r="BC190" s="58"/>
      <c r="BD190" s="60"/>
      <c r="BE190" s="27"/>
      <c r="BF190" s="410">
        <v>233.87108999999808</v>
      </c>
      <c r="BG190" s="414"/>
      <c r="BH190" s="411"/>
      <c r="BI190" s="30">
        <f t="shared" si="75"/>
        <v>233.87108999999808</v>
      </c>
      <c r="BK190" s="58">
        <v>28554.53</v>
      </c>
      <c r="BL190" s="63">
        <v>1284.99</v>
      </c>
      <c r="BM190" s="58">
        <v>705.15</v>
      </c>
      <c r="BN190" s="60"/>
      <c r="BO190" s="27"/>
      <c r="BP190" s="410">
        <v>483.68147999999837</v>
      </c>
      <c r="BQ190" s="410">
        <v>315.16270967741934</v>
      </c>
      <c r="BR190" s="414">
        <v>10.513907142857136</v>
      </c>
      <c r="BS190" s="411"/>
      <c r="BT190" s="30">
        <f t="shared" si="79"/>
        <v>1514.5080968202747</v>
      </c>
      <c r="BV190" s="58">
        <v>4400.8500000000004</v>
      </c>
      <c r="BW190" s="63">
        <v>1074.42</v>
      </c>
      <c r="BX190" s="58">
        <v>2.5499999999999998</v>
      </c>
      <c r="BY190" s="60"/>
      <c r="BZ190" s="27"/>
      <c r="CA190" s="410"/>
      <c r="CB190" s="414"/>
      <c r="CC190" s="411"/>
      <c r="CD190" s="30">
        <f t="shared" si="76"/>
        <v>2.5499999999999998</v>
      </c>
      <c r="CF190" s="58">
        <v>3544.24</v>
      </c>
      <c r="CG190" s="63"/>
      <c r="CH190" s="58">
        <v>1271.47</v>
      </c>
      <c r="CI190" s="60"/>
      <c r="CJ190" s="27"/>
      <c r="CK190" s="410">
        <v>-6.4562000000001518</v>
      </c>
      <c r="CL190" s="414"/>
      <c r="CM190" s="411"/>
      <c r="CN190" s="30">
        <f t="shared" si="77"/>
        <v>1265.0137999999999</v>
      </c>
      <c r="CP190" s="58">
        <v>6410.46</v>
      </c>
      <c r="CQ190" s="234">
        <v>677.89</v>
      </c>
      <c r="CR190" s="235">
        <v>3132.17</v>
      </c>
      <c r="CS190" s="58">
        <v>18.78</v>
      </c>
      <c r="CT190" s="60"/>
      <c r="CU190" s="27"/>
      <c r="CV190" s="410">
        <v>587.25959999999884</v>
      </c>
      <c r="CW190" s="414"/>
      <c r="CX190" s="411"/>
      <c r="CY190" s="229">
        <f t="shared" si="78"/>
        <v>606.03959999999881</v>
      </c>
    </row>
    <row r="191" spans="1:103" s="86" customFormat="1" ht="16.5" thickBot="1" x14ac:dyDescent="0.3">
      <c r="B191" s="236">
        <f>SUM(B160:B190)</f>
        <v>200674.79</v>
      </c>
      <c r="C191" s="236">
        <f>SUM(C160:C190)</f>
        <v>357523.13999999996</v>
      </c>
      <c r="D191" s="237">
        <f>SUM(D160:D190)</f>
        <v>6379.6900000000005</v>
      </c>
      <c r="E191" s="236">
        <f>SUM(E160:E190)</f>
        <v>16.850000000000001</v>
      </c>
      <c r="F191" s="83"/>
      <c r="G191" s="245">
        <f t="shared" ref="G191:J191" si="80">SUM(G160:G190)</f>
        <v>577.53899999999999</v>
      </c>
      <c r="H191" s="194">
        <f t="shared" si="80"/>
        <v>92.503115131999976</v>
      </c>
      <c r="I191" s="194">
        <f t="shared" si="80"/>
        <v>1743.7407804999993</v>
      </c>
      <c r="J191" s="85">
        <f t="shared" si="80"/>
        <v>8793.4728956319996</v>
      </c>
      <c r="L191" s="236">
        <f>SUM(L160:L190)</f>
        <v>448208.00000000006</v>
      </c>
      <c r="M191" s="237">
        <f>SUM(M160:M190)</f>
        <v>298503.40999999997</v>
      </c>
      <c r="N191" s="237">
        <f>SUM(N160:N190)</f>
        <v>978.91</v>
      </c>
      <c r="O191" s="238">
        <f>SUM(O160:O190)</f>
        <v>0</v>
      </c>
      <c r="P191" s="83"/>
      <c r="Q191" s="84">
        <f t="shared" ref="Q191:U191" si="81">SUM(Q160:Q190)</f>
        <v>14966.664859999993</v>
      </c>
      <c r="R191" s="84">
        <f t="shared" si="81"/>
        <v>5193.0400000000027</v>
      </c>
      <c r="S191" s="84">
        <f t="shared" si="81"/>
        <v>408.60834959369555</v>
      </c>
      <c r="T191" s="85">
        <f t="shared" si="81"/>
        <v>9944.234385900003</v>
      </c>
      <c r="U191" s="85">
        <f t="shared" si="81"/>
        <v>31491.457595493681</v>
      </c>
      <c r="W191" s="236">
        <f>SUM(W160:W190)</f>
        <v>122466.93</v>
      </c>
      <c r="X191" s="237">
        <f>SUM(X160:X190)</f>
        <v>0</v>
      </c>
      <c r="Y191" s="237">
        <f>SUM(Y160:Y190)</f>
        <v>4798.2299999999996</v>
      </c>
      <c r="Z191" s="238">
        <f>SUM(Z160:Z190)</f>
        <v>0</v>
      </c>
      <c r="AA191" s="83"/>
      <c r="AB191" s="84">
        <f t="shared" ref="AB191:AE191" si="82">SUM(AB160:AB190)</f>
        <v>2249.3795499999978</v>
      </c>
      <c r="AC191" s="85">
        <f t="shared" si="82"/>
        <v>0</v>
      </c>
      <c r="AD191" s="85">
        <f t="shared" si="82"/>
        <v>0</v>
      </c>
      <c r="AE191" s="85">
        <f t="shared" si="82"/>
        <v>7047.6095499999983</v>
      </c>
      <c r="AG191" s="236">
        <f>SUM(AG160:AG190)</f>
        <v>284853.19999999995</v>
      </c>
      <c r="AH191" s="237">
        <f>SUM(AH160:AH190)</f>
        <v>9997.93</v>
      </c>
      <c r="AI191" s="237">
        <f>SUM(AI160:AI190)</f>
        <v>8029.84</v>
      </c>
      <c r="AJ191" s="238">
        <f>SUM(AJ160:AJ190)</f>
        <v>0</v>
      </c>
      <c r="AK191" s="83"/>
      <c r="AL191" s="84">
        <f t="shared" ref="AL191:AO191" si="83">SUM(AL160:AL190)</f>
        <v>0</v>
      </c>
      <c r="AM191" s="85">
        <f t="shared" si="83"/>
        <v>0</v>
      </c>
      <c r="AN191" s="85">
        <f t="shared" si="83"/>
        <v>0</v>
      </c>
      <c r="AO191" s="85">
        <f t="shared" si="83"/>
        <v>8029.84</v>
      </c>
      <c r="AQ191" s="237">
        <f>SUM(AQ160:AQ190)</f>
        <v>192255.24999999997</v>
      </c>
      <c r="AR191" s="237">
        <f>SUM(AR160:AR190)</f>
        <v>28847.450000000004</v>
      </c>
      <c r="AS191" s="237">
        <f>SUM(AS160:AS190)</f>
        <v>5418.1</v>
      </c>
      <c r="AT191" s="237">
        <f>SUM(AT160:AT190)</f>
        <v>0</v>
      </c>
      <c r="AU191" s="83"/>
      <c r="AV191" s="84">
        <f t="shared" ref="AV191:AY191" si="84">SUM(AV160:AV190)</f>
        <v>4963.4473299999945</v>
      </c>
      <c r="AW191" s="85">
        <f t="shared" si="84"/>
        <v>1464.7066161233333</v>
      </c>
      <c r="AX191" s="85">
        <f t="shared" si="84"/>
        <v>136.16907093999987</v>
      </c>
      <c r="AY191" s="85">
        <f t="shared" si="84"/>
        <v>11982.423017063325</v>
      </c>
      <c r="BA191" s="236">
        <f>SUM(BA160:BA190)</f>
        <v>344139.43199999986</v>
      </c>
      <c r="BB191" s="237">
        <f>SUM(BB160:BB190)</f>
        <v>0</v>
      </c>
      <c r="BC191" s="237">
        <f>SUM(BC160:BC190)</f>
        <v>18673.489999999998</v>
      </c>
      <c r="BD191" s="238">
        <f>SUM(BD160:BD190)</f>
        <v>0</v>
      </c>
      <c r="BE191" s="83"/>
      <c r="BF191" s="84">
        <f t="shared" ref="BF191:BI191" si="85">SUM(BF160:BF190)</f>
        <v>5772.5179899999957</v>
      </c>
      <c r="BG191" s="85">
        <f t="shared" si="85"/>
        <v>0</v>
      </c>
      <c r="BH191" s="85">
        <f t="shared" si="85"/>
        <v>0</v>
      </c>
      <c r="BI191" s="85">
        <f t="shared" si="85"/>
        <v>24446.007989999995</v>
      </c>
      <c r="BK191" s="236">
        <f>SUM(BK160:BK190)</f>
        <v>766446.82000000007</v>
      </c>
      <c r="BL191" s="237">
        <f>SUM(BL160:BL190)</f>
        <v>51274.69</v>
      </c>
      <c r="BM191" s="237">
        <f>SUM(BM160:BM190)</f>
        <v>8704.6500000000015</v>
      </c>
      <c r="BN191" s="238">
        <f>SUM(BN160:BN190)</f>
        <v>0</v>
      </c>
      <c r="BO191" s="83"/>
      <c r="BP191" s="84">
        <f t="shared" ref="BP191:BT191" si="86">SUM(BP160:BP190)</f>
        <v>17561.204669999988</v>
      </c>
      <c r="BQ191" s="84">
        <f t="shared" si="86"/>
        <v>9770.0439999999944</v>
      </c>
      <c r="BR191" s="84">
        <f t="shared" si="86"/>
        <v>1695.3390024201331</v>
      </c>
      <c r="BS191" s="84">
        <f t="shared" si="86"/>
        <v>88.341828300000003</v>
      </c>
      <c r="BT191" s="85">
        <f t="shared" si="86"/>
        <v>37819.579500720123</v>
      </c>
      <c r="BV191" s="236">
        <f>SUM(BV160:BV190)</f>
        <v>131492.84</v>
      </c>
      <c r="BW191" s="237">
        <f>SUM(BW160:BW190)</f>
        <v>27553.68</v>
      </c>
      <c r="BX191" s="237">
        <f>SUM(BX160:BX190)</f>
        <v>114.25999999999999</v>
      </c>
      <c r="BY191" s="238">
        <f>SUM(BY160:BY190)</f>
        <v>0</v>
      </c>
      <c r="BZ191" s="83"/>
      <c r="CA191" s="84">
        <f t="shared" ref="CA191:CD191" si="87">SUM(CA160:CA190)</f>
        <v>0</v>
      </c>
      <c r="CB191" s="85">
        <f t="shared" si="87"/>
        <v>0</v>
      </c>
      <c r="CC191" s="85">
        <f t="shared" si="87"/>
        <v>0</v>
      </c>
      <c r="CD191" s="85">
        <f t="shared" si="87"/>
        <v>114.25999999999999</v>
      </c>
      <c r="CF191" s="236">
        <f>SUM(CF160:CF190)</f>
        <v>115866.44000000002</v>
      </c>
      <c r="CG191" s="237">
        <f>SUM(CG160:CG190)</f>
        <v>0</v>
      </c>
      <c r="CH191" s="237">
        <f>SUM(CH160:CH190)</f>
        <v>7200.0199999999986</v>
      </c>
      <c r="CI191" s="238">
        <f>SUM(CI160:CI190)</f>
        <v>0</v>
      </c>
      <c r="CJ191" s="83"/>
      <c r="CK191" s="84">
        <f t="shared" ref="CK191:CN191" si="88">SUM(CK160:CK190)</f>
        <v>971.60643999999911</v>
      </c>
      <c r="CL191" s="85">
        <f t="shared" si="88"/>
        <v>672.02266055428572</v>
      </c>
      <c r="CM191" s="85">
        <f t="shared" si="88"/>
        <v>0</v>
      </c>
      <c r="CN191" s="85">
        <f t="shared" si="88"/>
        <v>8843.6491005542848</v>
      </c>
      <c r="CP191" s="236">
        <f>SUM(CP160:CP190)</f>
        <v>189461.65999999995</v>
      </c>
      <c r="CQ191" s="237">
        <f>SUM(CQ160:CQ190)</f>
        <v>35605.68</v>
      </c>
      <c r="CR191" s="237">
        <f>SUM(CR160:CR190)</f>
        <v>71755</v>
      </c>
      <c r="CS191" s="237">
        <f>SUM(CS160:CS190)</f>
        <v>261.27999999999997</v>
      </c>
      <c r="CT191" s="238">
        <f>SUM(CT160:CT190)</f>
        <v>0</v>
      </c>
      <c r="CU191" s="83"/>
      <c r="CV191" s="84">
        <f t="shared" ref="CV191:CX191" si="89">SUM(CV160:CV190)</f>
        <v>15217.24245799999</v>
      </c>
      <c r="CW191" s="85">
        <f t="shared" si="89"/>
        <v>1038.254674842856</v>
      </c>
      <c r="CX191" s="85">
        <f t="shared" si="89"/>
        <v>9.5193845999999951</v>
      </c>
      <c r="CY191" s="85">
        <f>SUM(CY160:CY190)</f>
        <v>16526.296517442854</v>
      </c>
    </row>
    <row r="194" spans="1:103" ht="21" x14ac:dyDescent="0.35">
      <c r="B194" s="1" t="s">
        <v>44</v>
      </c>
      <c r="L194" s="1" t="s">
        <v>45</v>
      </c>
      <c r="W194" s="1" t="s">
        <v>46</v>
      </c>
      <c r="AG194" s="1" t="s">
        <v>47</v>
      </c>
      <c r="AQ194" s="1" t="s">
        <v>48</v>
      </c>
      <c r="BA194" s="1" t="s">
        <v>49</v>
      </c>
      <c r="BK194" s="1" t="s">
        <v>50</v>
      </c>
      <c r="BV194" s="1" t="s">
        <v>51</v>
      </c>
      <c r="CF194" s="1" t="s">
        <v>52</v>
      </c>
      <c r="CP194" s="1" t="s">
        <v>53</v>
      </c>
    </row>
    <row r="195" spans="1:103" ht="15.75" thickBot="1" x14ac:dyDescent="0.3"/>
    <row r="196" spans="1:103" s="217" customFormat="1" ht="12.75" x14ac:dyDescent="0.2">
      <c r="A196" s="213" t="s">
        <v>14</v>
      </c>
      <c r="B196" s="132" t="s">
        <v>15</v>
      </c>
      <c r="C196" s="210" t="s">
        <v>15</v>
      </c>
      <c r="D196" s="214" t="s">
        <v>16</v>
      </c>
      <c r="E196" s="215" t="s">
        <v>16</v>
      </c>
      <c r="F196" s="6"/>
      <c r="G196" s="7" t="s">
        <v>16</v>
      </c>
      <c r="H196" s="8" t="s">
        <v>16</v>
      </c>
      <c r="I196" s="9" t="s">
        <v>16</v>
      </c>
      <c r="J196" s="216" t="s">
        <v>54</v>
      </c>
      <c r="L196" s="132" t="s">
        <v>15</v>
      </c>
      <c r="M196" s="210" t="s">
        <v>15</v>
      </c>
      <c r="N196" s="214" t="s">
        <v>16</v>
      </c>
      <c r="O196" s="215" t="s">
        <v>16</v>
      </c>
      <c r="P196" s="6"/>
      <c r="Q196" s="7" t="s">
        <v>16</v>
      </c>
      <c r="R196" s="7"/>
      <c r="S196" s="8" t="s">
        <v>16</v>
      </c>
      <c r="T196" s="9" t="s">
        <v>16</v>
      </c>
      <c r="U196" s="216" t="s">
        <v>54</v>
      </c>
      <c r="W196" s="132" t="s">
        <v>15</v>
      </c>
      <c r="X196" s="210" t="s">
        <v>15</v>
      </c>
      <c r="Y196" s="214" t="s">
        <v>16</v>
      </c>
      <c r="Z196" s="215" t="s">
        <v>16</v>
      </c>
      <c r="AA196" s="6"/>
      <c r="AB196" s="7" t="s">
        <v>16</v>
      </c>
      <c r="AC196" s="8" t="s">
        <v>16</v>
      </c>
      <c r="AD196" s="9" t="s">
        <v>16</v>
      </c>
      <c r="AE196" s="216" t="s">
        <v>54</v>
      </c>
      <c r="AG196" s="132" t="s">
        <v>15</v>
      </c>
      <c r="AH196" s="210" t="s">
        <v>15</v>
      </c>
      <c r="AI196" s="214" t="s">
        <v>16</v>
      </c>
      <c r="AJ196" s="215" t="s">
        <v>16</v>
      </c>
      <c r="AK196" s="6"/>
      <c r="AL196" s="7" t="s">
        <v>16</v>
      </c>
      <c r="AM196" s="8" t="s">
        <v>16</v>
      </c>
      <c r="AN196" s="9" t="s">
        <v>16</v>
      </c>
      <c r="AO196" s="216" t="s">
        <v>54</v>
      </c>
      <c r="AQ196" s="132" t="s">
        <v>15</v>
      </c>
      <c r="AR196" s="210" t="s">
        <v>15</v>
      </c>
      <c r="AS196" s="214" t="s">
        <v>16</v>
      </c>
      <c r="AT196" s="215" t="s">
        <v>16</v>
      </c>
      <c r="AU196" s="6"/>
      <c r="AV196" s="7" t="s">
        <v>16</v>
      </c>
      <c r="AW196" s="8" t="s">
        <v>16</v>
      </c>
      <c r="AX196" s="9" t="s">
        <v>16</v>
      </c>
      <c r="AY196" s="216" t="s">
        <v>54</v>
      </c>
      <c r="BA196" s="132" t="s">
        <v>15</v>
      </c>
      <c r="BB196" s="210" t="s">
        <v>15</v>
      </c>
      <c r="BC196" s="214" t="s">
        <v>16</v>
      </c>
      <c r="BD196" s="215" t="s">
        <v>16</v>
      </c>
      <c r="BE196" s="6"/>
      <c r="BF196" s="7" t="s">
        <v>16</v>
      </c>
      <c r="BG196" s="8" t="s">
        <v>16</v>
      </c>
      <c r="BH196" s="9" t="s">
        <v>16</v>
      </c>
      <c r="BI196" s="216" t="s">
        <v>54</v>
      </c>
      <c r="BK196" s="132" t="s">
        <v>15</v>
      </c>
      <c r="BL196" s="210" t="s">
        <v>15</v>
      </c>
      <c r="BM196" s="5" t="s">
        <v>16</v>
      </c>
      <c r="BN196" s="215" t="s">
        <v>16</v>
      </c>
      <c r="BO196" s="6"/>
      <c r="BP196" s="7" t="s">
        <v>16</v>
      </c>
      <c r="BQ196" s="7" t="s">
        <v>83</v>
      </c>
      <c r="BR196" s="8" t="s">
        <v>16</v>
      </c>
      <c r="BS196" s="9" t="s">
        <v>16</v>
      </c>
      <c r="BT196" s="216" t="s">
        <v>54</v>
      </c>
      <c r="BV196" s="132" t="s">
        <v>15</v>
      </c>
      <c r="BW196" s="210" t="s">
        <v>15</v>
      </c>
      <c r="BX196" s="214" t="s">
        <v>16</v>
      </c>
      <c r="BY196" s="215" t="s">
        <v>16</v>
      </c>
      <c r="BZ196" s="6"/>
      <c r="CA196" s="7" t="s">
        <v>16</v>
      </c>
      <c r="CB196" s="8" t="s">
        <v>16</v>
      </c>
      <c r="CC196" s="9" t="s">
        <v>16</v>
      </c>
      <c r="CD196" s="216" t="s">
        <v>54</v>
      </c>
      <c r="CF196" s="132" t="s">
        <v>15</v>
      </c>
      <c r="CG196" s="210" t="s">
        <v>15</v>
      </c>
      <c r="CH196" s="214" t="s">
        <v>16</v>
      </c>
      <c r="CI196" s="215" t="s">
        <v>16</v>
      </c>
      <c r="CJ196" s="6"/>
      <c r="CK196" s="7" t="s">
        <v>16</v>
      </c>
      <c r="CL196" s="8" t="s">
        <v>16</v>
      </c>
      <c r="CM196" s="9" t="s">
        <v>16</v>
      </c>
      <c r="CN196" s="216" t="s">
        <v>54</v>
      </c>
      <c r="CP196" s="132" t="s">
        <v>15</v>
      </c>
      <c r="CQ196" s="210" t="s">
        <v>15</v>
      </c>
      <c r="CR196" s="210" t="s">
        <v>15</v>
      </c>
      <c r="CS196" s="214" t="s">
        <v>16</v>
      </c>
      <c r="CT196" s="215" t="s">
        <v>16</v>
      </c>
      <c r="CU196" s="6"/>
      <c r="CV196" s="7" t="s">
        <v>16</v>
      </c>
      <c r="CW196" s="8" t="s">
        <v>16</v>
      </c>
      <c r="CX196" s="9" t="s">
        <v>16</v>
      </c>
      <c r="CY196" s="218" t="s">
        <v>54</v>
      </c>
    </row>
    <row r="197" spans="1:103" s="217" customFormat="1" ht="13.5" thickBot="1" x14ac:dyDescent="0.25">
      <c r="A197" s="219"/>
      <c r="B197" s="220" t="s">
        <v>18</v>
      </c>
      <c r="C197" s="221" t="s">
        <v>19</v>
      </c>
      <c r="D197" s="222" t="s">
        <v>25</v>
      </c>
      <c r="E197" s="223" t="s">
        <v>19</v>
      </c>
      <c r="F197" s="6"/>
      <c r="G197" s="403" t="s">
        <v>21</v>
      </c>
      <c r="H197" s="404" t="s">
        <v>22</v>
      </c>
      <c r="I197" s="405" t="s">
        <v>23</v>
      </c>
      <c r="J197" s="19" t="s">
        <v>55</v>
      </c>
      <c r="L197" s="220" t="s">
        <v>18</v>
      </c>
      <c r="M197" s="221" t="s">
        <v>19</v>
      </c>
      <c r="N197" s="222" t="s">
        <v>25</v>
      </c>
      <c r="O197" s="223" t="s">
        <v>19</v>
      </c>
      <c r="P197" s="6"/>
      <c r="Q197" s="16" t="s">
        <v>21</v>
      </c>
      <c r="R197" s="16"/>
      <c r="S197" s="17" t="s">
        <v>22</v>
      </c>
      <c r="T197" s="18" t="s">
        <v>23</v>
      </c>
      <c r="U197" s="19" t="s">
        <v>55</v>
      </c>
      <c r="W197" s="220" t="s">
        <v>18</v>
      </c>
      <c r="X197" s="221" t="s">
        <v>19</v>
      </c>
      <c r="Y197" s="222" t="s">
        <v>19</v>
      </c>
      <c r="Z197" s="223" t="s">
        <v>25</v>
      </c>
      <c r="AA197" s="6"/>
      <c r="AB197" s="16" t="s">
        <v>21</v>
      </c>
      <c r="AC197" s="17" t="s">
        <v>22</v>
      </c>
      <c r="AD197" s="18" t="s">
        <v>23</v>
      </c>
      <c r="AE197" s="19" t="s">
        <v>55</v>
      </c>
      <c r="AG197" s="220" t="s">
        <v>18</v>
      </c>
      <c r="AH197" s="221" t="s">
        <v>19</v>
      </c>
      <c r="AI197" s="222" t="s">
        <v>25</v>
      </c>
      <c r="AJ197" s="223" t="s">
        <v>19</v>
      </c>
      <c r="AK197" s="6"/>
      <c r="AL197" s="16" t="s">
        <v>21</v>
      </c>
      <c r="AM197" s="17" t="s">
        <v>22</v>
      </c>
      <c r="AN197" s="18" t="s">
        <v>23</v>
      </c>
      <c r="AO197" s="19" t="s">
        <v>55</v>
      </c>
      <c r="AQ197" s="220" t="s">
        <v>18</v>
      </c>
      <c r="AR197" s="221" t="s">
        <v>19</v>
      </c>
      <c r="AS197" s="222" t="s">
        <v>25</v>
      </c>
      <c r="AT197" s="223" t="s">
        <v>19</v>
      </c>
      <c r="AU197" s="6"/>
      <c r="AV197" s="16" t="s">
        <v>21</v>
      </c>
      <c r="AW197" s="17" t="s">
        <v>22</v>
      </c>
      <c r="AX197" s="18" t="s">
        <v>23</v>
      </c>
      <c r="AY197" s="19" t="s">
        <v>55</v>
      </c>
      <c r="BA197" s="220" t="s">
        <v>18</v>
      </c>
      <c r="BB197" s="221" t="s">
        <v>19</v>
      </c>
      <c r="BC197" s="222" t="s">
        <v>25</v>
      </c>
      <c r="BD197" s="223" t="s">
        <v>19</v>
      </c>
      <c r="BE197" s="6"/>
      <c r="BF197" s="16" t="s">
        <v>21</v>
      </c>
      <c r="BG197" s="17" t="s">
        <v>22</v>
      </c>
      <c r="BH197" s="18" t="s">
        <v>23</v>
      </c>
      <c r="BI197" s="19" t="s">
        <v>55</v>
      </c>
      <c r="BK197" s="220" t="s">
        <v>18</v>
      </c>
      <c r="BL197" s="221" t="s">
        <v>19</v>
      </c>
      <c r="BM197" s="222" t="s">
        <v>25</v>
      </c>
      <c r="BN197" s="223" t="s">
        <v>19</v>
      </c>
      <c r="BO197" s="6"/>
      <c r="BP197" s="16" t="s">
        <v>21</v>
      </c>
      <c r="BQ197" s="16" t="s">
        <v>21</v>
      </c>
      <c r="BR197" s="17" t="s">
        <v>22</v>
      </c>
      <c r="BS197" s="18" t="s">
        <v>23</v>
      </c>
      <c r="BT197" s="19" t="s">
        <v>55</v>
      </c>
      <c r="BV197" s="220" t="s">
        <v>18</v>
      </c>
      <c r="BW197" s="221" t="s">
        <v>19</v>
      </c>
      <c r="BX197" s="222" t="s">
        <v>25</v>
      </c>
      <c r="BY197" s="223" t="s">
        <v>19</v>
      </c>
      <c r="BZ197" s="6"/>
      <c r="CA197" s="16" t="s">
        <v>21</v>
      </c>
      <c r="CB197" s="17" t="s">
        <v>22</v>
      </c>
      <c r="CC197" s="18" t="s">
        <v>23</v>
      </c>
      <c r="CD197" s="19" t="s">
        <v>55</v>
      </c>
      <c r="CF197" s="220" t="s">
        <v>18</v>
      </c>
      <c r="CG197" s="221" t="s">
        <v>19</v>
      </c>
      <c r="CH197" s="222" t="s">
        <v>25</v>
      </c>
      <c r="CI197" s="223" t="s">
        <v>19</v>
      </c>
      <c r="CJ197" s="6"/>
      <c r="CK197" s="16" t="s">
        <v>21</v>
      </c>
      <c r="CL197" s="17" t="s">
        <v>22</v>
      </c>
      <c r="CM197" s="18" t="s">
        <v>23</v>
      </c>
      <c r="CN197" s="19" t="s">
        <v>55</v>
      </c>
      <c r="CP197" s="220" t="s">
        <v>18</v>
      </c>
      <c r="CQ197" s="221" t="s">
        <v>19</v>
      </c>
      <c r="CR197" s="221" t="s">
        <v>20</v>
      </c>
      <c r="CS197" s="222" t="s">
        <v>25</v>
      </c>
      <c r="CT197" s="223" t="s">
        <v>19</v>
      </c>
      <c r="CU197" s="6"/>
      <c r="CV197" s="16" t="s">
        <v>21</v>
      </c>
      <c r="CW197" s="17" t="s">
        <v>22</v>
      </c>
      <c r="CX197" s="18" t="s">
        <v>23</v>
      </c>
      <c r="CY197" s="224" t="s">
        <v>55</v>
      </c>
    </row>
    <row r="198" spans="1:103" s="217" customFormat="1" ht="15.75" thickBot="1" x14ac:dyDescent="0.3">
      <c r="A198" s="22">
        <v>46113</v>
      </c>
      <c r="B198" s="225">
        <v>10732.01</v>
      </c>
      <c r="C198" s="226">
        <v>7397.19</v>
      </c>
      <c r="D198" s="225">
        <v>225.21</v>
      </c>
      <c r="E198" s="227"/>
      <c r="F198" s="27"/>
      <c r="G198" s="415">
        <v>69.016639999999967</v>
      </c>
      <c r="H198" s="239"/>
      <c r="I198" s="417"/>
      <c r="J198" s="402">
        <f>SUM(G198:I198,+D198)</f>
        <v>294.22663999999997</v>
      </c>
      <c r="L198" s="36">
        <v>25716.35</v>
      </c>
      <c r="M198" s="43">
        <v>6077.3</v>
      </c>
      <c r="N198" s="36">
        <v>26.31</v>
      </c>
      <c r="O198" s="38"/>
      <c r="P198" s="27"/>
      <c r="Q198" s="415">
        <v>195.44485999999955</v>
      </c>
      <c r="R198" s="415">
        <v>134.84800000000001</v>
      </c>
      <c r="S198" s="239"/>
      <c r="T198" s="417">
        <v>327.34424799999965</v>
      </c>
      <c r="U198" s="30">
        <f t="shared" ref="U198:U227" si="90">SUM(Q198:T198,+N198)</f>
        <v>683.94710799999916</v>
      </c>
      <c r="V198" s="228"/>
      <c r="W198" s="36">
        <v>2578.0100000000002</v>
      </c>
      <c r="X198" s="43"/>
      <c r="Y198" s="36"/>
      <c r="Z198" s="38"/>
      <c r="AA198" s="27"/>
      <c r="AB198" s="415">
        <v>17.2073099999999</v>
      </c>
      <c r="AC198" s="239"/>
      <c r="AD198" s="417"/>
      <c r="AE198" s="30">
        <f>SUM(AB198:AD198,+Y198)</f>
        <v>17.2073099999999</v>
      </c>
      <c r="AG198" s="36">
        <v>8945.130000000001</v>
      </c>
      <c r="AH198" s="43">
        <v>379.49</v>
      </c>
      <c r="AI198" s="36"/>
      <c r="AJ198" s="38"/>
      <c r="AK198" s="27"/>
      <c r="AL198" s="28"/>
      <c r="AM198" s="29"/>
      <c r="AN198" s="29"/>
      <c r="AO198" s="30">
        <f>SUM(AL198:AN198,+AI198)</f>
        <v>0</v>
      </c>
      <c r="AQ198" s="36">
        <v>5881.1</v>
      </c>
      <c r="AR198" s="36">
        <v>924.08</v>
      </c>
      <c r="AS198" s="36">
        <v>139.63999999999999</v>
      </c>
      <c r="AT198" s="41"/>
      <c r="AU198" s="27"/>
      <c r="AV198" s="415">
        <v>98.90618999999981</v>
      </c>
      <c r="AW198" s="239">
        <v>49.399993685714293</v>
      </c>
      <c r="AX198" s="417"/>
      <c r="AY198" s="30">
        <f>SUM(AV198:AX198,+AS198)</f>
        <v>287.94618368571412</v>
      </c>
      <c r="BA198" s="36">
        <v>12053.54</v>
      </c>
      <c r="BB198" s="43"/>
      <c r="BC198" s="36">
        <v>675</v>
      </c>
      <c r="BD198" s="38"/>
      <c r="BE198" s="27"/>
      <c r="BF198" s="415">
        <v>91.814929999999094</v>
      </c>
      <c r="BG198" s="239"/>
      <c r="BH198" s="417"/>
      <c r="BI198" s="30">
        <f>SUM(BF198:BH198,+BC198)</f>
        <v>766.81492999999909</v>
      </c>
      <c r="BK198" s="36">
        <v>43280.15</v>
      </c>
      <c r="BL198" s="43">
        <v>2323.88</v>
      </c>
      <c r="BM198" s="36">
        <v>621.71</v>
      </c>
      <c r="BN198" s="38"/>
      <c r="BO198" s="27"/>
      <c r="BP198" s="415">
        <v>526.90017999999839</v>
      </c>
      <c r="BQ198" s="415">
        <v>222.83513333333335</v>
      </c>
      <c r="BR198" s="239">
        <v>54.602279659999923</v>
      </c>
      <c r="BS198" s="417"/>
      <c r="BT198" s="30">
        <f>SUM(BP198:BS198,+BM198)</f>
        <v>1426.0475929933318</v>
      </c>
      <c r="BV198" s="36">
        <v>5864.77</v>
      </c>
      <c r="BW198" s="43">
        <v>1203.49</v>
      </c>
      <c r="BX198" s="36">
        <v>2.66</v>
      </c>
      <c r="BY198" s="38"/>
      <c r="BZ198" s="27"/>
      <c r="CA198" s="415"/>
      <c r="CB198" s="239"/>
      <c r="CC198" s="417"/>
      <c r="CD198" s="30">
        <f>SUM(CA198:CC198,+BX198)</f>
        <v>2.66</v>
      </c>
      <c r="CF198" s="36">
        <v>6324</v>
      </c>
      <c r="CG198" s="43"/>
      <c r="CH198" s="36">
        <v>1535.61</v>
      </c>
      <c r="CI198" s="38"/>
      <c r="CJ198" s="27"/>
      <c r="CK198" s="415">
        <v>18.24921999999998</v>
      </c>
      <c r="CL198" s="239"/>
      <c r="CM198" s="417"/>
      <c r="CN198" s="30">
        <f>SUM(CK198:CM198,+CH198)</f>
        <v>1553.8592199999998</v>
      </c>
      <c r="CP198" s="36">
        <v>7835.85</v>
      </c>
      <c r="CQ198" s="36">
        <v>1537.9</v>
      </c>
      <c r="CR198" s="43">
        <v>5529.0400000000009</v>
      </c>
      <c r="CS198" s="36">
        <v>46.65</v>
      </c>
      <c r="CT198" s="38"/>
      <c r="CU198" s="27"/>
      <c r="CV198" s="415">
        <v>363.27581999999916</v>
      </c>
      <c r="CW198" s="239"/>
      <c r="CX198" s="417">
        <v>3.6648170999999792</v>
      </c>
      <c r="CY198" s="229">
        <f>SUM(CV198:CX198,+CS198)</f>
        <v>413.59063709999913</v>
      </c>
    </row>
    <row r="199" spans="1:103" s="217" customFormat="1" ht="15.75" thickBot="1" x14ac:dyDescent="0.3">
      <c r="A199" s="47">
        <v>46114</v>
      </c>
      <c r="B199" s="230">
        <v>2271.19</v>
      </c>
      <c r="C199" s="231">
        <v>3486.55</v>
      </c>
      <c r="D199" s="230">
        <v>148.63999999999999</v>
      </c>
      <c r="E199" s="232"/>
      <c r="F199" s="27"/>
      <c r="G199" s="416">
        <v>8.9599999999999937</v>
      </c>
      <c r="H199" s="240"/>
      <c r="I199" s="418">
        <v>9.6188399999998637</v>
      </c>
      <c r="J199" s="402">
        <f t="shared" ref="J199:J227" si="91">SUM(G199:I199,+D199)</f>
        <v>167.21883999999983</v>
      </c>
      <c r="L199" s="58">
        <v>10845.83</v>
      </c>
      <c r="M199" s="63">
        <v>4714.5600000000004</v>
      </c>
      <c r="N199" s="58">
        <v>23.47</v>
      </c>
      <c r="O199" s="60"/>
      <c r="P199" s="27"/>
      <c r="Q199" s="416">
        <v>367.05467999999968</v>
      </c>
      <c r="R199" s="416">
        <v>134.84800000000001</v>
      </c>
      <c r="S199" s="240"/>
      <c r="T199" s="418"/>
      <c r="U199" s="30">
        <f t="shared" si="90"/>
        <v>525.37267999999972</v>
      </c>
      <c r="V199" s="228"/>
      <c r="W199" s="58">
        <v>7072.26</v>
      </c>
      <c r="X199" s="63"/>
      <c r="Y199" s="58">
        <v>35.31</v>
      </c>
      <c r="Z199" s="60"/>
      <c r="AA199" s="27"/>
      <c r="AB199" s="416"/>
      <c r="AC199" s="240"/>
      <c r="AD199" s="418"/>
      <c r="AE199" s="30">
        <f t="shared" ref="AE199:AE227" si="92">SUM(AB199:AD199,+Y199)</f>
        <v>35.31</v>
      </c>
      <c r="AG199" s="58">
        <v>6414.73</v>
      </c>
      <c r="AH199" s="63">
        <v>1109.81</v>
      </c>
      <c r="AI199" s="58"/>
      <c r="AJ199" s="60"/>
      <c r="AK199" s="27"/>
      <c r="AL199" s="51"/>
      <c r="AM199" s="52"/>
      <c r="AN199" s="52"/>
      <c r="AO199" s="30">
        <f t="shared" ref="AO199:AO227" si="93">SUM(AL199:AN199,+AI199)</f>
        <v>0</v>
      </c>
      <c r="AQ199" s="58">
        <v>6480.81</v>
      </c>
      <c r="AR199" s="58">
        <v>744.23</v>
      </c>
      <c r="AS199" s="58">
        <v>42.61</v>
      </c>
      <c r="AT199" s="62"/>
      <c r="AU199" s="27"/>
      <c r="AV199" s="416">
        <v>35.805959999999885</v>
      </c>
      <c r="AW199" s="240">
        <v>89.443478892857115</v>
      </c>
      <c r="AX199" s="418"/>
      <c r="AY199" s="30">
        <f t="shared" ref="AY199:AY227" si="94">SUM(AV199:AX199,+AS199)</f>
        <v>167.85943889285699</v>
      </c>
      <c r="BA199" s="58">
        <v>6370.1</v>
      </c>
      <c r="BB199" s="63"/>
      <c r="BC199" s="58">
        <v>43.88</v>
      </c>
      <c r="BD199" s="60"/>
      <c r="BE199" s="27"/>
      <c r="BF199" s="416">
        <v>39.102619999999746</v>
      </c>
      <c r="BG199" s="240"/>
      <c r="BH199" s="418"/>
      <c r="BI199" s="30">
        <f t="shared" ref="BI199:BI227" si="95">SUM(BF199:BH199,+BC199)</f>
        <v>82.982619999999741</v>
      </c>
      <c r="BK199" s="58">
        <v>47828.5</v>
      </c>
      <c r="BL199" s="63">
        <v>3156.54</v>
      </c>
      <c r="BM199" s="58">
        <v>235.93</v>
      </c>
      <c r="BN199" s="60"/>
      <c r="BO199" s="27"/>
      <c r="BP199" s="416">
        <v>626.97137999999973</v>
      </c>
      <c r="BQ199" s="416">
        <v>222.83513333333335</v>
      </c>
      <c r="BR199" s="240"/>
      <c r="BS199" s="418"/>
      <c r="BT199" s="30">
        <f>SUM(BP199:BS199,+BM199)</f>
        <v>1085.7365133333331</v>
      </c>
      <c r="BV199" s="58">
        <v>4583.16</v>
      </c>
      <c r="BW199" s="63">
        <v>1267.45</v>
      </c>
      <c r="BX199" s="58"/>
      <c r="BY199" s="60"/>
      <c r="BZ199" s="27"/>
      <c r="CA199" s="416"/>
      <c r="CB199" s="240"/>
      <c r="CC199" s="418"/>
      <c r="CD199" s="30">
        <f t="shared" ref="CD199:CD227" si="96">SUM(CA199:CC199,+BX199)</f>
        <v>0</v>
      </c>
      <c r="CF199" s="58">
        <v>3205.32</v>
      </c>
      <c r="CG199" s="63"/>
      <c r="CH199" s="58">
        <v>193.82</v>
      </c>
      <c r="CI199" s="60"/>
      <c r="CJ199" s="27"/>
      <c r="CK199" s="416"/>
      <c r="CL199" s="240">
        <v>66.675468750000277</v>
      </c>
      <c r="CM199" s="418"/>
      <c r="CN199" s="30">
        <f t="shared" ref="CN199:CN227" si="97">SUM(CK199:CM199,+CH199)</f>
        <v>260.49546875000027</v>
      </c>
      <c r="CP199" s="58">
        <v>14014.59</v>
      </c>
      <c r="CQ199" s="58">
        <v>4316.76</v>
      </c>
      <c r="CR199" s="63">
        <v>9759.7099999999991</v>
      </c>
      <c r="CS199" s="58">
        <v>14.3</v>
      </c>
      <c r="CT199" s="60"/>
      <c r="CU199" s="27"/>
      <c r="CV199" s="416">
        <v>368.07999999999947</v>
      </c>
      <c r="CW199" s="240">
        <v>9.445006114285718</v>
      </c>
      <c r="CX199" s="418"/>
      <c r="CY199" s="229">
        <f t="shared" ref="CY199:CY227" si="98">SUM(CV199:CX199,+CS199)</f>
        <v>391.8250061142852</v>
      </c>
    </row>
    <row r="200" spans="1:103" s="217" customFormat="1" ht="15.75" thickBot="1" x14ac:dyDescent="0.3">
      <c r="A200" s="47">
        <v>46115</v>
      </c>
      <c r="B200" s="230">
        <v>1817.8</v>
      </c>
      <c r="C200" s="231">
        <v>3782.37</v>
      </c>
      <c r="D200" s="230">
        <v>290.92</v>
      </c>
      <c r="E200" s="232"/>
      <c r="F200" s="27"/>
      <c r="G200" s="416">
        <v>0.34831999999999397</v>
      </c>
      <c r="H200" s="240"/>
      <c r="I200" s="418"/>
      <c r="J200" s="402">
        <f t="shared" si="91"/>
        <v>291.26832000000002</v>
      </c>
      <c r="L200" s="58">
        <v>7274.46</v>
      </c>
      <c r="M200" s="63">
        <v>4022.2</v>
      </c>
      <c r="N200" s="58">
        <v>7.79</v>
      </c>
      <c r="O200" s="60"/>
      <c r="P200" s="27"/>
      <c r="Q200" s="416">
        <v>64.470199999999934</v>
      </c>
      <c r="R200" s="416">
        <v>134.84800000000001</v>
      </c>
      <c r="S200" s="240"/>
      <c r="T200" s="418">
        <v>59.490748799999977</v>
      </c>
      <c r="U200" s="30">
        <f t="shared" si="90"/>
        <v>266.59894879999996</v>
      </c>
      <c r="V200" s="228"/>
      <c r="W200" s="58">
        <v>2520.0700000000002</v>
      </c>
      <c r="X200" s="63"/>
      <c r="Y200" s="58"/>
      <c r="Z200" s="60"/>
      <c r="AA200" s="27"/>
      <c r="AB200" s="416"/>
      <c r="AC200" s="240"/>
      <c r="AD200" s="418"/>
      <c r="AE200" s="30">
        <f t="shared" si="92"/>
        <v>0</v>
      </c>
      <c r="AG200" s="58">
        <v>9850.48</v>
      </c>
      <c r="AH200" s="63">
        <v>69.989999999999995</v>
      </c>
      <c r="AI200" s="58"/>
      <c r="AJ200" s="60"/>
      <c r="AK200" s="27"/>
      <c r="AL200" s="51"/>
      <c r="AM200" s="52"/>
      <c r="AN200" s="52"/>
      <c r="AO200" s="30">
        <f t="shared" si="93"/>
        <v>0</v>
      </c>
      <c r="AQ200" s="58">
        <v>5160.83</v>
      </c>
      <c r="AR200" s="58">
        <v>920.3</v>
      </c>
      <c r="AS200" s="58">
        <v>3.24</v>
      </c>
      <c r="AT200" s="62"/>
      <c r="AU200" s="27"/>
      <c r="AV200" s="416">
        <v>7.7574199999999962</v>
      </c>
      <c r="AW200" s="240"/>
      <c r="AX200" s="418">
        <v>24.323691699999983</v>
      </c>
      <c r="AY200" s="30">
        <f t="shared" si="94"/>
        <v>35.321111699999982</v>
      </c>
      <c r="BA200" s="58">
        <v>4252.16</v>
      </c>
      <c r="BB200" s="63"/>
      <c r="BC200" s="58"/>
      <c r="BD200" s="60"/>
      <c r="BE200" s="27"/>
      <c r="BF200" s="416">
        <v>7.2273399999999697</v>
      </c>
      <c r="BG200" s="240"/>
      <c r="BH200" s="418"/>
      <c r="BI200" s="30">
        <f t="shared" si="95"/>
        <v>7.2273399999999697</v>
      </c>
      <c r="BK200" s="58">
        <v>23993.74</v>
      </c>
      <c r="BL200" s="63">
        <v>1536.74</v>
      </c>
      <c r="BM200" s="58">
        <v>44</v>
      </c>
      <c r="BN200" s="60"/>
      <c r="BO200" s="27"/>
      <c r="BP200" s="416">
        <v>42.109759999999966</v>
      </c>
      <c r="BQ200" s="416">
        <v>222.83513333333335</v>
      </c>
      <c r="BR200" s="240">
        <v>151.45586242114337</v>
      </c>
      <c r="BS200" s="418"/>
      <c r="BT200" s="30">
        <f t="shared" ref="BT200:BT227" si="99">SUM(BP200:BS200,+BM200)</f>
        <v>460.40075575447668</v>
      </c>
      <c r="BV200" s="58">
        <v>3259.11</v>
      </c>
      <c r="BW200" s="63">
        <v>757.29</v>
      </c>
      <c r="BX200" s="58"/>
      <c r="BY200" s="60"/>
      <c r="BZ200" s="27"/>
      <c r="CA200" s="416"/>
      <c r="CB200" s="240"/>
      <c r="CC200" s="418"/>
      <c r="CD200" s="30">
        <f t="shared" si="96"/>
        <v>0</v>
      </c>
      <c r="CF200" s="58">
        <v>3504.79</v>
      </c>
      <c r="CG200" s="63"/>
      <c r="CH200" s="58">
        <v>144.57</v>
      </c>
      <c r="CI200" s="60"/>
      <c r="CJ200" s="27"/>
      <c r="CK200" s="416"/>
      <c r="CL200" s="240"/>
      <c r="CM200" s="418"/>
      <c r="CN200" s="30">
        <f t="shared" si="97"/>
        <v>144.57</v>
      </c>
      <c r="CP200" s="58">
        <v>7594.38</v>
      </c>
      <c r="CQ200" s="58">
        <v>1469.91</v>
      </c>
      <c r="CR200" s="63">
        <v>7165.02</v>
      </c>
      <c r="CS200" s="58">
        <v>26.57</v>
      </c>
      <c r="CT200" s="60"/>
      <c r="CU200" s="27"/>
      <c r="CV200" s="416"/>
      <c r="CW200" s="240">
        <v>12.422796428571417</v>
      </c>
      <c r="CX200" s="418"/>
      <c r="CY200" s="229">
        <f t="shared" si="98"/>
        <v>38.992796428571417</v>
      </c>
    </row>
    <row r="201" spans="1:103" s="217" customFormat="1" ht="15.75" thickBot="1" x14ac:dyDescent="0.3">
      <c r="A201" s="47">
        <v>46116</v>
      </c>
      <c r="B201" s="230">
        <v>6380.62</v>
      </c>
      <c r="C201" s="231">
        <v>4555.32</v>
      </c>
      <c r="D201" s="230"/>
      <c r="E201" s="232"/>
      <c r="F201" s="27"/>
      <c r="G201" s="416">
        <v>25.079039999999992</v>
      </c>
      <c r="H201" s="240"/>
      <c r="I201" s="418"/>
      <c r="J201" s="402">
        <f t="shared" si="91"/>
        <v>25.079039999999992</v>
      </c>
      <c r="L201" s="58">
        <v>7595.71</v>
      </c>
      <c r="M201" s="63">
        <v>2691.7</v>
      </c>
      <c r="N201" s="58">
        <v>37.86</v>
      </c>
      <c r="O201" s="60"/>
      <c r="P201" s="27"/>
      <c r="Q201" s="416">
        <v>106.46071999999975</v>
      </c>
      <c r="R201" s="416">
        <v>134.84800000000001</v>
      </c>
      <c r="S201" s="240"/>
      <c r="T201" s="418"/>
      <c r="U201" s="30">
        <f t="shared" si="90"/>
        <v>279.16871999999978</v>
      </c>
      <c r="V201" s="228"/>
      <c r="W201" s="58">
        <v>6305.93</v>
      </c>
      <c r="X201" s="63"/>
      <c r="Y201" s="58">
        <v>2.0099999999999998</v>
      </c>
      <c r="Z201" s="60"/>
      <c r="AA201" s="27"/>
      <c r="AB201" s="416">
        <v>9.3742399999999293</v>
      </c>
      <c r="AC201" s="240"/>
      <c r="AD201" s="418"/>
      <c r="AE201" s="30">
        <f t="shared" si="92"/>
        <v>11.384239999999929</v>
      </c>
      <c r="AG201" s="58">
        <v>9733.44</v>
      </c>
      <c r="AH201" s="63">
        <v>955.14</v>
      </c>
      <c r="AI201" s="58">
        <v>9.27</v>
      </c>
      <c r="AJ201" s="60"/>
      <c r="AK201" s="27"/>
      <c r="AL201" s="51"/>
      <c r="AM201" s="52"/>
      <c r="AN201" s="52"/>
      <c r="AO201" s="30">
        <f t="shared" si="93"/>
        <v>9.27</v>
      </c>
      <c r="AQ201" s="58">
        <v>5243.39</v>
      </c>
      <c r="AR201" s="58">
        <v>1406.97</v>
      </c>
      <c r="AS201" s="58">
        <v>4.96</v>
      </c>
      <c r="AT201" s="62"/>
      <c r="AU201" s="27"/>
      <c r="AV201" s="416">
        <v>62.491879999999895</v>
      </c>
      <c r="AW201" s="240">
        <v>62.846617135714268</v>
      </c>
      <c r="AX201" s="418"/>
      <c r="AY201" s="30">
        <f t="shared" si="94"/>
        <v>130.29849713571417</v>
      </c>
      <c r="BA201" s="58">
        <v>3182.27</v>
      </c>
      <c r="BB201" s="63"/>
      <c r="BC201" s="58"/>
      <c r="BD201" s="60"/>
      <c r="BE201" s="27"/>
      <c r="BF201" s="416">
        <v>17.700379999999882</v>
      </c>
      <c r="BG201" s="240"/>
      <c r="BH201" s="418"/>
      <c r="BI201" s="30">
        <f t="shared" si="95"/>
        <v>17.700379999999882</v>
      </c>
      <c r="BK201" s="58">
        <v>23844.14</v>
      </c>
      <c r="BL201" s="63">
        <v>1864.35</v>
      </c>
      <c r="BM201" s="58">
        <v>73.37</v>
      </c>
      <c r="BN201" s="60"/>
      <c r="BO201" s="27"/>
      <c r="BP201" s="416">
        <v>554.74943999999925</v>
      </c>
      <c r="BQ201" s="416">
        <v>222.83513333333335</v>
      </c>
      <c r="BR201" s="240">
        <v>87.603961671429147</v>
      </c>
      <c r="BS201" s="418"/>
      <c r="BT201" s="30">
        <f t="shared" si="99"/>
        <v>938.55853500476178</v>
      </c>
      <c r="BV201" s="58">
        <v>5525.97</v>
      </c>
      <c r="BW201" s="63">
        <v>1111.92</v>
      </c>
      <c r="BX201" s="58">
        <v>4.6500000000000004</v>
      </c>
      <c r="BY201" s="60"/>
      <c r="BZ201" s="27"/>
      <c r="CA201" s="416"/>
      <c r="CB201" s="240"/>
      <c r="CC201" s="418"/>
      <c r="CD201" s="30">
        <f t="shared" si="96"/>
        <v>4.6500000000000004</v>
      </c>
      <c r="CF201" s="58">
        <v>4008.22</v>
      </c>
      <c r="CG201" s="63"/>
      <c r="CH201" s="58">
        <v>39.94</v>
      </c>
      <c r="CI201" s="60"/>
      <c r="CJ201" s="27"/>
      <c r="CK201" s="416">
        <v>16.010259999999953</v>
      </c>
      <c r="CL201" s="240"/>
      <c r="CM201" s="418"/>
      <c r="CN201" s="30">
        <f t="shared" si="97"/>
        <v>55.95025999999995</v>
      </c>
      <c r="CP201" s="58">
        <v>14295.98</v>
      </c>
      <c r="CQ201" s="58">
        <v>294.82</v>
      </c>
      <c r="CR201" s="63">
        <v>4168.75</v>
      </c>
      <c r="CS201" s="58">
        <v>38.82</v>
      </c>
      <c r="CT201" s="60"/>
      <c r="CU201" s="27"/>
      <c r="CV201" s="416">
        <v>473.05555999999945</v>
      </c>
      <c r="CW201" s="240">
        <v>74.5469008500001</v>
      </c>
      <c r="CX201" s="418"/>
      <c r="CY201" s="229">
        <f t="shared" si="98"/>
        <v>586.42246084999954</v>
      </c>
    </row>
    <row r="202" spans="1:103" s="217" customFormat="1" ht="15.75" thickBot="1" x14ac:dyDescent="0.3">
      <c r="A202" s="47">
        <v>46117</v>
      </c>
      <c r="B202" s="230">
        <v>3952.78</v>
      </c>
      <c r="C202" s="231">
        <v>3299.36</v>
      </c>
      <c r="D202" s="230">
        <v>154.13</v>
      </c>
      <c r="E202" s="232"/>
      <c r="F202" s="27"/>
      <c r="G202" s="416">
        <v>4.2313600000000022</v>
      </c>
      <c r="H202" s="240">
        <v>50.007553328571589</v>
      </c>
      <c r="I202" s="418"/>
      <c r="J202" s="402">
        <f t="shared" si="91"/>
        <v>208.36891332857158</v>
      </c>
      <c r="L202" s="58">
        <v>8152.62</v>
      </c>
      <c r="M202" s="63">
        <v>4337.91</v>
      </c>
      <c r="N202" s="58">
        <v>47.78</v>
      </c>
      <c r="O202" s="60"/>
      <c r="P202" s="27"/>
      <c r="Q202" s="416">
        <v>64.203079999999915</v>
      </c>
      <c r="R202" s="416">
        <v>134.84800000000001</v>
      </c>
      <c r="S202" s="240"/>
      <c r="T202" s="418">
        <v>38.994239999999991</v>
      </c>
      <c r="U202" s="30">
        <f t="shared" si="90"/>
        <v>285.82531999999992</v>
      </c>
      <c r="V202" s="228"/>
      <c r="W202" s="58">
        <v>1940.18</v>
      </c>
      <c r="X202" s="63"/>
      <c r="Y202" s="58"/>
      <c r="Z202" s="60"/>
      <c r="AA202" s="27"/>
      <c r="AB202" s="416">
        <v>36.680569999999875</v>
      </c>
      <c r="AC202" s="240"/>
      <c r="AD202" s="418"/>
      <c r="AE202" s="30">
        <f t="shared" si="92"/>
        <v>36.680569999999875</v>
      </c>
      <c r="AG202" s="58">
        <v>7076.96</v>
      </c>
      <c r="AH202" s="63">
        <v>830.44</v>
      </c>
      <c r="AI202" s="58">
        <v>15.57</v>
      </c>
      <c r="AJ202" s="60"/>
      <c r="AK202" s="27"/>
      <c r="AL202" s="51"/>
      <c r="AM202" s="52"/>
      <c r="AN202" s="52"/>
      <c r="AO202" s="30">
        <f t="shared" si="93"/>
        <v>15.57</v>
      </c>
      <c r="AQ202" s="58">
        <v>6219.51</v>
      </c>
      <c r="AR202" s="58">
        <v>731.16</v>
      </c>
      <c r="AS202" s="58">
        <v>45.24</v>
      </c>
      <c r="AT202" s="62"/>
      <c r="AU202" s="27"/>
      <c r="AV202" s="416">
        <v>9.3740399999999937</v>
      </c>
      <c r="AW202" s="240"/>
      <c r="AX202" s="418"/>
      <c r="AY202" s="30">
        <f t="shared" si="94"/>
        <v>54.614039999999996</v>
      </c>
      <c r="BA202" s="58">
        <v>7534.6</v>
      </c>
      <c r="BB202" s="63"/>
      <c r="BC202" s="58"/>
      <c r="BD202" s="60"/>
      <c r="BE202" s="27"/>
      <c r="BF202" s="416">
        <v>15.067859999999882</v>
      </c>
      <c r="BG202" s="240"/>
      <c r="BH202" s="418"/>
      <c r="BI202" s="30">
        <f t="shared" si="95"/>
        <v>15.067859999999882</v>
      </c>
      <c r="BK202" s="58">
        <v>9411.82</v>
      </c>
      <c r="BL202" s="63">
        <v>1108.52</v>
      </c>
      <c r="BM202" s="58">
        <v>15.6</v>
      </c>
      <c r="BN202" s="60"/>
      <c r="BO202" s="27"/>
      <c r="BP202" s="416">
        <v>525.83594000000016</v>
      </c>
      <c r="BQ202" s="416">
        <v>222.83513333333335</v>
      </c>
      <c r="BR202" s="240"/>
      <c r="BS202" s="418"/>
      <c r="BT202" s="30">
        <f t="shared" si="99"/>
        <v>764.27107333333356</v>
      </c>
      <c r="BV202" s="58">
        <v>1575.46</v>
      </c>
      <c r="BW202" s="63">
        <v>978.62</v>
      </c>
      <c r="BX202" s="58"/>
      <c r="BY202" s="60"/>
      <c r="BZ202" s="27"/>
      <c r="CA202" s="416"/>
      <c r="CB202" s="240"/>
      <c r="CC202" s="418"/>
      <c r="CD202" s="30">
        <f t="shared" si="96"/>
        <v>0</v>
      </c>
      <c r="CF202" s="58">
        <v>4005.76</v>
      </c>
      <c r="CG202" s="63"/>
      <c r="CH202" s="58">
        <v>7.08</v>
      </c>
      <c r="CI202" s="60"/>
      <c r="CJ202" s="27"/>
      <c r="CK202" s="416"/>
      <c r="CL202" s="240"/>
      <c r="CM202" s="418"/>
      <c r="CN202" s="30">
        <f t="shared" si="97"/>
        <v>7.08</v>
      </c>
      <c r="CP202" s="58">
        <v>10563.46</v>
      </c>
      <c r="CQ202" s="58">
        <v>2008.75</v>
      </c>
      <c r="CR202" s="63">
        <v>3970.77</v>
      </c>
      <c r="CS202" s="58"/>
      <c r="CT202" s="60"/>
      <c r="CU202" s="27"/>
      <c r="CV202" s="416">
        <v>353.09999999999945</v>
      </c>
      <c r="CW202" s="240"/>
      <c r="CX202" s="418"/>
      <c r="CY202" s="229">
        <f t="shared" si="98"/>
        <v>353.09999999999945</v>
      </c>
    </row>
    <row r="203" spans="1:103" s="217" customFormat="1" ht="15.75" thickBot="1" x14ac:dyDescent="0.3">
      <c r="A203" s="47">
        <v>46118</v>
      </c>
      <c r="B203" s="230">
        <v>7949.52</v>
      </c>
      <c r="C203" s="231">
        <v>5818.18</v>
      </c>
      <c r="D203" s="230">
        <v>525.42999999999995</v>
      </c>
      <c r="E203" s="232"/>
      <c r="F203" s="27"/>
      <c r="G203" s="416">
        <v>8.9599999999999937</v>
      </c>
      <c r="H203" s="240"/>
      <c r="I203" s="418"/>
      <c r="J203" s="402">
        <f t="shared" si="91"/>
        <v>534.39</v>
      </c>
      <c r="L203" s="58">
        <v>15803.71</v>
      </c>
      <c r="M203" s="63">
        <v>3554.55</v>
      </c>
      <c r="N203" s="58">
        <v>46.38</v>
      </c>
      <c r="O203" s="60"/>
      <c r="P203" s="27"/>
      <c r="Q203" s="416">
        <v>483.31649999999962</v>
      </c>
      <c r="R203" s="416">
        <v>134.84800000000001</v>
      </c>
      <c r="S203" s="240"/>
      <c r="T203" s="418">
        <v>203.73738119999996</v>
      </c>
      <c r="U203" s="30">
        <f t="shared" si="90"/>
        <v>868.28188119999959</v>
      </c>
      <c r="V203" s="228"/>
      <c r="W203" s="58">
        <v>5859.03</v>
      </c>
      <c r="X203" s="63"/>
      <c r="Y203" s="58">
        <v>73.5</v>
      </c>
      <c r="Z203" s="60"/>
      <c r="AA203" s="27"/>
      <c r="AB203" s="416"/>
      <c r="AC203" s="240"/>
      <c r="AD203" s="418"/>
      <c r="AE203" s="30">
        <f t="shared" si="92"/>
        <v>73.5</v>
      </c>
      <c r="AG203" s="58">
        <v>13415.61</v>
      </c>
      <c r="AH203" s="63">
        <v>134.05000000000001</v>
      </c>
      <c r="AI203" s="58">
        <v>20.82</v>
      </c>
      <c r="AJ203" s="60"/>
      <c r="AK203" s="27"/>
      <c r="AL203" s="51"/>
      <c r="AM203" s="52"/>
      <c r="AN203" s="52"/>
      <c r="AO203" s="30">
        <f t="shared" si="93"/>
        <v>20.82</v>
      </c>
      <c r="AQ203" s="58">
        <v>6547.05</v>
      </c>
      <c r="AR203" s="58">
        <v>728.3</v>
      </c>
      <c r="AS203" s="58">
        <v>129.88</v>
      </c>
      <c r="AT203" s="62"/>
      <c r="AU203" s="27"/>
      <c r="AV203" s="416">
        <v>93.347339999999804</v>
      </c>
      <c r="AW203" s="240">
        <v>43.740889864285748</v>
      </c>
      <c r="AX203" s="418"/>
      <c r="AY203" s="30">
        <f t="shared" si="94"/>
        <v>266.96822986428555</v>
      </c>
      <c r="BA203" s="58">
        <v>9609.2900000000009</v>
      </c>
      <c r="BB203" s="63"/>
      <c r="BC203" s="58">
        <v>4736.82</v>
      </c>
      <c r="BD203" s="60"/>
      <c r="BE203" s="27"/>
      <c r="BF203" s="416">
        <v>34.488739999999893</v>
      </c>
      <c r="BG203" s="240"/>
      <c r="BH203" s="418"/>
      <c r="BI203" s="30">
        <f t="shared" si="95"/>
        <v>4771.3087399999995</v>
      </c>
      <c r="BK203" s="58">
        <v>14088.54</v>
      </c>
      <c r="BL203" s="63">
        <v>986.6</v>
      </c>
      <c r="BM203" s="58">
        <v>535.54</v>
      </c>
      <c r="BN203" s="60"/>
      <c r="BO203" s="27"/>
      <c r="BP203" s="416">
        <v>655.24591999999961</v>
      </c>
      <c r="BQ203" s="416">
        <v>222.83513333333335</v>
      </c>
      <c r="BR203" s="240">
        <v>59.757145097714584</v>
      </c>
      <c r="BS203" s="418">
        <v>228.65351999999979</v>
      </c>
      <c r="BT203" s="30">
        <f t="shared" si="99"/>
        <v>1702.0317184310472</v>
      </c>
      <c r="BV203" s="58">
        <v>5695.22</v>
      </c>
      <c r="BW203" s="63">
        <v>2051.4699999999998</v>
      </c>
      <c r="BX203" s="58">
        <v>2.59</v>
      </c>
      <c r="BY203" s="60"/>
      <c r="BZ203" s="27"/>
      <c r="CA203" s="416"/>
      <c r="CB203" s="240"/>
      <c r="CC203" s="418"/>
      <c r="CD203" s="30">
        <f t="shared" si="96"/>
        <v>2.59</v>
      </c>
      <c r="CF203" s="58">
        <v>4338.13</v>
      </c>
      <c r="CG203" s="63"/>
      <c r="CH203" s="58">
        <v>214.7</v>
      </c>
      <c r="CI203" s="60"/>
      <c r="CJ203" s="27"/>
      <c r="CK203" s="416">
        <v>6.4783399999999958</v>
      </c>
      <c r="CL203" s="240"/>
      <c r="CM203" s="418"/>
      <c r="CN203" s="30">
        <f t="shared" si="97"/>
        <v>221.17833999999999</v>
      </c>
      <c r="CP203" s="58">
        <v>2350.9899999999998</v>
      </c>
      <c r="CQ203" s="58">
        <v>765.14</v>
      </c>
      <c r="CR203" s="63">
        <v>3504.0300000000007</v>
      </c>
      <c r="CS203" s="58"/>
      <c r="CT203" s="60"/>
      <c r="CU203" s="27"/>
      <c r="CV203" s="416">
        <v>784.25435999999888</v>
      </c>
      <c r="CW203" s="240">
        <v>16.306070571428563</v>
      </c>
      <c r="CX203" s="418"/>
      <c r="CY203" s="229">
        <f t="shared" si="98"/>
        <v>800.56043057142745</v>
      </c>
    </row>
    <row r="204" spans="1:103" s="217" customFormat="1" ht="15.75" thickBot="1" x14ac:dyDescent="0.3">
      <c r="A204" s="47">
        <v>46119</v>
      </c>
      <c r="B204" s="230">
        <v>7589.15</v>
      </c>
      <c r="C204" s="231">
        <v>7822.64</v>
      </c>
      <c r="D204" s="230">
        <v>272.82</v>
      </c>
      <c r="E204" s="232"/>
      <c r="F204" s="27"/>
      <c r="G204" s="416">
        <v>11.373919999999998</v>
      </c>
      <c r="H204" s="240"/>
      <c r="I204" s="418">
        <v>75.327779999999905</v>
      </c>
      <c r="J204" s="402">
        <f t="shared" si="91"/>
        <v>359.5216999999999</v>
      </c>
      <c r="L204" s="58">
        <v>22471.79</v>
      </c>
      <c r="M204" s="63">
        <v>4880.1000000000004</v>
      </c>
      <c r="N204" s="58">
        <v>38.58</v>
      </c>
      <c r="O204" s="60"/>
      <c r="P204" s="27"/>
      <c r="Q204" s="416">
        <v>241.14017999999919</v>
      </c>
      <c r="R204" s="416">
        <v>134.84800000000001</v>
      </c>
      <c r="S204" s="240"/>
      <c r="T204" s="418">
        <v>64.10161199999996</v>
      </c>
      <c r="U204" s="30">
        <f t="shared" si="90"/>
        <v>478.66979199999918</v>
      </c>
      <c r="V204" s="228"/>
      <c r="W204" s="58">
        <v>2252.59</v>
      </c>
      <c r="X204" s="63"/>
      <c r="Y204" s="58"/>
      <c r="Z204" s="60"/>
      <c r="AA204" s="27"/>
      <c r="AB204" s="416">
        <v>17.973579999999856</v>
      </c>
      <c r="AC204" s="240"/>
      <c r="AD204" s="418"/>
      <c r="AE204" s="30">
        <f t="shared" si="92"/>
        <v>17.973579999999856</v>
      </c>
      <c r="AG204" s="58">
        <v>13228.02</v>
      </c>
      <c r="AH204" s="63">
        <v>736.04</v>
      </c>
      <c r="AI204" s="58">
        <v>572</v>
      </c>
      <c r="AJ204" s="60"/>
      <c r="AK204" s="27"/>
      <c r="AL204" s="51"/>
      <c r="AM204" s="52"/>
      <c r="AN204" s="52"/>
      <c r="AO204" s="30">
        <f t="shared" si="93"/>
        <v>572</v>
      </c>
      <c r="AQ204" s="58">
        <v>3926.76</v>
      </c>
      <c r="AR204" s="58">
        <v>649.4</v>
      </c>
      <c r="AS204" s="58">
        <v>50.43</v>
      </c>
      <c r="AT204" s="62"/>
      <c r="AU204" s="27"/>
      <c r="AV204" s="416">
        <v>124.72950999999962</v>
      </c>
      <c r="AW204" s="240">
        <v>15.173934937618952</v>
      </c>
      <c r="AX204" s="418"/>
      <c r="AY204" s="30">
        <f t="shared" si="94"/>
        <v>190.33344493761859</v>
      </c>
      <c r="BA204" s="58">
        <v>14757.7</v>
      </c>
      <c r="BB204" s="63"/>
      <c r="BC204" s="58"/>
      <c r="BD204" s="60"/>
      <c r="BE204" s="27"/>
      <c r="BF204" s="416">
        <v>38.36807999999985</v>
      </c>
      <c r="BG204" s="240"/>
      <c r="BH204" s="418"/>
      <c r="BI204" s="30">
        <f t="shared" si="95"/>
        <v>38.36807999999985</v>
      </c>
      <c r="BK204" s="58">
        <v>28724.86</v>
      </c>
      <c r="BL204" s="63">
        <v>964.03</v>
      </c>
      <c r="BM204" s="58">
        <v>471.8</v>
      </c>
      <c r="BN204" s="60"/>
      <c r="BO204" s="27"/>
      <c r="BP204" s="416">
        <v>1632.0380999999982</v>
      </c>
      <c r="BQ204" s="416">
        <v>222.83513333333335</v>
      </c>
      <c r="BR204" s="240"/>
      <c r="BS204" s="418"/>
      <c r="BT204" s="30">
        <f t="shared" si="99"/>
        <v>2326.6732333333316</v>
      </c>
      <c r="BV204" s="58">
        <v>3857.62</v>
      </c>
      <c r="BW204" s="63">
        <v>818.19</v>
      </c>
      <c r="BX204" s="58">
        <v>1.59</v>
      </c>
      <c r="BY204" s="60"/>
      <c r="BZ204" s="27"/>
      <c r="CA204" s="416"/>
      <c r="CB204" s="240"/>
      <c r="CC204" s="418"/>
      <c r="CD204" s="30">
        <f t="shared" si="96"/>
        <v>1.59</v>
      </c>
      <c r="CF204" s="58">
        <v>6176.97</v>
      </c>
      <c r="CG204" s="63"/>
      <c r="CH204" s="58">
        <v>492.21</v>
      </c>
      <c r="CI204" s="60"/>
      <c r="CJ204" s="27"/>
      <c r="CK204" s="416">
        <v>21.213719999999999</v>
      </c>
      <c r="CL204" s="240"/>
      <c r="CM204" s="418"/>
      <c r="CN204" s="30">
        <f t="shared" si="97"/>
        <v>513.42372</v>
      </c>
      <c r="CP204" s="58">
        <v>4150.9799999999996</v>
      </c>
      <c r="CQ204" s="58">
        <v>528.75</v>
      </c>
      <c r="CR204" s="63">
        <v>2272.9499999999998</v>
      </c>
      <c r="CS204" s="58">
        <v>2.57</v>
      </c>
      <c r="CT204" s="60"/>
      <c r="CU204" s="27"/>
      <c r="CV204" s="416">
        <v>95.172219999999811</v>
      </c>
      <c r="CW204" s="240">
        <v>4.3895723977142893</v>
      </c>
      <c r="CX204" s="418"/>
      <c r="CY204" s="229">
        <f t="shared" si="98"/>
        <v>102.13179239771409</v>
      </c>
    </row>
    <row r="205" spans="1:103" s="217" customFormat="1" ht="15.75" thickBot="1" x14ac:dyDescent="0.3">
      <c r="A205" s="47">
        <v>46120</v>
      </c>
      <c r="B205" s="230">
        <v>7490.46</v>
      </c>
      <c r="C205" s="231">
        <v>8999.35</v>
      </c>
      <c r="D205" s="230">
        <v>677.17</v>
      </c>
      <c r="E205" s="232"/>
      <c r="F205" s="27"/>
      <c r="G205" s="416">
        <v>3.5531999999999968</v>
      </c>
      <c r="H205" s="240"/>
      <c r="I205" s="418">
        <v>19.423639299999991</v>
      </c>
      <c r="J205" s="402">
        <f t="shared" si="91"/>
        <v>700.1468392999999</v>
      </c>
      <c r="L205" s="58">
        <v>12784.66</v>
      </c>
      <c r="M205" s="63">
        <v>6042.3600000000006</v>
      </c>
      <c r="N205" s="58">
        <v>13.28</v>
      </c>
      <c r="O205" s="60"/>
      <c r="P205" s="27"/>
      <c r="Q205" s="416">
        <v>314.56454999999971</v>
      </c>
      <c r="R205" s="416">
        <v>134.84800000000001</v>
      </c>
      <c r="S205" s="240">
        <v>33.564390871904834</v>
      </c>
      <c r="T205" s="418">
        <v>423.89226599999984</v>
      </c>
      <c r="U205" s="30">
        <f t="shared" si="90"/>
        <v>920.14920687190443</v>
      </c>
      <c r="V205" s="228"/>
      <c r="W205" s="58">
        <v>3656.18</v>
      </c>
      <c r="X205" s="63"/>
      <c r="Y205" s="58"/>
      <c r="Z205" s="60"/>
      <c r="AA205" s="27"/>
      <c r="AB205" s="416">
        <v>43.220049999999873</v>
      </c>
      <c r="AC205" s="240"/>
      <c r="AD205" s="418"/>
      <c r="AE205" s="30">
        <f t="shared" si="92"/>
        <v>43.220049999999873</v>
      </c>
      <c r="AG205" s="58">
        <v>16728.48</v>
      </c>
      <c r="AH205" s="63">
        <v>641.34</v>
      </c>
      <c r="AI205" s="58"/>
      <c r="AJ205" s="60"/>
      <c r="AK205" s="27"/>
      <c r="AL205" s="51"/>
      <c r="AM205" s="52"/>
      <c r="AN205" s="52"/>
      <c r="AO205" s="30">
        <f t="shared" si="93"/>
        <v>0</v>
      </c>
      <c r="AQ205" s="58">
        <v>12633.42</v>
      </c>
      <c r="AR205" s="58">
        <v>937.08</v>
      </c>
      <c r="AS205" s="58">
        <v>159.87</v>
      </c>
      <c r="AT205" s="62"/>
      <c r="AU205" s="27"/>
      <c r="AV205" s="416">
        <v>159.34612999999985</v>
      </c>
      <c r="AW205" s="240">
        <v>53.325503872571289</v>
      </c>
      <c r="AX205" s="418"/>
      <c r="AY205" s="30">
        <f t="shared" si="94"/>
        <v>372.54163387257114</v>
      </c>
      <c r="BA205" s="58">
        <v>16778.810000000001</v>
      </c>
      <c r="BB205" s="63"/>
      <c r="BC205" s="58">
        <v>344.37</v>
      </c>
      <c r="BD205" s="60"/>
      <c r="BE205" s="27"/>
      <c r="BF205" s="416">
        <v>-39.986459999999951</v>
      </c>
      <c r="BG205" s="240"/>
      <c r="BH205" s="418"/>
      <c r="BI205" s="30">
        <f t="shared" si="95"/>
        <v>304.38354000000004</v>
      </c>
      <c r="BK205" s="58">
        <v>35728.76</v>
      </c>
      <c r="BL205" s="63">
        <v>707.42</v>
      </c>
      <c r="BM205" s="58">
        <v>1058.17</v>
      </c>
      <c r="BN205" s="60"/>
      <c r="BO205" s="27"/>
      <c r="BP205" s="416">
        <v>487.02383999999961</v>
      </c>
      <c r="BQ205" s="416">
        <v>222.83513333333335</v>
      </c>
      <c r="BR205" s="240"/>
      <c r="BS205" s="418"/>
      <c r="BT205" s="30">
        <f t="shared" si="99"/>
        <v>1768.0289733333329</v>
      </c>
      <c r="BV205" s="58">
        <v>4076.97</v>
      </c>
      <c r="BW205" s="63">
        <v>997.54</v>
      </c>
      <c r="BX205" s="58">
        <v>9.5399999999999991</v>
      </c>
      <c r="BY205" s="60"/>
      <c r="BZ205" s="27"/>
      <c r="CA205" s="416"/>
      <c r="CB205" s="240"/>
      <c r="CC205" s="418"/>
      <c r="CD205" s="30">
        <f t="shared" si="96"/>
        <v>9.5399999999999991</v>
      </c>
      <c r="CF205" s="58">
        <v>5535.35</v>
      </c>
      <c r="CG205" s="63"/>
      <c r="CH205" s="58">
        <v>1208.1600000000001</v>
      </c>
      <c r="CI205" s="60"/>
      <c r="CJ205" s="27"/>
      <c r="CK205" s="416">
        <v>3.1087799999999959</v>
      </c>
      <c r="CL205" s="240">
        <v>10.434417619047593</v>
      </c>
      <c r="CM205" s="418"/>
      <c r="CN205" s="30">
        <f t="shared" si="97"/>
        <v>1221.7031976190476</v>
      </c>
      <c r="CP205" s="58">
        <v>3300.63</v>
      </c>
      <c r="CQ205" s="58">
        <v>275.07</v>
      </c>
      <c r="CR205" s="63">
        <v>1790.55</v>
      </c>
      <c r="CS205" s="58"/>
      <c r="CT205" s="60"/>
      <c r="CU205" s="27"/>
      <c r="CV205" s="416">
        <v>326.34195999999906</v>
      </c>
      <c r="CW205" s="240">
        <v>-26.369222755714532</v>
      </c>
      <c r="CX205" s="418">
        <v>9.5971407999999769</v>
      </c>
      <c r="CY205" s="229">
        <f t="shared" si="98"/>
        <v>309.56987804428451</v>
      </c>
    </row>
    <row r="206" spans="1:103" s="217" customFormat="1" ht="15.75" thickBot="1" x14ac:dyDescent="0.3">
      <c r="A206" s="47">
        <v>46121</v>
      </c>
      <c r="B206" s="230">
        <v>5782.69</v>
      </c>
      <c r="C206" s="231">
        <v>5510.83</v>
      </c>
      <c r="D206" s="230">
        <v>331.5</v>
      </c>
      <c r="E206" s="232"/>
      <c r="F206" s="27"/>
      <c r="G206" s="416"/>
      <c r="H206" s="240">
        <v>33.947516786666654</v>
      </c>
      <c r="I206" s="418"/>
      <c r="J206" s="402">
        <f t="shared" si="91"/>
        <v>365.44751678666665</v>
      </c>
      <c r="L206" s="58">
        <v>12533.42</v>
      </c>
      <c r="M206" s="63">
        <v>5801.98</v>
      </c>
      <c r="N206" s="58">
        <v>14.91</v>
      </c>
      <c r="O206" s="60"/>
      <c r="P206" s="27"/>
      <c r="Q206" s="416">
        <v>117.07396999999952</v>
      </c>
      <c r="R206" s="416">
        <v>134.84800000000001</v>
      </c>
      <c r="S206" s="240"/>
      <c r="T206" s="418">
        <v>170.26830939999996</v>
      </c>
      <c r="U206" s="30">
        <f t="shared" si="90"/>
        <v>437.10027939999952</v>
      </c>
      <c r="V206" s="228"/>
      <c r="W206" s="58">
        <v>2937.52</v>
      </c>
      <c r="X206" s="63"/>
      <c r="Y206" s="58"/>
      <c r="Z206" s="60"/>
      <c r="AA206" s="27"/>
      <c r="AB206" s="416">
        <v>37.978350000000006</v>
      </c>
      <c r="AC206" s="240"/>
      <c r="AD206" s="418"/>
      <c r="AE206" s="30">
        <f t="shared" si="92"/>
        <v>37.978350000000006</v>
      </c>
      <c r="AG206" s="58">
        <v>17409.84</v>
      </c>
      <c r="AH206" s="63">
        <v>477.03</v>
      </c>
      <c r="AI206" s="58"/>
      <c r="AJ206" s="60"/>
      <c r="AK206" s="27"/>
      <c r="AL206" s="51"/>
      <c r="AM206" s="52"/>
      <c r="AN206" s="52"/>
      <c r="AO206" s="30">
        <f t="shared" si="93"/>
        <v>0</v>
      </c>
      <c r="AQ206" s="58">
        <v>4585.72</v>
      </c>
      <c r="AR206" s="58">
        <v>715.98</v>
      </c>
      <c r="AS206" s="58">
        <v>36.729999999999997</v>
      </c>
      <c r="AT206" s="62"/>
      <c r="AU206" s="27"/>
      <c r="AV206" s="416">
        <v>238.28326999999993</v>
      </c>
      <c r="AW206" s="240">
        <v>45.097248347618972</v>
      </c>
      <c r="AX206" s="418"/>
      <c r="AY206" s="30">
        <f t="shared" si="94"/>
        <v>320.11051834761895</v>
      </c>
      <c r="BA206" s="58">
        <v>101194.26</v>
      </c>
      <c r="BB206" s="63"/>
      <c r="BC206" s="58">
        <v>3900</v>
      </c>
      <c r="BD206" s="60"/>
      <c r="BE206" s="27"/>
      <c r="BF206" s="416">
        <v>-42.598979999999941</v>
      </c>
      <c r="BG206" s="240"/>
      <c r="BH206" s="418"/>
      <c r="BI206" s="30">
        <f t="shared" si="95"/>
        <v>3857.4010200000002</v>
      </c>
      <c r="BK206" s="58">
        <v>34189.96</v>
      </c>
      <c r="BL206" s="63">
        <v>1005.28</v>
      </c>
      <c r="BM206" s="58">
        <v>781.36</v>
      </c>
      <c r="BN206" s="60"/>
      <c r="BO206" s="27"/>
      <c r="BP206" s="416">
        <v>445.96874999999898</v>
      </c>
      <c r="BQ206" s="416">
        <v>222.83513333333335</v>
      </c>
      <c r="BR206" s="240">
        <v>24.73625876523829</v>
      </c>
      <c r="BS206" s="418">
        <v>2.895602700000012</v>
      </c>
      <c r="BT206" s="30">
        <f t="shared" si="99"/>
        <v>1477.7957447985707</v>
      </c>
      <c r="BV206" s="58">
        <v>3857.11</v>
      </c>
      <c r="BW206" s="63">
        <v>1012.8</v>
      </c>
      <c r="BX206" s="58">
        <v>2.78</v>
      </c>
      <c r="BY206" s="60"/>
      <c r="BZ206" s="27"/>
      <c r="CA206" s="416"/>
      <c r="CB206" s="240"/>
      <c r="CC206" s="418"/>
      <c r="CD206" s="30">
        <f t="shared" si="96"/>
        <v>2.78</v>
      </c>
      <c r="CF206" s="58">
        <v>3523.3</v>
      </c>
      <c r="CG206" s="63"/>
      <c r="CH206" s="58">
        <v>21.34</v>
      </c>
      <c r="CI206" s="60"/>
      <c r="CJ206" s="27"/>
      <c r="CK206" s="416">
        <v>28.660360000000026</v>
      </c>
      <c r="CL206" s="240"/>
      <c r="CM206" s="418"/>
      <c r="CN206" s="30">
        <f t="shared" si="97"/>
        <v>50.000360000000029</v>
      </c>
      <c r="CP206" s="58">
        <v>5794.86</v>
      </c>
      <c r="CQ206" s="58">
        <v>435.97</v>
      </c>
      <c r="CR206" s="63">
        <v>2479.4299999999998</v>
      </c>
      <c r="CS206" s="58">
        <v>21.31</v>
      </c>
      <c r="CT206" s="60"/>
      <c r="CU206" s="27"/>
      <c r="CV206" s="416">
        <v>325.40899999999942</v>
      </c>
      <c r="CW206" s="240"/>
      <c r="CX206" s="418"/>
      <c r="CY206" s="229">
        <f t="shared" si="98"/>
        <v>346.71899999999943</v>
      </c>
    </row>
    <row r="207" spans="1:103" s="217" customFormat="1" ht="15.75" thickBot="1" x14ac:dyDescent="0.3">
      <c r="A207" s="47">
        <v>46122</v>
      </c>
      <c r="B207" s="230">
        <v>7251.27</v>
      </c>
      <c r="C207" s="231">
        <v>5906.74</v>
      </c>
      <c r="D207" s="230">
        <v>315.25</v>
      </c>
      <c r="E207" s="232"/>
      <c r="F207" s="27"/>
      <c r="G207" s="416"/>
      <c r="H207" s="240">
        <v>31.125238370000034</v>
      </c>
      <c r="I207" s="418"/>
      <c r="J207" s="402">
        <f t="shared" si="91"/>
        <v>346.37523837000003</v>
      </c>
      <c r="L207" s="58">
        <v>18764.849999999999</v>
      </c>
      <c r="M207" s="63">
        <v>7396.46</v>
      </c>
      <c r="N207" s="58">
        <v>68.599999999999994</v>
      </c>
      <c r="O207" s="60"/>
      <c r="P207" s="27"/>
      <c r="Q207" s="416">
        <v>433.14325999999954</v>
      </c>
      <c r="R207" s="416">
        <v>134.84800000000001</v>
      </c>
      <c r="S207" s="240"/>
      <c r="T207" s="418">
        <v>135.14517939999985</v>
      </c>
      <c r="U207" s="30">
        <f t="shared" si="90"/>
        <v>771.73643939999943</v>
      </c>
      <c r="V207" s="228"/>
      <c r="W207" s="58">
        <v>3360.31</v>
      </c>
      <c r="X207" s="63"/>
      <c r="Y207" s="58"/>
      <c r="Z207" s="60"/>
      <c r="AA207" s="27"/>
      <c r="AB207" s="416">
        <v>22.258500000000026</v>
      </c>
      <c r="AC207" s="240"/>
      <c r="AD207" s="418"/>
      <c r="AE207" s="30">
        <f t="shared" si="92"/>
        <v>22.258500000000026</v>
      </c>
      <c r="AG207" s="58">
        <v>8886.23</v>
      </c>
      <c r="AH207" s="63">
        <v>699.36</v>
      </c>
      <c r="AI207" s="58"/>
      <c r="AJ207" s="60"/>
      <c r="AK207" s="27"/>
      <c r="AL207" s="51"/>
      <c r="AM207" s="52"/>
      <c r="AN207" s="52"/>
      <c r="AO207" s="30">
        <f t="shared" si="93"/>
        <v>0</v>
      </c>
      <c r="AQ207" s="58">
        <v>6334.19</v>
      </c>
      <c r="AR207" s="58">
        <v>728.5</v>
      </c>
      <c r="AS207" s="58">
        <v>66.010000000000005</v>
      </c>
      <c r="AT207" s="62"/>
      <c r="AU207" s="27"/>
      <c r="AV207" s="416">
        <v>271.90143999999964</v>
      </c>
      <c r="AW207" s="240"/>
      <c r="AX207" s="418">
        <v>16.212728399999946</v>
      </c>
      <c r="AY207" s="30">
        <f t="shared" si="94"/>
        <v>354.12416839999958</v>
      </c>
      <c r="BA207" s="58">
        <v>13852.33</v>
      </c>
      <c r="BB207" s="63"/>
      <c r="BC207" s="58"/>
      <c r="BD207" s="60"/>
      <c r="BE207" s="27"/>
      <c r="BF207" s="416">
        <v>40.225139999999953</v>
      </c>
      <c r="BG207" s="240"/>
      <c r="BH207" s="418">
        <v>47.475999999999999</v>
      </c>
      <c r="BI207" s="30">
        <f t="shared" si="95"/>
        <v>87.701139999999953</v>
      </c>
      <c r="BK207" s="58">
        <v>25141.55</v>
      </c>
      <c r="BL207" s="63">
        <v>1115.49</v>
      </c>
      <c r="BM207" s="58">
        <v>334.77</v>
      </c>
      <c r="BN207" s="60"/>
      <c r="BO207" s="27"/>
      <c r="BP207" s="416">
        <v>612.70451999999932</v>
      </c>
      <c r="BQ207" s="416">
        <v>222.83513333333335</v>
      </c>
      <c r="BR207" s="240">
        <v>156.40499900571427</v>
      </c>
      <c r="BS207" s="418"/>
      <c r="BT207" s="30">
        <f t="shared" si="99"/>
        <v>1326.714652339047</v>
      </c>
      <c r="BV207" s="58">
        <v>5063.38</v>
      </c>
      <c r="BW207" s="63">
        <v>938.1</v>
      </c>
      <c r="BX207" s="58">
        <v>0.52</v>
      </c>
      <c r="BY207" s="60"/>
      <c r="BZ207" s="27"/>
      <c r="CA207" s="416"/>
      <c r="CB207" s="240"/>
      <c r="CC207" s="418"/>
      <c r="CD207" s="30">
        <f t="shared" si="96"/>
        <v>0.52</v>
      </c>
      <c r="CF207" s="58">
        <v>4181.13</v>
      </c>
      <c r="CG207" s="63"/>
      <c r="CH207" s="58">
        <v>96.38</v>
      </c>
      <c r="CI207" s="60"/>
      <c r="CJ207" s="27"/>
      <c r="CK207" s="416">
        <v>12.848400000000026</v>
      </c>
      <c r="CL207" s="240">
        <v>19.773042775714373</v>
      </c>
      <c r="CM207" s="418"/>
      <c r="CN207" s="30">
        <f t="shared" si="97"/>
        <v>129.00144277571439</v>
      </c>
      <c r="CP207" s="58">
        <v>7903.33</v>
      </c>
      <c r="CQ207" s="58">
        <v>575.78</v>
      </c>
      <c r="CR207" s="63">
        <v>2357.35</v>
      </c>
      <c r="CS207" s="58">
        <v>5</v>
      </c>
      <c r="CT207" s="60"/>
      <c r="CU207" s="27"/>
      <c r="CV207" s="416">
        <v>409.83327999999972</v>
      </c>
      <c r="CW207" s="240">
        <v>7.1973513457143099</v>
      </c>
      <c r="CX207" s="418"/>
      <c r="CY207" s="229">
        <f t="shared" si="98"/>
        <v>422.03063134571403</v>
      </c>
    </row>
    <row r="208" spans="1:103" s="217" customFormat="1" ht="15.75" thickBot="1" x14ac:dyDescent="0.3">
      <c r="A208" s="47">
        <v>46123</v>
      </c>
      <c r="B208" s="230">
        <v>2883.63</v>
      </c>
      <c r="C208" s="231">
        <v>5128.26</v>
      </c>
      <c r="D208" s="230">
        <v>102.93</v>
      </c>
      <c r="E208" s="232"/>
      <c r="F208" s="27"/>
      <c r="G208" s="416">
        <v>52.677209999999974</v>
      </c>
      <c r="H208" s="240"/>
      <c r="I208" s="418"/>
      <c r="J208" s="402">
        <f t="shared" si="91"/>
        <v>155.60720999999998</v>
      </c>
      <c r="L208" s="58">
        <v>14299.29</v>
      </c>
      <c r="M208" s="63">
        <v>6573.3</v>
      </c>
      <c r="N208" s="58">
        <v>65.8</v>
      </c>
      <c r="O208" s="60"/>
      <c r="P208" s="27"/>
      <c r="Q208" s="416">
        <v>735.32715000000007</v>
      </c>
      <c r="R208" s="416">
        <v>134.84800000000001</v>
      </c>
      <c r="S208" s="240"/>
      <c r="T208" s="418">
        <v>60.558705400000008</v>
      </c>
      <c r="U208" s="30">
        <f t="shared" si="90"/>
        <v>996.53385539999999</v>
      </c>
      <c r="V208" s="228"/>
      <c r="W208" s="58">
        <v>1507.42</v>
      </c>
      <c r="X208" s="63"/>
      <c r="Y208" s="58"/>
      <c r="Z208" s="60"/>
      <c r="AA208" s="27"/>
      <c r="AB208" s="416">
        <v>30.564629999999994</v>
      </c>
      <c r="AC208" s="240"/>
      <c r="AD208" s="418"/>
      <c r="AE208" s="30">
        <f t="shared" si="92"/>
        <v>30.564629999999994</v>
      </c>
      <c r="AG208" s="58">
        <v>8687.73</v>
      </c>
      <c r="AH208" s="63">
        <v>989.99</v>
      </c>
      <c r="AI208" s="58">
        <v>132</v>
      </c>
      <c r="AJ208" s="60"/>
      <c r="AK208" s="27"/>
      <c r="AL208" s="51"/>
      <c r="AM208" s="52"/>
      <c r="AN208" s="52"/>
      <c r="AO208" s="30">
        <f t="shared" si="93"/>
        <v>132</v>
      </c>
      <c r="AQ208" s="58">
        <v>4721.42</v>
      </c>
      <c r="AR208" s="58">
        <v>762.12</v>
      </c>
      <c r="AS208" s="58">
        <v>35.57</v>
      </c>
      <c r="AT208" s="62"/>
      <c r="AU208" s="27"/>
      <c r="AV208" s="416">
        <v>116.5214299999999</v>
      </c>
      <c r="AW208" s="240"/>
      <c r="AX208" s="418"/>
      <c r="AY208" s="30">
        <f t="shared" si="94"/>
        <v>152.09142999999989</v>
      </c>
      <c r="BA208" s="58">
        <v>9368.58</v>
      </c>
      <c r="BB208" s="63"/>
      <c r="BC208" s="58">
        <v>2</v>
      </c>
      <c r="BD208" s="60"/>
      <c r="BE208" s="27"/>
      <c r="BF208" s="416">
        <v>19.867079999999959</v>
      </c>
      <c r="BG208" s="240"/>
      <c r="BH208" s="418"/>
      <c r="BI208" s="30">
        <f t="shared" si="95"/>
        <v>21.867079999999959</v>
      </c>
      <c r="BK208" s="58">
        <v>14070.2</v>
      </c>
      <c r="BL208" s="63">
        <v>1206.9100000000001</v>
      </c>
      <c r="BM208" s="58">
        <v>285.33</v>
      </c>
      <c r="BN208" s="60"/>
      <c r="BO208" s="27"/>
      <c r="BP208" s="416">
        <v>1112.7403800000004</v>
      </c>
      <c r="BQ208" s="416">
        <v>222.83513333333335</v>
      </c>
      <c r="BR208" s="240">
        <v>31.582567968571425</v>
      </c>
      <c r="BS208" s="418"/>
      <c r="BT208" s="30">
        <f t="shared" si="99"/>
        <v>1652.4880813019049</v>
      </c>
      <c r="BV208" s="58">
        <v>2885.52</v>
      </c>
      <c r="BW208" s="63">
        <v>524.61</v>
      </c>
      <c r="BX208" s="58">
        <v>10.87</v>
      </c>
      <c r="BY208" s="60"/>
      <c r="BZ208" s="27"/>
      <c r="CA208" s="416"/>
      <c r="CB208" s="240"/>
      <c r="CC208" s="418"/>
      <c r="CD208" s="30">
        <f t="shared" si="96"/>
        <v>10.87</v>
      </c>
      <c r="CF208" s="58">
        <v>4366.6099999999997</v>
      </c>
      <c r="CG208" s="63"/>
      <c r="CH208" s="58">
        <v>10.44</v>
      </c>
      <c r="CI208" s="60"/>
      <c r="CJ208" s="27"/>
      <c r="CK208" s="416"/>
      <c r="CL208" s="240"/>
      <c r="CM208" s="418"/>
      <c r="CN208" s="30">
        <f t="shared" si="97"/>
        <v>10.44</v>
      </c>
      <c r="CP208" s="58">
        <v>3764.34</v>
      </c>
      <c r="CQ208" s="58">
        <v>850.26</v>
      </c>
      <c r="CR208" s="63">
        <v>2563.11</v>
      </c>
      <c r="CS208" s="58">
        <v>18.940000000000001</v>
      </c>
      <c r="CT208" s="60"/>
      <c r="CU208" s="27"/>
      <c r="CV208" s="416">
        <v>111.3642000000001</v>
      </c>
      <c r="CW208" s="240"/>
      <c r="CX208" s="418"/>
      <c r="CY208" s="229">
        <f t="shared" si="98"/>
        <v>130.30420000000009</v>
      </c>
    </row>
    <row r="209" spans="1:103" s="217" customFormat="1" ht="15.75" thickBot="1" x14ac:dyDescent="0.3">
      <c r="A209" s="47">
        <v>46124</v>
      </c>
      <c r="B209" s="230">
        <v>4046.97</v>
      </c>
      <c r="C209" s="231">
        <v>6142.43</v>
      </c>
      <c r="D209" s="230">
        <v>116.89</v>
      </c>
      <c r="E209" s="232"/>
      <c r="F209" s="27"/>
      <c r="G209" s="416"/>
      <c r="H209" s="240"/>
      <c r="I209" s="418"/>
      <c r="J209" s="402">
        <f t="shared" si="91"/>
        <v>116.89</v>
      </c>
      <c r="L209" s="58">
        <v>11660.92</v>
      </c>
      <c r="M209" s="63">
        <v>7888.23</v>
      </c>
      <c r="N209" s="58">
        <v>37.9</v>
      </c>
      <c r="O209" s="60"/>
      <c r="P209" s="27"/>
      <c r="Q209" s="416">
        <v>223.64743999999999</v>
      </c>
      <c r="R209" s="416">
        <v>134.84800000000001</v>
      </c>
      <c r="S209" s="240"/>
      <c r="T209" s="418">
        <v>95.228740200000004</v>
      </c>
      <c r="U209" s="30">
        <f t="shared" si="90"/>
        <v>491.62418020000001</v>
      </c>
      <c r="V209" s="228"/>
      <c r="W209" s="58">
        <v>593.83000000000004</v>
      </c>
      <c r="X209" s="63"/>
      <c r="Y209" s="58"/>
      <c r="Z209" s="60"/>
      <c r="AA209" s="27"/>
      <c r="AB209" s="416">
        <v>5.1803400000000011</v>
      </c>
      <c r="AC209" s="240"/>
      <c r="AD209" s="418"/>
      <c r="AE209" s="30">
        <f t="shared" si="92"/>
        <v>5.1803400000000011</v>
      </c>
      <c r="AG209" s="58">
        <v>6698.6200000000008</v>
      </c>
      <c r="AH209" s="63">
        <v>592.91</v>
      </c>
      <c r="AI209" s="58"/>
      <c r="AJ209" s="60"/>
      <c r="AK209" s="27"/>
      <c r="AL209" s="51"/>
      <c r="AM209" s="52"/>
      <c r="AN209" s="52"/>
      <c r="AO209" s="30">
        <f t="shared" si="93"/>
        <v>0</v>
      </c>
      <c r="AQ209" s="58">
        <v>3573.48</v>
      </c>
      <c r="AR209" s="58">
        <v>52.54</v>
      </c>
      <c r="AS209" s="58">
        <v>7.78</v>
      </c>
      <c r="AT209" s="62"/>
      <c r="AU209" s="27"/>
      <c r="AV209" s="416">
        <v>31.998710000000017</v>
      </c>
      <c r="AW209" s="240"/>
      <c r="AX209" s="418"/>
      <c r="AY209" s="30">
        <f t="shared" si="94"/>
        <v>39.778710000000018</v>
      </c>
      <c r="BA209" s="58">
        <v>6163.66</v>
      </c>
      <c r="BB209" s="63"/>
      <c r="BC209" s="58">
        <v>17.399999999999999</v>
      </c>
      <c r="BD209" s="60"/>
      <c r="BE209" s="27"/>
      <c r="BF209" s="416">
        <v>2.1505599999999845</v>
      </c>
      <c r="BG209" s="240"/>
      <c r="BH209" s="418"/>
      <c r="BI209" s="30">
        <f t="shared" si="95"/>
        <v>19.550559999999983</v>
      </c>
      <c r="BK209" s="58">
        <v>8205.33</v>
      </c>
      <c r="BL209" s="63">
        <v>833.67</v>
      </c>
      <c r="BM209" s="58">
        <v>16</v>
      </c>
      <c r="BN209" s="60"/>
      <c r="BO209" s="27"/>
      <c r="BP209" s="416">
        <v>238.61080000000015</v>
      </c>
      <c r="BQ209" s="416">
        <v>222.83513333333335</v>
      </c>
      <c r="BR209" s="240">
        <v>85.51879692428588</v>
      </c>
      <c r="BS209" s="418"/>
      <c r="BT209" s="30">
        <f t="shared" si="99"/>
        <v>562.96473025761941</v>
      </c>
      <c r="BV209" s="58">
        <v>4117.49</v>
      </c>
      <c r="BW209" s="63">
        <v>1095.99</v>
      </c>
      <c r="BX209" s="58"/>
      <c r="BY209" s="60"/>
      <c r="BZ209" s="27"/>
      <c r="CA209" s="416"/>
      <c r="CB209" s="240"/>
      <c r="CC209" s="418"/>
      <c r="CD209" s="30">
        <f t="shared" si="96"/>
        <v>0</v>
      </c>
      <c r="CF209" s="58">
        <v>2802.7</v>
      </c>
      <c r="CG209" s="63"/>
      <c r="CH209" s="58">
        <v>9.86</v>
      </c>
      <c r="CI209" s="60"/>
      <c r="CJ209" s="27"/>
      <c r="CK209" s="416"/>
      <c r="CL209" s="240"/>
      <c r="CM209" s="418"/>
      <c r="CN209" s="30">
        <f t="shared" si="97"/>
        <v>9.86</v>
      </c>
      <c r="CP209" s="58">
        <v>3511.06</v>
      </c>
      <c r="CQ209" s="58">
        <v>845.46</v>
      </c>
      <c r="CR209" s="63">
        <v>2778.33</v>
      </c>
      <c r="CS209" s="58">
        <v>11.44</v>
      </c>
      <c r="CT209" s="60"/>
      <c r="CU209" s="27"/>
      <c r="CV209" s="416"/>
      <c r="CW209" s="240">
        <v>10.737595834000132</v>
      </c>
      <c r="CX209" s="418"/>
      <c r="CY209" s="229">
        <f t="shared" si="98"/>
        <v>22.17759583400013</v>
      </c>
    </row>
    <row r="210" spans="1:103" s="217" customFormat="1" ht="15.75" thickBot="1" x14ac:dyDescent="0.3">
      <c r="A210" s="47">
        <v>46125</v>
      </c>
      <c r="B210" s="230">
        <v>15294.12</v>
      </c>
      <c r="C210" s="231">
        <v>7444.79</v>
      </c>
      <c r="D210" s="230">
        <v>194.41</v>
      </c>
      <c r="E210" s="232"/>
      <c r="F210" s="27"/>
      <c r="G210" s="416">
        <v>68.299999999999983</v>
      </c>
      <c r="H210" s="240"/>
      <c r="I210" s="418"/>
      <c r="J210" s="402">
        <f t="shared" si="91"/>
        <v>262.70999999999998</v>
      </c>
      <c r="L210" s="58">
        <v>21825.52</v>
      </c>
      <c r="M210" s="63">
        <v>7236.23</v>
      </c>
      <c r="N210" s="58">
        <v>443.74</v>
      </c>
      <c r="O210" s="60"/>
      <c r="P210" s="27"/>
      <c r="Q210" s="416">
        <v>459.04100999999991</v>
      </c>
      <c r="R210" s="416">
        <v>134.84800000000001</v>
      </c>
      <c r="S210" s="240">
        <v>80.0439991928572</v>
      </c>
      <c r="T210" s="418">
        <v>327.83228039999989</v>
      </c>
      <c r="U210" s="30">
        <f t="shared" si="90"/>
        <v>1445.505289592857</v>
      </c>
      <c r="V210" s="228"/>
      <c r="W210" s="58">
        <v>3856.5</v>
      </c>
      <c r="X210" s="63"/>
      <c r="Y210" s="58"/>
      <c r="Z210" s="60"/>
      <c r="AA210" s="27"/>
      <c r="AB210" s="416">
        <v>7.6118400000000861</v>
      </c>
      <c r="AC210" s="240"/>
      <c r="AD210" s="418"/>
      <c r="AE210" s="30">
        <f t="shared" si="92"/>
        <v>7.6118400000000861</v>
      </c>
      <c r="AG210" s="58">
        <v>6970.61</v>
      </c>
      <c r="AH210" s="63">
        <v>724.46</v>
      </c>
      <c r="AI210" s="58"/>
      <c r="AJ210" s="60"/>
      <c r="AK210" s="27"/>
      <c r="AL210" s="51"/>
      <c r="AM210" s="52"/>
      <c r="AN210" s="52"/>
      <c r="AO210" s="30">
        <f t="shared" si="93"/>
        <v>0</v>
      </c>
      <c r="AQ210" s="58">
        <v>6082.93</v>
      </c>
      <c r="AR210" s="58">
        <v>539.45000000000005</v>
      </c>
      <c r="AS210" s="58">
        <v>7</v>
      </c>
      <c r="AT210" s="62"/>
      <c r="AU210" s="27"/>
      <c r="AV210" s="416">
        <v>234.88440999999978</v>
      </c>
      <c r="AW210" s="240">
        <v>35.331548245714401</v>
      </c>
      <c r="AX210" s="418"/>
      <c r="AY210" s="30">
        <f t="shared" si="94"/>
        <v>277.21595824571421</v>
      </c>
      <c r="BA210" s="58">
        <v>67724.56</v>
      </c>
      <c r="BB210" s="63"/>
      <c r="BC210" s="58">
        <v>3269.6</v>
      </c>
      <c r="BD210" s="60"/>
      <c r="BE210" s="27"/>
      <c r="BF210" s="416">
        <v>163.48240000000052</v>
      </c>
      <c r="BG210" s="240"/>
      <c r="BH210" s="418"/>
      <c r="BI210" s="30">
        <f t="shared" si="95"/>
        <v>3433.0824000000002</v>
      </c>
      <c r="BK210" s="58">
        <v>11988.6</v>
      </c>
      <c r="BL210" s="63">
        <v>1065.4100000000001</v>
      </c>
      <c r="BM210" s="58">
        <v>450.85</v>
      </c>
      <c r="BN210" s="60"/>
      <c r="BO210" s="27"/>
      <c r="BP210" s="416">
        <v>1316.093890000001</v>
      </c>
      <c r="BQ210" s="416">
        <v>222.83513333333335</v>
      </c>
      <c r="BR210" s="240">
        <v>83.920689064285853</v>
      </c>
      <c r="BS210" s="418">
        <v>156.23924732000023</v>
      </c>
      <c r="BT210" s="30">
        <f t="shared" si="99"/>
        <v>2229.9389597176205</v>
      </c>
      <c r="BV210" s="58">
        <v>3912.37</v>
      </c>
      <c r="BW210" s="63">
        <v>847.57</v>
      </c>
      <c r="BX210" s="58">
        <v>2.67</v>
      </c>
      <c r="BY210" s="60"/>
      <c r="BZ210" s="27"/>
      <c r="CA210" s="416"/>
      <c r="CB210" s="240"/>
      <c r="CC210" s="418"/>
      <c r="CD210" s="30">
        <f t="shared" si="96"/>
        <v>2.67</v>
      </c>
      <c r="CF210" s="58">
        <v>3825.72</v>
      </c>
      <c r="CG210" s="63"/>
      <c r="CH210" s="58">
        <v>75.41</v>
      </c>
      <c r="CI210" s="60"/>
      <c r="CJ210" s="27"/>
      <c r="CK210" s="416">
        <v>14.900159999999971</v>
      </c>
      <c r="CL210" s="240"/>
      <c r="CM210" s="418"/>
      <c r="CN210" s="30">
        <f t="shared" si="97"/>
        <v>90.310159999999968</v>
      </c>
      <c r="CP210" s="58">
        <v>2199.37</v>
      </c>
      <c r="CQ210" s="58">
        <v>766.55</v>
      </c>
      <c r="CR210" s="63">
        <v>2234.1099999999997</v>
      </c>
      <c r="CS210" s="58"/>
      <c r="CT210" s="60"/>
      <c r="CU210" s="27"/>
      <c r="CV210" s="416">
        <v>902.59122000000002</v>
      </c>
      <c r="CW210" s="240"/>
      <c r="CX210" s="418"/>
      <c r="CY210" s="229">
        <f t="shared" si="98"/>
        <v>902.59122000000002</v>
      </c>
    </row>
    <row r="211" spans="1:103" s="217" customFormat="1" ht="15.75" thickBot="1" x14ac:dyDescent="0.3">
      <c r="A211" s="47">
        <v>46126</v>
      </c>
      <c r="B211" s="230">
        <v>5238.53</v>
      </c>
      <c r="C211" s="231">
        <v>7680.69</v>
      </c>
      <c r="D211" s="230">
        <v>207.24</v>
      </c>
      <c r="E211" s="232"/>
      <c r="F211" s="27"/>
      <c r="G211" s="416">
        <v>20.109370000000006</v>
      </c>
      <c r="H211" s="240"/>
      <c r="I211" s="418"/>
      <c r="J211" s="402">
        <f t="shared" si="91"/>
        <v>227.34937000000002</v>
      </c>
      <c r="L211" s="58">
        <v>10625</v>
      </c>
      <c r="M211" s="63">
        <v>7222.63</v>
      </c>
      <c r="N211" s="58">
        <v>74.17</v>
      </c>
      <c r="O211" s="60"/>
      <c r="P211" s="27"/>
      <c r="Q211" s="416">
        <v>553.9838299999999</v>
      </c>
      <c r="R211" s="416">
        <v>134.84800000000001</v>
      </c>
      <c r="S211" s="240"/>
      <c r="T211" s="418">
        <v>84.969548400000036</v>
      </c>
      <c r="U211" s="30">
        <f t="shared" si="90"/>
        <v>847.97137839999982</v>
      </c>
      <c r="V211" s="228"/>
      <c r="W211" s="58">
        <v>8709.9599999999991</v>
      </c>
      <c r="X211" s="63"/>
      <c r="Y211" s="58"/>
      <c r="Z211" s="60"/>
      <c r="AA211" s="27"/>
      <c r="AB211" s="416">
        <v>17.86857999999998</v>
      </c>
      <c r="AC211" s="240"/>
      <c r="AD211" s="418"/>
      <c r="AE211" s="30">
        <f t="shared" si="92"/>
        <v>17.86857999999998</v>
      </c>
      <c r="AG211" s="58">
        <v>11835.24</v>
      </c>
      <c r="AH211" s="63">
        <v>489.18</v>
      </c>
      <c r="AI211" s="58"/>
      <c r="AJ211" s="60"/>
      <c r="AK211" s="27"/>
      <c r="AL211" s="51"/>
      <c r="AM211" s="52"/>
      <c r="AN211" s="52"/>
      <c r="AO211" s="30">
        <f t="shared" si="93"/>
        <v>0</v>
      </c>
      <c r="AQ211" s="58">
        <v>10037.98</v>
      </c>
      <c r="AR211" s="58">
        <v>838.56</v>
      </c>
      <c r="AS211" s="58">
        <v>164.96</v>
      </c>
      <c r="AT211" s="62"/>
      <c r="AU211" s="27"/>
      <c r="AV211" s="416">
        <v>206.04760999999974</v>
      </c>
      <c r="AW211" s="240">
        <v>31.044789746190531</v>
      </c>
      <c r="AX211" s="418"/>
      <c r="AY211" s="30">
        <f t="shared" si="94"/>
        <v>402.0523997461903</v>
      </c>
      <c r="BA211" s="58">
        <v>39285.53</v>
      </c>
      <c r="BB211" s="63"/>
      <c r="BC211" s="58">
        <v>1300</v>
      </c>
      <c r="BD211" s="60"/>
      <c r="BE211" s="27"/>
      <c r="BF211" s="416">
        <v>-380.90930999999955</v>
      </c>
      <c r="BG211" s="240"/>
      <c r="BH211" s="418">
        <v>-50.090363400000342</v>
      </c>
      <c r="BI211" s="30">
        <f t="shared" si="95"/>
        <v>869.00032660000011</v>
      </c>
      <c r="BK211" s="58">
        <v>21732.31</v>
      </c>
      <c r="BL211" s="63">
        <v>1237.23</v>
      </c>
      <c r="BM211" s="58">
        <v>580.26</v>
      </c>
      <c r="BN211" s="60"/>
      <c r="BO211" s="27"/>
      <c r="BP211" s="416">
        <v>673.55839000000037</v>
      </c>
      <c r="BQ211" s="416">
        <v>222.83513333333335</v>
      </c>
      <c r="BR211" s="240">
        <v>19.027869497619037</v>
      </c>
      <c r="BS211" s="418"/>
      <c r="BT211" s="30">
        <f t="shared" si="99"/>
        <v>1495.6813928309527</v>
      </c>
      <c r="BV211" s="58">
        <v>3756.72</v>
      </c>
      <c r="BW211" s="63">
        <v>891.76</v>
      </c>
      <c r="BX211" s="58">
        <v>7.01</v>
      </c>
      <c r="BY211" s="60"/>
      <c r="BZ211" s="27"/>
      <c r="CA211" s="416"/>
      <c r="CB211" s="240"/>
      <c r="CC211" s="418"/>
      <c r="CD211" s="30">
        <f t="shared" si="96"/>
        <v>7.01</v>
      </c>
      <c r="CF211" s="58">
        <v>7269.79</v>
      </c>
      <c r="CG211" s="63"/>
      <c r="CH211" s="58">
        <v>561.55999999999995</v>
      </c>
      <c r="CI211" s="60"/>
      <c r="CJ211" s="27"/>
      <c r="CK211" s="416">
        <v>22.350619999999985</v>
      </c>
      <c r="CL211" s="240">
        <v>10.50797095238093</v>
      </c>
      <c r="CM211" s="418"/>
      <c r="CN211" s="30">
        <f t="shared" si="97"/>
        <v>594.4185909523809</v>
      </c>
      <c r="CP211" s="58">
        <v>2546.9499999999998</v>
      </c>
      <c r="CQ211" s="58">
        <v>648.66</v>
      </c>
      <c r="CR211" s="63">
        <v>2437.52</v>
      </c>
      <c r="CS211" s="58">
        <v>15.22</v>
      </c>
      <c r="CT211" s="60"/>
      <c r="CU211" s="27"/>
      <c r="CV211" s="416">
        <v>826.48892000000001</v>
      </c>
      <c r="CW211" s="240">
        <v>5.392674674285729</v>
      </c>
      <c r="CX211" s="418"/>
      <c r="CY211" s="229">
        <f t="shared" si="98"/>
        <v>847.10159467428571</v>
      </c>
    </row>
    <row r="212" spans="1:103" s="217" customFormat="1" ht="15.75" thickBot="1" x14ac:dyDescent="0.3">
      <c r="A212" s="47">
        <v>46127</v>
      </c>
      <c r="B212" s="230">
        <v>6842.11</v>
      </c>
      <c r="C212" s="231">
        <v>8844.65</v>
      </c>
      <c r="D212" s="230">
        <v>108.15</v>
      </c>
      <c r="E212" s="232">
        <v>0.62</v>
      </c>
      <c r="F212" s="27"/>
      <c r="G212" s="416">
        <v>10.119900000000001</v>
      </c>
      <c r="H212" s="240">
        <v>21.683685576190612</v>
      </c>
      <c r="I212" s="418"/>
      <c r="J212" s="402">
        <f t="shared" si="91"/>
        <v>139.95358557619062</v>
      </c>
      <c r="L212" s="58">
        <v>12630.69</v>
      </c>
      <c r="M212" s="63">
        <v>2986.08</v>
      </c>
      <c r="N212" s="58">
        <v>42.02</v>
      </c>
      <c r="O212" s="60"/>
      <c r="P212" s="27"/>
      <c r="Q212" s="416">
        <v>829.48309999999935</v>
      </c>
      <c r="R212" s="416">
        <v>134.84800000000001</v>
      </c>
      <c r="S212" s="240">
        <v>31.086365217619118</v>
      </c>
      <c r="T212" s="418">
        <v>365.28880879999997</v>
      </c>
      <c r="U212" s="30">
        <f t="shared" si="90"/>
        <v>1402.7262740176184</v>
      </c>
      <c r="V212" s="228"/>
      <c r="W212" s="58">
        <v>2624.63</v>
      </c>
      <c r="X212" s="63"/>
      <c r="Y212" s="58"/>
      <c r="Z212" s="60"/>
      <c r="AA212" s="27"/>
      <c r="AB212" s="416">
        <v>18.927230000000009</v>
      </c>
      <c r="AC212" s="240"/>
      <c r="AD212" s="418"/>
      <c r="AE212" s="30">
        <f t="shared" si="92"/>
        <v>18.927230000000009</v>
      </c>
      <c r="AG212" s="58">
        <v>7915.53</v>
      </c>
      <c r="AH212" s="63">
        <v>885.06</v>
      </c>
      <c r="AI212" s="58">
        <v>572</v>
      </c>
      <c r="AJ212" s="60"/>
      <c r="AK212" s="27"/>
      <c r="AL212" s="51"/>
      <c r="AM212" s="52"/>
      <c r="AN212" s="52"/>
      <c r="AO212" s="30">
        <f t="shared" si="93"/>
        <v>572</v>
      </c>
      <c r="AQ212" s="58">
        <v>12387.77</v>
      </c>
      <c r="AR212" s="58">
        <v>1433.31</v>
      </c>
      <c r="AS212" s="58">
        <v>74.47</v>
      </c>
      <c r="AT212" s="62"/>
      <c r="AU212" s="27"/>
      <c r="AV212" s="416">
        <v>227.37045999999981</v>
      </c>
      <c r="AW212" s="240">
        <v>63.066432112381023</v>
      </c>
      <c r="AX212" s="418"/>
      <c r="AY212" s="30">
        <f t="shared" si="94"/>
        <v>364.90689211238089</v>
      </c>
      <c r="BA212" s="58">
        <v>6652.6</v>
      </c>
      <c r="BB212" s="63"/>
      <c r="BC212" s="58"/>
      <c r="BD212" s="60"/>
      <c r="BE212" s="27"/>
      <c r="BF212" s="416">
        <v>45.621509999999688</v>
      </c>
      <c r="BG212" s="240"/>
      <c r="BH212" s="418"/>
      <c r="BI212" s="30">
        <f t="shared" si="95"/>
        <v>45.621509999999688</v>
      </c>
      <c r="BK212" s="58">
        <v>13689.15</v>
      </c>
      <c r="BL212" s="63">
        <v>958.49</v>
      </c>
      <c r="BM212" s="58">
        <v>560.42999999999995</v>
      </c>
      <c r="BN212" s="60"/>
      <c r="BO212" s="27"/>
      <c r="BP212" s="416">
        <v>199.60835999999981</v>
      </c>
      <c r="BQ212" s="416">
        <v>222.83513333333335</v>
      </c>
      <c r="BR212" s="240">
        <v>116.80171366190535</v>
      </c>
      <c r="BS212" s="418"/>
      <c r="BT212" s="30">
        <f t="shared" si="99"/>
        <v>1099.6752069952386</v>
      </c>
      <c r="BV212" s="58">
        <v>5587.76</v>
      </c>
      <c r="BW212" s="63">
        <v>1278.25</v>
      </c>
      <c r="BX212" s="58">
        <v>1.81</v>
      </c>
      <c r="BY212" s="60"/>
      <c r="BZ212" s="27"/>
      <c r="CA212" s="416"/>
      <c r="CB212" s="240"/>
      <c r="CC212" s="418"/>
      <c r="CD212" s="30">
        <f t="shared" si="96"/>
        <v>1.81</v>
      </c>
      <c r="CF212" s="58">
        <v>3219.02</v>
      </c>
      <c r="CG212" s="63"/>
      <c r="CH212" s="58">
        <v>144.68</v>
      </c>
      <c r="CI212" s="60"/>
      <c r="CJ212" s="27"/>
      <c r="CK212" s="416">
        <v>9.5213599999999587</v>
      </c>
      <c r="CL212" s="240"/>
      <c r="CM212" s="418"/>
      <c r="CN212" s="30">
        <f t="shared" si="97"/>
        <v>154.20135999999997</v>
      </c>
      <c r="CP212" s="58">
        <v>4491.43</v>
      </c>
      <c r="CQ212" s="58">
        <v>633.74</v>
      </c>
      <c r="CR212" s="63">
        <v>1881.8899999999999</v>
      </c>
      <c r="CS212" s="58"/>
      <c r="CT212" s="60"/>
      <c r="CU212" s="27"/>
      <c r="CV212" s="416">
        <v>589.20328999999924</v>
      </c>
      <c r="CW212" s="240">
        <v>3.3934470068572011</v>
      </c>
      <c r="CX212" s="418"/>
      <c r="CY212" s="229">
        <f t="shared" si="98"/>
        <v>592.59673700685642</v>
      </c>
    </row>
    <row r="213" spans="1:103" s="217" customFormat="1" ht="15.75" thickBot="1" x14ac:dyDescent="0.3">
      <c r="A213" s="47">
        <v>46128</v>
      </c>
      <c r="B213" s="230">
        <v>2347.3000000000002</v>
      </c>
      <c r="C213" s="231">
        <v>9232.8799999999992</v>
      </c>
      <c r="D213" s="230">
        <v>26.44</v>
      </c>
      <c r="E213" s="232">
        <v>1.19</v>
      </c>
      <c r="F213" s="27"/>
      <c r="G213" s="416">
        <v>60.302399999999963</v>
      </c>
      <c r="H213" s="240"/>
      <c r="I213" s="418"/>
      <c r="J213" s="402">
        <f t="shared" si="91"/>
        <v>86.742399999999961</v>
      </c>
      <c r="L213" s="58">
        <v>20325.439999999999</v>
      </c>
      <c r="M213" s="63">
        <v>7445.99</v>
      </c>
      <c r="N213" s="58">
        <v>255.75</v>
      </c>
      <c r="O213" s="60"/>
      <c r="P213" s="27"/>
      <c r="Q213" s="416">
        <v>434.91421999999937</v>
      </c>
      <c r="R213" s="416">
        <v>134.84800000000001</v>
      </c>
      <c r="S213" s="240">
        <v>48.492072984762103</v>
      </c>
      <c r="T213" s="418"/>
      <c r="U213" s="30">
        <f t="shared" si="90"/>
        <v>874.00429298476149</v>
      </c>
      <c r="V213" s="228"/>
      <c r="W213" s="58">
        <v>4153.16</v>
      </c>
      <c r="X213" s="63"/>
      <c r="Y213" s="58">
        <v>148.63</v>
      </c>
      <c r="Z213" s="60"/>
      <c r="AA213" s="27"/>
      <c r="AB213" s="416">
        <v>91.077330000000075</v>
      </c>
      <c r="AC213" s="240"/>
      <c r="AD213" s="418"/>
      <c r="AE213" s="30">
        <f t="shared" si="92"/>
        <v>239.70733000000007</v>
      </c>
      <c r="AG213" s="58">
        <v>7874.6399999999994</v>
      </c>
      <c r="AH213" s="63">
        <v>504.42</v>
      </c>
      <c r="AI213" s="58">
        <v>324.01</v>
      </c>
      <c r="AJ213" s="60"/>
      <c r="AK213" s="27"/>
      <c r="AL213" s="51"/>
      <c r="AM213" s="52"/>
      <c r="AN213" s="52"/>
      <c r="AO213" s="30">
        <f t="shared" si="93"/>
        <v>324.01</v>
      </c>
      <c r="AQ213" s="58">
        <v>11513.95</v>
      </c>
      <c r="AR213" s="58">
        <v>462.49</v>
      </c>
      <c r="AS213" s="58">
        <v>85.24</v>
      </c>
      <c r="AT213" s="62"/>
      <c r="AU213" s="27"/>
      <c r="AV213" s="416">
        <v>240.09013999999996</v>
      </c>
      <c r="AW213" s="240">
        <v>47.827014387142924</v>
      </c>
      <c r="AX213" s="418">
        <v>26.455129699999986</v>
      </c>
      <c r="AY213" s="30">
        <f t="shared" si="94"/>
        <v>399.61228408714288</v>
      </c>
      <c r="BA213" s="58">
        <v>7634.47</v>
      </c>
      <c r="BB213" s="63"/>
      <c r="BC213" s="58">
        <v>4</v>
      </c>
      <c r="BD213" s="60"/>
      <c r="BE213" s="27"/>
      <c r="BF213" s="416">
        <v>-13.331120000000311</v>
      </c>
      <c r="BG213" s="240"/>
      <c r="BH213" s="418"/>
      <c r="BI213" s="30">
        <f t="shared" si="95"/>
        <v>-9.3311200000003112</v>
      </c>
      <c r="BK213" s="58">
        <v>27705.53</v>
      </c>
      <c r="BL213" s="63">
        <v>707.28</v>
      </c>
      <c r="BM213" s="58">
        <v>508.08</v>
      </c>
      <c r="BN213" s="60"/>
      <c r="BO213" s="27"/>
      <c r="BP213" s="416">
        <v>148.31608999999986</v>
      </c>
      <c r="BQ213" s="416">
        <v>222.83513333333335</v>
      </c>
      <c r="BR213" s="240">
        <v>14.058654102380927</v>
      </c>
      <c r="BS213" s="418"/>
      <c r="BT213" s="30">
        <f t="shared" si="99"/>
        <v>893.28987743571406</v>
      </c>
      <c r="BV213" s="58">
        <v>3990.62</v>
      </c>
      <c r="BW213" s="63">
        <v>1199.6400000000001</v>
      </c>
      <c r="BX213" s="58">
        <v>4.79</v>
      </c>
      <c r="BY213" s="60"/>
      <c r="BZ213" s="27"/>
      <c r="CA213" s="416"/>
      <c r="CB213" s="240"/>
      <c r="CC213" s="418"/>
      <c r="CD213" s="30">
        <f t="shared" si="96"/>
        <v>4.79</v>
      </c>
      <c r="CF213" s="58">
        <v>3763.73</v>
      </c>
      <c r="CG213" s="63"/>
      <c r="CH213" s="58">
        <v>127.88</v>
      </c>
      <c r="CI213" s="60"/>
      <c r="CJ213" s="27"/>
      <c r="CK213" s="416">
        <v>25.702079999999963</v>
      </c>
      <c r="CL213" s="240"/>
      <c r="CM213" s="418"/>
      <c r="CN213" s="30">
        <f t="shared" si="97"/>
        <v>153.58207999999996</v>
      </c>
      <c r="CP213" s="58">
        <v>1799.8</v>
      </c>
      <c r="CQ213" s="58">
        <v>692.91</v>
      </c>
      <c r="CR213" s="63">
        <v>2205.9299999999998</v>
      </c>
      <c r="CS213" s="58">
        <v>10.72</v>
      </c>
      <c r="CT213" s="60"/>
      <c r="CU213" s="27"/>
      <c r="CV213" s="416">
        <v>732.81948999999918</v>
      </c>
      <c r="CW213" s="240">
        <v>7.0864157163809693</v>
      </c>
      <c r="CX213" s="418"/>
      <c r="CY213" s="229">
        <f t="shared" si="98"/>
        <v>750.6259057163802</v>
      </c>
    </row>
    <row r="214" spans="1:103" s="217" customFormat="1" ht="15.75" thickBot="1" x14ac:dyDescent="0.3">
      <c r="A214" s="47">
        <v>46129</v>
      </c>
      <c r="B214" s="230">
        <v>5664.64</v>
      </c>
      <c r="C214" s="231">
        <v>7617.88</v>
      </c>
      <c r="D214" s="230">
        <v>114.5</v>
      </c>
      <c r="E214" s="232">
        <v>0.31</v>
      </c>
      <c r="F214" s="27"/>
      <c r="G214" s="416"/>
      <c r="H214" s="240"/>
      <c r="I214" s="418">
        <v>51.210915600000021</v>
      </c>
      <c r="J214" s="402">
        <f t="shared" si="91"/>
        <v>165.71091560000002</v>
      </c>
      <c r="L214" s="58">
        <v>11648.73</v>
      </c>
      <c r="M214" s="63">
        <v>6973.64</v>
      </c>
      <c r="N214" s="58">
        <v>34.9</v>
      </c>
      <c r="O214" s="60"/>
      <c r="P214" s="27"/>
      <c r="Q214" s="416">
        <v>776.32933999999921</v>
      </c>
      <c r="R214" s="416">
        <v>134.84800000000001</v>
      </c>
      <c r="S214" s="240"/>
      <c r="T214" s="418">
        <v>212.45063360000017</v>
      </c>
      <c r="U214" s="30">
        <f t="shared" si="90"/>
        <v>1158.5279735999995</v>
      </c>
      <c r="V214" s="228"/>
      <c r="W214" s="58">
        <v>1151.08</v>
      </c>
      <c r="X214" s="63"/>
      <c r="Y214" s="58"/>
      <c r="Z214" s="60"/>
      <c r="AA214" s="27"/>
      <c r="AB214" s="416">
        <v>-11.029590000000042</v>
      </c>
      <c r="AC214" s="240"/>
      <c r="AD214" s="418"/>
      <c r="AE214" s="30">
        <f t="shared" si="92"/>
        <v>-11.029590000000042</v>
      </c>
      <c r="AG214" s="58">
        <v>10687.26</v>
      </c>
      <c r="AH214" s="63">
        <v>520.49</v>
      </c>
      <c r="AI214" s="58"/>
      <c r="AJ214" s="60"/>
      <c r="AK214" s="27"/>
      <c r="AL214" s="51"/>
      <c r="AM214" s="52"/>
      <c r="AN214" s="52"/>
      <c r="AO214" s="30">
        <f t="shared" si="93"/>
        <v>0</v>
      </c>
      <c r="AQ214" s="58">
        <v>5862.27</v>
      </c>
      <c r="AR214" s="58">
        <v>630.63</v>
      </c>
      <c r="AS214" s="58">
        <v>6.35</v>
      </c>
      <c r="AT214" s="62"/>
      <c r="AU214" s="27"/>
      <c r="AV214" s="416">
        <v>411.08385999999956</v>
      </c>
      <c r="AW214" s="240"/>
      <c r="AX214" s="418"/>
      <c r="AY214" s="30">
        <f t="shared" si="94"/>
        <v>417.43385999999958</v>
      </c>
      <c r="BA214" s="58">
        <v>8398.52</v>
      </c>
      <c r="BB214" s="63"/>
      <c r="BC214" s="58">
        <v>1403.5</v>
      </c>
      <c r="BD214" s="60"/>
      <c r="BE214" s="27"/>
      <c r="BF214" s="416">
        <v>-77.929170000000298</v>
      </c>
      <c r="BG214" s="240"/>
      <c r="BH214" s="418">
        <v>-147.1545000000001</v>
      </c>
      <c r="BI214" s="30">
        <f t="shared" si="95"/>
        <v>1178.4163299999996</v>
      </c>
      <c r="BK214" s="58">
        <v>23004.65</v>
      </c>
      <c r="BL214" s="63">
        <v>1109.77</v>
      </c>
      <c r="BM214" s="58">
        <v>602.77</v>
      </c>
      <c r="BN214" s="60"/>
      <c r="BO214" s="27"/>
      <c r="BP214" s="416">
        <v>255.30291999999994</v>
      </c>
      <c r="BQ214" s="416">
        <v>222.83513333333335</v>
      </c>
      <c r="BR214" s="240">
        <v>47.567090375714486</v>
      </c>
      <c r="BS214" s="418"/>
      <c r="BT214" s="30">
        <f t="shared" si="99"/>
        <v>1128.4751437090476</v>
      </c>
      <c r="BV214" s="58">
        <v>4319.47</v>
      </c>
      <c r="BW214" s="63">
        <v>1684.41</v>
      </c>
      <c r="BX214" s="58">
        <v>2.72</v>
      </c>
      <c r="BY214" s="60"/>
      <c r="BZ214" s="27"/>
      <c r="CA214" s="416"/>
      <c r="CB214" s="240"/>
      <c r="CC214" s="418"/>
      <c r="CD214" s="30">
        <f t="shared" si="96"/>
        <v>2.72</v>
      </c>
      <c r="CF214" s="58">
        <v>2605.27</v>
      </c>
      <c r="CG214" s="63"/>
      <c r="CH214" s="58">
        <v>419.49</v>
      </c>
      <c r="CI214" s="60"/>
      <c r="CJ214" s="27"/>
      <c r="CK214" s="416">
        <v>8.3367999999999824</v>
      </c>
      <c r="CL214" s="240"/>
      <c r="CM214" s="418"/>
      <c r="CN214" s="30">
        <f t="shared" si="97"/>
        <v>427.82679999999999</v>
      </c>
      <c r="CP214" s="58">
        <v>3920.83</v>
      </c>
      <c r="CQ214" s="58">
        <v>788.69</v>
      </c>
      <c r="CR214" s="63">
        <v>2949.69</v>
      </c>
      <c r="CS214" s="58"/>
      <c r="CT214" s="60"/>
      <c r="CU214" s="27"/>
      <c r="CV214" s="416">
        <v>250.12506999999982</v>
      </c>
      <c r="CW214" s="240">
        <v>6.6575957693333407</v>
      </c>
      <c r="CX214" s="418"/>
      <c r="CY214" s="229">
        <f t="shared" si="98"/>
        <v>256.78266576933316</v>
      </c>
    </row>
    <row r="215" spans="1:103" s="217" customFormat="1" ht="15.75" thickBot="1" x14ac:dyDescent="0.3">
      <c r="A215" s="47">
        <v>46130</v>
      </c>
      <c r="B215" s="230">
        <v>5108.34</v>
      </c>
      <c r="C215" s="231">
        <v>6218.23</v>
      </c>
      <c r="D215" s="230">
        <v>74.25</v>
      </c>
      <c r="E215" s="232">
        <v>2.3199999999999998</v>
      </c>
      <c r="F215" s="27"/>
      <c r="G215" s="416">
        <v>11.999999999999986</v>
      </c>
      <c r="H215" s="240"/>
      <c r="I215" s="418"/>
      <c r="J215" s="402">
        <f t="shared" si="91"/>
        <v>86.249999999999986</v>
      </c>
      <c r="L215" s="58">
        <v>14813.43</v>
      </c>
      <c r="M215" s="63">
        <v>7345.2</v>
      </c>
      <c r="N215" s="58">
        <v>87.2</v>
      </c>
      <c r="O215" s="60"/>
      <c r="P215" s="27"/>
      <c r="Q215" s="416">
        <v>285.72941999999978</v>
      </c>
      <c r="R215" s="416">
        <v>134.84800000000001</v>
      </c>
      <c r="S215" s="240"/>
      <c r="T215" s="418">
        <v>54.614433600000041</v>
      </c>
      <c r="U215" s="30">
        <f t="shared" si="90"/>
        <v>562.39185359999988</v>
      </c>
      <c r="V215" s="228"/>
      <c r="W215" s="58">
        <v>4128.16</v>
      </c>
      <c r="X215" s="63"/>
      <c r="Y215" s="58"/>
      <c r="Z215" s="60"/>
      <c r="AA215" s="27"/>
      <c r="AB215" s="416">
        <v>-2.5736700000000212</v>
      </c>
      <c r="AC215" s="240"/>
      <c r="AD215" s="418"/>
      <c r="AE215" s="30">
        <f t="shared" si="92"/>
        <v>-2.5736700000000212</v>
      </c>
      <c r="AG215" s="58">
        <v>8426.68</v>
      </c>
      <c r="AH215" s="63">
        <v>887.15</v>
      </c>
      <c r="AI215" s="58">
        <v>132</v>
      </c>
      <c r="AJ215" s="60"/>
      <c r="AK215" s="27"/>
      <c r="AL215" s="51"/>
      <c r="AM215" s="52"/>
      <c r="AN215" s="52"/>
      <c r="AO215" s="30">
        <f t="shared" si="93"/>
        <v>132</v>
      </c>
      <c r="AQ215" s="58">
        <v>5787.18</v>
      </c>
      <c r="AR215" s="58">
        <v>1306.47</v>
      </c>
      <c r="AS215" s="58">
        <v>2.5</v>
      </c>
      <c r="AT215" s="62"/>
      <c r="AU215" s="27"/>
      <c r="AV215" s="416">
        <v>132.61472999999995</v>
      </c>
      <c r="AW215" s="240">
        <v>247.3737125509524</v>
      </c>
      <c r="AX215" s="418"/>
      <c r="AY215" s="30">
        <f t="shared" si="94"/>
        <v>382.48844255095236</v>
      </c>
      <c r="BA215" s="58">
        <v>7259.9</v>
      </c>
      <c r="BB215" s="63"/>
      <c r="BC215" s="58"/>
      <c r="BD215" s="60"/>
      <c r="BE215" s="27"/>
      <c r="BF215" s="416">
        <v>-8.1041400000000863</v>
      </c>
      <c r="BG215" s="240"/>
      <c r="BH215" s="418"/>
      <c r="BI215" s="30">
        <f t="shared" si="95"/>
        <v>-8.1041400000000863</v>
      </c>
      <c r="BK215" s="58">
        <v>18836.38</v>
      </c>
      <c r="BL215" s="63">
        <v>894.84</v>
      </c>
      <c r="BM215" s="58">
        <v>396.37</v>
      </c>
      <c r="BN215" s="60"/>
      <c r="BO215" s="27"/>
      <c r="BP215" s="416">
        <v>46.38057999999991</v>
      </c>
      <c r="BQ215" s="416">
        <v>222.83513333333335</v>
      </c>
      <c r="BR215" s="240">
        <v>60.213071610476476</v>
      </c>
      <c r="BS215" s="418">
        <v>89.893186499999956</v>
      </c>
      <c r="BT215" s="30">
        <f t="shared" si="99"/>
        <v>815.69197144380973</v>
      </c>
      <c r="BV215" s="58">
        <v>4047.45</v>
      </c>
      <c r="BW215" s="63">
        <v>1152.1199999999999</v>
      </c>
      <c r="BX215" s="58">
        <v>3.28</v>
      </c>
      <c r="BY215" s="60"/>
      <c r="BZ215" s="27"/>
      <c r="CA215" s="416"/>
      <c r="CB215" s="240"/>
      <c r="CC215" s="418"/>
      <c r="CD215" s="30">
        <f t="shared" si="96"/>
        <v>3.28</v>
      </c>
      <c r="CF215" s="58">
        <v>3353.15</v>
      </c>
      <c r="CG215" s="63"/>
      <c r="CH215" s="58">
        <v>269.49</v>
      </c>
      <c r="CI215" s="60"/>
      <c r="CJ215" s="27"/>
      <c r="CK215" s="416">
        <v>8.5435199999999938</v>
      </c>
      <c r="CL215" s="240"/>
      <c r="CM215" s="418"/>
      <c r="CN215" s="30">
        <f t="shared" si="97"/>
        <v>278.03352000000001</v>
      </c>
      <c r="CP215" s="58">
        <v>4480.97</v>
      </c>
      <c r="CQ215" s="58">
        <v>1229.8699999999999</v>
      </c>
      <c r="CR215" s="63">
        <v>4772.43</v>
      </c>
      <c r="CS215" s="58"/>
      <c r="CT215" s="60"/>
      <c r="CU215" s="27"/>
      <c r="CV215" s="416">
        <v>430.79113999999913</v>
      </c>
      <c r="CW215" s="240"/>
      <c r="CX215" s="418"/>
      <c r="CY215" s="229">
        <f t="shared" si="98"/>
        <v>430.79113999999913</v>
      </c>
    </row>
    <row r="216" spans="1:103" s="217" customFormat="1" ht="15.75" thickBot="1" x14ac:dyDescent="0.3">
      <c r="A216" s="47">
        <v>46131</v>
      </c>
      <c r="B216" s="230">
        <v>6431.12</v>
      </c>
      <c r="C216" s="231">
        <v>5691.77</v>
      </c>
      <c r="D216" s="230">
        <v>258.16000000000003</v>
      </c>
      <c r="E216" s="232"/>
      <c r="F216" s="27"/>
      <c r="G216" s="416"/>
      <c r="H216" s="240">
        <v>23.670116599047674</v>
      </c>
      <c r="I216" s="418"/>
      <c r="J216" s="402">
        <f t="shared" si="91"/>
        <v>281.8301165990477</v>
      </c>
      <c r="L216" s="58">
        <v>8571</v>
      </c>
      <c r="M216" s="63">
        <v>6394.55</v>
      </c>
      <c r="N216" s="58">
        <v>16.03</v>
      </c>
      <c r="O216" s="60"/>
      <c r="P216" s="27"/>
      <c r="Q216" s="416">
        <v>77.332239999999942</v>
      </c>
      <c r="R216" s="416">
        <v>134.84800000000001</v>
      </c>
      <c r="S216" s="240"/>
      <c r="T216" s="418">
        <v>43.86201010000002</v>
      </c>
      <c r="U216" s="30">
        <f t="shared" si="90"/>
        <v>272.07225010000002</v>
      </c>
      <c r="V216" s="228"/>
      <c r="W216" s="58">
        <v>3317.26</v>
      </c>
      <c r="X216" s="63"/>
      <c r="Y216" s="58"/>
      <c r="Z216" s="60"/>
      <c r="AA216" s="27"/>
      <c r="AB216" s="416"/>
      <c r="AC216" s="240"/>
      <c r="AD216" s="418"/>
      <c r="AE216" s="30">
        <f t="shared" si="92"/>
        <v>0</v>
      </c>
      <c r="AG216" s="58">
        <v>7600.5</v>
      </c>
      <c r="AH216" s="63">
        <v>657.68</v>
      </c>
      <c r="AI216" s="58"/>
      <c r="AJ216" s="60"/>
      <c r="AK216" s="27"/>
      <c r="AL216" s="51"/>
      <c r="AM216" s="52"/>
      <c r="AN216" s="52"/>
      <c r="AO216" s="30">
        <f t="shared" si="93"/>
        <v>0</v>
      </c>
      <c r="AQ216" s="58">
        <v>2131.08</v>
      </c>
      <c r="AR216" s="58">
        <v>1009.06</v>
      </c>
      <c r="AS216" s="58">
        <v>42.3</v>
      </c>
      <c r="AT216" s="62"/>
      <c r="AU216" s="27"/>
      <c r="AV216" s="416">
        <v>59.071639999999917</v>
      </c>
      <c r="AW216" s="240"/>
      <c r="AX216" s="418"/>
      <c r="AY216" s="30">
        <f t="shared" si="94"/>
        <v>101.37163999999991</v>
      </c>
      <c r="BA216" s="58">
        <v>6126.21</v>
      </c>
      <c r="BB216" s="63"/>
      <c r="BC216" s="58"/>
      <c r="BD216" s="60"/>
      <c r="BE216" s="27"/>
      <c r="BF216" s="416">
        <v>-15.82878000000008</v>
      </c>
      <c r="BG216" s="240"/>
      <c r="BH216" s="418">
        <v>130.44794369999977</v>
      </c>
      <c r="BI216" s="30">
        <f t="shared" si="95"/>
        <v>114.61916369999969</v>
      </c>
      <c r="BK216" s="58">
        <v>17770.32</v>
      </c>
      <c r="BL216" s="63">
        <v>1087.56</v>
      </c>
      <c r="BM216" s="58">
        <v>20</v>
      </c>
      <c r="BN216" s="60"/>
      <c r="BO216" s="27"/>
      <c r="BP216" s="416">
        <v>39.061839999999961</v>
      </c>
      <c r="BQ216" s="416">
        <v>222.83513333333335</v>
      </c>
      <c r="BR216" s="240">
        <v>8.2618548657142838</v>
      </c>
      <c r="BS216" s="418"/>
      <c r="BT216" s="30">
        <f t="shared" si="99"/>
        <v>290.1588281990476</v>
      </c>
      <c r="BV216" s="58">
        <v>2656.45</v>
      </c>
      <c r="BW216" s="63">
        <v>1307.57</v>
      </c>
      <c r="BX216" s="58"/>
      <c r="BY216" s="60"/>
      <c r="BZ216" s="27"/>
      <c r="CA216" s="416"/>
      <c r="CB216" s="240"/>
      <c r="CC216" s="418"/>
      <c r="CD216" s="30">
        <f t="shared" si="96"/>
        <v>0</v>
      </c>
      <c r="CF216" s="58">
        <v>3145.8</v>
      </c>
      <c r="CG216" s="63"/>
      <c r="CH216" s="58">
        <v>139.41999999999999</v>
      </c>
      <c r="CI216" s="60"/>
      <c r="CJ216" s="27"/>
      <c r="CK216" s="416"/>
      <c r="CL216" s="240">
        <v>16.077457623809664</v>
      </c>
      <c r="CM216" s="418"/>
      <c r="CN216" s="30">
        <f t="shared" si="97"/>
        <v>155.49745762380965</v>
      </c>
      <c r="CP216" s="58">
        <v>4770.55</v>
      </c>
      <c r="CQ216" s="58">
        <v>1348.91</v>
      </c>
      <c r="CR216" s="63">
        <v>3242.81</v>
      </c>
      <c r="CS216" s="58"/>
      <c r="CT216" s="60"/>
      <c r="CU216" s="27"/>
      <c r="CV216" s="416"/>
      <c r="CW216" s="240"/>
      <c r="CX216" s="418"/>
      <c r="CY216" s="229">
        <f t="shared" si="98"/>
        <v>0</v>
      </c>
    </row>
    <row r="217" spans="1:103" s="217" customFormat="1" ht="15.75" thickBot="1" x14ac:dyDescent="0.3">
      <c r="A217" s="47">
        <v>46132</v>
      </c>
      <c r="B217" s="230">
        <v>10204.030000000001</v>
      </c>
      <c r="C217" s="231">
        <v>6647.83</v>
      </c>
      <c r="D217" s="230">
        <v>216.52</v>
      </c>
      <c r="E217" s="232">
        <v>0.21</v>
      </c>
      <c r="F217" s="27"/>
      <c r="G217" s="416">
        <v>4.5378499999999988</v>
      </c>
      <c r="H217" s="240">
        <v>16.190573310476196</v>
      </c>
      <c r="I217" s="418"/>
      <c r="J217" s="402">
        <f t="shared" si="91"/>
        <v>237.2484233104762</v>
      </c>
      <c r="L217" s="58">
        <v>17083.88</v>
      </c>
      <c r="M217" s="63">
        <v>7191.76</v>
      </c>
      <c r="N217" s="58">
        <v>237.17</v>
      </c>
      <c r="O217" s="60"/>
      <c r="P217" s="27"/>
      <c r="Q217" s="416">
        <v>491.84194999999943</v>
      </c>
      <c r="R217" s="416">
        <v>134.84800000000001</v>
      </c>
      <c r="S217" s="240">
        <v>41.506723677142872</v>
      </c>
      <c r="T217" s="418">
        <v>227.78239870000004</v>
      </c>
      <c r="U217" s="30">
        <f t="shared" si="90"/>
        <v>1133.1490723771424</v>
      </c>
      <c r="V217" s="228"/>
      <c r="W217" s="58">
        <v>910.15</v>
      </c>
      <c r="X217" s="63"/>
      <c r="Y217" s="58"/>
      <c r="Z217" s="60"/>
      <c r="AA217" s="27"/>
      <c r="AB217" s="416">
        <v>-5.4753600000000233</v>
      </c>
      <c r="AC217" s="240"/>
      <c r="AD217" s="418"/>
      <c r="AE217" s="30">
        <f t="shared" si="92"/>
        <v>-5.4753600000000233</v>
      </c>
      <c r="AG217" s="58">
        <v>11243.539999999999</v>
      </c>
      <c r="AH217" s="63">
        <v>220.97</v>
      </c>
      <c r="AI217" s="58"/>
      <c r="AJ217" s="60"/>
      <c r="AK217" s="27"/>
      <c r="AL217" s="51"/>
      <c r="AM217" s="52"/>
      <c r="AN217" s="52"/>
      <c r="AO217" s="30">
        <f t="shared" si="93"/>
        <v>0</v>
      </c>
      <c r="AQ217" s="58">
        <v>5163.4399999999996</v>
      </c>
      <c r="AR217" s="58">
        <v>693.12</v>
      </c>
      <c r="AS217" s="58">
        <v>7.44</v>
      </c>
      <c r="AT217" s="62"/>
      <c r="AU217" s="27"/>
      <c r="AV217" s="416">
        <v>366.59103999999974</v>
      </c>
      <c r="AW217" s="240">
        <v>101.90013468380957</v>
      </c>
      <c r="AX217" s="418"/>
      <c r="AY217" s="30">
        <f t="shared" si="94"/>
        <v>475.93117468380927</v>
      </c>
      <c r="BA217" s="58">
        <v>15487.52</v>
      </c>
      <c r="BB217" s="63"/>
      <c r="BC217" s="58"/>
      <c r="BD217" s="60"/>
      <c r="BE217" s="27"/>
      <c r="BF217" s="416">
        <v>-28.359679999999884</v>
      </c>
      <c r="BG217" s="240"/>
      <c r="BH217" s="418">
        <v>82.053131399999984</v>
      </c>
      <c r="BI217" s="30">
        <f t="shared" si="95"/>
        <v>53.6934514000001</v>
      </c>
      <c r="BK217" s="58">
        <v>17133.55</v>
      </c>
      <c r="BL217" s="63">
        <v>719.41</v>
      </c>
      <c r="BM217" s="58">
        <v>472.35</v>
      </c>
      <c r="BN217" s="60"/>
      <c r="BO217" s="27"/>
      <c r="BP217" s="416">
        <v>594.84047999999962</v>
      </c>
      <c r="BQ217" s="416">
        <v>222.83513333333335</v>
      </c>
      <c r="BR217" s="240"/>
      <c r="BS217" s="418">
        <v>456.81942740000045</v>
      </c>
      <c r="BT217" s="30">
        <f t="shared" si="99"/>
        <v>1746.8450407333335</v>
      </c>
      <c r="BV217" s="58">
        <v>5357.64</v>
      </c>
      <c r="BW217" s="63">
        <v>874.71</v>
      </c>
      <c r="BX217" s="58">
        <v>2.33</v>
      </c>
      <c r="BY217" s="60"/>
      <c r="BZ217" s="27"/>
      <c r="CA217" s="416"/>
      <c r="CB217" s="240"/>
      <c r="CC217" s="418"/>
      <c r="CD217" s="30">
        <f t="shared" si="96"/>
        <v>2.33</v>
      </c>
      <c r="CF217" s="58">
        <v>11650.11</v>
      </c>
      <c r="CG217" s="63"/>
      <c r="CH217" s="58">
        <v>1196.3399999999999</v>
      </c>
      <c r="CI217" s="60"/>
      <c r="CJ217" s="27"/>
      <c r="CK217" s="416"/>
      <c r="CL217" s="240"/>
      <c r="CM217" s="418"/>
      <c r="CN217" s="30">
        <f t="shared" si="97"/>
        <v>1196.3399999999999</v>
      </c>
      <c r="CP217" s="58">
        <v>1386.01</v>
      </c>
      <c r="CQ217" s="58">
        <v>512.83000000000004</v>
      </c>
      <c r="CR217" s="63">
        <v>4270.28</v>
      </c>
      <c r="CS217" s="58"/>
      <c r="CT217" s="60"/>
      <c r="CU217" s="27"/>
      <c r="CV217" s="416">
        <v>215.3345999999998</v>
      </c>
      <c r="CW217" s="240">
        <v>14.818133011809664</v>
      </c>
      <c r="CX217" s="418"/>
      <c r="CY217" s="229">
        <f t="shared" si="98"/>
        <v>230.15273301180946</v>
      </c>
    </row>
    <row r="218" spans="1:103" s="217" customFormat="1" ht="15.75" thickBot="1" x14ac:dyDescent="0.3">
      <c r="A218" s="47">
        <v>46133</v>
      </c>
      <c r="B218" s="230">
        <v>1960.59</v>
      </c>
      <c r="C218" s="231">
        <v>5710.33</v>
      </c>
      <c r="D218" s="230">
        <v>2384.9</v>
      </c>
      <c r="E218" s="232"/>
      <c r="F218" s="27"/>
      <c r="G218" s="416">
        <v>75.345059999999876</v>
      </c>
      <c r="H218" s="240">
        <v>57.764620520000051</v>
      </c>
      <c r="I218" s="418">
        <v>73.39321289999998</v>
      </c>
      <c r="J218" s="402">
        <f t="shared" si="91"/>
        <v>2591.4028934200001</v>
      </c>
      <c r="L218" s="58">
        <v>10362.459999999999</v>
      </c>
      <c r="M218" s="63">
        <v>7987.16</v>
      </c>
      <c r="N218" s="58">
        <v>40.11</v>
      </c>
      <c r="O218" s="60"/>
      <c r="P218" s="27"/>
      <c r="Q218" s="416">
        <v>920.51552999999944</v>
      </c>
      <c r="R218" s="416">
        <v>134.84800000000001</v>
      </c>
      <c r="S218" s="240">
        <v>104.60375056000009</v>
      </c>
      <c r="T218" s="418">
        <v>27.388083600000016</v>
      </c>
      <c r="U218" s="30">
        <f t="shared" si="90"/>
        <v>1227.4653641599994</v>
      </c>
      <c r="V218" s="228"/>
      <c r="W218" s="58">
        <v>1700.45</v>
      </c>
      <c r="X218" s="63"/>
      <c r="Y218" s="58"/>
      <c r="Z218" s="60"/>
      <c r="AA218" s="27"/>
      <c r="AB218" s="416">
        <v>-7.4473600000000602</v>
      </c>
      <c r="AC218" s="240"/>
      <c r="AD218" s="418"/>
      <c r="AE218" s="30">
        <f t="shared" si="92"/>
        <v>-7.4473600000000602</v>
      </c>
      <c r="AG218" s="58">
        <v>16544.2</v>
      </c>
      <c r="AH218" s="63">
        <v>803.18</v>
      </c>
      <c r="AI218" s="58">
        <v>572</v>
      </c>
      <c r="AJ218" s="60"/>
      <c r="AK218" s="27"/>
      <c r="AL218" s="51"/>
      <c r="AM218" s="52"/>
      <c r="AN218" s="52"/>
      <c r="AO218" s="30">
        <f t="shared" si="93"/>
        <v>572</v>
      </c>
      <c r="AQ218" s="58">
        <v>7234.96</v>
      </c>
      <c r="AR218" s="58">
        <v>1187.53</v>
      </c>
      <c r="AS218" s="58">
        <v>23.43</v>
      </c>
      <c r="AT218" s="62"/>
      <c r="AU218" s="27"/>
      <c r="AV218" s="416">
        <v>636.17957999999931</v>
      </c>
      <c r="AW218" s="240">
        <v>96.382339039999977</v>
      </c>
      <c r="AX218" s="418"/>
      <c r="AY218" s="30">
        <f t="shared" si="94"/>
        <v>755.99191903999929</v>
      </c>
      <c r="BA218" s="58">
        <v>7491.46</v>
      </c>
      <c r="BB218" s="63"/>
      <c r="BC218" s="58">
        <v>1649.98</v>
      </c>
      <c r="BD218" s="60"/>
      <c r="BE218" s="27"/>
      <c r="BF218" s="416">
        <v>-8.260000000000133</v>
      </c>
      <c r="BG218" s="240"/>
      <c r="BH218" s="418"/>
      <c r="BI218" s="30">
        <f t="shared" si="95"/>
        <v>1641.7199999999998</v>
      </c>
      <c r="BK218" s="58">
        <v>35055.43</v>
      </c>
      <c r="BL218" s="63">
        <v>726.85</v>
      </c>
      <c r="BM218" s="58">
        <v>502.67</v>
      </c>
      <c r="BN218" s="60"/>
      <c r="BO218" s="27"/>
      <c r="BP218" s="416">
        <v>170.71789999999964</v>
      </c>
      <c r="BQ218" s="416">
        <v>222.83513333333335</v>
      </c>
      <c r="BR218" s="240">
        <v>146.93176463999998</v>
      </c>
      <c r="BS218" s="418"/>
      <c r="BT218" s="30">
        <f t="shared" si="99"/>
        <v>1043.154797973333</v>
      </c>
      <c r="BV218" s="58">
        <v>4142.1899999999996</v>
      </c>
      <c r="BW218" s="63">
        <v>1298.4000000000001</v>
      </c>
      <c r="BX218" s="58">
        <v>7.11</v>
      </c>
      <c r="BY218" s="60"/>
      <c r="BZ218" s="27"/>
      <c r="CA218" s="416"/>
      <c r="CB218" s="240"/>
      <c r="CC218" s="418"/>
      <c r="CD218" s="30">
        <f t="shared" si="96"/>
        <v>7.11</v>
      </c>
      <c r="CF218" s="58">
        <v>3310.54</v>
      </c>
      <c r="CG218" s="63"/>
      <c r="CH218" s="58">
        <v>599.79999999999995</v>
      </c>
      <c r="CI218" s="60"/>
      <c r="CJ218" s="27"/>
      <c r="CK218" s="416"/>
      <c r="CL218" s="240"/>
      <c r="CM218" s="418"/>
      <c r="CN218" s="30">
        <f t="shared" si="97"/>
        <v>599.79999999999995</v>
      </c>
      <c r="CP218" s="58">
        <v>2346.11</v>
      </c>
      <c r="CQ218" s="58">
        <v>925.16</v>
      </c>
      <c r="CR218" s="63">
        <v>3557.03</v>
      </c>
      <c r="CS218" s="58"/>
      <c r="CT218" s="60"/>
      <c r="CU218" s="27"/>
      <c r="CV218" s="416">
        <v>709.18949999999927</v>
      </c>
      <c r="CW218" s="240">
        <v>35.113065120000044</v>
      </c>
      <c r="CX218" s="418"/>
      <c r="CY218" s="229">
        <f t="shared" si="98"/>
        <v>744.30256511999937</v>
      </c>
    </row>
    <row r="219" spans="1:103" s="217" customFormat="1" ht="15.75" thickBot="1" x14ac:dyDescent="0.3">
      <c r="A219" s="47">
        <v>46134</v>
      </c>
      <c r="B219" s="230">
        <v>3294.8</v>
      </c>
      <c r="C219" s="231">
        <v>7533.36</v>
      </c>
      <c r="D219" s="230">
        <v>843.05</v>
      </c>
      <c r="E219" s="232">
        <v>1.67</v>
      </c>
      <c r="F219" s="27"/>
      <c r="G219" s="416"/>
      <c r="H219" s="240">
        <v>48.772192240000038</v>
      </c>
      <c r="I219" s="418"/>
      <c r="J219" s="402">
        <f t="shared" si="91"/>
        <v>891.82219224000005</v>
      </c>
      <c r="L219" s="58">
        <v>15874.17</v>
      </c>
      <c r="M219" s="63">
        <v>7525.03</v>
      </c>
      <c r="N219" s="58">
        <v>269.77999999999997</v>
      </c>
      <c r="O219" s="60"/>
      <c r="P219" s="27"/>
      <c r="Q219" s="416">
        <v>727.89620999999966</v>
      </c>
      <c r="R219" s="416">
        <v>134.84800000000001</v>
      </c>
      <c r="S219" s="240"/>
      <c r="T219" s="418">
        <v>283.4067579</v>
      </c>
      <c r="U219" s="30">
        <f t="shared" si="90"/>
        <v>1415.9309678999996</v>
      </c>
      <c r="V219" s="228"/>
      <c r="W219" s="58">
        <v>2711.15</v>
      </c>
      <c r="X219" s="63"/>
      <c r="Y219" s="58"/>
      <c r="Z219" s="60"/>
      <c r="AA219" s="27"/>
      <c r="AB219" s="416">
        <v>31.509660000000007</v>
      </c>
      <c r="AC219" s="240"/>
      <c r="AD219" s="418"/>
      <c r="AE219" s="30">
        <f t="shared" si="92"/>
        <v>31.509660000000007</v>
      </c>
      <c r="AG219" s="58">
        <v>12581.240000000002</v>
      </c>
      <c r="AH219" s="63">
        <v>513.32000000000005</v>
      </c>
      <c r="AI219" s="58"/>
      <c r="AJ219" s="60"/>
      <c r="AK219" s="27"/>
      <c r="AL219" s="51"/>
      <c r="AM219" s="52"/>
      <c r="AN219" s="52"/>
      <c r="AO219" s="30">
        <f t="shared" si="93"/>
        <v>0</v>
      </c>
      <c r="AQ219" s="58">
        <v>5457.09</v>
      </c>
      <c r="AR219" s="58">
        <v>671.84</v>
      </c>
      <c r="AS219" s="58">
        <v>59.23</v>
      </c>
      <c r="AT219" s="62"/>
      <c r="AU219" s="27"/>
      <c r="AV219" s="416">
        <v>420.15862999999985</v>
      </c>
      <c r="AW219" s="240">
        <v>65.686222559999976</v>
      </c>
      <c r="AX219" s="418"/>
      <c r="AY219" s="30">
        <f t="shared" si="94"/>
        <v>545.07485255999984</v>
      </c>
      <c r="BA219" s="58">
        <v>9254.93</v>
      </c>
      <c r="BB219" s="63"/>
      <c r="BC219" s="58">
        <v>2200</v>
      </c>
      <c r="BD219" s="60"/>
      <c r="BE219" s="27"/>
      <c r="BF219" s="416">
        <v>82.204909999999998</v>
      </c>
      <c r="BG219" s="240"/>
      <c r="BH219" s="418">
        <v>157.7879999999999</v>
      </c>
      <c r="BI219" s="30">
        <f t="shared" si="95"/>
        <v>2439.9929099999999</v>
      </c>
      <c r="BK219" s="58">
        <v>13731.93</v>
      </c>
      <c r="BL219" s="63">
        <v>890.16</v>
      </c>
      <c r="BM219" s="58">
        <v>529.45000000000005</v>
      </c>
      <c r="BN219" s="60"/>
      <c r="BO219" s="27"/>
      <c r="BP219" s="416">
        <v>1345.1067799999996</v>
      </c>
      <c r="BQ219" s="416">
        <v>222.83513333333335</v>
      </c>
      <c r="BR219" s="240">
        <v>66.369752064000011</v>
      </c>
      <c r="BS219" s="418">
        <v>158.6392128</v>
      </c>
      <c r="BT219" s="30">
        <f t="shared" si="99"/>
        <v>2322.400878197333</v>
      </c>
      <c r="BV219" s="58">
        <v>6409.86</v>
      </c>
      <c r="BW219" s="63">
        <v>1229.9000000000001</v>
      </c>
      <c r="BX219" s="58">
        <v>3.04</v>
      </c>
      <c r="BY219" s="60"/>
      <c r="BZ219" s="27"/>
      <c r="CA219" s="416"/>
      <c r="CB219" s="240"/>
      <c r="CC219" s="418"/>
      <c r="CD219" s="30">
        <f t="shared" si="96"/>
        <v>3.04</v>
      </c>
      <c r="CF219" s="58">
        <v>2940.88</v>
      </c>
      <c r="CG219" s="63"/>
      <c r="CH219" s="58">
        <v>115.62</v>
      </c>
      <c r="CI219" s="60"/>
      <c r="CJ219" s="27"/>
      <c r="CK219" s="416"/>
      <c r="CL219" s="240"/>
      <c r="CM219" s="418"/>
      <c r="CN219" s="30">
        <f t="shared" si="97"/>
        <v>115.62</v>
      </c>
      <c r="CP219" s="58">
        <v>7052.89</v>
      </c>
      <c r="CQ219" s="58">
        <v>1316.98</v>
      </c>
      <c r="CR219" s="63">
        <v>4912.08</v>
      </c>
      <c r="CS219" s="58">
        <v>3.57</v>
      </c>
      <c r="CT219" s="60"/>
      <c r="CU219" s="27"/>
      <c r="CV219" s="416">
        <v>1118.5311499999998</v>
      </c>
      <c r="CW219" s="240">
        <v>23.123520000000042</v>
      </c>
      <c r="CX219" s="418">
        <v>12.842240000000004</v>
      </c>
      <c r="CY219" s="229">
        <f t="shared" si="98"/>
        <v>1158.0669099999998</v>
      </c>
    </row>
    <row r="220" spans="1:103" s="217" customFormat="1" ht="15.75" thickBot="1" x14ac:dyDescent="0.3">
      <c r="A220" s="47">
        <v>46135</v>
      </c>
      <c r="B220" s="230">
        <v>3393.95</v>
      </c>
      <c r="C220" s="231">
        <v>7114.46</v>
      </c>
      <c r="D220" s="230">
        <v>362.87</v>
      </c>
      <c r="E220" s="232">
        <v>0.41</v>
      </c>
      <c r="F220" s="27"/>
      <c r="G220" s="416"/>
      <c r="H220" s="240"/>
      <c r="I220" s="418"/>
      <c r="J220" s="402">
        <f t="shared" si="91"/>
        <v>362.87</v>
      </c>
      <c r="L220" s="58">
        <v>14943.71</v>
      </c>
      <c r="M220" s="63">
        <v>7349.04</v>
      </c>
      <c r="N220" s="58">
        <v>232.72</v>
      </c>
      <c r="O220" s="60"/>
      <c r="P220" s="27"/>
      <c r="Q220" s="416">
        <v>937.26548999999977</v>
      </c>
      <c r="R220" s="416">
        <v>134.84800000000001</v>
      </c>
      <c r="S220" s="240"/>
      <c r="T220" s="418">
        <v>16.217348100000009</v>
      </c>
      <c r="U220" s="30">
        <f t="shared" si="90"/>
        <v>1321.0508380999997</v>
      </c>
      <c r="V220" s="228"/>
      <c r="W220" s="58">
        <v>774.59</v>
      </c>
      <c r="X220" s="63"/>
      <c r="Y220" s="58"/>
      <c r="Z220" s="60"/>
      <c r="AA220" s="27"/>
      <c r="AB220" s="416">
        <v>2.4616500000000201</v>
      </c>
      <c r="AC220" s="240"/>
      <c r="AD220" s="418"/>
      <c r="AE220" s="30">
        <f t="shared" si="92"/>
        <v>2.4616500000000201</v>
      </c>
      <c r="AG220" s="58">
        <v>10256.09</v>
      </c>
      <c r="AH220" s="63">
        <v>898.63</v>
      </c>
      <c r="AI220" s="58"/>
      <c r="AJ220" s="60"/>
      <c r="AK220" s="27"/>
      <c r="AL220" s="51"/>
      <c r="AM220" s="52"/>
      <c r="AN220" s="52"/>
      <c r="AO220" s="30">
        <f t="shared" si="93"/>
        <v>0</v>
      </c>
      <c r="AQ220" s="58">
        <v>5663.66</v>
      </c>
      <c r="AR220" s="58">
        <v>700.75</v>
      </c>
      <c r="AS220" s="58">
        <v>65.87</v>
      </c>
      <c r="AT220" s="62"/>
      <c r="AU220" s="27"/>
      <c r="AV220" s="416">
        <v>411.69621999999981</v>
      </c>
      <c r="AW220" s="240">
        <v>152.34602367999992</v>
      </c>
      <c r="AX220" s="418">
        <v>56.484049999999968</v>
      </c>
      <c r="AY220" s="30">
        <f t="shared" si="94"/>
        <v>686.39629367999976</v>
      </c>
      <c r="BA220" s="58">
        <v>3873.26</v>
      </c>
      <c r="BB220" s="63"/>
      <c r="BC220" s="58">
        <v>46.2</v>
      </c>
      <c r="BD220" s="60"/>
      <c r="BE220" s="27"/>
      <c r="BF220" s="416">
        <v>10.231350000000077</v>
      </c>
      <c r="BG220" s="240"/>
      <c r="BH220" s="418">
        <v>6.1631388000000698</v>
      </c>
      <c r="BI220" s="30">
        <f t="shared" si="95"/>
        <v>62.59448880000015</v>
      </c>
      <c r="BK220" s="58">
        <v>22745.83</v>
      </c>
      <c r="BL220" s="63">
        <v>1145.43</v>
      </c>
      <c r="BM220" s="58">
        <v>467.36</v>
      </c>
      <c r="BN220" s="60"/>
      <c r="BO220" s="27"/>
      <c r="BP220" s="416">
        <v>361.18484999999987</v>
      </c>
      <c r="BQ220" s="416">
        <v>222.83513333333335</v>
      </c>
      <c r="BR220" s="240"/>
      <c r="BS220" s="418"/>
      <c r="BT220" s="30">
        <f t="shared" si="99"/>
        <v>1051.3799833333333</v>
      </c>
      <c r="BV220" s="58">
        <v>5629.69</v>
      </c>
      <c r="BW220" s="63">
        <v>863.95</v>
      </c>
      <c r="BX220" s="58">
        <v>4.41</v>
      </c>
      <c r="BY220" s="60"/>
      <c r="BZ220" s="27"/>
      <c r="CA220" s="416"/>
      <c r="CB220" s="240"/>
      <c r="CC220" s="418"/>
      <c r="CD220" s="30">
        <f t="shared" si="96"/>
        <v>4.41</v>
      </c>
      <c r="CF220" s="58">
        <v>7750.55</v>
      </c>
      <c r="CG220" s="63"/>
      <c r="CH220" s="58">
        <v>291.23</v>
      </c>
      <c r="CI220" s="60"/>
      <c r="CJ220" s="27"/>
      <c r="CK220" s="416">
        <v>149.7412400000002</v>
      </c>
      <c r="CL220" s="240">
        <v>43.939907040000037</v>
      </c>
      <c r="CM220" s="418"/>
      <c r="CN220" s="30">
        <f t="shared" si="97"/>
        <v>484.91114704000029</v>
      </c>
      <c r="CP220" s="58">
        <v>4674.5</v>
      </c>
      <c r="CQ220" s="58">
        <v>718.63</v>
      </c>
      <c r="CR220" s="63">
        <v>2668.57</v>
      </c>
      <c r="CS220" s="58"/>
      <c r="CT220" s="60"/>
      <c r="CU220" s="27"/>
      <c r="CV220" s="416">
        <v>604.96468999999979</v>
      </c>
      <c r="CW220" s="240">
        <v>30.251987359999987</v>
      </c>
      <c r="CX220" s="418"/>
      <c r="CY220" s="229">
        <f t="shared" si="98"/>
        <v>635.21667735999972</v>
      </c>
    </row>
    <row r="221" spans="1:103" s="217" customFormat="1" ht="15.75" thickBot="1" x14ac:dyDescent="0.3">
      <c r="A221" s="47">
        <v>46136</v>
      </c>
      <c r="B221" s="230">
        <v>4337.99</v>
      </c>
      <c r="C221" s="231">
        <v>6194.26</v>
      </c>
      <c r="D221" s="230">
        <v>378.57</v>
      </c>
      <c r="E221" s="232">
        <v>2.2400000000000002</v>
      </c>
      <c r="F221" s="27"/>
      <c r="G221" s="416">
        <v>4.3005599999999973</v>
      </c>
      <c r="H221" s="240">
        <v>26.088547320000032</v>
      </c>
      <c r="I221" s="418">
        <v>115.19659519999993</v>
      </c>
      <c r="J221" s="402">
        <f t="shared" si="91"/>
        <v>524.15570251999998</v>
      </c>
      <c r="L221" s="58">
        <v>13346.79</v>
      </c>
      <c r="M221" s="63">
        <v>8145.27</v>
      </c>
      <c r="N221" s="58">
        <v>54.16</v>
      </c>
      <c r="O221" s="60"/>
      <c r="P221" s="27"/>
      <c r="Q221" s="416">
        <v>606.59126999999978</v>
      </c>
      <c r="R221" s="416">
        <v>134.84800000000001</v>
      </c>
      <c r="S221" s="240"/>
      <c r="T221" s="418">
        <v>392.87673819999975</v>
      </c>
      <c r="U221" s="30">
        <f t="shared" si="90"/>
        <v>1188.4760081999996</v>
      </c>
      <c r="V221" s="228"/>
      <c r="W221" s="58">
        <v>2662.79</v>
      </c>
      <c r="X221" s="63"/>
      <c r="Y221" s="58"/>
      <c r="Z221" s="60"/>
      <c r="AA221" s="27"/>
      <c r="AB221" s="416">
        <v>38.935259999999971</v>
      </c>
      <c r="AC221" s="240"/>
      <c r="AD221" s="418"/>
      <c r="AE221" s="30">
        <f t="shared" si="92"/>
        <v>38.935259999999971</v>
      </c>
      <c r="AG221" s="58">
        <v>11191.4</v>
      </c>
      <c r="AH221" s="63">
        <v>530.47</v>
      </c>
      <c r="AI221" s="58"/>
      <c r="AJ221" s="60"/>
      <c r="AK221" s="27"/>
      <c r="AL221" s="51"/>
      <c r="AM221" s="52"/>
      <c r="AN221" s="52"/>
      <c r="AO221" s="30">
        <f t="shared" si="93"/>
        <v>0</v>
      </c>
      <c r="AQ221" s="58">
        <v>4419.8</v>
      </c>
      <c r="AR221" s="58">
        <v>1224.3</v>
      </c>
      <c r="AS221" s="58">
        <v>46.35</v>
      </c>
      <c r="AT221" s="62"/>
      <c r="AU221" s="27"/>
      <c r="AV221" s="416">
        <v>276.66973999999982</v>
      </c>
      <c r="AW221" s="240">
        <v>55.979442399999982</v>
      </c>
      <c r="AX221" s="418"/>
      <c r="AY221" s="30">
        <f t="shared" si="94"/>
        <v>378.99918239999982</v>
      </c>
      <c r="BA221" s="58">
        <v>42848.54</v>
      </c>
      <c r="BB221" s="63"/>
      <c r="BC221" s="58">
        <v>750</v>
      </c>
      <c r="BD221" s="60"/>
      <c r="BE221" s="27"/>
      <c r="BF221" s="416">
        <v>14.651250000000289</v>
      </c>
      <c r="BG221" s="240"/>
      <c r="BH221" s="418"/>
      <c r="BI221" s="30">
        <f t="shared" si="95"/>
        <v>764.65125000000035</v>
      </c>
      <c r="BK221" s="58">
        <v>34426.51</v>
      </c>
      <c r="BL221" s="63">
        <v>1240.73</v>
      </c>
      <c r="BM221" s="58">
        <v>294.07</v>
      </c>
      <c r="BN221" s="60"/>
      <c r="BO221" s="27"/>
      <c r="BP221" s="416">
        <v>872.84408999999982</v>
      </c>
      <c r="BQ221" s="416">
        <v>222.83513333333335</v>
      </c>
      <c r="BR221" s="240">
        <v>5.3652959999999936</v>
      </c>
      <c r="BS221" s="418"/>
      <c r="BT221" s="30">
        <f t="shared" si="99"/>
        <v>1395.114519333333</v>
      </c>
      <c r="BV221" s="58">
        <v>6068.53</v>
      </c>
      <c r="BW221" s="63">
        <v>1525.34</v>
      </c>
      <c r="BX221" s="58">
        <v>6.7</v>
      </c>
      <c r="BY221" s="60"/>
      <c r="BZ221" s="27"/>
      <c r="CA221" s="416"/>
      <c r="CB221" s="240"/>
      <c r="CC221" s="418"/>
      <c r="CD221" s="30">
        <f t="shared" si="96"/>
        <v>6.7</v>
      </c>
      <c r="CF221" s="58">
        <v>2955.92</v>
      </c>
      <c r="CG221" s="63"/>
      <c r="CH221" s="58">
        <v>36.159999999999997</v>
      </c>
      <c r="CI221" s="60"/>
      <c r="CJ221" s="27"/>
      <c r="CK221" s="416"/>
      <c r="CL221" s="240"/>
      <c r="CM221" s="418"/>
      <c r="CN221" s="30">
        <f t="shared" si="97"/>
        <v>36.159999999999997</v>
      </c>
      <c r="CP221" s="58">
        <v>1678.76</v>
      </c>
      <c r="CQ221" s="58">
        <v>1071.5999999999999</v>
      </c>
      <c r="CR221" s="63">
        <v>4503.4500000000007</v>
      </c>
      <c r="CS221" s="58"/>
      <c r="CT221" s="60"/>
      <c r="CU221" s="27"/>
      <c r="CV221" s="416">
        <v>493.35198000000003</v>
      </c>
      <c r="CW221" s="240">
        <v>33.268322080000047</v>
      </c>
      <c r="CX221" s="418"/>
      <c r="CY221" s="229">
        <f t="shared" si="98"/>
        <v>526.6203020800001</v>
      </c>
    </row>
    <row r="222" spans="1:103" s="217" customFormat="1" ht="15.75" thickBot="1" x14ac:dyDescent="0.3">
      <c r="A222" s="47">
        <v>46137</v>
      </c>
      <c r="B222" s="230">
        <v>4139.67</v>
      </c>
      <c r="C222" s="231">
        <v>5915.8</v>
      </c>
      <c r="D222" s="230">
        <v>97.01</v>
      </c>
      <c r="E222" s="232">
        <v>1.3</v>
      </c>
      <c r="F222" s="27"/>
      <c r="G222" s="416"/>
      <c r="H222" s="240"/>
      <c r="I222" s="418"/>
      <c r="J222" s="402">
        <f t="shared" si="91"/>
        <v>97.01</v>
      </c>
      <c r="L222" s="58">
        <v>9742.86</v>
      </c>
      <c r="M222" s="63">
        <v>6484.05</v>
      </c>
      <c r="N222" s="58">
        <v>16.52</v>
      </c>
      <c r="O222" s="60"/>
      <c r="P222" s="27"/>
      <c r="Q222" s="416">
        <v>875.58527999999956</v>
      </c>
      <c r="R222" s="416">
        <v>134.84800000000001</v>
      </c>
      <c r="S222" s="240"/>
      <c r="T222" s="418"/>
      <c r="U222" s="30">
        <f t="shared" si="90"/>
        <v>1026.9532799999995</v>
      </c>
      <c r="V222" s="228"/>
      <c r="W222" s="58">
        <v>2473.54</v>
      </c>
      <c r="X222" s="63"/>
      <c r="Y222" s="58"/>
      <c r="Z222" s="60"/>
      <c r="AA222" s="27"/>
      <c r="AB222" s="416"/>
      <c r="AC222" s="240"/>
      <c r="AD222" s="418"/>
      <c r="AE222" s="30">
        <f t="shared" si="92"/>
        <v>0</v>
      </c>
      <c r="AG222" s="58">
        <v>7958.0599999999995</v>
      </c>
      <c r="AH222" s="63">
        <v>866.1</v>
      </c>
      <c r="AI222" s="58">
        <v>110</v>
      </c>
      <c r="AJ222" s="60"/>
      <c r="AK222" s="27"/>
      <c r="AL222" s="51"/>
      <c r="AM222" s="52"/>
      <c r="AN222" s="52"/>
      <c r="AO222" s="30">
        <f t="shared" si="93"/>
        <v>110</v>
      </c>
      <c r="AQ222" s="58">
        <v>6679.5</v>
      </c>
      <c r="AR222" s="58">
        <v>1101.8900000000001</v>
      </c>
      <c r="AS222" s="58">
        <v>62.42</v>
      </c>
      <c r="AT222" s="62"/>
      <c r="AU222" s="27"/>
      <c r="AV222" s="416">
        <v>325.17135999999982</v>
      </c>
      <c r="AW222" s="240"/>
      <c r="AX222" s="418"/>
      <c r="AY222" s="30">
        <f t="shared" si="94"/>
        <v>387.59135999999984</v>
      </c>
      <c r="BA222" s="58">
        <v>5303.9</v>
      </c>
      <c r="BB222" s="63"/>
      <c r="BC222" s="58"/>
      <c r="BD222" s="60"/>
      <c r="BE222" s="27"/>
      <c r="BF222" s="416">
        <v>23.508860000000141</v>
      </c>
      <c r="BG222" s="240"/>
      <c r="BH222" s="418">
        <v>3.7755900000000793</v>
      </c>
      <c r="BI222" s="30">
        <f t="shared" si="95"/>
        <v>27.28445000000022</v>
      </c>
      <c r="BK222" s="58">
        <v>18605.91</v>
      </c>
      <c r="BL222" s="63">
        <v>1196.7</v>
      </c>
      <c r="BM222" s="58">
        <v>320.95</v>
      </c>
      <c r="BN222" s="60"/>
      <c r="BO222" s="27"/>
      <c r="BP222" s="416">
        <v>391.25360999999953</v>
      </c>
      <c r="BQ222" s="416">
        <v>222.83513333333335</v>
      </c>
      <c r="BR222" s="240">
        <v>38.549469902476218</v>
      </c>
      <c r="BS222" s="418"/>
      <c r="BT222" s="30">
        <f t="shared" si="99"/>
        <v>973.58821323580901</v>
      </c>
      <c r="BV222" s="58">
        <v>4491.5</v>
      </c>
      <c r="BW222" s="63">
        <v>919.58</v>
      </c>
      <c r="BX222" s="58">
        <v>3.81</v>
      </c>
      <c r="BY222" s="60"/>
      <c r="BZ222" s="27"/>
      <c r="CA222" s="416"/>
      <c r="CB222" s="240"/>
      <c r="CC222" s="418"/>
      <c r="CD222" s="30">
        <f t="shared" si="96"/>
        <v>3.81</v>
      </c>
      <c r="CF222" s="58">
        <v>4901.95</v>
      </c>
      <c r="CG222" s="63"/>
      <c r="CH222" s="58">
        <v>104.81</v>
      </c>
      <c r="CI222" s="60"/>
      <c r="CJ222" s="27"/>
      <c r="CK222" s="416">
        <v>45.377799999999979</v>
      </c>
      <c r="CL222" s="240"/>
      <c r="CM222" s="418"/>
      <c r="CN222" s="30">
        <f t="shared" si="97"/>
        <v>150.18779999999998</v>
      </c>
      <c r="CP222" s="58">
        <v>1274.05</v>
      </c>
      <c r="CQ222" s="58">
        <v>1000.47</v>
      </c>
      <c r="CR222" s="63">
        <v>3321.6899999999996</v>
      </c>
      <c r="CS222" s="58"/>
      <c r="CT222" s="60"/>
      <c r="CU222" s="27"/>
      <c r="CV222" s="416">
        <v>311</v>
      </c>
      <c r="CW222" s="240">
        <v>32.092119047619065</v>
      </c>
      <c r="CX222" s="418"/>
      <c r="CY222" s="229">
        <f t="shared" si="98"/>
        <v>343.09211904761906</v>
      </c>
    </row>
    <row r="223" spans="1:103" s="217" customFormat="1" ht="15.75" thickBot="1" x14ac:dyDescent="0.3">
      <c r="A223" s="47">
        <v>46138</v>
      </c>
      <c r="B223" s="230">
        <v>1651.48</v>
      </c>
      <c r="C223" s="231">
        <v>5866.78</v>
      </c>
      <c r="D223" s="230">
        <v>124.14</v>
      </c>
      <c r="E223" s="232"/>
      <c r="F223" s="27"/>
      <c r="G223" s="416"/>
      <c r="H223" s="240">
        <v>86.455847539047795</v>
      </c>
      <c r="I223" s="418"/>
      <c r="J223" s="402">
        <f t="shared" si="91"/>
        <v>210.59584753904778</v>
      </c>
      <c r="L223" s="58">
        <v>9557.19</v>
      </c>
      <c r="M223" s="63">
        <v>7110.61</v>
      </c>
      <c r="N223" s="58">
        <v>35.68</v>
      </c>
      <c r="O223" s="60"/>
      <c r="P223" s="27"/>
      <c r="Q223" s="416">
        <v>104.95408000000003</v>
      </c>
      <c r="R223" s="416">
        <v>134.84800000000001</v>
      </c>
      <c r="S223" s="240"/>
      <c r="T223" s="418">
        <v>25.938269700000035</v>
      </c>
      <c r="U223" s="30">
        <f t="shared" si="90"/>
        <v>301.42034970000009</v>
      </c>
      <c r="V223" s="228"/>
      <c r="W223" s="58">
        <v>360</v>
      </c>
      <c r="X223" s="63"/>
      <c r="Y223" s="58"/>
      <c r="Z223" s="60"/>
      <c r="AA223" s="27"/>
      <c r="AB223" s="416"/>
      <c r="AC223" s="240"/>
      <c r="AD223" s="418"/>
      <c r="AE223" s="30">
        <f t="shared" si="92"/>
        <v>0</v>
      </c>
      <c r="AG223" s="58">
        <v>14499.88</v>
      </c>
      <c r="AH223" s="63">
        <v>596.98</v>
      </c>
      <c r="AI223" s="58"/>
      <c r="AJ223" s="60"/>
      <c r="AK223" s="27"/>
      <c r="AL223" s="51"/>
      <c r="AM223" s="52"/>
      <c r="AN223" s="52"/>
      <c r="AO223" s="30">
        <f t="shared" si="93"/>
        <v>0</v>
      </c>
      <c r="AQ223" s="58">
        <v>3818.12</v>
      </c>
      <c r="AR223" s="58">
        <v>955.08</v>
      </c>
      <c r="AS223" s="58">
        <v>1</v>
      </c>
      <c r="AT223" s="62"/>
      <c r="AU223" s="27"/>
      <c r="AV223" s="416">
        <v>170.9682699999999</v>
      </c>
      <c r="AW223" s="240"/>
      <c r="AX223" s="418"/>
      <c r="AY223" s="30">
        <f t="shared" si="94"/>
        <v>171.9682699999999</v>
      </c>
      <c r="BA223" s="58">
        <v>2593.9299999999998</v>
      </c>
      <c r="BB223" s="63"/>
      <c r="BC223" s="58"/>
      <c r="BD223" s="60"/>
      <c r="BE223" s="27"/>
      <c r="BF223" s="416">
        <v>4.6512000000001308</v>
      </c>
      <c r="BG223" s="240"/>
      <c r="BH223" s="418"/>
      <c r="BI223" s="30">
        <f t="shared" si="95"/>
        <v>4.6512000000001308</v>
      </c>
      <c r="BK223" s="58">
        <v>16437.990000000002</v>
      </c>
      <c r="BL223" s="63">
        <v>1364.79</v>
      </c>
      <c r="BM223" s="58">
        <v>174.74</v>
      </c>
      <c r="BN223" s="60"/>
      <c r="BO223" s="27"/>
      <c r="BP223" s="416">
        <v>897.07634999999971</v>
      </c>
      <c r="BQ223" s="416">
        <v>222.83513333333335</v>
      </c>
      <c r="BR223" s="240">
        <v>46.301170331238097</v>
      </c>
      <c r="BS223" s="418">
        <v>165.79954949999978</v>
      </c>
      <c r="BT223" s="30">
        <f t="shared" si="99"/>
        <v>1506.752203164571</v>
      </c>
      <c r="BV223" s="58">
        <v>2928.69</v>
      </c>
      <c r="BW223" s="63">
        <v>683.12</v>
      </c>
      <c r="BX223" s="58"/>
      <c r="BY223" s="60"/>
      <c r="BZ223" s="27"/>
      <c r="CA223" s="416"/>
      <c r="CB223" s="240"/>
      <c r="CC223" s="418"/>
      <c r="CD223" s="30">
        <f t="shared" si="96"/>
        <v>0</v>
      </c>
      <c r="CF223" s="58">
        <v>2495.9899999999998</v>
      </c>
      <c r="CG223" s="63"/>
      <c r="CH223" s="58">
        <v>884.29</v>
      </c>
      <c r="CI223" s="60"/>
      <c r="CJ223" s="27"/>
      <c r="CK223" s="416"/>
      <c r="CL223" s="240"/>
      <c r="CM223" s="418"/>
      <c r="CN223" s="30">
        <f t="shared" si="97"/>
        <v>884.29</v>
      </c>
      <c r="CP223" s="58">
        <v>4576.8100000000004</v>
      </c>
      <c r="CQ223" s="58">
        <v>842.93</v>
      </c>
      <c r="CR223" s="63">
        <v>3174.1600000000003</v>
      </c>
      <c r="CS223" s="58"/>
      <c r="CT223" s="60"/>
      <c r="CU223" s="27"/>
      <c r="CV223" s="416">
        <v>516.52435000000003</v>
      </c>
      <c r="CW223" s="240">
        <v>23.106325714285731</v>
      </c>
      <c r="CX223" s="418"/>
      <c r="CY223" s="229">
        <f t="shared" si="98"/>
        <v>539.63067571428576</v>
      </c>
    </row>
    <row r="224" spans="1:103" s="217" customFormat="1" ht="15.75" thickBot="1" x14ac:dyDescent="0.3">
      <c r="A224" s="47">
        <v>46139</v>
      </c>
      <c r="B224" s="230">
        <v>4752.08</v>
      </c>
      <c r="C224" s="231">
        <v>5168.79</v>
      </c>
      <c r="D224" s="230">
        <v>1167.58</v>
      </c>
      <c r="E224" s="232">
        <v>0.8</v>
      </c>
      <c r="F224" s="27"/>
      <c r="G224" s="416">
        <v>12.999999999999986</v>
      </c>
      <c r="H224" s="240"/>
      <c r="I224" s="418">
        <v>172.29662300000007</v>
      </c>
      <c r="J224" s="402">
        <f t="shared" si="91"/>
        <v>1352.8766230000001</v>
      </c>
      <c r="L224" s="58">
        <v>10878.19</v>
      </c>
      <c r="M224" s="63">
        <v>7314.22</v>
      </c>
      <c r="N224" s="58">
        <v>78.97</v>
      </c>
      <c r="O224" s="60"/>
      <c r="P224" s="27"/>
      <c r="Q224" s="416">
        <v>788.2306599999996</v>
      </c>
      <c r="R224" s="416">
        <v>134.84800000000001</v>
      </c>
      <c r="S224" s="240">
        <v>35.411515379047671</v>
      </c>
      <c r="T224" s="418">
        <v>62.459396600000076</v>
      </c>
      <c r="U224" s="30">
        <f t="shared" si="90"/>
        <v>1099.9195719790473</v>
      </c>
      <c r="V224" s="228"/>
      <c r="W224" s="58">
        <v>1234.52</v>
      </c>
      <c r="X224" s="63"/>
      <c r="Y224" s="58">
        <v>55.52</v>
      </c>
      <c r="Z224" s="60"/>
      <c r="AA224" s="27"/>
      <c r="AB224" s="416">
        <v>15.328740000000096</v>
      </c>
      <c r="AC224" s="240"/>
      <c r="AD224" s="418"/>
      <c r="AE224" s="30">
        <f t="shared" si="92"/>
        <v>70.848740000000106</v>
      </c>
      <c r="AG224" s="58">
        <v>5040.1399999999994</v>
      </c>
      <c r="AH224" s="63">
        <v>391.35</v>
      </c>
      <c r="AI224" s="58"/>
      <c r="AJ224" s="60"/>
      <c r="AK224" s="27"/>
      <c r="AL224" s="51"/>
      <c r="AM224" s="52"/>
      <c r="AN224" s="52"/>
      <c r="AO224" s="30">
        <f t="shared" si="93"/>
        <v>0</v>
      </c>
      <c r="AQ224" s="58">
        <v>6288.69</v>
      </c>
      <c r="AR224" s="58">
        <v>984.77</v>
      </c>
      <c r="AS224" s="58">
        <v>1079.8800000000001</v>
      </c>
      <c r="AT224" s="62"/>
      <c r="AU224" s="27"/>
      <c r="AV224" s="416">
        <v>207.66684999999993</v>
      </c>
      <c r="AW224" s="240">
        <v>60.415084127619103</v>
      </c>
      <c r="AX224" s="418"/>
      <c r="AY224" s="30">
        <f t="shared" si="94"/>
        <v>1347.9619341276191</v>
      </c>
      <c r="BA224" s="58">
        <v>80479.38</v>
      </c>
      <c r="BB224" s="63"/>
      <c r="BC224" s="58">
        <v>2197.1799999999998</v>
      </c>
      <c r="BD224" s="60"/>
      <c r="BE224" s="27"/>
      <c r="BF224" s="416">
        <v>10.114720000000034</v>
      </c>
      <c r="BG224" s="240"/>
      <c r="BH224" s="418">
        <v>50.390182800000048</v>
      </c>
      <c r="BI224" s="30">
        <f t="shared" si="95"/>
        <v>2257.6849027999997</v>
      </c>
      <c r="BK224" s="58">
        <v>13695.33</v>
      </c>
      <c r="BL224" s="63">
        <v>718.86</v>
      </c>
      <c r="BM224" s="58">
        <v>87.25</v>
      </c>
      <c r="BN224" s="60"/>
      <c r="BO224" s="27"/>
      <c r="BP224" s="416">
        <v>372.63709999999969</v>
      </c>
      <c r="BQ224" s="416">
        <v>222.83513333333335</v>
      </c>
      <c r="BR224" s="240">
        <v>146.75490524476209</v>
      </c>
      <c r="BS224" s="418">
        <v>834.4996785999997</v>
      </c>
      <c r="BT224" s="30">
        <f t="shared" si="99"/>
        <v>1663.9768171780947</v>
      </c>
      <c r="BV224" s="58">
        <v>5770.59</v>
      </c>
      <c r="BW224" s="63">
        <v>1210.27</v>
      </c>
      <c r="BX224" s="58">
        <v>1.48</v>
      </c>
      <c r="BY224" s="60"/>
      <c r="BZ224" s="27"/>
      <c r="CA224" s="416"/>
      <c r="CB224" s="240"/>
      <c r="CC224" s="418"/>
      <c r="CD224" s="30">
        <f t="shared" si="96"/>
        <v>1.48</v>
      </c>
      <c r="CF224" s="58">
        <v>5397.43</v>
      </c>
      <c r="CG224" s="63"/>
      <c r="CH224" s="58">
        <v>184.48</v>
      </c>
      <c r="CI224" s="60"/>
      <c r="CJ224" s="27"/>
      <c r="CK224" s="416">
        <v>5.7241599999999906</v>
      </c>
      <c r="CL224" s="240">
        <v>10.734023809523805</v>
      </c>
      <c r="CM224" s="418"/>
      <c r="CN224" s="30">
        <f t="shared" si="97"/>
        <v>200.93818380952379</v>
      </c>
      <c r="CP224" s="58">
        <v>6116.03</v>
      </c>
      <c r="CQ224" s="58">
        <v>1149.19</v>
      </c>
      <c r="CR224" s="63">
        <v>2384.2200000000003</v>
      </c>
      <c r="CS224" s="58"/>
      <c r="CT224" s="60"/>
      <c r="CU224" s="27"/>
      <c r="CV224" s="416">
        <v>48.217399999999998</v>
      </c>
      <c r="CW224" s="240">
        <v>31.450276666666696</v>
      </c>
      <c r="CX224" s="418"/>
      <c r="CY224" s="229">
        <f t="shared" si="98"/>
        <v>79.667676666666694</v>
      </c>
    </row>
    <row r="225" spans="1:103" s="217" customFormat="1" ht="15.75" thickBot="1" x14ac:dyDescent="0.3">
      <c r="A225" s="47">
        <v>46140</v>
      </c>
      <c r="B225" s="230">
        <v>1739.53</v>
      </c>
      <c r="C225" s="231">
        <v>4583.45</v>
      </c>
      <c r="D225" s="230">
        <v>709.87</v>
      </c>
      <c r="E225" s="232">
        <v>3.89</v>
      </c>
      <c r="F225" s="27"/>
      <c r="G225" s="416"/>
      <c r="H225" s="240"/>
      <c r="I225" s="418"/>
      <c r="J225" s="402">
        <f t="shared" si="91"/>
        <v>709.87</v>
      </c>
      <c r="L225" s="58">
        <v>10597.55</v>
      </c>
      <c r="M225" s="63">
        <v>6305.87</v>
      </c>
      <c r="N225" s="58">
        <v>39.35</v>
      </c>
      <c r="O225" s="60"/>
      <c r="P225" s="27"/>
      <c r="Q225" s="416">
        <v>752.01966999999968</v>
      </c>
      <c r="R225" s="416">
        <v>134.84800000000001</v>
      </c>
      <c r="S225" s="240"/>
      <c r="T225" s="418">
        <v>312.8154114999997</v>
      </c>
      <c r="U225" s="30">
        <f t="shared" si="90"/>
        <v>1239.0330814999993</v>
      </c>
      <c r="V225" s="228"/>
      <c r="W225" s="58">
        <v>1024.42</v>
      </c>
      <c r="X225" s="63"/>
      <c r="Y225" s="58">
        <v>55</v>
      </c>
      <c r="Z225" s="60"/>
      <c r="AA225" s="27"/>
      <c r="AB225" s="416">
        <v>6.2424600000000225</v>
      </c>
      <c r="AC225" s="240"/>
      <c r="AD225" s="418"/>
      <c r="AE225" s="30">
        <f t="shared" si="92"/>
        <v>61.242460000000023</v>
      </c>
      <c r="AG225" s="58">
        <v>8408.77</v>
      </c>
      <c r="AH225" s="63">
        <v>749.14</v>
      </c>
      <c r="AI225" s="58"/>
      <c r="AJ225" s="60"/>
      <c r="AK225" s="27"/>
      <c r="AL225" s="51"/>
      <c r="AM225" s="52"/>
      <c r="AN225" s="52"/>
      <c r="AO225" s="30">
        <f t="shared" si="93"/>
        <v>0</v>
      </c>
      <c r="AQ225" s="58">
        <v>5391.19</v>
      </c>
      <c r="AR225" s="58">
        <v>1413.32</v>
      </c>
      <c r="AS225" s="58">
        <v>49.38</v>
      </c>
      <c r="AT225" s="62"/>
      <c r="AU225" s="27"/>
      <c r="AV225" s="416">
        <v>263.67079999999976</v>
      </c>
      <c r="AW225" s="240">
        <v>179.14103915371436</v>
      </c>
      <c r="AX225" s="418"/>
      <c r="AY225" s="30">
        <f t="shared" si="94"/>
        <v>492.19183915371411</v>
      </c>
      <c r="BA225" s="58">
        <v>8952.39</v>
      </c>
      <c r="BB225" s="63"/>
      <c r="BC225" s="58">
        <v>198.07</v>
      </c>
      <c r="BD225" s="60"/>
      <c r="BE225" s="27"/>
      <c r="BF225" s="416">
        <v>5.9494600000001014</v>
      </c>
      <c r="BG225" s="240"/>
      <c r="BH225" s="418">
        <v>11.158066599999984</v>
      </c>
      <c r="BI225" s="30">
        <f t="shared" si="95"/>
        <v>215.17752660000008</v>
      </c>
      <c r="BK225" s="58">
        <v>22960.31</v>
      </c>
      <c r="BL225" s="63">
        <v>664.64</v>
      </c>
      <c r="BM225" s="58">
        <v>203.19</v>
      </c>
      <c r="BN225" s="60"/>
      <c r="BO225" s="27"/>
      <c r="BP225" s="416">
        <v>451.51339999999976</v>
      </c>
      <c r="BQ225" s="416">
        <v>222.83513333333335</v>
      </c>
      <c r="BR225" s="240">
        <v>50.435196428571373</v>
      </c>
      <c r="BS225" s="418"/>
      <c r="BT225" s="30">
        <f t="shared" si="99"/>
        <v>927.97372976190445</v>
      </c>
      <c r="BV225" s="58">
        <v>3816.14</v>
      </c>
      <c r="BW225" s="63">
        <v>1431.25</v>
      </c>
      <c r="BX225" s="58">
        <v>7.86</v>
      </c>
      <c r="BY225" s="60"/>
      <c r="BZ225" s="27"/>
      <c r="CA225" s="416"/>
      <c r="CB225" s="240"/>
      <c r="CC225" s="418"/>
      <c r="CD225" s="30">
        <f t="shared" si="96"/>
        <v>7.86</v>
      </c>
      <c r="CF225" s="58">
        <v>2882.07</v>
      </c>
      <c r="CG225" s="63"/>
      <c r="CH225" s="58">
        <v>67.959999999999994</v>
      </c>
      <c r="CI225" s="60"/>
      <c r="CJ225" s="27"/>
      <c r="CK225" s="416">
        <v>10.399999999999991</v>
      </c>
      <c r="CL225" s="240"/>
      <c r="CM225" s="418"/>
      <c r="CN225" s="30">
        <f t="shared" si="97"/>
        <v>78.359999999999985</v>
      </c>
      <c r="CP225" s="58">
        <v>6995.83</v>
      </c>
      <c r="CQ225" s="58">
        <v>687.77</v>
      </c>
      <c r="CR225" s="63">
        <v>2634.19</v>
      </c>
      <c r="CS225" s="58">
        <v>7.15</v>
      </c>
      <c r="CT225" s="60"/>
      <c r="CU225" s="27"/>
      <c r="CV225" s="416">
        <v>760.08899999999937</v>
      </c>
      <c r="CW225" s="240">
        <v>113.11899999999991</v>
      </c>
      <c r="CX225" s="418"/>
      <c r="CY225" s="229">
        <f t="shared" si="98"/>
        <v>880.35799999999927</v>
      </c>
    </row>
    <row r="226" spans="1:103" s="217" customFormat="1" ht="15.75" thickBot="1" x14ac:dyDescent="0.3">
      <c r="A226" s="47">
        <v>46141</v>
      </c>
      <c r="B226" s="230">
        <v>2388.42</v>
      </c>
      <c r="C226" s="231">
        <v>6173.58</v>
      </c>
      <c r="D226" s="230">
        <v>798.31</v>
      </c>
      <c r="E226" s="232">
        <v>1.9</v>
      </c>
      <c r="F226" s="27"/>
      <c r="G226" s="416"/>
      <c r="H226" s="240"/>
      <c r="I226" s="418"/>
      <c r="J226" s="402">
        <f t="shared" si="91"/>
        <v>798.31</v>
      </c>
      <c r="L226" s="58">
        <v>12432.5</v>
      </c>
      <c r="M226" s="63">
        <v>7049.83</v>
      </c>
      <c r="N226" s="58">
        <v>68.319999999999993</v>
      </c>
      <c r="O226" s="60"/>
      <c r="P226" s="27"/>
      <c r="Q226" s="416">
        <v>619.41711999999995</v>
      </c>
      <c r="R226" s="416">
        <v>134.84800000000001</v>
      </c>
      <c r="S226" s="240"/>
      <c r="T226" s="418"/>
      <c r="U226" s="30">
        <f t="shared" si="90"/>
        <v>822.58511999999996</v>
      </c>
      <c r="V226" s="228"/>
      <c r="W226" s="58">
        <v>2142.9299999999998</v>
      </c>
      <c r="X226" s="63"/>
      <c r="Y226" s="58">
        <v>35.450000000000003</v>
      </c>
      <c r="Z226" s="60"/>
      <c r="AA226" s="27"/>
      <c r="AB226" s="416">
        <v>15.078000000000003</v>
      </c>
      <c r="AC226" s="240"/>
      <c r="AD226" s="418"/>
      <c r="AE226" s="30">
        <f t="shared" si="92"/>
        <v>50.528000000000006</v>
      </c>
      <c r="AG226" s="58">
        <v>6273.15</v>
      </c>
      <c r="AH226" s="63">
        <v>379.22</v>
      </c>
      <c r="AI226" s="58"/>
      <c r="AJ226" s="60"/>
      <c r="AK226" s="27"/>
      <c r="AL226" s="51"/>
      <c r="AM226" s="52"/>
      <c r="AN226" s="52"/>
      <c r="AO226" s="30">
        <f t="shared" si="93"/>
        <v>0</v>
      </c>
      <c r="AQ226" s="58">
        <v>5068.53</v>
      </c>
      <c r="AR226" s="58">
        <v>1564.08</v>
      </c>
      <c r="AS226" s="58">
        <v>125.22</v>
      </c>
      <c r="AT226" s="62"/>
      <c r="AU226" s="27"/>
      <c r="AV226" s="416">
        <v>151.59392999999989</v>
      </c>
      <c r="AW226" s="240"/>
      <c r="AX226" s="418">
        <v>168.99599999999987</v>
      </c>
      <c r="AY226" s="30">
        <f t="shared" si="94"/>
        <v>445.80992999999978</v>
      </c>
      <c r="BA226" s="58">
        <v>2575.09</v>
      </c>
      <c r="BB226" s="63"/>
      <c r="BC226" s="58">
        <v>810</v>
      </c>
      <c r="BD226" s="60"/>
      <c r="BE226" s="27"/>
      <c r="BF226" s="416">
        <v>68.839549999999832</v>
      </c>
      <c r="BG226" s="240"/>
      <c r="BH226" s="418"/>
      <c r="BI226" s="30">
        <f t="shared" si="95"/>
        <v>878.8395499999998</v>
      </c>
      <c r="BK226" s="58">
        <v>18993.78</v>
      </c>
      <c r="BL226" s="63">
        <v>1289.42</v>
      </c>
      <c r="BM226" s="58">
        <v>285.29000000000002</v>
      </c>
      <c r="BN226" s="60"/>
      <c r="BO226" s="27"/>
      <c r="BP226" s="416">
        <v>155.41395999999997</v>
      </c>
      <c r="BQ226" s="416">
        <v>222.83513333333335</v>
      </c>
      <c r="BR226" s="240">
        <v>15.556354520000014</v>
      </c>
      <c r="BS226" s="418"/>
      <c r="BT226" s="30">
        <f t="shared" si="99"/>
        <v>679.09544785333333</v>
      </c>
      <c r="BV226" s="58">
        <v>4422.5</v>
      </c>
      <c r="BW226" s="63">
        <v>1436.26</v>
      </c>
      <c r="BX226" s="58">
        <v>2.64</v>
      </c>
      <c r="BY226" s="60"/>
      <c r="BZ226" s="27"/>
      <c r="CA226" s="416"/>
      <c r="CB226" s="240"/>
      <c r="CC226" s="418"/>
      <c r="CD226" s="30">
        <f t="shared" si="96"/>
        <v>2.64</v>
      </c>
      <c r="CF226" s="58">
        <v>3384.44</v>
      </c>
      <c r="CG226" s="63"/>
      <c r="CH226" s="58">
        <v>10.67</v>
      </c>
      <c r="CI226" s="60"/>
      <c r="CJ226" s="27"/>
      <c r="CK226" s="416"/>
      <c r="CL226" s="240"/>
      <c r="CM226" s="418"/>
      <c r="CN226" s="30">
        <f t="shared" si="97"/>
        <v>10.67</v>
      </c>
      <c r="CP226" s="58">
        <v>647.87</v>
      </c>
      <c r="CQ226" s="58">
        <v>840.98</v>
      </c>
      <c r="CR226" s="63">
        <v>2394.9899999999998</v>
      </c>
      <c r="CS226" s="58"/>
      <c r="CT226" s="60"/>
      <c r="CU226" s="27"/>
      <c r="CV226" s="416">
        <v>901.32929000000013</v>
      </c>
      <c r="CW226" s="240">
        <v>40.236828999999972</v>
      </c>
      <c r="CX226" s="418">
        <v>16.159002600000008</v>
      </c>
      <c r="CY226" s="229">
        <f t="shared" si="98"/>
        <v>957.72512160000008</v>
      </c>
    </row>
    <row r="227" spans="1:103" s="217" customFormat="1" ht="15.75" thickBot="1" x14ac:dyDescent="0.3">
      <c r="A227" s="47">
        <v>46142</v>
      </c>
      <c r="B227" s="230">
        <v>5623.76</v>
      </c>
      <c r="C227" s="231">
        <v>6091.37</v>
      </c>
      <c r="D227" s="230">
        <v>520.67999999999995</v>
      </c>
      <c r="E227" s="232"/>
      <c r="F227" s="27"/>
      <c r="G227" s="416"/>
      <c r="H227" s="240"/>
      <c r="I227" s="418"/>
      <c r="J227" s="402">
        <f t="shared" si="91"/>
        <v>520.67999999999995</v>
      </c>
      <c r="L227" s="58">
        <v>2930.14</v>
      </c>
      <c r="M227" s="63">
        <v>0</v>
      </c>
      <c r="N227" s="58"/>
      <c r="O227" s="60"/>
      <c r="P227" s="27"/>
      <c r="Q227" s="416">
        <v>643.38634999999988</v>
      </c>
      <c r="R227" s="416">
        <v>134.84800000000001</v>
      </c>
      <c r="S227" s="240"/>
      <c r="T227" s="418">
        <v>69.839592399999958</v>
      </c>
      <c r="U227" s="30">
        <f t="shared" si="90"/>
        <v>848.07394239999985</v>
      </c>
      <c r="V227" s="228"/>
      <c r="W227" s="58">
        <v>2930.14</v>
      </c>
      <c r="X227" s="63"/>
      <c r="Y227" s="58"/>
      <c r="Z227" s="60"/>
      <c r="AA227" s="27"/>
      <c r="AB227" s="416">
        <v>12.677250000000015</v>
      </c>
      <c r="AC227" s="240"/>
      <c r="AD227" s="418"/>
      <c r="AE227" s="30">
        <f t="shared" si="92"/>
        <v>12.677250000000015</v>
      </c>
      <c r="AG227" s="58">
        <v>12526.32</v>
      </c>
      <c r="AH227" s="63">
        <v>901.96</v>
      </c>
      <c r="AI227" s="58"/>
      <c r="AJ227" s="60"/>
      <c r="AK227" s="27"/>
      <c r="AL227" s="51"/>
      <c r="AM227" s="52"/>
      <c r="AN227" s="52"/>
      <c r="AO227" s="30">
        <f t="shared" si="93"/>
        <v>0</v>
      </c>
      <c r="AQ227" s="58">
        <v>5784.57</v>
      </c>
      <c r="AR227" s="58">
        <v>1077.6099999999999</v>
      </c>
      <c r="AS227" s="58">
        <v>39.15</v>
      </c>
      <c r="AT227" s="62"/>
      <c r="AU227" s="27"/>
      <c r="AV227" s="416">
        <v>350.16206999999986</v>
      </c>
      <c r="AW227" s="240">
        <v>144.64777562228576</v>
      </c>
      <c r="AX227" s="418">
        <v>49.791854799999953</v>
      </c>
      <c r="AY227" s="30">
        <f t="shared" si="94"/>
        <v>583.75170042228558</v>
      </c>
      <c r="BA227" s="58">
        <v>2909.93</v>
      </c>
      <c r="BB227" s="63"/>
      <c r="BC227" s="58">
        <v>91.3</v>
      </c>
      <c r="BD227" s="60"/>
      <c r="BE227" s="27"/>
      <c r="BF227" s="416">
        <v>3.8115499999999543</v>
      </c>
      <c r="BG227" s="240"/>
      <c r="BH227" s="418"/>
      <c r="BI227" s="30">
        <f t="shared" si="95"/>
        <v>95.111549999999951</v>
      </c>
      <c r="BK227" s="58">
        <v>30782.16</v>
      </c>
      <c r="BL227" s="63">
        <v>2583.46</v>
      </c>
      <c r="BM227" s="58">
        <v>497.26</v>
      </c>
      <c r="BN227" s="60"/>
      <c r="BO227" s="27"/>
      <c r="BP227" s="416">
        <v>1257.53089</v>
      </c>
      <c r="BQ227" s="416">
        <v>222.83513333333335</v>
      </c>
      <c r="BR227" s="240"/>
      <c r="BS227" s="418"/>
      <c r="BT227" s="30">
        <f t="shared" si="99"/>
        <v>1977.6260233333333</v>
      </c>
      <c r="BV227" s="58">
        <v>5691.85</v>
      </c>
      <c r="BW227" s="63">
        <v>1408.71</v>
      </c>
      <c r="BX227" s="58">
        <v>5.43</v>
      </c>
      <c r="BY227" s="60"/>
      <c r="BZ227" s="27"/>
      <c r="CA227" s="416"/>
      <c r="CB227" s="240"/>
      <c r="CC227" s="418"/>
      <c r="CD227" s="30">
        <f t="shared" si="96"/>
        <v>5.43</v>
      </c>
      <c r="CF227" s="58">
        <v>4608.46</v>
      </c>
      <c r="CG227" s="63"/>
      <c r="CH227" s="58">
        <v>323.5</v>
      </c>
      <c r="CI227" s="60"/>
      <c r="CJ227" s="27"/>
      <c r="CK227" s="416">
        <v>4.3000000000000043</v>
      </c>
      <c r="CL227" s="240">
        <v>11.092328571428567</v>
      </c>
      <c r="CM227" s="418"/>
      <c r="CN227" s="30">
        <f t="shared" si="97"/>
        <v>338.89232857142855</v>
      </c>
      <c r="CP227" s="58">
        <v>2819.48</v>
      </c>
      <c r="CQ227" s="58">
        <v>1335.91</v>
      </c>
      <c r="CR227" s="63">
        <v>3550.1899999999996</v>
      </c>
      <c r="CS227" s="58">
        <v>10.77</v>
      </c>
      <c r="CT227" s="60"/>
      <c r="CU227" s="27"/>
      <c r="CV227" s="416">
        <v>195.50000000000011</v>
      </c>
      <c r="CW227" s="240">
        <v>13.86414857142853</v>
      </c>
      <c r="CX227" s="418"/>
      <c r="CY227" s="229">
        <f t="shared" si="98"/>
        <v>220.13414857142865</v>
      </c>
    </row>
    <row r="228" spans="1:103" s="86" customFormat="1" ht="16.5" thickBot="1" x14ac:dyDescent="0.3">
      <c r="B228" s="236">
        <f>SUM(B198:B227)</f>
        <v>158560.55000000002</v>
      </c>
      <c r="C228" s="236">
        <f>SUM(C198:C227)</f>
        <v>187580.11999999997</v>
      </c>
      <c r="D228" s="237">
        <f>SUM(D198:D227)</f>
        <v>11747.539999999999</v>
      </c>
      <c r="E228" s="236">
        <f>SUM(E198:E227)</f>
        <v>16.86</v>
      </c>
      <c r="F228" s="83"/>
      <c r="G228" s="245">
        <f>SUM(G198:G227)</f>
        <v>452.21482999999978</v>
      </c>
      <c r="H228" s="194">
        <f>SUM(H198:H227)</f>
        <v>395.7058915900007</v>
      </c>
      <c r="I228" s="194">
        <f>SUM(I198:I227)</f>
        <v>516.46760599999971</v>
      </c>
      <c r="J228" s="85">
        <f>SUM(J198:J227)</f>
        <v>13111.928327590002</v>
      </c>
      <c r="L228" s="236">
        <f>SUM(L198:L227)</f>
        <v>396092.86000000004</v>
      </c>
      <c r="M228" s="237">
        <f>SUM(M198:M227)</f>
        <v>182047.80999999997</v>
      </c>
      <c r="N228" s="237">
        <f>SUM(N198:N227)</f>
        <v>2455.2499999999995</v>
      </c>
      <c r="O228" s="238">
        <f>SUM(O198:O227)</f>
        <v>0</v>
      </c>
      <c r="P228" s="83"/>
      <c r="Q228" s="84">
        <f>SUM(Q198:Q227)</f>
        <v>14230.36335999999</v>
      </c>
      <c r="R228" s="84">
        <f t="shared" ref="R228:T228" si="100">SUM(R198:R227)</f>
        <v>4045.4399999999991</v>
      </c>
      <c r="S228" s="84">
        <f t="shared" si="100"/>
        <v>374.70881788333389</v>
      </c>
      <c r="T228" s="84">
        <f t="shared" si="100"/>
        <v>4086.503142</v>
      </c>
      <c r="U228" s="85">
        <f>SUM(U198:U227)</f>
        <v>25192.265319883321</v>
      </c>
      <c r="W228" s="236">
        <f>SUM(W198:W227)</f>
        <v>87448.759999999951</v>
      </c>
      <c r="X228" s="237">
        <f>SUM(X198:X227)</f>
        <v>0</v>
      </c>
      <c r="Y228" s="237">
        <f>SUM(Y198:Y227)</f>
        <v>405.41999999999996</v>
      </c>
      <c r="Z228" s="238">
        <f>SUM(Z198:Z227)</f>
        <v>0</v>
      </c>
      <c r="AA228" s="83"/>
      <c r="AB228" s="84">
        <f>SUM(AB198:AB227)</f>
        <v>451.62958999999961</v>
      </c>
      <c r="AC228" s="85">
        <f>SUM(AC198:AC227)</f>
        <v>0</v>
      </c>
      <c r="AD228" s="85">
        <f>SUM(AD198:AD227)</f>
        <v>0</v>
      </c>
      <c r="AE228" s="85">
        <f>SUM(AE198:AE227)</f>
        <v>857.04958999999985</v>
      </c>
      <c r="AG228" s="236">
        <f>SUM(AG198:AG227)</f>
        <v>304908.52</v>
      </c>
      <c r="AH228" s="237">
        <f>SUM(AH198:AH227)</f>
        <v>19135.349999999995</v>
      </c>
      <c r="AI228" s="237">
        <f>SUM(AI198:AI227)</f>
        <v>2459.67</v>
      </c>
      <c r="AJ228" s="238">
        <f>SUM(AJ198:AJ227)</f>
        <v>0</v>
      </c>
      <c r="AK228" s="83"/>
      <c r="AL228" s="84">
        <f>SUM(AL198:AL227)</f>
        <v>0</v>
      </c>
      <c r="AM228" s="85">
        <f>SUM(AM198:AM227)</f>
        <v>0</v>
      </c>
      <c r="AN228" s="85">
        <f>SUM(AN198:AN227)</f>
        <v>0</v>
      </c>
      <c r="AO228" s="85">
        <f>SUM(AO198:AO227)</f>
        <v>2459.67</v>
      </c>
      <c r="AQ228" s="237">
        <f>SUM(AQ198:AQ227)</f>
        <v>186080.39</v>
      </c>
      <c r="AR228" s="237">
        <f>SUM(AR198:AR227)</f>
        <v>27094.92</v>
      </c>
      <c r="AS228" s="237">
        <f>SUM(AS198:AS227)</f>
        <v>2664.15</v>
      </c>
      <c r="AT228" s="237">
        <f>SUM(AT198:AT227)</f>
        <v>0</v>
      </c>
      <c r="AU228" s="83"/>
      <c r="AV228" s="84">
        <f>SUM(AV198:AV227)</f>
        <v>6342.1546599999965</v>
      </c>
      <c r="AW228" s="85">
        <f>SUM(AW198:AW227)</f>
        <v>1640.1692250461906</v>
      </c>
      <c r="AX228" s="85">
        <f>SUM(AX198:AX227)</f>
        <v>342.2634545999997</v>
      </c>
      <c r="AY228" s="85">
        <f>SUM(AY198:AY227)</f>
        <v>10988.737339646188</v>
      </c>
      <c r="BA228" s="236">
        <f>SUM(BA198:BA227)</f>
        <v>529969.42000000004</v>
      </c>
      <c r="BB228" s="237">
        <f>SUM(BB198:BB227)</f>
        <v>0</v>
      </c>
      <c r="BC228" s="237">
        <f>SUM(BC198:BC227)</f>
        <v>23639.3</v>
      </c>
      <c r="BD228" s="238">
        <f>SUM(BD198:BD227)</f>
        <v>0</v>
      </c>
      <c r="BE228" s="83"/>
      <c r="BF228" s="84">
        <f>SUM(BF198:BF227)</f>
        <v>123.77184999999878</v>
      </c>
      <c r="BG228" s="85">
        <f>SUM(BG198:BG227)</f>
        <v>0</v>
      </c>
      <c r="BH228" s="85">
        <f>SUM(BH198:BH227)</f>
        <v>292.00718989999939</v>
      </c>
      <c r="BI228" s="85">
        <f>SUM(BI198:BI227)</f>
        <v>24055.0790399</v>
      </c>
      <c r="BK228" s="236">
        <f>SUM(BK198:BK227)</f>
        <v>687803.22000000009</v>
      </c>
      <c r="BL228" s="237">
        <f>SUM(BL198:BL227)</f>
        <v>36410.46</v>
      </c>
      <c r="BM228" s="237">
        <f>SUM(BM198:BM227)</f>
        <v>11426.920000000004</v>
      </c>
      <c r="BN228" s="238">
        <f>SUM(BN198:BN227)</f>
        <v>0</v>
      </c>
      <c r="BO228" s="83"/>
      <c r="BP228" s="84">
        <f>SUM(BP198:BP227)</f>
        <v>17009.340489999991</v>
      </c>
      <c r="BQ228" s="84">
        <f t="shared" ref="BQ228:BR228" si="101">SUM(BQ198:BQ227)</f>
        <v>6685.0539999999974</v>
      </c>
      <c r="BR228" s="84">
        <f t="shared" si="101"/>
        <v>1517.7767238232409</v>
      </c>
      <c r="BS228" s="85">
        <f>SUM(BS198:BS227)</f>
        <v>2093.4394248199997</v>
      </c>
      <c r="BT228" s="85">
        <f>SUM(BT198:BT227)</f>
        <v>38732.530638643228</v>
      </c>
      <c r="BV228" s="236">
        <f>SUM(BV198:BV227)</f>
        <v>133361.79999999999</v>
      </c>
      <c r="BW228" s="237">
        <f>SUM(BW198:BW227)</f>
        <v>34000.280000000006</v>
      </c>
      <c r="BX228" s="237">
        <f>SUM(BX198:BX227)</f>
        <v>102.29000000000002</v>
      </c>
      <c r="BY228" s="238">
        <f>SUM(BY198:BY227)</f>
        <v>0</v>
      </c>
      <c r="BZ228" s="83"/>
      <c r="CA228" s="84">
        <f>SUM(CA198:CA227)</f>
        <v>0</v>
      </c>
      <c r="CB228" s="85">
        <f>SUM(CB198:CB227)</f>
        <v>0</v>
      </c>
      <c r="CC228" s="85">
        <f>SUM(CC198:CC227)</f>
        <v>0</v>
      </c>
      <c r="CD228" s="85">
        <f>SUM(CD198:CD227)</f>
        <v>102.29000000000002</v>
      </c>
      <c r="CF228" s="236">
        <f>SUM(CF198:CF227)</f>
        <v>131433.1</v>
      </c>
      <c r="CG228" s="237">
        <f>SUM(CG198:CG227)</f>
        <v>0</v>
      </c>
      <c r="CH228" s="237">
        <f>SUM(CH198:CH227)</f>
        <v>9526.9</v>
      </c>
      <c r="CI228" s="238">
        <f>SUM(CI198:CI227)</f>
        <v>0</v>
      </c>
      <c r="CJ228" s="83"/>
      <c r="CK228" s="84">
        <f>SUM(CK198:CK227)</f>
        <v>411.46681999999998</v>
      </c>
      <c r="CL228" s="85">
        <f>SUM(CL198:CL227)</f>
        <v>189.23461714190526</v>
      </c>
      <c r="CM228" s="85">
        <f>SUM(CM198:CM227)</f>
        <v>0</v>
      </c>
      <c r="CN228" s="85">
        <f>SUM(CN198:CN227)</f>
        <v>10127.601437141906</v>
      </c>
      <c r="CP228" s="236">
        <f>SUM(CP198:CP227)</f>
        <v>148858.68999999997</v>
      </c>
      <c r="CQ228" s="237">
        <f>SUM(CQ198:CQ227)</f>
        <v>30416.35</v>
      </c>
      <c r="CR228" s="237">
        <f>SUM(CR198:CR227)</f>
        <v>105434.27000000002</v>
      </c>
      <c r="CS228" s="237">
        <f>SUM(CS198:CS227)</f>
        <v>233.03</v>
      </c>
      <c r="CT228" s="238">
        <f>SUM(CT198:CT227)</f>
        <v>0</v>
      </c>
      <c r="CU228" s="83"/>
      <c r="CV228" s="84">
        <f>SUM(CV198:CV227)</f>
        <v>13215.937489999989</v>
      </c>
      <c r="CW228" s="85">
        <f>SUM(CW198:CW227)</f>
        <v>521.64993052466684</v>
      </c>
      <c r="CX228" s="85">
        <f>SUM(CX198:CX227)</f>
        <v>42.263200499999968</v>
      </c>
      <c r="CY228" s="85">
        <f>SUM(CY198:CY227)</f>
        <v>14012.880621024658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Lou</vt:lpstr>
      <vt:lpstr>Coco</vt:lpstr>
      <vt:lpstr>Jeaneth</vt:lpstr>
      <vt:lpstr>Mavel completo</vt:lpstr>
      <vt:lpstr>Juan Carlos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echavez</dc:creator>
  <cp:lastModifiedBy>Kevin Barreda Portillo</cp:lastModifiedBy>
  <dcterms:created xsi:type="dcterms:W3CDTF">2026-01-06T19:55:51Z</dcterms:created>
  <dcterms:modified xsi:type="dcterms:W3CDTF">2026-05-25T06:12:42Z</dcterms:modified>
</cp:coreProperties>
</file>